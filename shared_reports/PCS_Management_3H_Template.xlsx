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5"/>
  </bookViews>
  <sheets>
    <sheet name="SETUP" sheetId="1" r:id="rId1"/>
    <sheet name="ROSTER" sheetId="2" r:id="rId2"/>
    <sheet name="INPUT_CALLS" sheetId="3" r:id="rId3"/>
    <sheet name="AGENT_DETAIL" sheetId="4" r:id="rId4"/>
    <sheet name="LOB_SUMMARY" sheetId="5" r:id="rId5"/>
    <sheet name="PCS_REPORT" sheetId="6" r:id="rId6"/>
    <sheet name="DATA_QUALITY" sheetId="7" r:id="rId7"/>
    <sheet name="FORMULA_LOGIC" sheetId="8" r:id="rId8"/>
    <sheet name="EMAIL_BRIEF" sheetId="9" r:id="rId9"/>
  </sheets>
  <definedNames>
    <definedName name="PCS_Report_Date">SETUP!$B$5</definedName>
    <definedName name="PCS_Window_End">SETUP!$B$7</definedName>
    <definedName name="PCS_Window_Start">SETUP!$B$6</definedName>
  </definedNames>
  <calcPr calcId="124519" fullCalcOnLoad="1"/>
</workbook>
</file>

<file path=xl/sharedStrings.xml><?xml version="1.0" encoding="utf-8"?>
<sst xmlns="http://schemas.openxmlformats.org/spreadsheetml/2006/main" count="879" uniqueCount="277">
  <si>
    <t>PCS management setup</t>
  </si>
  <si>
    <t>Change the blue date/window cells before each management send.</t>
  </si>
  <si>
    <t>Control</t>
  </si>
  <si>
    <t>Value</t>
  </si>
  <si>
    <t>Report date</t>
  </si>
  <si>
    <t>3-hour window start</t>
  </si>
  <si>
    <t>3-hour window end</t>
  </si>
  <si>
    <t>Prepared by</t>
  </si>
  <si>
    <t>Anass ASSRI</t>
  </si>
  <si>
    <t>Generated at</t>
  </si>
  <si>
    <t>Data through</t>
  </si>
  <si>
    <t>How to refresh</t>
  </si>
  <si>
    <t>1. Clear only the blue source columns in INPUT_CALLS.  2. Paste the required Call-by-Call fields under matching headers.  3. Update Report date and the three-hour window.  4. Review DATA_QUALITY.  5. Copy EMAIL_BRIEF and send the workbook. Every input row is one call leg; transferred calls can create multiple legs.</t>
  </si>
  <si>
    <t>PCS roster</t>
  </si>
  <si>
    <t>Paste the current FTE roster here. Agent ID is the Storm/Verint Client ID.</t>
  </si>
  <si>
    <t>Agent ID</t>
  </si>
  <si>
    <t>Status</t>
  </si>
  <si>
    <t>Agent</t>
  </si>
  <si>
    <t>Team Leader</t>
  </si>
  <si>
    <t>Ops Manager</t>
  </si>
  <si>
    <t>LOB</t>
  </si>
  <si>
    <t>Active</t>
  </si>
  <si>
    <t>MOKHTAR Kawtar</t>
  </si>
  <si>
    <t>Farouk BOUAZZAOUI</t>
  </si>
  <si>
    <t>Anas OUAKKAD</t>
  </si>
  <si>
    <t>RSA FR</t>
  </si>
  <si>
    <t>NASSER Meryem</t>
  </si>
  <si>
    <t>LAOOUINA Meryem</t>
  </si>
  <si>
    <t>BENSIF Hamza</t>
  </si>
  <si>
    <t>NABAT Nouhaila</t>
  </si>
  <si>
    <t>Ez-Zouaghi Amira</t>
  </si>
  <si>
    <t>Lamtibbou Nizar</t>
  </si>
  <si>
    <t>Ghali Haddad</t>
  </si>
  <si>
    <t>Taha Aboulhaoul</t>
  </si>
  <si>
    <t>AHLAL Ainane</t>
  </si>
  <si>
    <t>Adil LAGRAOUI</t>
  </si>
  <si>
    <t>RSA NL</t>
  </si>
  <si>
    <t>Mejhed Asmaa</t>
  </si>
  <si>
    <t>Ilyasse Derrazi</t>
  </si>
  <si>
    <t>Ford Dutch</t>
  </si>
  <si>
    <t>Ajermite Khalil</t>
  </si>
  <si>
    <t>AL GAMOUS Dounya</t>
  </si>
  <si>
    <t>Youssef KHADLY</t>
  </si>
  <si>
    <t>BEN SALAH Abdelali</t>
  </si>
  <si>
    <t>DAOUAYRY Bouchta</t>
  </si>
  <si>
    <t>Dylan Joren</t>
  </si>
  <si>
    <t>EL ARKOUBI Nasseri</t>
  </si>
  <si>
    <t>EL BAROUDI El Yassmine</t>
  </si>
  <si>
    <t>EL HARRAK Rachid</t>
  </si>
  <si>
    <t>EL MAGHROUDI Malak</t>
  </si>
  <si>
    <t>EL OUASGHIRI Farid</t>
  </si>
  <si>
    <t>EZZOHARI Saad</t>
  </si>
  <si>
    <t>HAJHOUJ Said</t>
  </si>
  <si>
    <t>Jeaoul Aamar</t>
  </si>
  <si>
    <t>KHATIR Hassan</t>
  </si>
  <si>
    <t>MADHLOUM Mehdi</t>
  </si>
  <si>
    <t>OUASKIOT Rachida</t>
  </si>
  <si>
    <t>QNICHER Mohammed Ali</t>
  </si>
  <si>
    <t>El Mornaki Mustapha</t>
  </si>
  <si>
    <t>Zineb MOUFID</t>
  </si>
  <si>
    <t>OEM FR</t>
  </si>
  <si>
    <t>Sbai Driss</t>
  </si>
  <si>
    <t>RSA VL</t>
  </si>
  <si>
    <t>Shaib Hashemi</t>
  </si>
  <si>
    <t>ULUDAG Erkan</t>
  </si>
  <si>
    <t>Beekman Kai</t>
  </si>
  <si>
    <t>Channane Fadwa</t>
  </si>
  <si>
    <t>Serigne Mouhamadou Mansour Sy Gueye</t>
  </si>
  <si>
    <t>Malak AZERKI</t>
  </si>
  <si>
    <t>Belcaid Anas</t>
  </si>
  <si>
    <t>Nissaoui Morad</t>
  </si>
  <si>
    <t>Jemkar Yasmine</t>
  </si>
  <si>
    <t>Senghor Baptistine</t>
  </si>
  <si>
    <t>Benmrieh Kawtar</t>
  </si>
  <si>
    <t>Sy Ousmane</t>
  </si>
  <si>
    <t>Ennajari Naima</t>
  </si>
  <si>
    <t>Diallo Mustapha Salam</t>
  </si>
  <si>
    <t>Assague Abderrahim</t>
  </si>
  <si>
    <t>Kabbouh Ayman</t>
  </si>
  <si>
    <t>El Makhloufi Nouhaila</t>
  </si>
  <si>
    <t>Koppens Arko</t>
  </si>
  <si>
    <t>Moslyh El Mahdi</t>
  </si>
  <si>
    <t>Hajjab Abdelfatah</t>
  </si>
  <si>
    <t>El Yakhloufi Fouad</t>
  </si>
  <si>
    <t>Redouane Abdelhamid</t>
  </si>
  <si>
    <t>Ait El Bashir Salah Eddine</t>
  </si>
  <si>
    <t>Ajedioui Achraf</t>
  </si>
  <si>
    <t>Rhauni Safwane</t>
  </si>
  <si>
    <t>Jaouan Anouar</t>
  </si>
  <si>
    <t>Jadda Hamza</t>
  </si>
  <si>
    <t>Khillane Abdelfattah</t>
  </si>
  <si>
    <t>Kenza EL MOUMNI</t>
  </si>
  <si>
    <t>Wajid Amine</t>
  </si>
  <si>
    <t>Van der Laan Tim</t>
  </si>
  <si>
    <t>Chaima Amrani</t>
  </si>
  <si>
    <t xml:space="preserve">Adil Chouhaibi </t>
  </si>
  <si>
    <t>Saoud Karim</t>
  </si>
  <si>
    <t>Oulad Abdelaziz Youssef</t>
  </si>
  <si>
    <t>Cetin Ali</t>
  </si>
  <si>
    <t>Youssef El Ghazi</t>
  </si>
  <si>
    <t>El Mekkaoui Yassir</t>
  </si>
  <si>
    <t>Dembah Cheikh</t>
  </si>
  <si>
    <t>Boujloud Ayoub</t>
  </si>
  <si>
    <t>Hadouchi Ghizlaine</t>
  </si>
  <si>
    <t>Vermeire Linda</t>
  </si>
  <si>
    <t>Van Driesche Freya</t>
  </si>
  <si>
    <t>Dekker Leila</t>
  </si>
  <si>
    <t>El Batati   Brahim</t>
  </si>
  <si>
    <t>Chantoufi Said</t>
  </si>
  <si>
    <t>VERMEIRE Monique</t>
  </si>
  <si>
    <t>Aharouach Hoesein</t>
  </si>
  <si>
    <t>El Jassifi Anas</t>
  </si>
  <si>
    <t>Farahi Abdelmalek</t>
  </si>
  <si>
    <t>El Ayoubi Ichraf</t>
  </si>
  <si>
    <t>Ajaouaou Khalid</t>
  </si>
  <si>
    <t>El Mansouri Ajaoud</t>
  </si>
  <si>
    <t>Ghalbi Redouane</t>
  </si>
  <si>
    <t>Boeckx Lars</t>
  </si>
  <si>
    <t>SBAI Abderrahim</t>
  </si>
  <si>
    <t>Cissokho Alioune</t>
  </si>
  <si>
    <t>Fifadji Orphélia Yvelines</t>
  </si>
  <si>
    <t>BENABDALLAH Karim</t>
  </si>
  <si>
    <t>TALEB Benyounes</t>
  </si>
  <si>
    <t>HADRI Younes</t>
  </si>
  <si>
    <t>Islah Aymane</t>
  </si>
  <si>
    <t>ERRAIT Najia</t>
  </si>
  <si>
    <t>YEKHLEFAnouar</t>
  </si>
  <si>
    <t>DICKMANNS Arno</t>
  </si>
  <si>
    <t>Meftaha Elfahry-Elfassi</t>
  </si>
  <si>
    <t>Rachid KARMIMMECH</t>
  </si>
  <si>
    <t>Hakim Mohamed Harhour</t>
  </si>
  <si>
    <t>Monir Chouhaibi</t>
  </si>
  <si>
    <t>Nassim Abdelrzak STITOU</t>
  </si>
  <si>
    <t>Tasnim NAJI</t>
  </si>
  <si>
    <t>Nahid TALLIH</t>
  </si>
  <si>
    <t>LOUKMAN CHAARA</t>
  </si>
  <si>
    <t>Ahmed KARMIMMECH</t>
  </si>
  <si>
    <t>Jacqueline SINT</t>
  </si>
  <si>
    <t>Hamza TALBY</t>
  </si>
  <si>
    <t>Fatima SOUALA</t>
  </si>
  <si>
    <t>Yazid LAGDEM</t>
  </si>
  <si>
    <t>Siham ET TAOUIL</t>
  </si>
  <si>
    <t>Taoufik MANOUNI</t>
  </si>
  <si>
    <t>M’hammed BELLOUARAK</t>
  </si>
  <si>
    <t>Hanane BADIR</t>
  </si>
  <si>
    <t>Younes EL FELLAH EL OUAZZANI</t>
  </si>
  <si>
    <t>Insafe OUAJAL</t>
  </si>
  <si>
    <t>Zineb ZAAROURI</t>
  </si>
  <si>
    <t>Mohamed ABOURHAZAOUAT</t>
  </si>
  <si>
    <t>Youssef AMNAD</t>
  </si>
  <si>
    <t>Youssef AZIZ</t>
  </si>
  <si>
    <t>Amine HAMDAOUI</t>
  </si>
  <si>
    <t>Mohamed Amine MERSAK</t>
  </si>
  <si>
    <t>Imane LAHOUCINE</t>
  </si>
  <si>
    <t>Houda  Rawis</t>
  </si>
  <si>
    <t>Idriss Wardi</t>
  </si>
  <si>
    <t>Hamza Mellak</t>
  </si>
  <si>
    <t>Hajar El Moustaid</t>
  </si>
  <si>
    <t>#N/A</t>
  </si>
  <si>
    <t>Najib  Abdelhadi</t>
  </si>
  <si>
    <t>Ayoub Failouss</t>
  </si>
  <si>
    <t>El Mehdi El Guiri</t>
  </si>
  <si>
    <t>Chaimaa Benlaghlimi</t>
  </si>
  <si>
    <t>Mohamed Ali Dreif</t>
  </si>
  <si>
    <t>Imane Karoui</t>
  </si>
  <si>
    <t>Driss Oujer</t>
  </si>
  <si>
    <t>SAMAR Said</t>
  </si>
  <si>
    <t>Jawad BAKRIMI</t>
  </si>
  <si>
    <t>AL TAMIMI Zeynab</t>
  </si>
  <si>
    <t>Onboarding</t>
  </si>
  <si>
    <t>Call-by-Call input</t>
  </si>
  <si>
    <t>Paste source values only in blue columns. Formula columns match roster and validate Question 1.</t>
  </si>
  <si>
    <t>Call Date/Time</t>
  </si>
  <si>
    <t>Call End Date/Time</t>
  </si>
  <si>
    <t>Call ID</t>
  </si>
  <si>
    <t>Call Direction</t>
  </si>
  <si>
    <t>Talk Time</t>
  </si>
  <si>
    <t>Hold Time</t>
  </si>
  <si>
    <t>Total Wrap Time</t>
  </si>
  <si>
    <t>Language</t>
  </si>
  <si>
    <t>Queue</t>
  </si>
  <si>
    <t>PostCallSurveyMode</t>
  </si>
  <si>
    <t>PCSStatus</t>
  </si>
  <si>
    <t>Question 1</t>
  </si>
  <si>
    <t>Valid Q1</t>
  </si>
  <si>
    <t>Q1 Nonblank</t>
  </si>
  <si>
    <t>Data Issue</t>
  </si>
  <si>
    <t>PCS agent detail</t>
  </si>
  <si>
    <t>Original O/P/Q/R logic, plus valid-response diagnostics and the selected three-hour interval.</t>
  </si>
  <si>
    <t>Eligible Calls Day</t>
  </si>
  <si>
    <t>Q1 Nonblank Day</t>
  </si>
  <si>
    <t>Valid Q1 Day</t>
  </si>
  <si>
    <t>PCS Average Day</t>
  </si>
  <si>
    <t>&lt;=3 Day</t>
  </si>
  <si>
    <t>&gt;3 Day</t>
  </si>
  <si>
    <t>PCS Participation Day</t>
  </si>
  <si>
    <t>Valid Response Day</t>
  </si>
  <si>
    <t>Invalid Q1 Day</t>
  </si>
  <si>
    <t>Sample Flag</t>
  </si>
  <si>
    <t>Eligible Calls 3H</t>
  </si>
  <si>
    <t>Q1 Nonblank 3H</t>
  </si>
  <si>
    <t>Valid Q1 3H</t>
  </si>
  <si>
    <t>PCS Average 3H</t>
  </si>
  <si>
    <t>&lt;=3 3H</t>
  </si>
  <si>
    <t>&gt;3 3H</t>
  </si>
  <si>
    <t>PCS Participation 3H</t>
  </si>
  <si>
    <t>Valid Response 3H</t>
  </si>
  <si>
    <t>PCS by LOB</t>
  </si>
  <si>
    <t>Ratios are calculated from summed counters; agent averages are never averaged together.</t>
  </si>
  <si>
    <t>PCS management report</t>
  </si>
  <si>
    <t>Daily cumulative view and selected three-hour interval using the original PCS definitions.</t>
  </si>
  <si>
    <t>PASTE CURRENT CALL DATA → CHECK DATA_QUALITY → SEND THIS MANAGEMENT VIEW</t>
  </si>
  <si>
    <t>DAY PCS AVERAGE</t>
  </si>
  <si>
    <t>DAY PARTICIPATION</t>
  </si>
  <si>
    <t>DAY VALID RESPONSES</t>
  </si>
  <si>
    <t>3H PCS AVERAGE</t>
  </si>
  <si>
    <t>3H PARTICIPATION</t>
  </si>
  <si>
    <t>3H VALID RESPONSES</t>
  </si>
  <si>
    <t>Reporting window</t>
  </si>
  <si>
    <t>Window start</t>
  </si>
  <si>
    <t>Window end</t>
  </si>
  <si>
    <t>3H eligible</t>
  </si>
  <si>
    <t>3H valid</t>
  </si>
  <si>
    <t>3H PCS avg</t>
  </si>
  <si>
    <t>3H participation</t>
  </si>
  <si>
    <t>PCS data quality</t>
  </si>
  <si>
    <t>Do not send the report until source coverage and roster matching are understood.</t>
  </si>
  <si>
    <t>Result</t>
  </si>
  <si>
    <t>Meaning</t>
  </si>
  <si>
    <t>Input call legs</t>
  </si>
  <si>
    <t>Every row is a call leg, not necessarily a unique customer call.</t>
  </si>
  <si>
    <t>Inbound legs</t>
  </si>
  <si>
    <t>Only inbound legs enter PCS calculations.</t>
  </si>
  <si>
    <t>Unmatched agents</t>
  </si>
  <si>
    <t>Update ROSTER or correct Agent ID before sending.</t>
  </si>
  <si>
    <t>Missing Agent ID</t>
  </si>
  <si>
    <t>Agent detail cannot be produced.</t>
  </si>
  <si>
    <t>Invalid nonblank Q1</t>
  </si>
  <si>
    <t>Participation counts these; PCS average excludes them.</t>
  </si>
  <si>
    <t>Duplicate Call IDs</t>
  </si>
  <si>
    <t>Review call legs; do not deduplicate transfers blindly.</t>
  </si>
  <si>
    <t>Must cover the selected window before it is described as complete.</t>
  </si>
  <si>
    <t>PCS calculation logic</t>
  </si>
  <si>
    <t>Definitions are taken from the original PCS Report.xlsx O15:R15 model.</t>
  </si>
  <si>
    <t>Term</t>
  </si>
  <si>
    <t>Exact definition</t>
  </si>
  <si>
    <t>Call leg</t>
  </si>
  <si>
    <t>One row in Call-by-Call. A transfer can create multiple legs; the template does not deduplicate them.</t>
  </si>
  <si>
    <t>Eligible PCS calls</t>
  </si>
  <si>
    <t>Inbound call legs where PCSStatus = 1.</t>
  </si>
  <si>
    <t>Question 1 is numeric and exactly one of 1, 2, 3, 4, or 5.</t>
  </si>
  <si>
    <t>PCS Average (original O)</t>
  </si>
  <si>
    <t>Sum of Valid Q1 ÷ Valid Q1 count. Blank when there is no valid response.</t>
  </si>
  <si>
    <t>&lt;=3 (original P)</t>
  </si>
  <si>
    <t>Count of valid Q1 scores 1–3.</t>
  </si>
  <si>
    <t>&gt;3 (original Q)</t>
  </si>
  <si>
    <t>Count of valid Q1 scores 4–5.</t>
  </si>
  <si>
    <t>PCS Participation (original R)</t>
  </si>
  <si>
    <t>Inbound Q1 nonblank count ÷ inbound PCSStatus=1 count. Nonnumeric responses remain in the numerator exactly as in the original.</t>
  </si>
  <si>
    <t>Valid Response Rate</t>
  </si>
  <si>
    <t>Valid Q1 count ÷ inbound PCSStatus=1 count. This is intentionally separate from participation.</t>
  </si>
  <si>
    <t>Daily cumulative</t>
  </si>
  <si>
    <t>Selected report date from 00:00 inclusive to next day 00:00 exclusive.</t>
  </si>
  <si>
    <t>Three-hour interval</t>
  </si>
  <si>
    <t>Call Date/Time &gt;= Window Start and &lt; Window End. Keep the original timestamp when pasting.</t>
  </si>
  <si>
    <t>LOB aggregation</t>
  </si>
  <si>
    <t>Sum numerators and denominators first; never average agent percentages or agent averages.</t>
  </si>
  <si>
    <t>Actions Rate</t>
  </si>
  <si>
    <t>Removed. The original S column was an external link to a missing personal workbook and was not a PCS calculation.</t>
  </si>
  <si>
    <t>Original O15</t>
  </si>
  <si>
    <t>Original R15</t>
  </si>
  <si>
    <t>Three-hour PCS email brief</t>
  </si>
  <si>
    <t>Copy, refresh the figures in Excel, and paste into the management email.</t>
  </si>
  <si>
    <t>Subject</t>
  </si>
  <si>
    <t>PCS update | [LOB] | [date] | [window]</t>
  </si>
  <si>
    <t>Body</t>
  </si>
  <si>
    <t>Hello,
Please find attached the latest PCS update. The report shows both the cumulative day and the selected three-hour interval. PCS average uses only valid Q1 scores 1–5. PCS participation is the original nonblank-Q1 / PCSStatus=1 definition; Valid Response Rate is shown separately.
Please review PCS_REPORT for the management view and DATA_QUALITY for source coverage.
Regards,
Anass ASSRI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</si>
</sst>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yyyy-mm-dd hh:mm"/>
    <numFmt numFmtId="166" formatCode="#,##0"/>
    <numFmt numFmtId="167" formatCode="#,##0.00"/>
    <numFmt numFmtId="168" formatCode="0.0%"/>
  </numFmts>
  <fonts count="11">
    <font>
      <sz val="11"/>
      <color theme="1"/>
      <name val="Calibri"/>
      <family val="2"/>
      <scheme val="minor"/>
    </font>
    <font>
      <b/>
      <sz val="20"/>
      <color rgb="FFFFFFFF"/>
      <name val="Aptos Display"/>
      <family val="2"/>
    </font>
    <font>
      <sz val="9"/>
      <color rgb="FFFFFFFF"/>
      <name val="Aptos"/>
      <family val="2"/>
    </font>
    <font>
      <b/>
      <sz val="10"/>
      <color rgb="FFFFFFFF"/>
      <name val="Aptos"/>
      <family val="2"/>
    </font>
    <font>
      <sz val="10"/>
      <color rgb="FF1F2933"/>
      <name val="Aptos"/>
      <family val="2"/>
    </font>
    <font>
      <sz val="10"/>
      <color rgb="FF0563C1"/>
      <name val="Aptos"/>
      <family val="2"/>
    </font>
    <font>
      <b/>
      <sz val="12"/>
      <color rgb="FF007C83"/>
      <name val="Aptos Display"/>
      <family val="2"/>
    </font>
    <font>
      <sz val="9"/>
      <color rgb="FF536474"/>
      <name val="Aptos"/>
      <family val="2"/>
    </font>
    <font>
      <b/>
      <sz val="10"/>
      <color rgb="FF1F7A53"/>
      <name val="Aptos"/>
      <family val="2"/>
    </font>
    <font>
      <b/>
      <sz val="9"/>
      <color rgb="FF536474"/>
      <name val="Aptos"/>
      <family val="2"/>
    </font>
    <font>
      <b/>
      <sz val="20"/>
      <color rgb="FF0B1F33"/>
      <name val="Aptos Display"/>
      <family val="2"/>
    </font>
  </fonts>
  <fills count="8">
    <fill>
      <patternFill patternType="none"/>
    </fill>
    <fill>
      <patternFill patternType="gray125"/>
    </fill>
    <fill>
      <patternFill patternType="solid">
        <fgColor rgb="FF0B1F33"/>
        <bgColor indexed="64"/>
      </patternFill>
    </fill>
    <fill>
      <patternFill patternType="solid">
        <fgColor rgb="FF007C83"/>
        <bgColor indexed="64"/>
      </patternFill>
    </fill>
    <fill>
      <patternFill patternType="solid">
        <fgColor rgb="FFE3F0FA"/>
        <bgColor indexed="64"/>
      </patternFill>
    </fill>
    <fill>
      <patternFill patternType="solid">
        <fgColor rgb="FFDDF3E8"/>
        <bgColor indexed="64"/>
      </patternFill>
    </fill>
    <fill>
      <patternFill patternType="solid">
        <fgColor rgb="FFF4F7F9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D6A84B"/>
      </bottom>
      <diagonal/>
    </border>
    <border>
      <left/>
      <right/>
      <top/>
      <bottom style="thin">
        <color rgb="FFD8E0E6"/>
      </bottom>
      <diagonal/>
    </border>
    <border>
      <left style="thin">
        <color rgb="FFD8E0E6"/>
      </left>
      <right style="thin">
        <color rgb="FFD8E0E6"/>
      </right>
      <top style="thin">
        <color rgb="FFD8E0E6"/>
      </top>
      <bottom style="thin">
        <color rgb="FFD8E0E6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3" borderId="1" xfId="0" applyFont="1" applyFill="1" applyBorder="1" applyAlignment="1">
      <alignment vertical="center" wrapText="1"/>
    </xf>
    <xf numFmtId="0" fontId="4" fillId="0" borderId="2" xfId="0" applyFont="1" applyBorder="1"/>
    <xf numFmtId="164" fontId="5" fillId="4" borderId="2" xfId="0" applyNumberFormat="1" applyFont="1" applyFill="1" applyBorder="1"/>
    <xf numFmtId="165" fontId="5" fillId="4" borderId="2" xfId="0" applyNumberFormat="1" applyFont="1" applyFill="1" applyBorder="1"/>
    <xf numFmtId="0" fontId="5" fillId="4" borderId="2" xfId="0" applyFont="1" applyFill="1" applyBorder="1"/>
    <xf numFmtId="165" fontId="4" fillId="0" borderId="2" xfId="0" applyNumberFormat="1" applyFont="1" applyBorder="1"/>
    <xf numFmtId="0" fontId="6" fillId="0" borderId="1" xfId="0" applyFont="1" applyBorder="1"/>
    <xf numFmtId="0" fontId="7" fillId="0" borderId="0" xfId="0" applyFont="1" applyAlignment="1">
      <alignment vertical="top" wrapText="1"/>
    </xf>
    <xf numFmtId="166" fontId="4" fillId="0" borderId="2" xfId="0" applyNumberFormat="1" applyFont="1" applyBorder="1"/>
    <xf numFmtId="167" fontId="4" fillId="0" borderId="2" xfId="0" applyNumberFormat="1" applyFont="1" applyBorder="1"/>
    <xf numFmtId="168" fontId="4" fillId="0" borderId="2" xfId="0" applyNumberFormat="1" applyFont="1" applyBorder="1"/>
    <xf numFmtId="0" fontId="8" fillId="5" borderId="0" xfId="0" applyFont="1" applyFill="1" applyAlignment="1">
      <alignment horizontal="center"/>
    </xf>
    <xf numFmtId="0" fontId="9" fillId="6" borderId="3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168" fontId="10" fillId="7" borderId="3" xfId="0" applyNumberFormat="1" applyFont="1" applyFill="1" applyBorder="1" applyAlignment="1">
      <alignment horizontal="center" vertical="center"/>
    </xf>
    <xf numFmtId="164" fontId="4" fillId="0" borderId="2" xfId="0" applyNumberFormat="1" applyFont="1" applyBorder="1"/>
  </cellXfs>
  <cellStyles count="1">
    <cellStyle name="Normal" xfId="0" builtinId="0"/>
  </cellStyles>
  <dxfs count="1">
    <dxf>
      <font>
        <b/>
        <color rgb="FFA65F00"/>
      </font>
      <fill>
        <patternFill>
          <bgColor rgb="FFFFF1C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Three-hour PCS average by LOB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3H PCS average</c:v>
          </c:tx>
          <c:spPr>
            <a:solidFill>
              <a:srgbClr val="007C83"/>
            </a:solidFill>
            <a:ln>
              <a:noFill/>
            </a:ln>
          </c:spPr>
          <c:cat>
            <c:strRef>
              <c:f>PCS_REPORT!$A$18:$A$32</c:f>
              <c:strCache>
                <c:ptCount val="15"/>
                <c:pt idx="0">
                  <c:v>Ford Dutch</c:v>
                </c:pt>
                <c:pt idx="1">
                  <c:v>OEM FR</c:v>
                </c:pt>
                <c:pt idx="2">
                  <c:v>RSA FR</c:v>
                </c:pt>
                <c:pt idx="3">
                  <c:v>RSA NL</c:v>
                </c:pt>
                <c:pt idx="4">
                  <c:v>RSA VL</c:v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</c:strCache>
            </c:strRef>
          </c:cat>
          <c:val>
            <c:numRef>
              <c:f>PCS_REPORT!$D$18:$D$32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5"/>
          <c:min val="1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  <c:majorUnit val="1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10</xdr:row>
      <xdr:rowOff>0</xdr:rowOff>
    </xdr:from>
    <xdr:to>
      <xdr:col>11</xdr:col>
      <xdr:colOff>447675</xdr:colOff>
      <xdr:row>25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PCSRoster" displayName="tblPCSRoster" ref="A4:F304" totalsRowShown="0">
  <autoFilter ref="A4:F304"/>
  <tableColumns count="6">
    <tableColumn id="1" name="Agent ID"/>
    <tableColumn id="2" name="Status"/>
    <tableColumn id="3" name="Agent"/>
    <tableColumn id="4" name="Team Leader"/>
    <tableColumn id="5" name="Ops Manager"/>
    <tableColumn id="6" name="LOB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blPCSInput" displayName="tblPCSInput" ref="A4:T5" totalsRowShown="0">
  <autoFilter ref="A4:T5"/>
  <tableColumns count="20">
    <tableColumn id="1" name="Call Date/Time"/>
    <tableColumn id="2" name="Call End Date/Time"/>
    <tableColumn id="3" name="Call ID"/>
    <tableColumn id="4" name="Call Direction"/>
    <tableColumn id="5" name="Agent ID"/>
    <tableColumn id="6" name="Agent"/>
    <tableColumn id="7" name="Talk Time"/>
    <tableColumn id="8" name="Hold Time"/>
    <tableColumn id="9" name="Total Wrap Time"/>
    <tableColumn id="10" name="Language"/>
    <tableColumn id="11" name="Queue"/>
    <tableColumn id="12" name="PostCallSurveyMode"/>
    <tableColumn id="13" name="PCSStatus"/>
    <tableColumn id="14" name="Question 1"/>
    <tableColumn id="15" name="Team Leader">
      <calculatedColumnFormula>IF([[#This Row],[Call Date/Time]]="","",IFERROR(INDEX(tblPCSRoster[Team Leader],MATCH([[#This Row],[Agent ID]],tblPCSRoster[Agent ID],0)),""))</calculatedColumnFormula>
    </tableColumn>
    <tableColumn id="16" name="Ops Manager">
      <calculatedColumnFormula>IF([[#This Row],[Call Date/Time]]="","",IFERROR(INDEX(tblPCSRoster[Ops Manager],MATCH([[#This Row],[Agent ID]],tblPCSRoster[Agent ID],0)),""))</calculatedColumnFormula>
    </tableColumn>
    <tableColumn id="17" name="LOB">
      <calculatedColumnFormula>IF([[#This Row],[Call Date/Time]]="","",IFERROR(INDEX(tblPCSRoster[LOB],MATCH([[#This Row],[Agent ID]],tblPCSRoster[Agent ID],0)),""))</calculatedColumnFormula>
    </tableColumn>
    <tableColumn id="18" name="Valid Q1">
      <calculatedColumnFormula>IF([[#This Row],[Call Date/Time]]="","",IF(AND(ISNUMBER([[#This Row],[Question 1]]),[[#This Row],[Question 1]]&gt;=1,[[#This Row],[Question 1]]&lt;=5,MOD([[#This Row],[Question 1]],1)=0),[[#This Row],[Question 1]],""))</calculatedColumnFormula>
    </tableColumn>
    <tableColumn id="19" name="Q1 Nonblank">
      <calculatedColumnFormula>IF([[#This Row],[Call Date/Time]]="","",--([[#This Row],[Question 1]]&lt;&gt;""))</calculatedColumnFormula>
    </tableColumn>
    <tableColumn id="20" name="Data Issue">
      <calculatedColumnFormula>IF([[#This Row],[Call Date/Time]]="","",IF([[#This Row],[Agent ID]]="","MISSING AGENT ID",IF(COUNTIF(tblPCSRoster[Agent ID],[[#This Row],[Agent ID]])=0,"UNMATCHED AGENT",IF(AND([[#This Row],[Question 1]]&lt;&gt;"",[[#This Row],[Valid Q1]]=""),"INVALID Q1",""))))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blPCSAgent" displayName="tblPCSAgent" ref="A4:W304" totalsRowShown="0">
  <autoFilter ref="A4:W304"/>
  <tableColumns count="23">
    <tableColumn id="1" name="Agent ID"/>
    <tableColumn id="2" name="Agent"/>
    <tableColumn id="3" name="Team Leader"/>
    <tableColumn id="4" name="Ops Manager"/>
    <tableColumn id="5" name="LOB"/>
    <tableColumn id="6" name="Eligible Calls Day"/>
    <tableColumn id="7" name="Q1 Nonblank Day"/>
    <tableColumn id="8" name="Valid Q1 Day"/>
    <tableColumn id="9" name="PCS Average Day"/>
    <tableColumn id="10" name="&lt;=3 Day"/>
    <tableColumn id="11" name="&gt;3 Day"/>
    <tableColumn id="12" name="PCS Participation Day"/>
    <tableColumn id="13" name="Valid Response Day"/>
    <tableColumn id="14" name="Invalid Q1 Day"/>
    <tableColumn id="15" name="Sample Flag"/>
    <tableColumn id="16" name="Eligible Calls 3H"/>
    <tableColumn id="17" name="Q1 Nonblank 3H"/>
    <tableColumn id="18" name="Valid Q1 3H"/>
    <tableColumn id="19" name="PCS Average 3H"/>
    <tableColumn id="20" name="&lt;=3 3H"/>
    <tableColumn id="21" name="&gt;3 3H"/>
    <tableColumn id="22" name="PCS Participation 3H"/>
    <tableColumn id="23" name="Valid Response 3H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blPCSLob" displayName="tblPCSLob" ref="A4:O19" totalsRowShown="0">
  <autoFilter ref="A4:O19"/>
  <tableColumns count="15">
    <tableColumn id="1" name="LOB"/>
    <tableColumn id="2" name="Eligible Calls Day"/>
    <tableColumn id="3" name="Q1 Nonblank Day"/>
    <tableColumn id="4" name="Valid Q1 Day"/>
    <tableColumn id="5" name="PCS Average Day"/>
    <tableColumn id="6" name="&lt;=3 Day"/>
    <tableColumn id="7" name="&gt;3 Day"/>
    <tableColumn id="8" name="PCS Participation Day"/>
    <tableColumn id="9" name="Valid Response Day"/>
    <tableColumn id="10" name="Eligible Calls 3H"/>
    <tableColumn id="11" name="Valid Q1 3H"/>
    <tableColumn id="12" name="PCS Average 3H"/>
    <tableColumn id="13" name="PCS Participation 3H"/>
    <tableColumn id="14" name="Valid Response 3H"/>
    <tableColumn id="15" name="Sample Flag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7C83"/>
    <pageSetUpPr fitToPage="1"/>
  </sheetPr>
  <dimension ref="A1:H18"/>
  <sheetViews>
    <sheetView showGridLines="0" zoomScale="90" zoomScaleNormal="90" workbookViewId="0"/>
  </sheetViews>
  <sheetFormatPr defaultRowHeight="15"/>
  <cols>
    <col min="1" max="1" width="30.7109375" customWidth="1"/>
    <col min="2" max="2" width="24.7109375" customWidth="1"/>
    <col min="3" max="8" width="16.7109375" customWidth="1"/>
  </cols>
  <sheetData>
    <row r="1" spans="1:8" ht="32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0" customHeight="1">
      <c r="A2" s="2" t="s">
        <v>1</v>
      </c>
      <c r="B2" s="2"/>
      <c r="C2" s="2"/>
      <c r="D2" s="2"/>
      <c r="E2" s="2"/>
      <c r="F2" s="2"/>
      <c r="G2" s="2"/>
      <c r="H2" s="2"/>
    </row>
    <row r="4" spans="1:8">
      <c r="A4" s="3" t="s">
        <v>2</v>
      </c>
      <c r="B4" s="3" t="s">
        <v>3</v>
      </c>
    </row>
    <row r="5" spans="1:8">
      <c r="A5" s="4" t="s">
        <v>4</v>
      </c>
      <c r="B5" s="5">
        <v>46265</v>
      </c>
    </row>
    <row r="6" spans="1:8">
      <c r="A6" s="4" t="s">
        <v>5</v>
      </c>
      <c r="B6" s="6">
        <v>46265.375</v>
      </c>
    </row>
    <row r="7" spans="1:8">
      <c r="A7" s="4" t="s">
        <v>6</v>
      </c>
      <c r="B7" s="6">
        <v>46265.5</v>
      </c>
    </row>
    <row r="8" spans="1:8">
      <c r="A8" s="4" t="s">
        <v>7</v>
      </c>
      <c r="B8" s="7" t="s">
        <v>8</v>
      </c>
    </row>
    <row r="9" spans="1:8">
      <c r="A9" s="4" t="s">
        <v>9</v>
      </c>
      <c r="B9" s="8">
        <v>46265.01215082197</v>
      </c>
    </row>
    <row r="11" spans="1:8">
      <c r="A11" s="4" t="s">
        <v>10</v>
      </c>
      <c r="B11" s="8">
        <f>IFERROR(MAX(tblPCSInput[Call Date/Time]),"")</f>
        <v/>
      </c>
    </row>
    <row r="13" spans="1:8">
      <c r="A13" s="9" t="s">
        <v>11</v>
      </c>
    </row>
    <row r="14" spans="1:8">
      <c r="A14" s="10" t="s">
        <v>12</v>
      </c>
      <c r="B14" s="10"/>
      <c r="C14" s="10"/>
      <c r="D14" s="10"/>
      <c r="E14" s="10"/>
      <c r="F14" s="10"/>
      <c r="G14" s="10"/>
      <c r="H14" s="10"/>
    </row>
    <row r="15" spans="1:8">
      <c r="A15" s="10"/>
      <c r="B15" s="10"/>
      <c r="C15" s="10"/>
      <c r="D15" s="10"/>
      <c r="E15" s="10"/>
      <c r="F15" s="10"/>
      <c r="G15" s="10"/>
      <c r="H15" s="10"/>
    </row>
    <row r="16" spans="1:8">
      <c r="A16" s="10"/>
      <c r="B16" s="10"/>
      <c r="C16" s="10"/>
      <c r="D16" s="10"/>
      <c r="E16" s="10"/>
      <c r="F16" s="10"/>
      <c r="G16" s="10"/>
      <c r="H16" s="10"/>
    </row>
    <row r="17" spans="1:8">
      <c r="A17" s="10"/>
      <c r="B17" s="10"/>
      <c r="C17" s="10"/>
      <c r="D17" s="10"/>
      <c r="E17" s="10"/>
      <c r="F17" s="10"/>
      <c r="G17" s="10"/>
      <c r="H17" s="10"/>
    </row>
    <row r="18" spans="1:8">
      <c r="A18" s="10"/>
      <c r="B18" s="10"/>
      <c r="C18" s="10"/>
      <c r="D18" s="10"/>
      <c r="E18" s="10"/>
      <c r="F18" s="10"/>
      <c r="G18" s="10"/>
      <c r="H18" s="10"/>
    </row>
  </sheetData>
  <mergeCells count="3">
    <mergeCell ref="A1:H1"/>
    <mergeCell ref="A2:H2"/>
    <mergeCell ref="A14:H18"/>
  </mergeCells>
  <pageMargins left="0.7" right="0.7" top="0.75" bottom="0.75" header="0.3" footer="0.3"/>
  <pageSetup fitToHeight="0" orientation="landscape"/>
  <headerFooter>
    <oddFooter>&amp;LWFMHub | made by Anass ASSRI&amp;CPage &amp;P of &amp;N&amp;RConfidential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7C83"/>
    <pageSetUpPr fitToPage="1"/>
  </sheetPr>
  <dimension ref="A1:F304"/>
  <sheetViews>
    <sheetView showGridLines="0" zoomScale="90" zoomScaleNormal="90" workbookViewId="0">
      <pane ySplit="4" topLeftCell="A5" activePane="bottomLeft" state="frozen"/>
      <selection pane="bottomLeft"/>
    </sheetView>
  </sheetViews>
  <sheetFormatPr defaultRowHeight="15"/>
  <cols>
    <col min="1" max="2" width="16.7109375" customWidth="1"/>
    <col min="3" max="5" width="24.7109375" customWidth="1"/>
    <col min="6" max="6" width="18.7109375" customWidth="1"/>
  </cols>
  <sheetData>
    <row r="1" spans="1:6" ht="32" customHeight="1">
      <c r="A1" s="1" t="s">
        <v>13</v>
      </c>
      <c r="B1" s="1"/>
      <c r="C1" s="1"/>
      <c r="D1" s="1"/>
      <c r="E1" s="1"/>
      <c r="F1" s="1"/>
    </row>
    <row r="2" spans="1:6" ht="20" customHeight="1">
      <c r="A2" s="2" t="s">
        <v>14</v>
      </c>
      <c r="B2" s="2"/>
      <c r="C2" s="2"/>
      <c r="D2" s="2"/>
      <c r="E2" s="2"/>
      <c r="F2" s="2"/>
    </row>
    <row r="4" spans="1:6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</row>
    <row r="5" spans="1:6">
      <c r="A5" s="7">
        <v>96458</v>
      </c>
      <c r="B5" s="7" t="s">
        <v>21</v>
      </c>
      <c r="C5" s="7" t="s">
        <v>22</v>
      </c>
      <c r="D5" s="7" t="s">
        <v>23</v>
      </c>
      <c r="E5" s="7" t="s">
        <v>24</v>
      </c>
      <c r="F5" s="7" t="s">
        <v>25</v>
      </c>
    </row>
    <row r="6" spans="1:6">
      <c r="A6" s="7">
        <v>96527</v>
      </c>
      <c r="B6" s="7" t="s">
        <v>21</v>
      </c>
      <c r="C6" s="7" t="s">
        <v>26</v>
      </c>
      <c r="D6" s="7" t="s">
        <v>23</v>
      </c>
      <c r="E6" s="7" t="s">
        <v>24</v>
      </c>
      <c r="F6" s="7" t="s">
        <v>25</v>
      </c>
    </row>
    <row r="7" spans="1:6">
      <c r="A7" s="7">
        <v>96472</v>
      </c>
      <c r="B7" s="7" t="s">
        <v>21</v>
      </c>
      <c r="C7" s="7" t="s">
        <v>27</v>
      </c>
      <c r="D7" s="7" t="s">
        <v>23</v>
      </c>
      <c r="E7" s="7" t="s">
        <v>24</v>
      </c>
      <c r="F7" s="7" t="s">
        <v>25</v>
      </c>
    </row>
    <row r="8" spans="1:6">
      <c r="A8" s="7">
        <v>144564</v>
      </c>
      <c r="B8" s="7" t="s">
        <v>21</v>
      </c>
      <c r="C8" s="7" t="s">
        <v>28</v>
      </c>
      <c r="D8" s="7" t="s">
        <v>23</v>
      </c>
      <c r="E8" s="7" t="s">
        <v>24</v>
      </c>
      <c r="F8" s="7" t="s">
        <v>25</v>
      </c>
    </row>
    <row r="9" spans="1:6">
      <c r="A9" s="7">
        <v>144565</v>
      </c>
      <c r="B9" s="7" t="s">
        <v>21</v>
      </c>
      <c r="C9" s="7" t="s">
        <v>29</v>
      </c>
      <c r="D9" s="7" t="s">
        <v>23</v>
      </c>
      <c r="E9" s="7" t="s">
        <v>24</v>
      </c>
      <c r="F9" s="7" t="s">
        <v>25</v>
      </c>
    </row>
    <row r="10" spans="1:6">
      <c r="A10" s="7">
        <v>199554</v>
      </c>
      <c r="B10" s="7" t="s">
        <v>21</v>
      </c>
      <c r="C10" s="7" t="s">
        <v>30</v>
      </c>
      <c r="D10" s="7" t="s">
        <v>23</v>
      </c>
      <c r="E10" s="7" t="s">
        <v>24</v>
      </c>
      <c r="F10" s="7" t="s">
        <v>25</v>
      </c>
    </row>
    <row r="11" spans="1:6">
      <c r="A11" s="7">
        <v>203080</v>
      </c>
      <c r="B11" s="7" t="s">
        <v>21</v>
      </c>
      <c r="C11" s="7" t="s">
        <v>31</v>
      </c>
      <c r="D11" s="7" t="s">
        <v>23</v>
      </c>
      <c r="E11" s="7" t="s">
        <v>24</v>
      </c>
      <c r="F11" s="7" t="s">
        <v>25</v>
      </c>
    </row>
    <row r="12" spans="1:6">
      <c r="A12" s="7">
        <v>203079</v>
      </c>
      <c r="B12" s="7" t="s">
        <v>21</v>
      </c>
      <c r="C12" s="7" t="s">
        <v>32</v>
      </c>
      <c r="D12" s="7" t="s">
        <v>23</v>
      </c>
      <c r="E12" s="7" t="s">
        <v>24</v>
      </c>
      <c r="F12" s="7" t="s">
        <v>25</v>
      </c>
    </row>
    <row r="13" spans="1:6">
      <c r="A13" s="7">
        <v>207437</v>
      </c>
      <c r="B13" s="7" t="s">
        <v>21</v>
      </c>
      <c r="C13" s="7" t="s">
        <v>33</v>
      </c>
      <c r="D13" s="7" t="s">
        <v>23</v>
      </c>
      <c r="E13" s="7" t="s">
        <v>24</v>
      </c>
      <c r="F13" s="7" t="s">
        <v>25</v>
      </c>
    </row>
    <row r="14" spans="1:6">
      <c r="A14" s="7">
        <v>96491</v>
      </c>
      <c r="B14" s="7" t="s">
        <v>21</v>
      </c>
      <c r="C14" s="7" t="s">
        <v>34</v>
      </c>
      <c r="D14" s="7" t="s">
        <v>35</v>
      </c>
      <c r="E14" s="7" t="s">
        <v>24</v>
      </c>
      <c r="F14" s="7" t="s">
        <v>36</v>
      </c>
    </row>
    <row r="15" spans="1:6">
      <c r="A15" s="7">
        <v>96500</v>
      </c>
      <c r="B15" s="7" t="s">
        <v>21</v>
      </c>
      <c r="C15" s="7" t="s">
        <v>37</v>
      </c>
      <c r="D15" s="7" t="s">
        <v>38</v>
      </c>
      <c r="E15" s="7" t="s">
        <v>24</v>
      </c>
      <c r="F15" s="7" t="s">
        <v>39</v>
      </c>
    </row>
    <row r="16" spans="1:6">
      <c r="A16" s="7">
        <v>199529</v>
      </c>
      <c r="B16" s="7" t="s">
        <v>21</v>
      </c>
      <c r="C16" s="7" t="s">
        <v>40</v>
      </c>
      <c r="D16" s="7" t="s">
        <v>35</v>
      </c>
      <c r="E16" s="7" t="s">
        <v>24</v>
      </c>
      <c r="F16" s="7" t="s">
        <v>36</v>
      </c>
    </row>
    <row r="17" spans="1:6">
      <c r="A17" s="7">
        <v>104456</v>
      </c>
      <c r="B17" s="7" t="s">
        <v>21</v>
      </c>
      <c r="C17" s="7" t="s">
        <v>41</v>
      </c>
      <c r="D17" s="7" t="s">
        <v>42</v>
      </c>
      <c r="E17" s="7" t="s">
        <v>24</v>
      </c>
      <c r="F17" s="7" t="s">
        <v>36</v>
      </c>
    </row>
    <row r="18" spans="1:6">
      <c r="A18" s="7">
        <v>96528</v>
      </c>
      <c r="B18" s="7" t="s">
        <v>21</v>
      </c>
      <c r="C18" s="7" t="s">
        <v>43</v>
      </c>
      <c r="D18" s="7" t="s">
        <v>42</v>
      </c>
      <c r="E18" s="7" t="s">
        <v>24</v>
      </c>
      <c r="F18" s="7" t="s">
        <v>36</v>
      </c>
    </row>
    <row r="19" spans="1:6">
      <c r="A19" s="7">
        <v>96517</v>
      </c>
      <c r="B19" s="7" t="s">
        <v>21</v>
      </c>
      <c r="C19" s="7" t="s">
        <v>44</v>
      </c>
      <c r="D19" s="7" t="s">
        <v>35</v>
      </c>
      <c r="E19" s="7" t="s">
        <v>24</v>
      </c>
      <c r="F19" s="7" t="s">
        <v>36</v>
      </c>
    </row>
    <row r="20" spans="1:6">
      <c r="A20" s="7">
        <v>221519</v>
      </c>
      <c r="B20" s="7" t="s">
        <v>21</v>
      </c>
      <c r="C20" s="7" t="s">
        <v>45</v>
      </c>
      <c r="D20" s="7" t="s">
        <v>35</v>
      </c>
      <c r="E20" s="7" t="s">
        <v>24</v>
      </c>
      <c r="F20" s="7" t="s">
        <v>36</v>
      </c>
    </row>
    <row r="21" spans="1:6">
      <c r="A21" s="7">
        <v>123229</v>
      </c>
      <c r="B21" s="7" t="s">
        <v>21</v>
      </c>
      <c r="C21" s="7" t="s">
        <v>46</v>
      </c>
      <c r="D21" s="7" t="s">
        <v>35</v>
      </c>
      <c r="E21" s="7" t="s">
        <v>24</v>
      </c>
      <c r="F21" s="7" t="s">
        <v>36</v>
      </c>
    </row>
    <row r="22" spans="1:6">
      <c r="A22" s="7">
        <v>96486</v>
      </c>
      <c r="B22" s="7" t="s">
        <v>21</v>
      </c>
      <c r="C22" s="7" t="s">
        <v>47</v>
      </c>
      <c r="D22" s="7" t="s">
        <v>35</v>
      </c>
      <c r="E22" s="7" t="s">
        <v>24</v>
      </c>
      <c r="F22" s="7" t="s">
        <v>36</v>
      </c>
    </row>
    <row r="23" spans="1:6">
      <c r="A23" s="7">
        <v>96523</v>
      </c>
      <c r="B23" s="7" t="s">
        <v>21</v>
      </c>
      <c r="C23" s="7" t="s">
        <v>48</v>
      </c>
      <c r="D23" s="7" t="s">
        <v>35</v>
      </c>
      <c r="E23" s="7" t="s">
        <v>24</v>
      </c>
      <c r="F23" s="7" t="s">
        <v>36</v>
      </c>
    </row>
    <row r="24" spans="1:6">
      <c r="A24" s="7">
        <v>134407</v>
      </c>
      <c r="B24" s="7" t="s">
        <v>21</v>
      </c>
      <c r="C24" s="7" t="s">
        <v>49</v>
      </c>
      <c r="D24" s="7" t="s">
        <v>42</v>
      </c>
      <c r="E24" s="7" t="s">
        <v>24</v>
      </c>
      <c r="F24" s="7" t="s">
        <v>36</v>
      </c>
    </row>
    <row r="25" spans="1:6">
      <c r="A25" s="7">
        <v>96465</v>
      </c>
      <c r="B25" s="7" t="s">
        <v>21</v>
      </c>
      <c r="C25" s="7" t="s">
        <v>50</v>
      </c>
      <c r="D25" s="7" t="s">
        <v>42</v>
      </c>
      <c r="E25" s="7" t="s">
        <v>24</v>
      </c>
      <c r="F25" s="7" t="s">
        <v>36</v>
      </c>
    </row>
    <row r="26" spans="1:6">
      <c r="A26" s="7">
        <v>96516</v>
      </c>
      <c r="B26" s="7" t="s">
        <v>21</v>
      </c>
      <c r="C26" s="7" t="s">
        <v>51</v>
      </c>
      <c r="D26" s="7" t="s">
        <v>42</v>
      </c>
      <c r="E26" s="7" t="s">
        <v>24</v>
      </c>
      <c r="F26" s="7" t="s">
        <v>36</v>
      </c>
    </row>
    <row r="27" spans="1:6">
      <c r="A27" s="7">
        <v>96526</v>
      </c>
      <c r="B27" s="7" t="s">
        <v>21</v>
      </c>
      <c r="C27" s="7" t="s">
        <v>52</v>
      </c>
      <c r="D27" s="7" t="s">
        <v>42</v>
      </c>
      <c r="E27" s="7" t="s">
        <v>24</v>
      </c>
      <c r="F27" s="7" t="s">
        <v>36</v>
      </c>
    </row>
    <row r="28" spans="1:6">
      <c r="A28" s="7">
        <v>207712</v>
      </c>
      <c r="B28" s="7" t="s">
        <v>21</v>
      </c>
      <c r="C28" s="7" t="s">
        <v>53</v>
      </c>
      <c r="D28" s="7" t="s">
        <v>35</v>
      </c>
      <c r="E28" s="7" t="s">
        <v>24</v>
      </c>
      <c r="F28" s="7" t="s">
        <v>36</v>
      </c>
    </row>
    <row r="29" spans="1:6">
      <c r="A29" s="7">
        <v>96484</v>
      </c>
      <c r="B29" s="7" t="s">
        <v>21</v>
      </c>
      <c r="C29" s="7" t="s">
        <v>54</v>
      </c>
      <c r="D29" s="7" t="s">
        <v>42</v>
      </c>
      <c r="E29" s="7" t="s">
        <v>24</v>
      </c>
      <c r="F29" s="7" t="s">
        <v>36</v>
      </c>
    </row>
    <row r="30" spans="1:6">
      <c r="A30" s="7">
        <v>96468</v>
      </c>
      <c r="B30" s="7" t="s">
        <v>21</v>
      </c>
      <c r="C30" s="7" t="s">
        <v>55</v>
      </c>
      <c r="D30" s="7" t="s">
        <v>35</v>
      </c>
      <c r="E30" s="7" t="s">
        <v>24</v>
      </c>
      <c r="F30" s="7" t="s">
        <v>36</v>
      </c>
    </row>
    <row r="31" spans="1:6">
      <c r="A31" s="7">
        <v>96462</v>
      </c>
      <c r="B31" s="7" t="s">
        <v>21</v>
      </c>
      <c r="C31" s="7" t="s">
        <v>56</v>
      </c>
      <c r="D31" s="7" t="s">
        <v>42</v>
      </c>
      <c r="E31" s="7" t="s">
        <v>24</v>
      </c>
      <c r="F31" s="7" t="s">
        <v>36</v>
      </c>
    </row>
    <row r="32" spans="1:6">
      <c r="A32" s="7">
        <v>96452</v>
      </c>
      <c r="B32" s="7" t="s">
        <v>21</v>
      </c>
      <c r="C32" s="7" t="s">
        <v>57</v>
      </c>
      <c r="D32" s="7" t="s">
        <v>42</v>
      </c>
      <c r="E32" s="7" t="s">
        <v>24</v>
      </c>
      <c r="F32" s="7" t="s">
        <v>36</v>
      </c>
    </row>
    <row r="33" spans="1:6">
      <c r="A33" s="7">
        <v>203591</v>
      </c>
      <c r="B33" s="7" t="s">
        <v>21</v>
      </c>
      <c r="C33" s="7" t="s">
        <v>58</v>
      </c>
      <c r="D33" s="7" t="s">
        <v>59</v>
      </c>
      <c r="E33" s="7" t="s">
        <v>24</v>
      </c>
      <c r="F33" s="7" t="s">
        <v>60</v>
      </c>
    </row>
    <row r="34" spans="1:6">
      <c r="A34" s="7">
        <v>199550</v>
      </c>
      <c r="B34" s="7" t="s">
        <v>21</v>
      </c>
      <c r="C34" s="7" t="s">
        <v>61</v>
      </c>
      <c r="D34" s="7" t="s">
        <v>35</v>
      </c>
      <c r="E34" s="7" t="s">
        <v>24</v>
      </c>
      <c r="F34" s="7" t="s">
        <v>62</v>
      </c>
    </row>
    <row r="35" spans="1:6">
      <c r="A35" s="7">
        <v>221751</v>
      </c>
      <c r="B35" s="7" t="s">
        <v>21</v>
      </c>
      <c r="C35" s="7" t="s">
        <v>63</v>
      </c>
      <c r="D35" s="7" t="s">
        <v>35</v>
      </c>
      <c r="E35" s="7" t="s">
        <v>24</v>
      </c>
      <c r="F35" s="7" t="s">
        <v>36</v>
      </c>
    </row>
    <row r="36" spans="1:6">
      <c r="A36" s="7">
        <v>96476</v>
      </c>
      <c r="B36" s="7" t="s">
        <v>21</v>
      </c>
      <c r="C36" s="7" t="s">
        <v>64</v>
      </c>
      <c r="D36" s="7" t="s">
        <v>35</v>
      </c>
      <c r="E36" s="7" t="s">
        <v>24</v>
      </c>
      <c r="F36" s="7" t="s">
        <v>36</v>
      </c>
    </row>
    <row r="37" spans="1:6">
      <c r="A37" s="7">
        <v>202682</v>
      </c>
      <c r="B37" s="7" t="s">
        <v>21</v>
      </c>
      <c r="C37" s="7" t="s">
        <v>65</v>
      </c>
      <c r="D37" s="7" t="s">
        <v>38</v>
      </c>
      <c r="E37" s="7" t="s">
        <v>24</v>
      </c>
      <c r="F37" s="7" t="s">
        <v>39</v>
      </c>
    </row>
    <row r="38" spans="1:6">
      <c r="A38" s="7">
        <v>203620</v>
      </c>
      <c r="B38" s="7" t="s">
        <v>21</v>
      </c>
      <c r="C38" s="7" t="s">
        <v>66</v>
      </c>
      <c r="D38" s="7" t="s">
        <v>59</v>
      </c>
      <c r="E38" s="7" t="s">
        <v>24</v>
      </c>
      <c r="F38" s="7" t="s">
        <v>60</v>
      </c>
    </row>
    <row r="39" spans="1:6">
      <c r="A39" s="7">
        <v>203629</v>
      </c>
      <c r="B39" s="7" t="s">
        <v>21</v>
      </c>
      <c r="C39" s="7" t="s">
        <v>67</v>
      </c>
      <c r="D39" s="7" t="s">
        <v>68</v>
      </c>
      <c r="E39" s="7" t="s">
        <v>24</v>
      </c>
      <c r="F39" s="7" t="s">
        <v>60</v>
      </c>
    </row>
    <row r="40" spans="1:6">
      <c r="A40" s="7">
        <v>203601</v>
      </c>
      <c r="B40" s="7" t="s">
        <v>21</v>
      </c>
      <c r="C40" s="7" t="s">
        <v>69</v>
      </c>
      <c r="D40" s="7" t="s">
        <v>68</v>
      </c>
      <c r="E40" s="7" t="s">
        <v>24</v>
      </c>
      <c r="F40" s="7" t="s">
        <v>60</v>
      </c>
    </row>
    <row r="41" spans="1:6">
      <c r="A41" s="7">
        <v>203607</v>
      </c>
      <c r="B41" s="7" t="s">
        <v>21</v>
      </c>
      <c r="C41" s="7" t="s">
        <v>70</v>
      </c>
      <c r="D41" s="7" t="s">
        <v>68</v>
      </c>
      <c r="E41" s="7" t="s">
        <v>24</v>
      </c>
      <c r="F41" s="7" t="s">
        <v>60</v>
      </c>
    </row>
    <row r="42" spans="1:6">
      <c r="A42" s="7">
        <v>203646</v>
      </c>
      <c r="B42" s="7" t="s">
        <v>21</v>
      </c>
      <c r="C42" s="7" t="s">
        <v>71</v>
      </c>
      <c r="D42" s="7" t="s">
        <v>68</v>
      </c>
      <c r="E42" s="7" t="s">
        <v>24</v>
      </c>
      <c r="F42" s="7" t="s">
        <v>60</v>
      </c>
    </row>
    <row r="43" spans="1:6">
      <c r="A43" s="7">
        <v>203603</v>
      </c>
      <c r="B43" s="7" t="s">
        <v>21</v>
      </c>
      <c r="C43" s="7" t="s">
        <v>72</v>
      </c>
      <c r="D43" s="7" t="s">
        <v>59</v>
      </c>
      <c r="E43" s="7" t="s">
        <v>24</v>
      </c>
      <c r="F43" s="7" t="s">
        <v>60</v>
      </c>
    </row>
    <row r="44" spans="1:6">
      <c r="A44" s="7">
        <v>203618</v>
      </c>
      <c r="B44" s="7" t="s">
        <v>21</v>
      </c>
      <c r="C44" s="7" t="s">
        <v>73</v>
      </c>
      <c r="D44" s="7" t="s">
        <v>68</v>
      </c>
      <c r="E44" s="7" t="s">
        <v>24</v>
      </c>
      <c r="F44" s="7" t="s">
        <v>60</v>
      </c>
    </row>
    <row r="45" spans="1:6">
      <c r="A45" s="7">
        <v>203627</v>
      </c>
      <c r="B45" s="7" t="s">
        <v>21</v>
      </c>
      <c r="C45" s="7" t="s">
        <v>74</v>
      </c>
      <c r="D45" s="7" t="s">
        <v>59</v>
      </c>
      <c r="E45" s="7" t="s">
        <v>24</v>
      </c>
      <c r="F45" s="7" t="s">
        <v>60</v>
      </c>
    </row>
    <row r="46" spans="1:6">
      <c r="A46" s="7">
        <v>203606</v>
      </c>
      <c r="B46" s="7" t="s">
        <v>21</v>
      </c>
      <c r="C46" s="7" t="s">
        <v>75</v>
      </c>
      <c r="D46" s="7" t="s">
        <v>59</v>
      </c>
      <c r="E46" s="7" t="s">
        <v>24</v>
      </c>
      <c r="F46" s="7" t="s">
        <v>60</v>
      </c>
    </row>
    <row r="47" spans="1:6">
      <c r="A47" s="7">
        <v>203575</v>
      </c>
      <c r="B47" s="7" t="s">
        <v>21</v>
      </c>
      <c r="C47" s="7" t="s">
        <v>76</v>
      </c>
      <c r="D47" s="7" t="s">
        <v>68</v>
      </c>
      <c r="E47" s="7" t="s">
        <v>24</v>
      </c>
      <c r="F47" s="7" t="s">
        <v>60</v>
      </c>
    </row>
    <row r="48" spans="1:6">
      <c r="A48" s="7">
        <v>205263</v>
      </c>
      <c r="B48" s="7" t="s">
        <v>21</v>
      </c>
      <c r="C48" s="7" t="s">
        <v>77</v>
      </c>
      <c r="D48" s="7" t="s">
        <v>68</v>
      </c>
      <c r="E48" s="7" t="s">
        <v>24</v>
      </c>
      <c r="F48" s="7" t="s">
        <v>60</v>
      </c>
    </row>
    <row r="49" spans="1:6">
      <c r="A49" s="7">
        <v>203634</v>
      </c>
      <c r="B49" s="7" t="s">
        <v>21</v>
      </c>
      <c r="C49" s="7" t="s">
        <v>78</v>
      </c>
      <c r="D49" s="7" t="s">
        <v>59</v>
      </c>
      <c r="E49" s="7" t="s">
        <v>24</v>
      </c>
      <c r="F49" s="7" t="s">
        <v>60</v>
      </c>
    </row>
    <row r="50" spans="1:6">
      <c r="A50" s="7">
        <v>203626</v>
      </c>
      <c r="B50" s="7" t="s">
        <v>21</v>
      </c>
      <c r="C50" s="7" t="s">
        <v>79</v>
      </c>
      <c r="D50" s="7" t="s">
        <v>68</v>
      </c>
      <c r="E50" s="7" t="s">
        <v>24</v>
      </c>
      <c r="F50" s="7" t="s">
        <v>60</v>
      </c>
    </row>
    <row r="51" spans="1:6">
      <c r="A51" s="7">
        <v>204044</v>
      </c>
      <c r="B51" s="7" t="s">
        <v>21</v>
      </c>
      <c r="C51" s="7" t="s">
        <v>80</v>
      </c>
      <c r="D51" s="7" t="s">
        <v>38</v>
      </c>
      <c r="E51" s="7" t="s">
        <v>24</v>
      </c>
      <c r="F51" s="7" t="s">
        <v>39</v>
      </c>
    </row>
    <row r="52" spans="1:6">
      <c r="A52" s="7">
        <v>204042</v>
      </c>
      <c r="B52" s="7" t="s">
        <v>21</v>
      </c>
      <c r="C52" s="7" t="s">
        <v>81</v>
      </c>
      <c r="D52" s="7" t="s">
        <v>38</v>
      </c>
      <c r="E52" s="7" t="s">
        <v>24</v>
      </c>
      <c r="F52" s="7" t="s">
        <v>39</v>
      </c>
    </row>
    <row r="53" spans="1:6">
      <c r="A53" s="7">
        <v>205225</v>
      </c>
      <c r="B53" s="7" t="s">
        <v>21</v>
      </c>
      <c r="C53" s="7" t="s">
        <v>82</v>
      </c>
      <c r="D53" s="7" t="s">
        <v>38</v>
      </c>
      <c r="E53" s="7" t="s">
        <v>24</v>
      </c>
      <c r="F53" s="7" t="s">
        <v>39</v>
      </c>
    </row>
    <row r="54" spans="1:6">
      <c r="A54" s="7">
        <v>204043</v>
      </c>
      <c r="B54" s="7" t="s">
        <v>21</v>
      </c>
      <c r="C54" s="7" t="s">
        <v>83</v>
      </c>
      <c r="D54" s="7" t="s">
        <v>38</v>
      </c>
      <c r="E54" s="7" t="s">
        <v>24</v>
      </c>
      <c r="F54" s="7" t="s">
        <v>39</v>
      </c>
    </row>
    <row r="55" spans="1:6">
      <c r="A55" s="7">
        <v>204040</v>
      </c>
      <c r="B55" s="7" t="s">
        <v>21</v>
      </c>
      <c r="C55" s="7" t="s">
        <v>84</v>
      </c>
      <c r="D55" s="7" t="s">
        <v>38</v>
      </c>
      <c r="E55" s="7" t="s">
        <v>24</v>
      </c>
      <c r="F55" s="7" t="s">
        <v>39</v>
      </c>
    </row>
    <row r="56" spans="1:6">
      <c r="A56" s="7">
        <v>204045</v>
      </c>
      <c r="B56" s="7" t="s">
        <v>21</v>
      </c>
      <c r="C56" s="7" t="s">
        <v>85</v>
      </c>
      <c r="D56" s="7" t="s">
        <v>38</v>
      </c>
      <c r="E56" s="7" t="s">
        <v>24</v>
      </c>
      <c r="F56" s="7" t="s">
        <v>39</v>
      </c>
    </row>
    <row r="57" spans="1:6">
      <c r="A57" s="7">
        <v>204046</v>
      </c>
      <c r="B57" s="7" t="s">
        <v>21</v>
      </c>
      <c r="C57" s="7" t="s">
        <v>86</v>
      </c>
      <c r="D57" s="7" t="s">
        <v>38</v>
      </c>
      <c r="E57" s="7" t="s">
        <v>24</v>
      </c>
      <c r="F57" s="7" t="s">
        <v>39</v>
      </c>
    </row>
    <row r="58" spans="1:6">
      <c r="A58" s="7">
        <v>204047</v>
      </c>
      <c r="B58" s="7" t="s">
        <v>21</v>
      </c>
      <c r="C58" s="7" t="s">
        <v>87</v>
      </c>
      <c r="D58" s="7" t="s">
        <v>38</v>
      </c>
      <c r="E58" s="7" t="s">
        <v>24</v>
      </c>
      <c r="F58" s="7" t="s">
        <v>39</v>
      </c>
    </row>
    <row r="59" spans="1:6">
      <c r="A59" s="7">
        <v>203579</v>
      </c>
      <c r="B59" s="7" t="s">
        <v>21</v>
      </c>
      <c r="C59" s="7" t="s">
        <v>88</v>
      </c>
      <c r="D59" s="7" t="s">
        <v>68</v>
      </c>
      <c r="E59" s="7" t="s">
        <v>24</v>
      </c>
      <c r="F59" s="7" t="s">
        <v>60</v>
      </c>
    </row>
    <row r="60" spans="1:6">
      <c r="A60" s="7">
        <v>205266</v>
      </c>
      <c r="B60" s="7" t="s">
        <v>21</v>
      </c>
      <c r="C60" s="7" t="s">
        <v>89</v>
      </c>
      <c r="D60" s="7" t="s">
        <v>59</v>
      </c>
      <c r="E60" s="7" t="s">
        <v>24</v>
      </c>
      <c r="F60" s="7" t="s">
        <v>60</v>
      </c>
    </row>
    <row r="61" spans="1:6">
      <c r="A61" s="7">
        <v>203624</v>
      </c>
      <c r="B61" s="7" t="s">
        <v>21</v>
      </c>
      <c r="C61" s="7" t="s">
        <v>90</v>
      </c>
      <c r="D61" s="7" t="s">
        <v>91</v>
      </c>
      <c r="E61" s="7" t="s">
        <v>24</v>
      </c>
      <c r="F61" s="7" t="s">
        <v>60</v>
      </c>
    </row>
    <row r="62" spans="1:6">
      <c r="A62" s="7">
        <v>203630</v>
      </c>
      <c r="B62" s="7" t="s">
        <v>21</v>
      </c>
      <c r="C62" s="7" t="s">
        <v>92</v>
      </c>
      <c r="D62" s="7" t="s">
        <v>59</v>
      </c>
      <c r="E62" s="7" t="s">
        <v>24</v>
      </c>
      <c r="F62" s="7" t="s">
        <v>60</v>
      </c>
    </row>
    <row r="63" spans="1:6">
      <c r="A63" s="7">
        <v>204024</v>
      </c>
      <c r="B63" s="7" t="s">
        <v>21</v>
      </c>
      <c r="C63" s="7" t="s">
        <v>93</v>
      </c>
      <c r="D63" s="7" t="s">
        <v>94</v>
      </c>
      <c r="E63" s="7" t="s">
        <v>24</v>
      </c>
      <c r="F63" s="7" t="s">
        <v>39</v>
      </c>
    </row>
    <row r="64" spans="1:6">
      <c r="A64" s="7">
        <v>204025</v>
      </c>
      <c r="B64" s="7" t="s">
        <v>21</v>
      </c>
      <c r="C64" s="7" t="s">
        <v>95</v>
      </c>
      <c r="D64" s="7" t="s">
        <v>38</v>
      </c>
      <c r="E64" s="7" t="s">
        <v>24</v>
      </c>
      <c r="F64" s="7" t="s">
        <v>39</v>
      </c>
    </row>
    <row r="65" spans="1:6">
      <c r="A65" s="7">
        <v>204030</v>
      </c>
      <c r="B65" s="7" t="s">
        <v>21</v>
      </c>
      <c r="C65" s="7" t="s">
        <v>96</v>
      </c>
      <c r="D65" s="7" t="s">
        <v>94</v>
      </c>
      <c r="E65" s="7" t="s">
        <v>24</v>
      </c>
      <c r="F65" s="7" t="s">
        <v>39</v>
      </c>
    </row>
    <row r="66" spans="1:6">
      <c r="A66" s="7">
        <v>204033</v>
      </c>
      <c r="B66" s="7" t="s">
        <v>21</v>
      </c>
      <c r="C66" s="7" t="s">
        <v>97</v>
      </c>
      <c r="D66" s="7" t="s">
        <v>94</v>
      </c>
      <c r="E66" s="7" t="s">
        <v>24</v>
      </c>
      <c r="F66" s="7" t="s">
        <v>39</v>
      </c>
    </row>
    <row r="67" spans="1:6">
      <c r="A67" s="7">
        <v>204035</v>
      </c>
      <c r="B67" s="7" t="s">
        <v>21</v>
      </c>
      <c r="C67" s="7" t="s">
        <v>98</v>
      </c>
      <c r="D67" s="7" t="s">
        <v>99</v>
      </c>
      <c r="E67" s="7" t="s">
        <v>24</v>
      </c>
      <c r="F67" s="7" t="s">
        <v>39</v>
      </c>
    </row>
    <row r="68" spans="1:6">
      <c r="A68" s="7">
        <v>203614</v>
      </c>
      <c r="B68" s="7" t="s">
        <v>21</v>
      </c>
      <c r="C68" s="7" t="s">
        <v>100</v>
      </c>
      <c r="D68" s="7" t="s">
        <v>68</v>
      </c>
      <c r="E68" s="7" t="s">
        <v>24</v>
      </c>
      <c r="F68" s="7" t="s">
        <v>60</v>
      </c>
    </row>
    <row r="69" spans="1:6">
      <c r="A69" s="7">
        <v>203636</v>
      </c>
      <c r="B69" s="7" t="s">
        <v>21</v>
      </c>
      <c r="C69" s="7" t="s">
        <v>101</v>
      </c>
      <c r="D69" s="7" t="s">
        <v>68</v>
      </c>
      <c r="E69" s="7" t="s">
        <v>24</v>
      </c>
      <c r="F69" s="7" t="s">
        <v>60</v>
      </c>
    </row>
    <row r="70" spans="1:6">
      <c r="A70" s="7">
        <v>203592</v>
      </c>
      <c r="B70" s="7" t="s">
        <v>21</v>
      </c>
      <c r="C70" s="7" t="s">
        <v>102</v>
      </c>
      <c r="D70" s="7" t="s">
        <v>59</v>
      </c>
      <c r="E70" s="7" t="s">
        <v>24</v>
      </c>
      <c r="F70" s="7" t="s">
        <v>60</v>
      </c>
    </row>
    <row r="71" spans="1:6">
      <c r="A71" s="7">
        <v>204036</v>
      </c>
      <c r="B71" s="7" t="s">
        <v>21</v>
      </c>
      <c r="C71" s="7" t="s">
        <v>103</v>
      </c>
      <c r="D71" s="7" t="s">
        <v>94</v>
      </c>
      <c r="E71" s="7" t="s">
        <v>24</v>
      </c>
      <c r="F71" s="7" t="s">
        <v>39</v>
      </c>
    </row>
    <row r="72" spans="1:6">
      <c r="A72" s="7">
        <v>204016</v>
      </c>
      <c r="B72" s="7" t="s">
        <v>21</v>
      </c>
      <c r="C72" s="7" t="s">
        <v>104</v>
      </c>
      <c r="D72" s="7" t="s">
        <v>38</v>
      </c>
      <c r="E72" s="7" t="s">
        <v>24</v>
      </c>
      <c r="F72" s="7" t="s">
        <v>39</v>
      </c>
    </row>
    <row r="73" spans="1:6">
      <c r="A73" s="7">
        <v>204048</v>
      </c>
      <c r="B73" s="7" t="s">
        <v>21</v>
      </c>
      <c r="C73" s="7" t="s">
        <v>105</v>
      </c>
      <c r="D73" s="7" t="s">
        <v>94</v>
      </c>
      <c r="E73" s="7" t="s">
        <v>24</v>
      </c>
      <c r="F73" s="7" t="s">
        <v>39</v>
      </c>
    </row>
    <row r="74" spans="1:6">
      <c r="A74" s="7">
        <v>204015</v>
      </c>
      <c r="B74" s="7" t="s">
        <v>21</v>
      </c>
      <c r="C74" s="7" t="s">
        <v>106</v>
      </c>
      <c r="D74" s="7" t="s">
        <v>38</v>
      </c>
      <c r="E74" s="7" t="s">
        <v>24</v>
      </c>
      <c r="F74" s="7" t="s">
        <v>39</v>
      </c>
    </row>
    <row r="75" spans="1:6">
      <c r="A75" s="7">
        <v>204014</v>
      </c>
      <c r="B75" s="7" t="s">
        <v>21</v>
      </c>
      <c r="C75" s="7" t="s">
        <v>107</v>
      </c>
      <c r="D75" s="7" t="s">
        <v>94</v>
      </c>
      <c r="E75" s="7" t="s">
        <v>24</v>
      </c>
      <c r="F75" s="7" t="s">
        <v>39</v>
      </c>
    </row>
    <row r="76" spans="1:6">
      <c r="A76" s="7">
        <v>204049</v>
      </c>
      <c r="B76" s="7" t="s">
        <v>21</v>
      </c>
      <c r="C76" s="7" t="s">
        <v>108</v>
      </c>
      <c r="D76" s="7" t="s">
        <v>99</v>
      </c>
      <c r="E76" s="7" t="s">
        <v>24</v>
      </c>
      <c r="F76" s="7" t="s">
        <v>39</v>
      </c>
    </row>
    <row r="77" spans="1:6">
      <c r="A77" s="7">
        <v>96499</v>
      </c>
      <c r="B77" s="7" t="s">
        <v>21</v>
      </c>
      <c r="C77" s="7" t="s">
        <v>109</v>
      </c>
      <c r="D77" s="7" t="s">
        <v>35</v>
      </c>
      <c r="E77" s="7" t="s">
        <v>24</v>
      </c>
      <c r="F77" s="7" t="s">
        <v>36</v>
      </c>
    </row>
    <row r="78" spans="1:6">
      <c r="A78" s="7">
        <v>204019</v>
      </c>
      <c r="B78" s="7" t="s">
        <v>21</v>
      </c>
      <c r="C78" s="7" t="s">
        <v>110</v>
      </c>
      <c r="D78" s="7" t="s">
        <v>94</v>
      </c>
      <c r="E78" s="7" t="s">
        <v>24</v>
      </c>
      <c r="F78" s="7" t="s">
        <v>39</v>
      </c>
    </row>
    <row r="79" spans="1:6">
      <c r="A79" s="7">
        <v>205262</v>
      </c>
      <c r="B79" s="7" t="s">
        <v>21</v>
      </c>
      <c r="C79" s="7" t="s">
        <v>111</v>
      </c>
      <c r="D79" s="7" t="s">
        <v>68</v>
      </c>
      <c r="E79" s="7" t="s">
        <v>24</v>
      </c>
      <c r="F79" s="7" t="s">
        <v>60</v>
      </c>
    </row>
    <row r="80" spans="1:6">
      <c r="A80" s="7">
        <v>205226</v>
      </c>
      <c r="B80" s="7" t="s">
        <v>21</v>
      </c>
      <c r="C80" s="7" t="s">
        <v>112</v>
      </c>
      <c r="D80" s="7" t="s">
        <v>38</v>
      </c>
      <c r="E80" s="7" t="s">
        <v>24</v>
      </c>
      <c r="F80" s="7" t="s">
        <v>39</v>
      </c>
    </row>
    <row r="81" spans="1:6">
      <c r="A81" s="7">
        <v>203589</v>
      </c>
      <c r="B81" s="7" t="s">
        <v>21</v>
      </c>
      <c r="C81" s="7" t="s">
        <v>113</v>
      </c>
      <c r="D81" s="7" t="s">
        <v>99</v>
      </c>
      <c r="E81" s="7" t="s">
        <v>24</v>
      </c>
      <c r="F81" s="7" t="s">
        <v>39</v>
      </c>
    </row>
    <row r="82" spans="1:6">
      <c r="A82" s="7">
        <v>204052</v>
      </c>
      <c r="B82" s="7" t="s">
        <v>21</v>
      </c>
      <c r="C82" s="7" t="s">
        <v>114</v>
      </c>
      <c r="D82" s="7" t="s">
        <v>99</v>
      </c>
      <c r="E82" s="7" t="s">
        <v>24</v>
      </c>
      <c r="F82" s="7" t="s">
        <v>39</v>
      </c>
    </row>
    <row r="83" spans="1:6">
      <c r="A83" s="7">
        <v>205242</v>
      </c>
      <c r="B83" s="7" t="s">
        <v>21</v>
      </c>
      <c r="C83" s="7" t="s">
        <v>115</v>
      </c>
      <c r="D83" s="7" t="s">
        <v>94</v>
      </c>
      <c r="E83" s="7" t="s">
        <v>24</v>
      </c>
      <c r="F83" s="7" t="s">
        <v>39</v>
      </c>
    </row>
    <row r="84" spans="1:6">
      <c r="A84" s="7">
        <v>205224</v>
      </c>
      <c r="B84" s="7" t="s">
        <v>21</v>
      </c>
      <c r="C84" s="7" t="s">
        <v>116</v>
      </c>
      <c r="D84" s="7" t="s">
        <v>99</v>
      </c>
      <c r="E84" s="7" t="s">
        <v>24</v>
      </c>
      <c r="F84" s="7" t="s">
        <v>39</v>
      </c>
    </row>
    <row r="85" spans="1:6">
      <c r="A85" s="7">
        <v>203638</v>
      </c>
      <c r="B85" s="7" t="s">
        <v>21</v>
      </c>
      <c r="C85" s="7" t="s">
        <v>117</v>
      </c>
      <c r="D85" s="7" t="s">
        <v>38</v>
      </c>
      <c r="E85" s="7" t="s">
        <v>24</v>
      </c>
      <c r="F85" s="7" t="s">
        <v>39</v>
      </c>
    </row>
    <row r="86" spans="1:6">
      <c r="A86" s="7">
        <v>96479</v>
      </c>
      <c r="B86" s="7" t="s">
        <v>21</v>
      </c>
      <c r="C86" s="7" t="s">
        <v>118</v>
      </c>
      <c r="D86" s="7" t="s">
        <v>23</v>
      </c>
      <c r="E86" s="7" t="s">
        <v>24</v>
      </c>
      <c r="F86" s="7" t="s">
        <v>62</v>
      </c>
    </row>
    <row r="87" spans="1:6">
      <c r="A87" s="7">
        <v>207050</v>
      </c>
      <c r="B87" s="7" t="s">
        <v>21</v>
      </c>
      <c r="C87" s="7" t="s">
        <v>119</v>
      </c>
      <c r="D87" s="7" t="s">
        <v>59</v>
      </c>
      <c r="E87" s="7" t="s">
        <v>24</v>
      </c>
      <c r="F87" s="7" t="s">
        <v>60</v>
      </c>
    </row>
    <row r="88" spans="1:6">
      <c r="A88" s="7">
        <v>207051</v>
      </c>
      <c r="B88" s="7" t="s">
        <v>21</v>
      </c>
      <c r="C88" s="7" t="s">
        <v>120</v>
      </c>
      <c r="D88" s="7" t="s">
        <v>59</v>
      </c>
      <c r="E88" s="7" t="s">
        <v>24</v>
      </c>
      <c r="F88" s="7" t="s">
        <v>60</v>
      </c>
    </row>
    <row r="89" spans="1:6">
      <c r="A89" s="7">
        <v>96493</v>
      </c>
      <c r="B89" s="7" t="s">
        <v>21</v>
      </c>
      <c r="C89" s="7" t="s">
        <v>121</v>
      </c>
      <c r="D89" s="7" t="s">
        <v>23</v>
      </c>
      <c r="E89" s="7" t="s">
        <v>24</v>
      </c>
      <c r="F89" s="7" t="s">
        <v>62</v>
      </c>
    </row>
    <row r="90" spans="1:6">
      <c r="A90" s="7">
        <v>96520</v>
      </c>
      <c r="B90" s="7" t="s">
        <v>21</v>
      </c>
      <c r="C90" s="7" t="s">
        <v>122</v>
      </c>
      <c r="D90" s="7" t="s">
        <v>23</v>
      </c>
      <c r="E90" s="7" t="s">
        <v>24</v>
      </c>
      <c r="F90" s="7" t="s">
        <v>62</v>
      </c>
    </row>
    <row r="91" spans="1:6">
      <c r="A91" s="7">
        <v>96496</v>
      </c>
      <c r="B91" s="7" t="s">
        <v>21</v>
      </c>
      <c r="C91" s="7" t="s">
        <v>123</v>
      </c>
      <c r="D91" s="7" t="s">
        <v>23</v>
      </c>
      <c r="E91" s="7" t="s">
        <v>24</v>
      </c>
      <c r="F91" s="7" t="s">
        <v>62</v>
      </c>
    </row>
    <row r="92" spans="1:6">
      <c r="A92" s="7">
        <v>96161</v>
      </c>
      <c r="B92" s="7" t="s">
        <v>21</v>
      </c>
      <c r="C92" s="7" t="s">
        <v>124</v>
      </c>
      <c r="D92" s="7" t="s">
        <v>23</v>
      </c>
      <c r="E92" s="7" t="s">
        <v>24</v>
      </c>
      <c r="F92" s="7" t="s">
        <v>62</v>
      </c>
    </row>
    <row r="93" spans="1:6">
      <c r="A93" s="7">
        <v>96164</v>
      </c>
      <c r="B93" s="7" t="s">
        <v>21</v>
      </c>
      <c r="C93" s="7" t="s">
        <v>125</v>
      </c>
      <c r="D93" s="7" t="s">
        <v>23</v>
      </c>
      <c r="E93" s="7" t="s">
        <v>24</v>
      </c>
      <c r="F93" s="7" t="s">
        <v>62</v>
      </c>
    </row>
    <row r="94" spans="1:6">
      <c r="A94" s="7">
        <v>224093</v>
      </c>
      <c r="B94" s="7" t="s">
        <v>21</v>
      </c>
      <c r="C94" s="7" t="s">
        <v>126</v>
      </c>
      <c r="D94" s="7" t="s">
        <v>35</v>
      </c>
      <c r="E94" s="7" t="s">
        <v>24</v>
      </c>
      <c r="F94" s="7" t="s">
        <v>36</v>
      </c>
    </row>
    <row r="95" spans="1:6">
      <c r="A95" s="7">
        <v>223881</v>
      </c>
      <c r="B95" s="7" t="s">
        <v>21</v>
      </c>
      <c r="C95" s="7" t="s">
        <v>127</v>
      </c>
      <c r="D95" s="7" t="s">
        <v>23</v>
      </c>
      <c r="E95" s="7" t="s">
        <v>24</v>
      </c>
      <c r="F95" s="7" t="s">
        <v>62</v>
      </c>
    </row>
    <row r="96" spans="1:6">
      <c r="A96" s="7">
        <v>223879</v>
      </c>
      <c r="B96" s="7" t="s">
        <v>21</v>
      </c>
      <c r="C96" s="7" t="s">
        <v>128</v>
      </c>
      <c r="D96" s="7" t="s">
        <v>23</v>
      </c>
      <c r="E96" s="7" t="s">
        <v>24</v>
      </c>
      <c r="F96" s="7" t="s">
        <v>25</v>
      </c>
    </row>
    <row r="97" spans="1:6">
      <c r="A97" s="7">
        <v>224100</v>
      </c>
      <c r="B97" s="7" t="s">
        <v>21</v>
      </c>
      <c r="C97" s="7" t="s">
        <v>129</v>
      </c>
      <c r="D97" s="7" t="s">
        <v>35</v>
      </c>
      <c r="E97" s="7" t="s">
        <v>24</v>
      </c>
      <c r="F97" s="7" t="s">
        <v>36</v>
      </c>
    </row>
    <row r="98" spans="1:6">
      <c r="A98" s="7">
        <v>224099</v>
      </c>
      <c r="B98" s="7" t="s">
        <v>21</v>
      </c>
      <c r="C98" s="7" t="s">
        <v>130</v>
      </c>
      <c r="D98" s="7" t="s">
        <v>35</v>
      </c>
      <c r="E98" s="7" t="s">
        <v>24</v>
      </c>
      <c r="F98" s="7" t="s">
        <v>36</v>
      </c>
    </row>
    <row r="99" spans="1:6">
      <c r="A99" s="7">
        <v>224101</v>
      </c>
      <c r="B99" s="7" t="s">
        <v>21</v>
      </c>
      <c r="C99" s="7" t="s">
        <v>131</v>
      </c>
      <c r="D99" s="7" t="s">
        <v>35</v>
      </c>
      <c r="E99" s="7" t="s">
        <v>24</v>
      </c>
      <c r="F99" s="7" t="s">
        <v>36</v>
      </c>
    </row>
    <row r="100" spans="1:6">
      <c r="A100" s="7">
        <v>223882</v>
      </c>
      <c r="B100" s="7" t="s">
        <v>21</v>
      </c>
      <c r="C100" s="7" t="s">
        <v>132</v>
      </c>
      <c r="D100" s="7" t="s">
        <v>35</v>
      </c>
      <c r="E100" s="7" t="s">
        <v>24</v>
      </c>
      <c r="F100" s="7" t="s">
        <v>62</v>
      </c>
    </row>
    <row r="101" spans="1:6">
      <c r="A101" s="7">
        <v>224102</v>
      </c>
      <c r="B101" s="7" t="s">
        <v>21</v>
      </c>
      <c r="C101" s="7" t="s">
        <v>133</v>
      </c>
      <c r="D101" s="7" t="s">
        <v>35</v>
      </c>
      <c r="E101" s="7" t="s">
        <v>24</v>
      </c>
      <c r="F101" s="7" t="s">
        <v>36</v>
      </c>
    </row>
    <row r="102" spans="1:6">
      <c r="A102" s="7">
        <v>224096</v>
      </c>
      <c r="B102" s="7" t="s">
        <v>21</v>
      </c>
      <c r="C102" s="7" t="s">
        <v>134</v>
      </c>
      <c r="D102" s="7" t="s">
        <v>35</v>
      </c>
      <c r="E102" s="7" t="s">
        <v>24</v>
      </c>
      <c r="F102" s="7" t="s">
        <v>36</v>
      </c>
    </row>
    <row r="103" spans="1:6">
      <c r="A103" s="7">
        <v>224097</v>
      </c>
      <c r="B103" s="7" t="s">
        <v>21</v>
      </c>
      <c r="C103" s="7" t="s">
        <v>135</v>
      </c>
      <c r="D103" s="7" t="s">
        <v>35</v>
      </c>
      <c r="E103" s="7" t="s">
        <v>24</v>
      </c>
      <c r="F103" s="7" t="s">
        <v>36</v>
      </c>
    </row>
    <row r="104" spans="1:6">
      <c r="A104" s="7">
        <v>224098</v>
      </c>
      <c r="B104" s="7" t="s">
        <v>21</v>
      </c>
      <c r="C104" s="7" t="s">
        <v>136</v>
      </c>
      <c r="D104" s="7" t="s">
        <v>35</v>
      </c>
      <c r="E104" s="7" t="s">
        <v>24</v>
      </c>
      <c r="F104" s="7" t="s">
        <v>36</v>
      </c>
    </row>
    <row r="105" spans="1:6">
      <c r="A105" s="7">
        <v>224299</v>
      </c>
      <c r="B105" s="7" t="s">
        <v>21</v>
      </c>
      <c r="C105" s="7" t="s">
        <v>137</v>
      </c>
      <c r="D105" s="7" t="s">
        <v>35</v>
      </c>
      <c r="E105" s="7" t="s">
        <v>24</v>
      </c>
      <c r="F105" s="7" t="s">
        <v>36</v>
      </c>
    </row>
    <row r="106" spans="1:6">
      <c r="A106" s="7">
        <v>228209</v>
      </c>
      <c r="B106" s="7" t="s">
        <v>21</v>
      </c>
      <c r="C106" s="7" t="s">
        <v>138</v>
      </c>
      <c r="D106" s="7" t="s">
        <v>91</v>
      </c>
      <c r="E106" s="7" t="s">
        <v>24</v>
      </c>
      <c r="F106" s="7" t="s">
        <v>60</v>
      </c>
    </row>
    <row r="107" spans="1:6">
      <c r="A107" s="7">
        <v>228210</v>
      </c>
      <c r="B107" s="7" t="s">
        <v>21</v>
      </c>
      <c r="C107" s="7" t="s">
        <v>139</v>
      </c>
      <c r="D107" s="7" t="s">
        <v>91</v>
      </c>
      <c r="E107" s="7" t="s">
        <v>24</v>
      </c>
      <c r="F107" s="7" t="s">
        <v>60</v>
      </c>
    </row>
    <row r="108" spans="1:6">
      <c r="A108" s="7">
        <v>228211</v>
      </c>
      <c r="B108" s="7" t="s">
        <v>21</v>
      </c>
      <c r="C108" s="7" t="s">
        <v>140</v>
      </c>
      <c r="D108" s="7" t="s">
        <v>91</v>
      </c>
      <c r="E108" s="7" t="s">
        <v>24</v>
      </c>
      <c r="F108" s="7" t="s">
        <v>60</v>
      </c>
    </row>
    <row r="109" spans="1:6">
      <c r="A109" s="7">
        <v>228212</v>
      </c>
      <c r="B109" s="7" t="s">
        <v>21</v>
      </c>
      <c r="C109" s="7" t="s">
        <v>141</v>
      </c>
      <c r="D109" s="7" t="s">
        <v>68</v>
      </c>
      <c r="E109" s="7" t="s">
        <v>24</v>
      </c>
      <c r="F109" s="7" t="s">
        <v>60</v>
      </c>
    </row>
    <row r="110" spans="1:6">
      <c r="A110" s="7">
        <v>228213</v>
      </c>
      <c r="B110" s="7" t="s">
        <v>21</v>
      </c>
      <c r="C110" s="7" t="s">
        <v>142</v>
      </c>
      <c r="D110" s="7" t="s">
        <v>91</v>
      </c>
      <c r="E110" s="7" t="s">
        <v>24</v>
      </c>
      <c r="F110" s="7" t="s">
        <v>60</v>
      </c>
    </row>
    <row r="111" spans="1:6">
      <c r="A111" s="7">
        <v>228663</v>
      </c>
      <c r="B111" s="7" t="s">
        <v>21</v>
      </c>
      <c r="C111" s="7" t="s">
        <v>143</v>
      </c>
      <c r="D111" s="7" t="s">
        <v>91</v>
      </c>
      <c r="E111" s="7" t="s">
        <v>24</v>
      </c>
      <c r="F111" s="7" t="s">
        <v>60</v>
      </c>
    </row>
    <row r="112" spans="1:6">
      <c r="A112" s="7">
        <v>228214</v>
      </c>
      <c r="B112" s="7" t="s">
        <v>21</v>
      </c>
      <c r="C112" s="7" t="s">
        <v>144</v>
      </c>
      <c r="D112" s="7" t="s">
        <v>91</v>
      </c>
      <c r="E112" s="7" t="s">
        <v>24</v>
      </c>
      <c r="F112" s="7" t="s">
        <v>60</v>
      </c>
    </row>
    <row r="113" spans="1:6">
      <c r="A113" s="7">
        <v>228215</v>
      </c>
      <c r="B113" s="7" t="s">
        <v>21</v>
      </c>
      <c r="C113" s="7" t="s">
        <v>145</v>
      </c>
      <c r="D113" s="7" t="s">
        <v>91</v>
      </c>
      <c r="E113" s="7" t="s">
        <v>24</v>
      </c>
      <c r="F113" s="7" t="s">
        <v>60</v>
      </c>
    </row>
    <row r="114" spans="1:6">
      <c r="A114" s="7">
        <v>228216</v>
      </c>
      <c r="B114" s="7" t="s">
        <v>21</v>
      </c>
      <c r="C114" s="7" t="s">
        <v>146</v>
      </c>
      <c r="D114" s="7" t="s">
        <v>91</v>
      </c>
      <c r="E114" s="7" t="s">
        <v>24</v>
      </c>
      <c r="F114" s="7" t="s">
        <v>60</v>
      </c>
    </row>
    <row r="115" spans="1:6">
      <c r="A115" s="7">
        <v>228217</v>
      </c>
      <c r="B115" s="7" t="s">
        <v>21</v>
      </c>
      <c r="C115" s="7" t="s">
        <v>147</v>
      </c>
      <c r="D115" s="7" t="s">
        <v>91</v>
      </c>
      <c r="E115" s="7" t="s">
        <v>24</v>
      </c>
      <c r="F115" s="7" t="s">
        <v>60</v>
      </c>
    </row>
    <row r="116" spans="1:6">
      <c r="A116" s="7">
        <v>228200</v>
      </c>
      <c r="B116" s="7" t="s">
        <v>21</v>
      </c>
      <c r="C116" s="7" t="s">
        <v>148</v>
      </c>
      <c r="D116" s="7" t="s">
        <v>68</v>
      </c>
      <c r="E116" s="7" t="s">
        <v>24</v>
      </c>
      <c r="F116" s="7" t="s">
        <v>60</v>
      </c>
    </row>
    <row r="117" spans="1:6">
      <c r="A117" s="7">
        <v>228201</v>
      </c>
      <c r="B117" s="7" t="s">
        <v>21</v>
      </c>
      <c r="C117" s="7" t="s">
        <v>149</v>
      </c>
      <c r="D117" s="7" t="s">
        <v>91</v>
      </c>
      <c r="E117" s="7" t="s">
        <v>24</v>
      </c>
      <c r="F117" s="7" t="s">
        <v>60</v>
      </c>
    </row>
    <row r="118" spans="1:6">
      <c r="A118" s="7">
        <v>228202</v>
      </c>
      <c r="B118" s="7" t="s">
        <v>21</v>
      </c>
      <c r="C118" s="7" t="s">
        <v>150</v>
      </c>
      <c r="D118" s="7" t="s">
        <v>91</v>
      </c>
      <c r="E118" s="7" t="s">
        <v>24</v>
      </c>
      <c r="F118" s="7" t="s">
        <v>60</v>
      </c>
    </row>
    <row r="119" spans="1:6">
      <c r="A119" s="7">
        <v>228204</v>
      </c>
      <c r="B119" s="7" t="s">
        <v>21</v>
      </c>
      <c r="C119" s="7" t="s">
        <v>151</v>
      </c>
      <c r="D119" s="7" t="s">
        <v>91</v>
      </c>
      <c r="E119" s="7" t="s">
        <v>24</v>
      </c>
      <c r="F119" s="7" t="s">
        <v>60</v>
      </c>
    </row>
    <row r="120" spans="1:6">
      <c r="A120" s="7">
        <v>228205</v>
      </c>
      <c r="B120" s="7" t="s">
        <v>21</v>
      </c>
      <c r="C120" s="7" t="s">
        <v>152</v>
      </c>
      <c r="D120" s="7" t="s">
        <v>68</v>
      </c>
      <c r="E120" s="7" t="s">
        <v>24</v>
      </c>
      <c r="F120" s="7" t="s">
        <v>60</v>
      </c>
    </row>
    <row r="121" spans="1:6">
      <c r="A121" s="7">
        <v>228207</v>
      </c>
      <c r="B121" s="7" t="s">
        <v>21</v>
      </c>
      <c r="C121" s="7" t="s">
        <v>153</v>
      </c>
      <c r="D121" s="7" t="s">
        <v>91</v>
      </c>
      <c r="E121" s="7" t="s">
        <v>24</v>
      </c>
      <c r="F121" s="7" t="s">
        <v>60</v>
      </c>
    </row>
    <row r="122" spans="1:6">
      <c r="A122" s="7">
        <v>228675</v>
      </c>
      <c r="B122" s="7" t="s">
        <v>21</v>
      </c>
      <c r="C122" s="7" t="s">
        <v>154</v>
      </c>
      <c r="D122" s="7" t="s">
        <v>91</v>
      </c>
      <c r="E122" s="7" t="s">
        <v>24</v>
      </c>
      <c r="F122" s="7" t="s">
        <v>60</v>
      </c>
    </row>
    <row r="123" spans="1:6">
      <c r="A123" s="7">
        <v>230824</v>
      </c>
      <c r="B123" s="7" t="s">
        <v>21</v>
      </c>
      <c r="C123" s="7" t="s">
        <v>155</v>
      </c>
      <c r="D123" s="7" t="s">
        <v>59</v>
      </c>
      <c r="E123" s="7" t="s">
        <v>24</v>
      </c>
      <c r="F123" s="7" t="s">
        <v>60</v>
      </c>
    </row>
    <row r="124" spans="1:6">
      <c r="A124" s="7">
        <v>228666</v>
      </c>
      <c r="B124" s="7" t="s">
        <v>21</v>
      </c>
      <c r="C124" s="7" t="s">
        <v>156</v>
      </c>
      <c r="D124" s="7" t="s">
        <v>91</v>
      </c>
      <c r="E124" s="7" t="s">
        <v>24</v>
      </c>
      <c r="F124" s="7" t="s">
        <v>60</v>
      </c>
    </row>
    <row r="125" spans="1:6">
      <c r="A125" s="7">
        <v>228667</v>
      </c>
      <c r="B125" s="7" t="s">
        <v>21</v>
      </c>
      <c r="C125" s="7" t="s">
        <v>157</v>
      </c>
      <c r="D125" s="7" t="s">
        <v>59</v>
      </c>
      <c r="E125" s="7" t="s">
        <v>24</v>
      </c>
      <c r="F125" s="7" t="s">
        <v>60</v>
      </c>
    </row>
    <row r="126" spans="1:6">
      <c r="A126" s="7" t="s">
        <v>158</v>
      </c>
      <c r="B126" s="7" t="s">
        <v>21</v>
      </c>
      <c r="C126" s="7" t="s">
        <v>159</v>
      </c>
      <c r="D126" s="7" t="s">
        <v>91</v>
      </c>
      <c r="E126" s="7" t="s">
        <v>24</v>
      </c>
      <c r="F126" s="7" t="s">
        <v>60</v>
      </c>
    </row>
    <row r="127" spans="1:6">
      <c r="A127" s="7">
        <v>228669</v>
      </c>
      <c r="B127" s="7" t="s">
        <v>21</v>
      </c>
      <c r="C127" s="7" t="s">
        <v>160</v>
      </c>
      <c r="D127" s="7" t="s">
        <v>68</v>
      </c>
      <c r="E127" s="7" t="s">
        <v>24</v>
      </c>
      <c r="F127" s="7" t="s">
        <v>60</v>
      </c>
    </row>
    <row r="128" spans="1:6">
      <c r="A128" s="7">
        <v>206139</v>
      </c>
      <c r="B128" s="7" t="s">
        <v>21</v>
      </c>
      <c r="C128" s="7" t="s">
        <v>161</v>
      </c>
      <c r="D128" s="7" t="s">
        <v>91</v>
      </c>
      <c r="E128" s="7" t="s">
        <v>24</v>
      </c>
      <c r="F128" s="7" t="s">
        <v>60</v>
      </c>
    </row>
    <row r="129" spans="1:6">
      <c r="A129" s="7">
        <v>228670</v>
      </c>
      <c r="B129" s="7" t="s">
        <v>21</v>
      </c>
      <c r="C129" s="7" t="s">
        <v>162</v>
      </c>
      <c r="D129" s="7" t="s">
        <v>68</v>
      </c>
      <c r="E129" s="7" t="s">
        <v>24</v>
      </c>
      <c r="F129" s="7" t="s">
        <v>60</v>
      </c>
    </row>
    <row r="130" spans="1:6">
      <c r="A130" s="7">
        <v>228672</v>
      </c>
      <c r="B130" s="7" t="s">
        <v>21</v>
      </c>
      <c r="C130" s="7" t="s">
        <v>163</v>
      </c>
      <c r="D130" s="7" t="s">
        <v>59</v>
      </c>
      <c r="E130" s="7" t="s">
        <v>24</v>
      </c>
      <c r="F130" s="7" t="s">
        <v>60</v>
      </c>
    </row>
    <row r="131" spans="1:6">
      <c r="A131" s="7">
        <v>228673</v>
      </c>
      <c r="B131" s="7" t="s">
        <v>21</v>
      </c>
      <c r="C131" s="7" t="s">
        <v>164</v>
      </c>
      <c r="D131" s="7" t="s">
        <v>59</v>
      </c>
      <c r="E131" s="7" t="s">
        <v>24</v>
      </c>
      <c r="F131" s="7" t="s">
        <v>60</v>
      </c>
    </row>
    <row r="132" spans="1:6">
      <c r="A132" s="7">
        <v>230748</v>
      </c>
      <c r="B132" s="7" t="s">
        <v>21</v>
      </c>
      <c r="C132" s="7" t="s">
        <v>165</v>
      </c>
      <c r="D132" s="7" t="s">
        <v>59</v>
      </c>
      <c r="E132" s="7" t="s">
        <v>24</v>
      </c>
      <c r="F132" s="7" t="s">
        <v>60</v>
      </c>
    </row>
    <row r="133" spans="1:6">
      <c r="A133" s="7">
        <v>96457</v>
      </c>
      <c r="B133" s="7" t="s">
        <v>21</v>
      </c>
      <c r="C133" s="7" t="s">
        <v>166</v>
      </c>
      <c r="D133" s="7" t="s">
        <v>42</v>
      </c>
      <c r="E133" s="7" t="s">
        <v>167</v>
      </c>
      <c r="F133" s="7" t="s">
        <v>36</v>
      </c>
    </row>
    <row r="134" spans="1:6">
      <c r="A134" s="7">
        <v>96475</v>
      </c>
      <c r="B134" s="7" t="s">
        <v>21</v>
      </c>
      <c r="C134" s="7" t="s">
        <v>168</v>
      </c>
      <c r="D134" s="7" t="s">
        <v>169</v>
      </c>
      <c r="E134" s="7" t="s">
        <v>24</v>
      </c>
      <c r="F134" s="7" t="s">
        <v>36</v>
      </c>
    </row>
    <row r="135" spans="1:6">
      <c r="A135" s="7"/>
      <c r="B135" s="7"/>
      <c r="C135" s="7"/>
      <c r="D135" s="7"/>
      <c r="E135" s="7"/>
      <c r="F135" s="7"/>
    </row>
    <row r="136" spans="1:6">
      <c r="A136" s="7"/>
      <c r="B136" s="7"/>
      <c r="C136" s="7"/>
      <c r="D136" s="7"/>
      <c r="E136" s="7"/>
      <c r="F136" s="7"/>
    </row>
    <row r="137" spans="1:6">
      <c r="A137" s="7"/>
      <c r="B137" s="7"/>
      <c r="C137" s="7"/>
      <c r="D137" s="7"/>
      <c r="E137" s="7"/>
      <c r="F137" s="7"/>
    </row>
    <row r="138" spans="1:6">
      <c r="A138" s="7"/>
      <c r="B138" s="7"/>
      <c r="C138" s="7"/>
      <c r="D138" s="7"/>
      <c r="E138" s="7"/>
      <c r="F138" s="7"/>
    </row>
    <row r="139" spans="1:6">
      <c r="A139" s="7"/>
      <c r="B139" s="7"/>
      <c r="C139" s="7"/>
      <c r="D139" s="7"/>
      <c r="E139" s="7"/>
      <c r="F139" s="7"/>
    </row>
    <row r="140" spans="1:6">
      <c r="A140" s="7"/>
      <c r="B140" s="7"/>
      <c r="C140" s="7"/>
      <c r="D140" s="7"/>
      <c r="E140" s="7"/>
      <c r="F140" s="7"/>
    </row>
    <row r="141" spans="1:6">
      <c r="A141" s="7"/>
      <c r="B141" s="7"/>
      <c r="C141" s="7"/>
      <c r="D141" s="7"/>
      <c r="E141" s="7"/>
      <c r="F141" s="7"/>
    </row>
    <row r="142" spans="1:6">
      <c r="A142" s="7"/>
      <c r="B142" s="7"/>
      <c r="C142" s="7"/>
      <c r="D142" s="7"/>
      <c r="E142" s="7"/>
      <c r="F142" s="7"/>
    </row>
    <row r="143" spans="1:6">
      <c r="A143" s="7"/>
      <c r="B143" s="7"/>
      <c r="C143" s="7"/>
      <c r="D143" s="7"/>
      <c r="E143" s="7"/>
      <c r="F143" s="7"/>
    </row>
    <row r="144" spans="1:6">
      <c r="A144" s="7"/>
      <c r="B144" s="7"/>
      <c r="C144" s="7"/>
      <c r="D144" s="7"/>
      <c r="E144" s="7"/>
      <c r="F144" s="7"/>
    </row>
    <row r="145" spans="1:6">
      <c r="A145" s="7"/>
      <c r="B145" s="7"/>
      <c r="C145" s="7"/>
      <c r="D145" s="7"/>
      <c r="E145" s="7"/>
      <c r="F145" s="7"/>
    </row>
    <row r="146" spans="1:6">
      <c r="A146" s="7"/>
      <c r="B146" s="7"/>
      <c r="C146" s="7"/>
      <c r="D146" s="7"/>
      <c r="E146" s="7"/>
      <c r="F146" s="7"/>
    </row>
    <row r="147" spans="1:6">
      <c r="A147" s="7"/>
      <c r="B147" s="7"/>
      <c r="C147" s="7"/>
      <c r="D147" s="7"/>
      <c r="E147" s="7"/>
      <c r="F147" s="7"/>
    </row>
    <row r="148" spans="1:6">
      <c r="A148" s="7"/>
      <c r="B148" s="7"/>
      <c r="C148" s="7"/>
      <c r="D148" s="7"/>
      <c r="E148" s="7"/>
      <c r="F148" s="7"/>
    </row>
    <row r="149" spans="1:6">
      <c r="A149" s="7"/>
      <c r="B149" s="7"/>
      <c r="C149" s="7"/>
      <c r="D149" s="7"/>
      <c r="E149" s="7"/>
      <c r="F149" s="7"/>
    </row>
    <row r="150" spans="1:6">
      <c r="A150" s="7"/>
      <c r="B150" s="7"/>
      <c r="C150" s="7"/>
      <c r="D150" s="7"/>
      <c r="E150" s="7"/>
      <c r="F150" s="7"/>
    </row>
    <row r="151" spans="1:6">
      <c r="A151" s="7"/>
      <c r="B151" s="7"/>
      <c r="C151" s="7"/>
      <c r="D151" s="7"/>
      <c r="E151" s="7"/>
      <c r="F151" s="7"/>
    </row>
    <row r="152" spans="1:6">
      <c r="A152" s="7"/>
      <c r="B152" s="7"/>
      <c r="C152" s="7"/>
      <c r="D152" s="7"/>
      <c r="E152" s="7"/>
      <c r="F152" s="7"/>
    </row>
    <row r="153" spans="1:6">
      <c r="A153" s="7"/>
      <c r="B153" s="7"/>
      <c r="C153" s="7"/>
      <c r="D153" s="7"/>
      <c r="E153" s="7"/>
      <c r="F153" s="7"/>
    </row>
    <row r="154" spans="1:6">
      <c r="A154" s="7"/>
      <c r="B154" s="7"/>
      <c r="C154" s="7"/>
      <c r="D154" s="7"/>
      <c r="E154" s="7"/>
      <c r="F154" s="7"/>
    </row>
    <row r="155" spans="1:6">
      <c r="A155" s="7"/>
      <c r="B155" s="7"/>
      <c r="C155" s="7"/>
      <c r="D155" s="7"/>
      <c r="E155" s="7"/>
      <c r="F155" s="7"/>
    </row>
    <row r="156" spans="1:6">
      <c r="A156" s="7"/>
      <c r="B156" s="7"/>
      <c r="C156" s="7"/>
      <c r="D156" s="7"/>
      <c r="E156" s="7"/>
      <c r="F156" s="7"/>
    </row>
    <row r="157" spans="1:6">
      <c r="A157" s="7"/>
      <c r="B157" s="7"/>
      <c r="C157" s="7"/>
      <c r="D157" s="7"/>
      <c r="E157" s="7"/>
      <c r="F157" s="7"/>
    </row>
    <row r="158" spans="1:6">
      <c r="A158" s="7"/>
      <c r="B158" s="7"/>
      <c r="C158" s="7"/>
      <c r="D158" s="7"/>
      <c r="E158" s="7"/>
      <c r="F158" s="7"/>
    </row>
    <row r="159" spans="1:6">
      <c r="A159" s="7"/>
      <c r="B159" s="7"/>
      <c r="C159" s="7"/>
      <c r="D159" s="7"/>
      <c r="E159" s="7"/>
      <c r="F159" s="7"/>
    </row>
    <row r="160" spans="1:6">
      <c r="A160" s="7"/>
      <c r="B160" s="7"/>
      <c r="C160" s="7"/>
      <c r="D160" s="7"/>
      <c r="E160" s="7"/>
      <c r="F160" s="7"/>
    </row>
    <row r="161" spans="1:6">
      <c r="A161" s="7"/>
      <c r="B161" s="7"/>
      <c r="C161" s="7"/>
      <c r="D161" s="7"/>
      <c r="E161" s="7"/>
      <c r="F161" s="7"/>
    </row>
    <row r="162" spans="1:6">
      <c r="A162" s="7"/>
      <c r="B162" s="7"/>
      <c r="C162" s="7"/>
      <c r="D162" s="7"/>
      <c r="E162" s="7"/>
      <c r="F162" s="7"/>
    </row>
    <row r="163" spans="1:6">
      <c r="A163" s="7"/>
      <c r="B163" s="7"/>
      <c r="C163" s="7"/>
      <c r="D163" s="7"/>
      <c r="E163" s="7"/>
      <c r="F163" s="7"/>
    </row>
    <row r="164" spans="1:6">
      <c r="A164" s="7"/>
      <c r="B164" s="7"/>
      <c r="C164" s="7"/>
      <c r="D164" s="7"/>
      <c r="E164" s="7"/>
      <c r="F164" s="7"/>
    </row>
    <row r="165" spans="1:6">
      <c r="A165" s="7"/>
      <c r="B165" s="7"/>
      <c r="C165" s="7"/>
      <c r="D165" s="7"/>
      <c r="E165" s="7"/>
      <c r="F165" s="7"/>
    </row>
    <row r="166" spans="1:6">
      <c r="A166" s="7"/>
      <c r="B166" s="7"/>
      <c r="C166" s="7"/>
      <c r="D166" s="7"/>
      <c r="E166" s="7"/>
      <c r="F166" s="7"/>
    </row>
    <row r="167" spans="1:6">
      <c r="A167" s="7"/>
      <c r="B167" s="7"/>
      <c r="C167" s="7"/>
      <c r="D167" s="7"/>
      <c r="E167" s="7"/>
      <c r="F167" s="7"/>
    </row>
    <row r="168" spans="1:6">
      <c r="A168" s="7"/>
      <c r="B168" s="7"/>
      <c r="C168" s="7"/>
      <c r="D168" s="7"/>
      <c r="E168" s="7"/>
      <c r="F168" s="7"/>
    </row>
    <row r="169" spans="1:6">
      <c r="A169" s="7"/>
      <c r="B169" s="7"/>
      <c r="C169" s="7"/>
      <c r="D169" s="7"/>
      <c r="E169" s="7"/>
      <c r="F169" s="7"/>
    </row>
    <row r="170" spans="1:6">
      <c r="A170" s="7"/>
      <c r="B170" s="7"/>
      <c r="C170" s="7"/>
      <c r="D170" s="7"/>
      <c r="E170" s="7"/>
      <c r="F170" s="7"/>
    </row>
    <row r="171" spans="1:6">
      <c r="A171" s="7"/>
      <c r="B171" s="7"/>
      <c r="C171" s="7"/>
      <c r="D171" s="7"/>
      <c r="E171" s="7"/>
      <c r="F171" s="7"/>
    </row>
    <row r="172" spans="1:6">
      <c r="A172" s="7"/>
      <c r="B172" s="7"/>
      <c r="C172" s="7"/>
      <c r="D172" s="7"/>
      <c r="E172" s="7"/>
      <c r="F172" s="7"/>
    </row>
    <row r="173" spans="1:6">
      <c r="A173" s="7"/>
      <c r="B173" s="7"/>
      <c r="C173" s="7"/>
      <c r="D173" s="7"/>
      <c r="E173" s="7"/>
      <c r="F173" s="7"/>
    </row>
    <row r="174" spans="1:6">
      <c r="A174" s="7"/>
      <c r="B174" s="7"/>
      <c r="C174" s="7"/>
      <c r="D174" s="7"/>
      <c r="E174" s="7"/>
      <c r="F174" s="7"/>
    </row>
    <row r="175" spans="1:6">
      <c r="A175" s="7"/>
      <c r="B175" s="7"/>
      <c r="C175" s="7"/>
      <c r="D175" s="7"/>
      <c r="E175" s="7"/>
      <c r="F175" s="7"/>
    </row>
    <row r="176" spans="1:6">
      <c r="A176" s="7"/>
      <c r="B176" s="7"/>
      <c r="C176" s="7"/>
      <c r="D176" s="7"/>
      <c r="E176" s="7"/>
      <c r="F176" s="7"/>
    </row>
    <row r="177" spans="1:6">
      <c r="A177" s="7"/>
      <c r="B177" s="7"/>
      <c r="C177" s="7"/>
      <c r="D177" s="7"/>
      <c r="E177" s="7"/>
      <c r="F177" s="7"/>
    </row>
    <row r="178" spans="1:6">
      <c r="A178" s="7"/>
      <c r="B178" s="7"/>
      <c r="C178" s="7"/>
      <c r="D178" s="7"/>
      <c r="E178" s="7"/>
      <c r="F178" s="7"/>
    </row>
    <row r="179" spans="1:6">
      <c r="A179" s="7"/>
      <c r="B179" s="7"/>
      <c r="C179" s="7"/>
      <c r="D179" s="7"/>
      <c r="E179" s="7"/>
      <c r="F179" s="7"/>
    </row>
    <row r="180" spans="1:6">
      <c r="A180" s="7"/>
      <c r="B180" s="7"/>
      <c r="C180" s="7"/>
      <c r="D180" s="7"/>
      <c r="E180" s="7"/>
      <c r="F180" s="7"/>
    </row>
    <row r="181" spans="1:6">
      <c r="A181" s="7"/>
      <c r="B181" s="7"/>
      <c r="C181" s="7"/>
      <c r="D181" s="7"/>
      <c r="E181" s="7"/>
      <c r="F181" s="7"/>
    </row>
    <row r="182" spans="1:6">
      <c r="A182" s="7"/>
      <c r="B182" s="7"/>
      <c r="C182" s="7"/>
      <c r="D182" s="7"/>
      <c r="E182" s="7"/>
      <c r="F182" s="7"/>
    </row>
    <row r="183" spans="1:6">
      <c r="A183" s="7"/>
      <c r="B183" s="7"/>
      <c r="C183" s="7"/>
      <c r="D183" s="7"/>
      <c r="E183" s="7"/>
      <c r="F183" s="7"/>
    </row>
    <row r="184" spans="1:6">
      <c r="A184" s="7"/>
      <c r="B184" s="7"/>
      <c r="C184" s="7"/>
      <c r="D184" s="7"/>
      <c r="E184" s="7"/>
      <c r="F184" s="7"/>
    </row>
    <row r="185" spans="1:6">
      <c r="A185" s="7"/>
      <c r="B185" s="7"/>
      <c r="C185" s="7"/>
      <c r="D185" s="7"/>
      <c r="E185" s="7"/>
      <c r="F185" s="7"/>
    </row>
    <row r="186" spans="1:6">
      <c r="A186" s="7"/>
      <c r="B186" s="7"/>
      <c r="C186" s="7"/>
      <c r="D186" s="7"/>
      <c r="E186" s="7"/>
      <c r="F186" s="7"/>
    </row>
    <row r="187" spans="1:6">
      <c r="A187" s="7"/>
      <c r="B187" s="7"/>
      <c r="C187" s="7"/>
      <c r="D187" s="7"/>
      <c r="E187" s="7"/>
      <c r="F187" s="7"/>
    </row>
    <row r="188" spans="1:6">
      <c r="A188" s="7"/>
      <c r="B188" s="7"/>
      <c r="C188" s="7"/>
      <c r="D188" s="7"/>
      <c r="E188" s="7"/>
      <c r="F188" s="7"/>
    </row>
    <row r="189" spans="1:6">
      <c r="A189" s="7"/>
      <c r="B189" s="7"/>
      <c r="C189" s="7"/>
      <c r="D189" s="7"/>
      <c r="E189" s="7"/>
      <c r="F189" s="7"/>
    </row>
    <row r="190" spans="1:6">
      <c r="A190" s="7"/>
      <c r="B190" s="7"/>
      <c r="C190" s="7"/>
      <c r="D190" s="7"/>
      <c r="E190" s="7"/>
      <c r="F190" s="7"/>
    </row>
    <row r="191" spans="1:6">
      <c r="A191" s="7"/>
      <c r="B191" s="7"/>
      <c r="C191" s="7"/>
      <c r="D191" s="7"/>
      <c r="E191" s="7"/>
      <c r="F191" s="7"/>
    </row>
    <row r="192" spans="1:6">
      <c r="A192" s="7"/>
      <c r="B192" s="7"/>
      <c r="C192" s="7"/>
      <c r="D192" s="7"/>
      <c r="E192" s="7"/>
      <c r="F192" s="7"/>
    </row>
    <row r="193" spans="1:6">
      <c r="A193" s="7"/>
      <c r="B193" s="7"/>
      <c r="C193" s="7"/>
      <c r="D193" s="7"/>
      <c r="E193" s="7"/>
      <c r="F193" s="7"/>
    </row>
    <row r="194" spans="1:6">
      <c r="A194" s="7"/>
      <c r="B194" s="7"/>
      <c r="C194" s="7"/>
      <c r="D194" s="7"/>
      <c r="E194" s="7"/>
      <c r="F194" s="7"/>
    </row>
    <row r="195" spans="1:6">
      <c r="A195" s="7"/>
      <c r="B195" s="7"/>
      <c r="C195" s="7"/>
      <c r="D195" s="7"/>
      <c r="E195" s="7"/>
      <c r="F195" s="7"/>
    </row>
    <row r="196" spans="1:6">
      <c r="A196" s="7"/>
      <c r="B196" s="7"/>
      <c r="C196" s="7"/>
      <c r="D196" s="7"/>
      <c r="E196" s="7"/>
      <c r="F196" s="7"/>
    </row>
    <row r="197" spans="1:6">
      <c r="A197" s="7"/>
      <c r="B197" s="7"/>
      <c r="C197" s="7"/>
      <c r="D197" s="7"/>
      <c r="E197" s="7"/>
      <c r="F197" s="7"/>
    </row>
    <row r="198" spans="1:6">
      <c r="A198" s="7"/>
      <c r="B198" s="7"/>
      <c r="C198" s="7"/>
      <c r="D198" s="7"/>
      <c r="E198" s="7"/>
      <c r="F198" s="7"/>
    </row>
    <row r="199" spans="1:6">
      <c r="A199" s="7"/>
      <c r="B199" s="7"/>
      <c r="C199" s="7"/>
      <c r="D199" s="7"/>
      <c r="E199" s="7"/>
      <c r="F199" s="7"/>
    </row>
    <row r="200" spans="1:6">
      <c r="A200" s="7"/>
      <c r="B200" s="7"/>
      <c r="C200" s="7"/>
      <c r="D200" s="7"/>
      <c r="E200" s="7"/>
      <c r="F200" s="7"/>
    </row>
    <row r="201" spans="1:6">
      <c r="A201" s="7"/>
      <c r="B201" s="7"/>
      <c r="C201" s="7"/>
      <c r="D201" s="7"/>
      <c r="E201" s="7"/>
      <c r="F201" s="7"/>
    </row>
    <row r="202" spans="1:6">
      <c r="A202" s="7"/>
      <c r="B202" s="7"/>
      <c r="C202" s="7"/>
      <c r="D202" s="7"/>
      <c r="E202" s="7"/>
      <c r="F202" s="7"/>
    </row>
    <row r="203" spans="1:6">
      <c r="A203" s="7"/>
      <c r="B203" s="7"/>
      <c r="C203" s="7"/>
      <c r="D203" s="7"/>
      <c r="E203" s="7"/>
      <c r="F203" s="7"/>
    </row>
    <row r="204" spans="1:6">
      <c r="A204" s="7"/>
      <c r="B204" s="7"/>
      <c r="C204" s="7"/>
      <c r="D204" s="7"/>
      <c r="E204" s="7"/>
      <c r="F204" s="7"/>
    </row>
    <row r="205" spans="1:6">
      <c r="A205" s="7"/>
      <c r="B205" s="7"/>
      <c r="C205" s="7"/>
      <c r="D205" s="7"/>
      <c r="E205" s="7"/>
      <c r="F205" s="7"/>
    </row>
    <row r="206" spans="1:6">
      <c r="A206" s="7"/>
      <c r="B206" s="7"/>
      <c r="C206" s="7"/>
      <c r="D206" s="7"/>
      <c r="E206" s="7"/>
      <c r="F206" s="7"/>
    </row>
    <row r="207" spans="1:6">
      <c r="A207" s="7"/>
      <c r="B207" s="7"/>
      <c r="C207" s="7"/>
      <c r="D207" s="7"/>
      <c r="E207" s="7"/>
      <c r="F207" s="7"/>
    </row>
    <row r="208" spans="1:6">
      <c r="A208" s="7"/>
      <c r="B208" s="7"/>
      <c r="C208" s="7"/>
      <c r="D208" s="7"/>
      <c r="E208" s="7"/>
      <c r="F208" s="7"/>
    </row>
    <row r="209" spans="1:6">
      <c r="A209" s="7"/>
      <c r="B209" s="7"/>
      <c r="C209" s="7"/>
      <c r="D209" s="7"/>
      <c r="E209" s="7"/>
      <c r="F209" s="7"/>
    </row>
    <row r="210" spans="1:6">
      <c r="A210" s="7"/>
      <c r="B210" s="7"/>
      <c r="C210" s="7"/>
      <c r="D210" s="7"/>
      <c r="E210" s="7"/>
      <c r="F210" s="7"/>
    </row>
    <row r="211" spans="1:6">
      <c r="A211" s="7"/>
      <c r="B211" s="7"/>
      <c r="C211" s="7"/>
      <c r="D211" s="7"/>
      <c r="E211" s="7"/>
      <c r="F211" s="7"/>
    </row>
    <row r="212" spans="1:6">
      <c r="A212" s="7"/>
      <c r="B212" s="7"/>
      <c r="C212" s="7"/>
      <c r="D212" s="7"/>
      <c r="E212" s="7"/>
      <c r="F212" s="7"/>
    </row>
    <row r="213" spans="1:6">
      <c r="A213" s="7"/>
      <c r="B213" s="7"/>
      <c r="C213" s="7"/>
      <c r="D213" s="7"/>
      <c r="E213" s="7"/>
      <c r="F213" s="7"/>
    </row>
    <row r="214" spans="1:6">
      <c r="A214" s="7"/>
      <c r="B214" s="7"/>
      <c r="C214" s="7"/>
      <c r="D214" s="7"/>
      <c r="E214" s="7"/>
      <c r="F214" s="7"/>
    </row>
    <row r="215" spans="1:6">
      <c r="A215" s="7"/>
      <c r="B215" s="7"/>
      <c r="C215" s="7"/>
      <c r="D215" s="7"/>
      <c r="E215" s="7"/>
      <c r="F215" s="7"/>
    </row>
    <row r="216" spans="1:6">
      <c r="A216" s="7"/>
      <c r="B216" s="7"/>
      <c r="C216" s="7"/>
      <c r="D216" s="7"/>
      <c r="E216" s="7"/>
      <c r="F216" s="7"/>
    </row>
    <row r="217" spans="1:6">
      <c r="A217" s="7"/>
      <c r="B217" s="7"/>
      <c r="C217" s="7"/>
      <c r="D217" s="7"/>
      <c r="E217" s="7"/>
      <c r="F217" s="7"/>
    </row>
    <row r="218" spans="1:6">
      <c r="A218" s="7"/>
      <c r="B218" s="7"/>
      <c r="C218" s="7"/>
      <c r="D218" s="7"/>
      <c r="E218" s="7"/>
      <c r="F218" s="7"/>
    </row>
    <row r="219" spans="1:6">
      <c r="A219" s="7"/>
      <c r="B219" s="7"/>
      <c r="C219" s="7"/>
      <c r="D219" s="7"/>
      <c r="E219" s="7"/>
      <c r="F219" s="7"/>
    </row>
    <row r="220" spans="1:6">
      <c r="A220" s="7"/>
      <c r="B220" s="7"/>
      <c r="C220" s="7"/>
      <c r="D220" s="7"/>
      <c r="E220" s="7"/>
      <c r="F220" s="7"/>
    </row>
    <row r="221" spans="1:6">
      <c r="A221" s="7"/>
      <c r="B221" s="7"/>
      <c r="C221" s="7"/>
      <c r="D221" s="7"/>
      <c r="E221" s="7"/>
      <c r="F221" s="7"/>
    </row>
    <row r="222" spans="1:6">
      <c r="A222" s="7"/>
      <c r="B222" s="7"/>
      <c r="C222" s="7"/>
      <c r="D222" s="7"/>
      <c r="E222" s="7"/>
      <c r="F222" s="7"/>
    </row>
    <row r="223" spans="1:6">
      <c r="A223" s="7"/>
      <c r="B223" s="7"/>
      <c r="C223" s="7"/>
      <c r="D223" s="7"/>
      <c r="E223" s="7"/>
      <c r="F223" s="7"/>
    </row>
    <row r="224" spans="1:6">
      <c r="A224" s="7"/>
      <c r="B224" s="7"/>
      <c r="C224" s="7"/>
      <c r="D224" s="7"/>
      <c r="E224" s="7"/>
      <c r="F224" s="7"/>
    </row>
    <row r="225" spans="1:6">
      <c r="A225" s="7"/>
      <c r="B225" s="7"/>
      <c r="C225" s="7"/>
      <c r="D225" s="7"/>
      <c r="E225" s="7"/>
      <c r="F225" s="7"/>
    </row>
    <row r="226" spans="1:6">
      <c r="A226" s="7"/>
      <c r="B226" s="7"/>
      <c r="C226" s="7"/>
      <c r="D226" s="7"/>
      <c r="E226" s="7"/>
      <c r="F226" s="7"/>
    </row>
    <row r="227" spans="1:6">
      <c r="A227" s="7"/>
      <c r="B227" s="7"/>
      <c r="C227" s="7"/>
      <c r="D227" s="7"/>
      <c r="E227" s="7"/>
      <c r="F227" s="7"/>
    </row>
    <row r="228" spans="1:6">
      <c r="A228" s="7"/>
      <c r="B228" s="7"/>
      <c r="C228" s="7"/>
      <c r="D228" s="7"/>
      <c r="E228" s="7"/>
      <c r="F228" s="7"/>
    </row>
    <row r="229" spans="1:6">
      <c r="A229" s="7"/>
      <c r="B229" s="7"/>
      <c r="C229" s="7"/>
      <c r="D229" s="7"/>
      <c r="E229" s="7"/>
      <c r="F229" s="7"/>
    </row>
    <row r="230" spans="1:6">
      <c r="A230" s="7"/>
      <c r="B230" s="7"/>
      <c r="C230" s="7"/>
      <c r="D230" s="7"/>
      <c r="E230" s="7"/>
      <c r="F230" s="7"/>
    </row>
    <row r="231" spans="1:6">
      <c r="A231" s="7"/>
      <c r="B231" s="7"/>
      <c r="C231" s="7"/>
      <c r="D231" s="7"/>
      <c r="E231" s="7"/>
      <c r="F231" s="7"/>
    </row>
    <row r="232" spans="1:6">
      <c r="A232" s="7"/>
      <c r="B232" s="7"/>
      <c r="C232" s="7"/>
      <c r="D232" s="7"/>
      <c r="E232" s="7"/>
      <c r="F232" s="7"/>
    </row>
    <row r="233" spans="1:6">
      <c r="A233" s="7"/>
      <c r="B233" s="7"/>
      <c r="C233" s="7"/>
      <c r="D233" s="7"/>
      <c r="E233" s="7"/>
      <c r="F233" s="7"/>
    </row>
    <row r="234" spans="1:6">
      <c r="A234" s="7"/>
      <c r="B234" s="7"/>
      <c r="C234" s="7"/>
      <c r="D234" s="7"/>
      <c r="E234" s="7"/>
      <c r="F234" s="7"/>
    </row>
    <row r="235" spans="1:6">
      <c r="A235" s="7"/>
      <c r="B235" s="7"/>
      <c r="C235" s="7"/>
      <c r="D235" s="7"/>
      <c r="E235" s="7"/>
      <c r="F235" s="7"/>
    </row>
    <row r="236" spans="1:6">
      <c r="A236" s="7"/>
      <c r="B236" s="7"/>
      <c r="C236" s="7"/>
      <c r="D236" s="7"/>
      <c r="E236" s="7"/>
      <c r="F236" s="7"/>
    </row>
    <row r="237" spans="1:6">
      <c r="A237" s="7"/>
      <c r="B237" s="7"/>
      <c r="C237" s="7"/>
      <c r="D237" s="7"/>
      <c r="E237" s="7"/>
      <c r="F237" s="7"/>
    </row>
    <row r="238" spans="1:6">
      <c r="A238" s="7"/>
      <c r="B238" s="7"/>
      <c r="C238" s="7"/>
      <c r="D238" s="7"/>
      <c r="E238" s="7"/>
      <c r="F238" s="7"/>
    </row>
    <row r="239" spans="1:6">
      <c r="A239" s="7"/>
      <c r="B239" s="7"/>
      <c r="C239" s="7"/>
      <c r="D239" s="7"/>
      <c r="E239" s="7"/>
      <c r="F239" s="7"/>
    </row>
    <row r="240" spans="1:6">
      <c r="A240" s="7"/>
      <c r="B240" s="7"/>
      <c r="C240" s="7"/>
      <c r="D240" s="7"/>
      <c r="E240" s="7"/>
      <c r="F240" s="7"/>
    </row>
    <row r="241" spans="1:6">
      <c r="A241" s="7"/>
      <c r="B241" s="7"/>
      <c r="C241" s="7"/>
      <c r="D241" s="7"/>
      <c r="E241" s="7"/>
      <c r="F241" s="7"/>
    </row>
    <row r="242" spans="1:6">
      <c r="A242" s="7"/>
      <c r="B242" s="7"/>
      <c r="C242" s="7"/>
      <c r="D242" s="7"/>
      <c r="E242" s="7"/>
      <c r="F242" s="7"/>
    </row>
    <row r="243" spans="1:6">
      <c r="A243" s="7"/>
      <c r="B243" s="7"/>
      <c r="C243" s="7"/>
      <c r="D243" s="7"/>
      <c r="E243" s="7"/>
      <c r="F243" s="7"/>
    </row>
    <row r="244" spans="1:6">
      <c r="A244" s="7"/>
      <c r="B244" s="7"/>
      <c r="C244" s="7"/>
      <c r="D244" s="7"/>
      <c r="E244" s="7"/>
      <c r="F244" s="7"/>
    </row>
    <row r="245" spans="1:6">
      <c r="A245" s="7"/>
      <c r="B245" s="7"/>
      <c r="C245" s="7"/>
      <c r="D245" s="7"/>
      <c r="E245" s="7"/>
      <c r="F245" s="7"/>
    </row>
    <row r="246" spans="1:6">
      <c r="A246" s="7"/>
      <c r="B246" s="7"/>
      <c r="C246" s="7"/>
      <c r="D246" s="7"/>
      <c r="E246" s="7"/>
      <c r="F246" s="7"/>
    </row>
    <row r="247" spans="1:6">
      <c r="A247" s="7"/>
      <c r="B247" s="7"/>
      <c r="C247" s="7"/>
      <c r="D247" s="7"/>
      <c r="E247" s="7"/>
      <c r="F247" s="7"/>
    </row>
    <row r="248" spans="1:6">
      <c r="A248" s="7"/>
      <c r="B248" s="7"/>
      <c r="C248" s="7"/>
      <c r="D248" s="7"/>
      <c r="E248" s="7"/>
      <c r="F248" s="7"/>
    </row>
    <row r="249" spans="1:6">
      <c r="A249" s="7"/>
      <c r="B249" s="7"/>
      <c r="C249" s="7"/>
      <c r="D249" s="7"/>
      <c r="E249" s="7"/>
      <c r="F249" s="7"/>
    </row>
    <row r="250" spans="1:6">
      <c r="A250" s="7"/>
      <c r="B250" s="7"/>
      <c r="C250" s="7"/>
      <c r="D250" s="7"/>
      <c r="E250" s="7"/>
      <c r="F250" s="7"/>
    </row>
    <row r="251" spans="1:6">
      <c r="A251" s="7"/>
      <c r="B251" s="7"/>
      <c r="C251" s="7"/>
      <c r="D251" s="7"/>
      <c r="E251" s="7"/>
      <c r="F251" s="7"/>
    </row>
    <row r="252" spans="1:6">
      <c r="A252" s="7"/>
      <c r="B252" s="7"/>
      <c r="C252" s="7"/>
      <c r="D252" s="7"/>
      <c r="E252" s="7"/>
      <c r="F252" s="7"/>
    </row>
    <row r="253" spans="1:6">
      <c r="A253" s="7"/>
      <c r="B253" s="7"/>
      <c r="C253" s="7"/>
      <c r="D253" s="7"/>
      <c r="E253" s="7"/>
      <c r="F253" s="7"/>
    </row>
    <row r="254" spans="1:6">
      <c r="A254" s="7"/>
      <c r="B254" s="7"/>
      <c r="C254" s="7"/>
      <c r="D254" s="7"/>
      <c r="E254" s="7"/>
      <c r="F254" s="7"/>
    </row>
    <row r="255" spans="1:6">
      <c r="A255" s="7"/>
      <c r="B255" s="7"/>
      <c r="C255" s="7"/>
      <c r="D255" s="7"/>
      <c r="E255" s="7"/>
      <c r="F255" s="7"/>
    </row>
    <row r="256" spans="1:6">
      <c r="A256" s="7"/>
      <c r="B256" s="7"/>
      <c r="C256" s="7"/>
      <c r="D256" s="7"/>
      <c r="E256" s="7"/>
      <c r="F256" s="7"/>
    </row>
    <row r="257" spans="1:6">
      <c r="A257" s="7"/>
      <c r="B257" s="7"/>
      <c r="C257" s="7"/>
      <c r="D257" s="7"/>
      <c r="E257" s="7"/>
      <c r="F257" s="7"/>
    </row>
    <row r="258" spans="1:6">
      <c r="A258" s="7"/>
      <c r="B258" s="7"/>
      <c r="C258" s="7"/>
      <c r="D258" s="7"/>
      <c r="E258" s="7"/>
      <c r="F258" s="7"/>
    </row>
    <row r="259" spans="1:6">
      <c r="A259" s="7"/>
      <c r="B259" s="7"/>
      <c r="C259" s="7"/>
      <c r="D259" s="7"/>
      <c r="E259" s="7"/>
      <c r="F259" s="7"/>
    </row>
    <row r="260" spans="1:6">
      <c r="A260" s="7"/>
      <c r="B260" s="7"/>
      <c r="C260" s="7"/>
      <c r="D260" s="7"/>
      <c r="E260" s="7"/>
      <c r="F260" s="7"/>
    </row>
    <row r="261" spans="1:6">
      <c r="A261" s="7"/>
      <c r="B261" s="7"/>
      <c r="C261" s="7"/>
      <c r="D261" s="7"/>
      <c r="E261" s="7"/>
      <c r="F261" s="7"/>
    </row>
    <row r="262" spans="1:6">
      <c r="A262" s="7"/>
      <c r="B262" s="7"/>
      <c r="C262" s="7"/>
      <c r="D262" s="7"/>
      <c r="E262" s="7"/>
      <c r="F262" s="7"/>
    </row>
    <row r="263" spans="1:6">
      <c r="A263" s="7"/>
      <c r="B263" s="7"/>
      <c r="C263" s="7"/>
      <c r="D263" s="7"/>
      <c r="E263" s="7"/>
      <c r="F263" s="7"/>
    </row>
    <row r="264" spans="1:6">
      <c r="A264" s="7"/>
      <c r="B264" s="7"/>
      <c r="C264" s="7"/>
      <c r="D264" s="7"/>
      <c r="E264" s="7"/>
      <c r="F264" s="7"/>
    </row>
    <row r="265" spans="1:6">
      <c r="A265" s="7"/>
      <c r="B265" s="7"/>
      <c r="C265" s="7"/>
      <c r="D265" s="7"/>
      <c r="E265" s="7"/>
      <c r="F265" s="7"/>
    </row>
    <row r="266" spans="1:6">
      <c r="A266" s="7"/>
      <c r="B266" s="7"/>
      <c r="C266" s="7"/>
      <c r="D266" s="7"/>
      <c r="E266" s="7"/>
      <c r="F266" s="7"/>
    </row>
    <row r="267" spans="1:6">
      <c r="A267" s="7"/>
      <c r="B267" s="7"/>
      <c r="C267" s="7"/>
      <c r="D267" s="7"/>
      <c r="E267" s="7"/>
      <c r="F267" s="7"/>
    </row>
    <row r="268" spans="1:6">
      <c r="A268" s="7"/>
      <c r="B268" s="7"/>
      <c r="C268" s="7"/>
      <c r="D268" s="7"/>
      <c r="E268" s="7"/>
      <c r="F268" s="7"/>
    </row>
    <row r="269" spans="1:6">
      <c r="A269" s="7"/>
      <c r="B269" s="7"/>
      <c r="C269" s="7"/>
      <c r="D269" s="7"/>
      <c r="E269" s="7"/>
      <c r="F269" s="7"/>
    </row>
    <row r="270" spans="1:6">
      <c r="A270" s="7"/>
      <c r="B270" s="7"/>
      <c r="C270" s="7"/>
      <c r="D270" s="7"/>
      <c r="E270" s="7"/>
      <c r="F270" s="7"/>
    </row>
    <row r="271" spans="1:6">
      <c r="A271" s="7"/>
      <c r="B271" s="7"/>
      <c r="C271" s="7"/>
      <c r="D271" s="7"/>
      <c r="E271" s="7"/>
      <c r="F271" s="7"/>
    </row>
    <row r="272" spans="1:6">
      <c r="A272" s="7"/>
      <c r="B272" s="7"/>
      <c r="C272" s="7"/>
      <c r="D272" s="7"/>
      <c r="E272" s="7"/>
      <c r="F272" s="7"/>
    </row>
    <row r="273" spans="1:6">
      <c r="A273" s="7"/>
      <c r="B273" s="7"/>
      <c r="C273" s="7"/>
      <c r="D273" s="7"/>
      <c r="E273" s="7"/>
      <c r="F273" s="7"/>
    </row>
    <row r="274" spans="1:6">
      <c r="A274" s="7"/>
      <c r="B274" s="7"/>
      <c r="C274" s="7"/>
      <c r="D274" s="7"/>
      <c r="E274" s="7"/>
      <c r="F274" s="7"/>
    </row>
    <row r="275" spans="1:6">
      <c r="A275" s="7"/>
      <c r="B275" s="7"/>
      <c r="C275" s="7"/>
      <c r="D275" s="7"/>
      <c r="E275" s="7"/>
      <c r="F275" s="7"/>
    </row>
    <row r="276" spans="1:6">
      <c r="A276" s="7"/>
      <c r="B276" s="7"/>
      <c r="C276" s="7"/>
      <c r="D276" s="7"/>
      <c r="E276" s="7"/>
      <c r="F276" s="7"/>
    </row>
    <row r="277" spans="1:6">
      <c r="A277" s="7"/>
      <c r="B277" s="7"/>
      <c r="C277" s="7"/>
      <c r="D277" s="7"/>
      <c r="E277" s="7"/>
      <c r="F277" s="7"/>
    </row>
    <row r="278" spans="1:6">
      <c r="A278" s="7"/>
      <c r="B278" s="7"/>
      <c r="C278" s="7"/>
      <c r="D278" s="7"/>
      <c r="E278" s="7"/>
      <c r="F278" s="7"/>
    </row>
    <row r="279" spans="1:6">
      <c r="A279" s="7"/>
      <c r="B279" s="7"/>
      <c r="C279" s="7"/>
      <c r="D279" s="7"/>
      <c r="E279" s="7"/>
      <c r="F279" s="7"/>
    </row>
    <row r="280" spans="1:6">
      <c r="A280" s="7"/>
      <c r="B280" s="7"/>
      <c r="C280" s="7"/>
      <c r="D280" s="7"/>
      <c r="E280" s="7"/>
      <c r="F280" s="7"/>
    </row>
    <row r="281" spans="1:6">
      <c r="A281" s="7"/>
      <c r="B281" s="7"/>
      <c r="C281" s="7"/>
      <c r="D281" s="7"/>
      <c r="E281" s="7"/>
      <c r="F281" s="7"/>
    </row>
    <row r="282" spans="1:6">
      <c r="A282" s="7"/>
      <c r="B282" s="7"/>
      <c r="C282" s="7"/>
      <c r="D282" s="7"/>
      <c r="E282" s="7"/>
      <c r="F282" s="7"/>
    </row>
    <row r="283" spans="1:6">
      <c r="A283" s="7"/>
      <c r="B283" s="7"/>
      <c r="C283" s="7"/>
      <c r="D283" s="7"/>
      <c r="E283" s="7"/>
      <c r="F283" s="7"/>
    </row>
    <row r="284" spans="1:6">
      <c r="A284" s="7"/>
      <c r="B284" s="7"/>
      <c r="C284" s="7"/>
      <c r="D284" s="7"/>
      <c r="E284" s="7"/>
      <c r="F284" s="7"/>
    </row>
    <row r="285" spans="1:6">
      <c r="A285" s="7"/>
      <c r="B285" s="7"/>
      <c r="C285" s="7"/>
      <c r="D285" s="7"/>
      <c r="E285" s="7"/>
      <c r="F285" s="7"/>
    </row>
    <row r="286" spans="1:6">
      <c r="A286" s="7"/>
      <c r="B286" s="7"/>
      <c r="C286" s="7"/>
      <c r="D286" s="7"/>
      <c r="E286" s="7"/>
      <c r="F286" s="7"/>
    </row>
    <row r="287" spans="1:6">
      <c r="A287" s="7"/>
      <c r="B287" s="7"/>
      <c r="C287" s="7"/>
      <c r="D287" s="7"/>
      <c r="E287" s="7"/>
      <c r="F287" s="7"/>
    </row>
    <row r="288" spans="1:6">
      <c r="A288" s="7"/>
      <c r="B288" s="7"/>
      <c r="C288" s="7"/>
      <c r="D288" s="7"/>
      <c r="E288" s="7"/>
      <c r="F288" s="7"/>
    </row>
    <row r="289" spans="1:6">
      <c r="A289" s="7"/>
      <c r="B289" s="7"/>
      <c r="C289" s="7"/>
      <c r="D289" s="7"/>
      <c r="E289" s="7"/>
      <c r="F289" s="7"/>
    </row>
    <row r="290" spans="1:6">
      <c r="A290" s="7"/>
      <c r="B290" s="7"/>
      <c r="C290" s="7"/>
      <c r="D290" s="7"/>
      <c r="E290" s="7"/>
      <c r="F290" s="7"/>
    </row>
    <row r="291" spans="1:6">
      <c r="A291" s="7"/>
      <c r="B291" s="7"/>
      <c r="C291" s="7"/>
      <c r="D291" s="7"/>
      <c r="E291" s="7"/>
      <c r="F291" s="7"/>
    </row>
    <row r="292" spans="1:6">
      <c r="A292" s="7"/>
      <c r="B292" s="7"/>
      <c r="C292" s="7"/>
      <c r="D292" s="7"/>
      <c r="E292" s="7"/>
      <c r="F292" s="7"/>
    </row>
    <row r="293" spans="1:6">
      <c r="A293" s="7"/>
      <c r="B293" s="7"/>
      <c r="C293" s="7"/>
      <c r="D293" s="7"/>
      <c r="E293" s="7"/>
      <c r="F293" s="7"/>
    </row>
    <row r="294" spans="1:6">
      <c r="A294" s="7"/>
      <c r="B294" s="7"/>
      <c r="C294" s="7"/>
      <c r="D294" s="7"/>
      <c r="E294" s="7"/>
      <c r="F294" s="7"/>
    </row>
    <row r="295" spans="1:6">
      <c r="A295" s="7"/>
      <c r="B295" s="7"/>
      <c r="C295" s="7"/>
      <c r="D295" s="7"/>
      <c r="E295" s="7"/>
      <c r="F295" s="7"/>
    </row>
    <row r="296" spans="1:6">
      <c r="A296" s="7"/>
      <c r="B296" s="7"/>
      <c r="C296" s="7"/>
      <c r="D296" s="7"/>
      <c r="E296" s="7"/>
      <c r="F296" s="7"/>
    </row>
    <row r="297" spans="1:6">
      <c r="A297" s="7"/>
      <c r="B297" s="7"/>
      <c r="C297" s="7"/>
      <c r="D297" s="7"/>
      <c r="E297" s="7"/>
      <c r="F297" s="7"/>
    </row>
    <row r="298" spans="1:6">
      <c r="A298" s="7"/>
      <c r="B298" s="7"/>
      <c r="C298" s="7"/>
      <c r="D298" s="7"/>
      <c r="E298" s="7"/>
      <c r="F298" s="7"/>
    </row>
    <row r="299" spans="1:6">
      <c r="A299" s="7"/>
      <c r="B299" s="7"/>
      <c r="C299" s="7"/>
      <c r="D299" s="7"/>
      <c r="E299" s="7"/>
      <c r="F299" s="7"/>
    </row>
    <row r="300" spans="1:6">
      <c r="A300" s="7"/>
      <c r="B300" s="7"/>
      <c r="C300" s="7"/>
      <c r="D300" s="7"/>
      <c r="E300" s="7"/>
      <c r="F300" s="7"/>
    </row>
    <row r="301" spans="1:6">
      <c r="A301" s="7"/>
      <c r="B301" s="7"/>
      <c r="C301" s="7"/>
      <c r="D301" s="7"/>
      <c r="E301" s="7"/>
      <c r="F301" s="7"/>
    </row>
    <row r="302" spans="1:6">
      <c r="A302" s="7"/>
      <c r="B302" s="7"/>
      <c r="C302" s="7"/>
      <c r="D302" s="7"/>
      <c r="E302" s="7"/>
      <c r="F302" s="7"/>
    </row>
    <row r="303" spans="1:6">
      <c r="A303" s="7"/>
      <c r="B303" s="7"/>
      <c r="C303" s="7"/>
      <c r="D303" s="7"/>
      <c r="E303" s="7"/>
      <c r="F303" s="7"/>
    </row>
    <row r="304" spans="1:6">
      <c r="A304" s="7"/>
      <c r="B304" s="7"/>
      <c r="C304" s="7"/>
      <c r="D304" s="7"/>
      <c r="E304" s="7"/>
      <c r="F304" s="7"/>
    </row>
  </sheetData>
  <mergeCells count="2">
    <mergeCell ref="A1:F1"/>
    <mergeCell ref="A2:F2"/>
  </mergeCells>
  <pageMargins left="0.7" right="0.7" top="0.75" bottom="0.75" header="0.3" footer="0.3"/>
  <pageSetup fitToHeight="0" orientation="landscape"/>
  <headerFooter>
    <oddFooter>&amp;LWFMHub | made by Anass ASSRI&amp;CPage &amp;P of &amp;N&amp;RConfidential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7C83"/>
    <pageSetUpPr fitToPage="1"/>
  </sheetPr>
  <dimension ref="A1:T5"/>
  <sheetViews>
    <sheetView showGridLines="0" zoomScale="90" zoomScaleNormal="90" workbookViewId="0">
      <pane xSplit="5" ySplit="4" topLeftCell="F5" activePane="bottomRight" state="frozen"/>
      <selection pane="topRight" activeCell="F1" sqref="F1"/>
      <selection pane="bottomLeft" activeCell="A5" sqref="A5"/>
      <selection pane="bottomRight"/>
    </sheetView>
  </sheetViews>
  <sheetFormatPr defaultRowHeight="15"/>
  <cols>
    <col min="1" max="2" width="20.7109375" customWidth="1"/>
    <col min="3" max="3" width="19.7109375" customWidth="1"/>
    <col min="4" max="5" width="15.7109375" customWidth="1"/>
    <col min="6" max="6" width="24.7109375" customWidth="1"/>
    <col min="7" max="9" width="16.7109375" customWidth="1"/>
    <col min="10" max="17" width="20.7109375" customWidth="1"/>
    <col min="18" max="20" width="17.7109375" customWidth="1"/>
  </cols>
  <sheetData>
    <row r="1" spans="1:20" ht="32" customHeight="1">
      <c r="A1" s="1" t="s">
        <v>170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20" customHeight="1">
      <c r="A2" s="2" t="s">
        <v>171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spans="1:20">
      <c r="A4" s="3" t="s">
        <v>172</v>
      </c>
      <c r="B4" s="3" t="s">
        <v>173</v>
      </c>
      <c r="C4" s="3" t="s">
        <v>174</v>
      </c>
      <c r="D4" s="3" t="s">
        <v>175</v>
      </c>
      <c r="E4" s="3" t="s">
        <v>15</v>
      </c>
      <c r="F4" s="3" t="s">
        <v>17</v>
      </c>
      <c r="G4" s="3" t="s">
        <v>176</v>
      </c>
      <c r="H4" s="3" t="s">
        <v>177</v>
      </c>
      <c r="I4" s="3" t="s">
        <v>178</v>
      </c>
      <c r="J4" s="3" t="s">
        <v>179</v>
      </c>
      <c r="K4" s="3" t="s">
        <v>180</v>
      </c>
      <c r="L4" s="3" t="s">
        <v>181</v>
      </c>
      <c r="M4" s="3" t="s">
        <v>182</v>
      </c>
      <c r="N4" s="3" t="s">
        <v>183</v>
      </c>
      <c r="O4" s="3" t="s">
        <v>18</v>
      </c>
      <c r="P4" s="3" t="s">
        <v>19</v>
      </c>
      <c r="Q4" s="3" t="s">
        <v>20</v>
      </c>
      <c r="R4" s="3" t="s">
        <v>184</v>
      </c>
      <c r="S4" s="3" t="s">
        <v>185</v>
      </c>
      <c r="T4" s="3" t="s">
        <v>186</v>
      </c>
    </row>
    <row r="5" spans="1:20">
      <c r="A5" s="6"/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>
        <f>IF([[#This Row],[Call Date/Time]]="","",IFERROR(INDEX(tblPCSRoster[Team Leader],MATCH([[#This Row],[Agent ID]],tblPCSRoster[Agent ID],0)),""))</f>
        <v>0</v>
      </c>
      <c r="P5">
        <f>IF([[#This Row],[Call Date/Time]]="","",IFERROR(INDEX(tblPCSRoster[Ops Manager],MATCH([[#This Row],[Agent ID]],tblPCSRoster[Agent ID],0)),""))</f>
        <v>0</v>
      </c>
      <c r="Q5">
        <f>IF([[#This Row],[Call Date/Time]]="","",IFERROR(INDEX(tblPCSRoster[LOB],MATCH([[#This Row],[Agent ID]],tblPCSRoster[Agent ID],0)),""))</f>
        <v>0</v>
      </c>
      <c r="R5">
        <f>IF([[#This Row],[Call Date/Time]]="","",IF(AND(ISNUMBER([[#This Row],[Question 1]]),[[#This Row],[Question 1]]&gt;=1,[[#This Row],[Question 1]]&lt;=5,MOD([[#This Row],[Question 1]],1)=0),[[#This Row],[Question 1]],""))</f>
        <v>0</v>
      </c>
      <c r="S5">
        <f>IF([[#This Row],[Call Date/Time]]="","",--([[#This Row],[Question 1]]&lt;&gt;""))</f>
        <v>0</v>
      </c>
      <c r="T5">
        <f>IF([[#This Row],[Call Date/Time]]="","",IF([[#This Row],[Agent ID]]="","MISSING AGENT ID",IF(COUNTIF(tblPCSRoster[Agent ID],[[#This Row],[Agent ID]])=0,"UNMATCHED AGENT",IF(AND([[#This Row],[Question 1]]&lt;&gt;"",[[#This Row],[Valid Q1]]=""),"INVALID Q1",""))))</f>
        <v>0</v>
      </c>
    </row>
  </sheetData>
  <mergeCells count="2">
    <mergeCell ref="A1:T1"/>
    <mergeCell ref="A2:T2"/>
  </mergeCells>
  <dataValidations count="1">
    <dataValidation type="list" allowBlank="1" showInputMessage="1" showErrorMessage="1" sqref="D5:D1048576">
      <formula1>"I,O"</formula1>
    </dataValidation>
  </dataValidations>
  <pageMargins left="0.7" right="0.7" top="0.75" bottom="0.75" header="0.3" footer="0.3"/>
  <pageSetup fitToHeight="0" orientation="landscape"/>
  <headerFooter>
    <oddFooter>&amp;LWFMHub | made by Anass ASSRI&amp;CPage &amp;P of &amp;N&amp;RConfidential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07C83"/>
    <pageSetUpPr fitToPage="1"/>
  </sheetPr>
  <dimension ref="A1:W304"/>
  <sheetViews>
    <sheetView showGridLines="0" zoomScale="90" zoomScaleNormal="90" workbookViewId="0">
      <pane xSplit="5" ySplit="4" topLeftCell="F5" activePane="bottomRight" state="frozen"/>
      <selection pane="topRight" activeCell="F1" sqref="F1"/>
      <selection pane="bottomLeft" activeCell="A5" sqref="A5"/>
      <selection pane="bottomRight"/>
    </sheetView>
  </sheetViews>
  <sheetFormatPr defaultRowHeight="15"/>
  <cols>
    <col min="1" max="1" width="15.7109375" customWidth="1"/>
    <col min="2" max="5" width="23.7109375" customWidth="1"/>
    <col min="6" max="23" width="18.7109375" customWidth="1"/>
  </cols>
  <sheetData>
    <row r="1" spans="1:23" ht="32" customHeight="1">
      <c r="A1" s="1" t="s">
        <v>187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20" customHeight="1">
      <c r="A2" s="2" t="s">
        <v>188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4" spans="1:23">
      <c r="A4" s="3" t="s">
        <v>15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189</v>
      </c>
      <c r="G4" s="3" t="s">
        <v>190</v>
      </c>
      <c r="H4" s="3" t="s">
        <v>191</v>
      </c>
      <c r="I4" s="3" t="s">
        <v>192</v>
      </c>
      <c r="J4" s="3" t="s">
        <v>193</v>
      </c>
      <c r="K4" s="3" t="s">
        <v>194</v>
      </c>
      <c r="L4" s="3" t="s">
        <v>195</v>
      </c>
      <c r="M4" s="3" t="s">
        <v>196</v>
      </c>
      <c r="N4" s="3" t="s">
        <v>197</v>
      </c>
      <c r="O4" s="3" t="s">
        <v>198</v>
      </c>
      <c r="P4" s="3" t="s">
        <v>199</v>
      </c>
      <c r="Q4" s="3" t="s">
        <v>200</v>
      </c>
      <c r="R4" s="3" t="s">
        <v>201</v>
      </c>
      <c r="S4" s="3" t="s">
        <v>202</v>
      </c>
      <c r="T4" s="3" t="s">
        <v>203</v>
      </c>
      <c r="U4" s="3" t="s">
        <v>204</v>
      </c>
      <c r="V4" s="3" t="s">
        <v>205</v>
      </c>
      <c r="W4" s="3" t="s">
        <v>206</v>
      </c>
    </row>
    <row r="5" spans="1:23">
      <c r="A5" s="4">
        <f>IF(ROSTER!A5="","",ROSTER!A5)</f>
        <v>96458</v>
      </c>
      <c r="B5" s="4" t="str">
        <f>IF($A5="","",ROSTER!C5)</f>
        <v>MOKHTAR Kawtar</v>
      </c>
      <c r="C5" s="4" t="str">
        <f>IF($A5="","",ROSTER!D5)</f>
        <v>Farouk BOUAZZAOUI</v>
      </c>
      <c r="D5" s="4" t="str">
        <f>IF($A5="","",ROSTER!E5)</f>
        <v>Anas OUAKKAD</v>
      </c>
      <c r="E5" s="4" t="str">
        <f>IF($A5="","",ROSTER!F5)</f>
        <v>RSA FR</v>
      </c>
      <c r="F5" s="11">
        <f>IF($A5="","",COUNTIFS(tblPCSInput[Call Date/Time],"&gt;="&amp;(SETUP!$B$5),tblPCSInput[Call Date/Time],"&lt;"&amp;(SETUP!$B$5+1),tblPCSInput[Call Direction],"I",tblPCSInput[Agent ID],$A5,tblPCSInput[PCSStatus],1))</f>
        <v/>
      </c>
      <c r="G5" s="11">
        <f>IF($A5="","",COUNTIFS(tblPCSInput[Call Date/Time],"&gt;="&amp;(SETUP!$B$5),tblPCSInput[Call Date/Time],"&lt;"&amp;(SETUP!$B$5+1),tblPCSInput[Call Direction],"I",tblPCSInput[Agent ID],$A5,tblPCSInput[Question 1],"&lt;&gt;"))</f>
        <v/>
      </c>
      <c r="H5" s="11">
        <f>IF($A5="","",COUNTIFS(tblPCSInput[Call Date/Time],"&gt;="&amp;(SETUP!$B$5),tblPCSInput[Call Date/Time],"&lt;"&amp;(SETUP!$B$5+1),tblPCSInput[Call Direction],"I",tblPCSInput[Agent ID],$A5,tblPCSInput[Valid Q1],"&gt;=1"))</f>
        <v/>
      </c>
      <c r="I5" s="12">
        <f>IFERROR(SUMIFS(tblPCSInput[Valid Q1],tblPCSInput[Call Date/Time],"&gt;="&amp;SETUP!$B$5,tblPCSInput[Call Date/Time],"&lt;"&amp;SETUP!$B$5+1,tblPCSInput[Call Direction],"I",tblPCSInput[Agent ID],$A5)/COUNTIFS(tblPCSInput[Call Date/Time],"&gt;="&amp;(SETUP!$B$5),tblPCSInput[Call Date/Time],"&lt;"&amp;(SETUP!$B$5+1),tblPCSInput[Call Direction],"I",tblPCSInput[Agent ID],$A5,tblPCSInput[Valid Q1],"&gt;=1"),"")</f>
        <v/>
      </c>
      <c r="J5" s="11">
        <f>IF(I5="","",COUNTIFS(tblPCSInput[Call Date/Time],"&gt;="&amp;(SETUP!$B$5),tblPCSInput[Call Date/Time],"&lt;"&amp;(SETUP!$B$5+1),tblPCSInput[Call Direction],"I",tblPCSInput[Agent ID],$A5,tblPCSInput[Valid Q1],"&lt;=3",tblPCSInput[Valid Q1],"&gt;=1"))</f>
        <v/>
      </c>
      <c r="K5" s="11">
        <f>IF(I5="","",COUNTIFS(tblPCSInput[Call Date/Time],"&gt;="&amp;(SETUP!$B$5),tblPCSInput[Call Date/Time],"&lt;"&amp;(SETUP!$B$5+1),tblPCSInput[Call Direction],"I",tblPCSInput[Agent ID],$A5,tblPCSInput[Valid Q1],"&gt;3"))</f>
        <v/>
      </c>
      <c r="L5" s="13">
        <f>IFERROR(G5/F5,"")</f>
        <v/>
      </c>
      <c r="M5" s="13">
        <f>IFERROR(H5/F5,"")</f>
        <v/>
      </c>
      <c r="N5" s="11">
        <f>IF($A5="","",MAX(0,G5-H5))</f>
        <v/>
      </c>
      <c r="O5" s="4">
        <f>IF($A5="","",IF(H5=0,"NO VALID SURVEY",IF(H5&lt;5,"LOW SAMPLE","OK")))</f>
        <v/>
      </c>
      <c r="P5" s="11">
        <f>IF($A5="","",COUNTIFS(tblPCSInput[Call Date/Time],"&gt;="&amp;(SETUP!$B$6),tblPCSInput[Call Date/Time],"&lt;"&amp;(SETUP!$B$7),tblPCSInput[Call Direction],"I",tblPCSInput[Agent ID],$A5,tblPCSInput[PCSStatus],1))</f>
        <v/>
      </c>
      <c r="Q5" s="11">
        <f>IF($A5="","",COUNTIFS(tblPCSInput[Call Date/Time],"&gt;="&amp;(SETUP!$B$6),tblPCSInput[Call Date/Time],"&lt;"&amp;(SETUP!$B$7),tblPCSInput[Call Direction],"I",tblPCSInput[Agent ID],$A5,tblPCSInput[Question 1],"&lt;&gt;"))</f>
        <v/>
      </c>
      <c r="R5" s="11">
        <f>IF($A5="","",COUNTIFS(tblPCSInput[Call Date/Time],"&gt;="&amp;(SETUP!$B$6),tblPCSInput[Call Date/Time],"&lt;"&amp;(SETUP!$B$7),tblPCSInput[Call Direction],"I",tblPCSInput[Agent ID],$A5,tblPCSInput[Valid Q1],"&gt;=1"))</f>
        <v/>
      </c>
      <c r="S5" s="12">
        <f>IFERROR(SUMIFS(tblPCSInput[Valid Q1],tblPCSInput[Call Date/Time],"&gt;="&amp;SETUP!$B$6,tblPCSInput[Call Date/Time],"&lt;"&amp;SETUP!$B$7,tblPCSInput[Call Direction],"I",tblPCSInput[Agent ID],$A5)/COUNTIFS(tblPCSInput[Call Date/Time],"&gt;="&amp;(SETUP!$B$6),tblPCSInput[Call Date/Time],"&lt;"&amp;(SETUP!$B$7),tblPCSInput[Call Direction],"I",tblPCSInput[Agent ID],$A5,tblPCSInput[Valid Q1],"&gt;=1"),"")</f>
        <v/>
      </c>
      <c r="T5" s="11">
        <f>IF(S5="","",COUNTIFS(tblPCSInput[Call Date/Time],"&gt;="&amp;(SETUP!$B$6),tblPCSInput[Call Date/Time],"&lt;"&amp;(SETUP!$B$7),tblPCSInput[Call Direction],"I",tblPCSInput[Agent ID],$A5,tblPCSInput[Valid Q1],"&lt;=3",tblPCSInput[Valid Q1],"&gt;=1"))</f>
        <v/>
      </c>
      <c r="U5" s="11">
        <f>IF(S5="","",COUNTIFS(tblPCSInput[Call Date/Time],"&gt;="&amp;(SETUP!$B$6),tblPCSInput[Call Date/Time],"&lt;"&amp;(SETUP!$B$7),tblPCSInput[Call Direction],"I",tblPCSInput[Agent ID],$A5,tblPCSInput[Valid Q1],"&gt;3"))</f>
        <v/>
      </c>
      <c r="V5" s="13">
        <f>IFERROR(Q5/P5,"")</f>
        <v/>
      </c>
      <c r="W5" s="13">
        <f>IFERROR(R5/P5,"")</f>
        <v/>
      </c>
    </row>
    <row r="6" spans="1:23">
      <c r="A6" s="4">
        <f>IF(ROSTER!A6="","",ROSTER!A6)</f>
        <v>96527</v>
      </c>
      <c r="B6" s="4" t="str">
        <f>IF($A6="","",ROSTER!C6)</f>
        <v>NASSER Meryem</v>
      </c>
      <c r="C6" s="4" t="str">
        <f>IF($A6="","",ROSTER!D6)</f>
        <v>Farouk BOUAZZAOUI</v>
      </c>
      <c r="D6" s="4" t="str">
        <f>IF($A6="","",ROSTER!E6)</f>
        <v>Anas OUAKKAD</v>
      </c>
      <c r="E6" s="4" t="str">
        <f>IF($A6="","",ROSTER!F6)</f>
        <v>RSA FR</v>
      </c>
      <c r="F6" s="11">
        <f>IF($A6="","",COUNTIFS(tblPCSInput[Call Date/Time],"&gt;="&amp;(SETUP!$B$5),tblPCSInput[Call Date/Time],"&lt;"&amp;(SETUP!$B$5+1),tblPCSInput[Call Direction],"I",tblPCSInput[Agent ID],$A6,tblPCSInput[PCSStatus],1))</f>
        <v/>
      </c>
      <c r="G6" s="11">
        <f>IF($A6="","",COUNTIFS(tblPCSInput[Call Date/Time],"&gt;="&amp;(SETUP!$B$5),tblPCSInput[Call Date/Time],"&lt;"&amp;(SETUP!$B$5+1),tblPCSInput[Call Direction],"I",tblPCSInput[Agent ID],$A6,tblPCSInput[Question 1],"&lt;&gt;"))</f>
        <v/>
      </c>
      <c r="H6" s="11">
        <f>IF($A6="","",COUNTIFS(tblPCSInput[Call Date/Time],"&gt;="&amp;(SETUP!$B$5),tblPCSInput[Call Date/Time],"&lt;"&amp;(SETUP!$B$5+1),tblPCSInput[Call Direction],"I",tblPCSInput[Agent ID],$A6,tblPCSInput[Valid Q1],"&gt;=1"))</f>
        <v/>
      </c>
      <c r="I6" s="12">
        <f>IFERROR(SUMIFS(tblPCSInput[Valid Q1],tblPCSInput[Call Date/Time],"&gt;="&amp;SETUP!$B$5,tblPCSInput[Call Date/Time],"&lt;"&amp;SETUP!$B$5+1,tblPCSInput[Call Direction],"I",tblPCSInput[Agent ID],$A6)/COUNTIFS(tblPCSInput[Call Date/Time],"&gt;="&amp;(SETUP!$B$5),tblPCSInput[Call Date/Time],"&lt;"&amp;(SETUP!$B$5+1),tblPCSInput[Call Direction],"I",tblPCSInput[Agent ID],$A6,tblPCSInput[Valid Q1],"&gt;=1"),"")</f>
        <v/>
      </c>
      <c r="J6" s="11">
        <f>IF(I6="","",COUNTIFS(tblPCSInput[Call Date/Time],"&gt;="&amp;(SETUP!$B$5),tblPCSInput[Call Date/Time],"&lt;"&amp;(SETUP!$B$5+1),tblPCSInput[Call Direction],"I",tblPCSInput[Agent ID],$A6,tblPCSInput[Valid Q1],"&lt;=3",tblPCSInput[Valid Q1],"&gt;=1"))</f>
        <v/>
      </c>
      <c r="K6" s="11">
        <f>IF(I6="","",COUNTIFS(tblPCSInput[Call Date/Time],"&gt;="&amp;(SETUP!$B$5),tblPCSInput[Call Date/Time],"&lt;"&amp;(SETUP!$B$5+1),tblPCSInput[Call Direction],"I",tblPCSInput[Agent ID],$A6,tblPCSInput[Valid Q1],"&gt;3"))</f>
        <v/>
      </c>
      <c r="L6" s="13">
        <f>IFERROR(G6/F6,"")</f>
        <v/>
      </c>
      <c r="M6" s="13">
        <f>IFERROR(H6/F6,"")</f>
        <v/>
      </c>
      <c r="N6" s="11">
        <f>IF($A6="","",MAX(0,G6-H6))</f>
        <v/>
      </c>
      <c r="O6" s="4">
        <f>IF($A6="","",IF(H6=0,"NO VALID SURVEY",IF(H6&lt;5,"LOW SAMPLE","OK")))</f>
        <v/>
      </c>
      <c r="P6" s="11">
        <f>IF($A6="","",COUNTIFS(tblPCSInput[Call Date/Time],"&gt;="&amp;(SETUP!$B$6),tblPCSInput[Call Date/Time],"&lt;"&amp;(SETUP!$B$7),tblPCSInput[Call Direction],"I",tblPCSInput[Agent ID],$A6,tblPCSInput[PCSStatus],1))</f>
        <v/>
      </c>
      <c r="Q6" s="11">
        <f>IF($A6="","",COUNTIFS(tblPCSInput[Call Date/Time],"&gt;="&amp;(SETUP!$B$6),tblPCSInput[Call Date/Time],"&lt;"&amp;(SETUP!$B$7),tblPCSInput[Call Direction],"I",tblPCSInput[Agent ID],$A6,tblPCSInput[Question 1],"&lt;&gt;"))</f>
        <v/>
      </c>
      <c r="R6" s="11">
        <f>IF($A6="","",COUNTIFS(tblPCSInput[Call Date/Time],"&gt;="&amp;(SETUP!$B$6),tblPCSInput[Call Date/Time],"&lt;"&amp;(SETUP!$B$7),tblPCSInput[Call Direction],"I",tblPCSInput[Agent ID],$A6,tblPCSInput[Valid Q1],"&gt;=1"))</f>
        <v/>
      </c>
      <c r="S6" s="12">
        <f>IFERROR(SUMIFS(tblPCSInput[Valid Q1],tblPCSInput[Call Date/Time],"&gt;="&amp;SETUP!$B$6,tblPCSInput[Call Date/Time],"&lt;"&amp;SETUP!$B$7,tblPCSInput[Call Direction],"I",tblPCSInput[Agent ID],$A6)/COUNTIFS(tblPCSInput[Call Date/Time],"&gt;="&amp;(SETUP!$B$6),tblPCSInput[Call Date/Time],"&lt;"&amp;(SETUP!$B$7),tblPCSInput[Call Direction],"I",tblPCSInput[Agent ID],$A6,tblPCSInput[Valid Q1],"&gt;=1"),"")</f>
        <v/>
      </c>
      <c r="T6" s="11">
        <f>IF(S6="","",COUNTIFS(tblPCSInput[Call Date/Time],"&gt;="&amp;(SETUP!$B$6),tblPCSInput[Call Date/Time],"&lt;"&amp;(SETUP!$B$7),tblPCSInput[Call Direction],"I",tblPCSInput[Agent ID],$A6,tblPCSInput[Valid Q1],"&lt;=3",tblPCSInput[Valid Q1],"&gt;=1"))</f>
        <v/>
      </c>
      <c r="U6" s="11">
        <f>IF(S6="","",COUNTIFS(tblPCSInput[Call Date/Time],"&gt;="&amp;(SETUP!$B$6),tblPCSInput[Call Date/Time],"&lt;"&amp;(SETUP!$B$7),tblPCSInput[Call Direction],"I",tblPCSInput[Agent ID],$A6,tblPCSInput[Valid Q1],"&gt;3"))</f>
        <v/>
      </c>
      <c r="V6" s="13">
        <f>IFERROR(Q6/P6,"")</f>
        <v/>
      </c>
      <c r="W6" s="13">
        <f>IFERROR(R6/P6,"")</f>
        <v/>
      </c>
    </row>
    <row r="7" spans="1:23">
      <c r="A7" s="4">
        <f>IF(ROSTER!A7="","",ROSTER!A7)</f>
        <v>96472</v>
      </c>
      <c r="B7" s="4" t="str">
        <f>IF($A7="","",ROSTER!C7)</f>
        <v>LAOOUINA Meryem</v>
      </c>
      <c r="C7" s="4" t="str">
        <f>IF($A7="","",ROSTER!D7)</f>
        <v>Farouk BOUAZZAOUI</v>
      </c>
      <c r="D7" s="4" t="str">
        <f>IF($A7="","",ROSTER!E7)</f>
        <v>Anas OUAKKAD</v>
      </c>
      <c r="E7" s="4" t="str">
        <f>IF($A7="","",ROSTER!F7)</f>
        <v>RSA FR</v>
      </c>
      <c r="F7" s="11">
        <f>IF($A7="","",COUNTIFS(tblPCSInput[Call Date/Time],"&gt;="&amp;(SETUP!$B$5),tblPCSInput[Call Date/Time],"&lt;"&amp;(SETUP!$B$5+1),tblPCSInput[Call Direction],"I",tblPCSInput[Agent ID],$A7,tblPCSInput[PCSStatus],1))</f>
        <v/>
      </c>
      <c r="G7" s="11">
        <f>IF($A7="","",COUNTIFS(tblPCSInput[Call Date/Time],"&gt;="&amp;(SETUP!$B$5),tblPCSInput[Call Date/Time],"&lt;"&amp;(SETUP!$B$5+1),tblPCSInput[Call Direction],"I",tblPCSInput[Agent ID],$A7,tblPCSInput[Question 1],"&lt;&gt;"))</f>
        <v/>
      </c>
      <c r="H7" s="11">
        <f>IF($A7="","",COUNTIFS(tblPCSInput[Call Date/Time],"&gt;="&amp;(SETUP!$B$5),tblPCSInput[Call Date/Time],"&lt;"&amp;(SETUP!$B$5+1),tblPCSInput[Call Direction],"I",tblPCSInput[Agent ID],$A7,tblPCSInput[Valid Q1],"&gt;=1"))</f>
        <v/>
      </c>
      <c r="I7" s="12">
        <f>IFERROR(SUMIFS(tblPCSInput[Valid Q1],tblPCSInput[Call Date/Time],"&gt;="&amp;SETUP!$B$5,tblPCSInput[Call Date/Time],"&lt;"&amp;SETUP!$B$5+1,tblPCSInput[Call Direction],"I",tblPCSInput[Agent ID],$A7)/COUNTIFS(tblPCSInput[Call Date/Time],"&gt;="&amp;(SETUP!$B$5),tblPCSInput[Call Date/Time],"&lt;"&amp;(SETUP!$B$5+1),tblPCSInput[Call Direction],"I",tblPCSInput[Agent ID],$A7,tblPCSInput[Valid Q1],"&gt;=1"),"")</f>
        <v/>
      </c>
      <c r="J7" s="11">
        <f>IF(I7="","",COUNTIFS(tblPCSInput[Call Date/Time],"&gt;="&amp;(SETUP!$B$5),tblPCSInput[Call Date/Time],"&lt;"&amp;(SETUP!$B$5+1),tblPCSInput[Call Direction],"I",tblPCSInput[Agent ID],$A7,tblPCSInput[Valid Q1],"&lt;=3",tblPCSInput[Valid Q1],"&gt;=1"))</f>
        <v/>
      </c>
      <c r="K7" s="11">
        <f>IF(I7="","",COUNTIFS(tblPCSInput[Call Date/Time],"&gt;="&amp;(SETUP!$B$5),tblPCSInput[Call Date/Time],"&lt;"&amp;(SETUP!$B$5+1),tblPCSInput[Call Direction],"I",tblPCSInput[Agent ID],$A7,tblPCSInput[Valid Q1],"&gt;3"))</f>
        <v/>
      </c>
      <c r="L7" s="13">
        <f>IFERROR(G7/F7,"")</f>
        <v/>
      </c>
      <c r="M7" s="13">
        <f>IFERROR(H7/F7,"")</f>
        <v/>
      </c>
      <c r="N7" s="11">
        <f>IF($A7="","",MAX(0,G7-H7))</f>
        <v/>
      </c>
      <c r="O7" s="4">
        <f>IF($A7="","",IF(H7=0,"NO VALID SURVEY",IF(H7&lt;5,"LOW SAMPLE","OK")))</f>
        <v/>
      </c>
      <c r="P7" s="11">
        <f>IF($A7="","",COUNTIFS(tblPCSInput[Call Date/Time],"&gt;="&amp;(SETUP!$B$6),tblPCSInput[Call Date/Time],"&lt;"&amp;(SETUP!$B$7),tblPCSInput[Call Direction],"I",tblPCSInput[Agent ID],$A7,tblPCSInput[PCSStatus],1))</f>
        <v/>
      </c>
      <c r="Q7" s="11">
        <f>IF($A7="","",COUNTIFS(tblPCSInput[Call Date/Time],"&gt;="&amp;(SETUP!$B$6),tblPCSInput[Call Date/Time],"&lt;"&amp;(SETUP!$B$7),tblPCSInput[Call Direction],"I",tblPCSInput[Agent ID],$A7,tblPCSInput[Question 1],"&lt;&gt;"))</f>
        <v/>
      </c>
      <c r="R7" s="11">
        <f>IF($A7="","",COUNTIFS(tblPCSInput[Call Date/Time],"&gt;="&amp;(SETUP!$B$6),tblPCSInput[Call Date/Time],"&lt;"&amp;(SETUP!$B$7),tblPCSInput[Call Direction],"I",tblPCSInput[Agent ID],$A7,tblPCSInput[Valid Q1],"&gt;=1"))</f>
        <v/>
      </c>
      <c r="S7" s="12">
        <f>IFERROR(SUMIFS(tblPCSInput[Valid Q1],tblPCSInput[Call Date/Time],"&gt;="&amp;SETUP!$B$6,tblPCSInput[Call Date/Time],"&lt;"&amp;SETUP!$B$7,tblPCSInput[Call Direction],"I",tblPCSInput[Agent ID],$A7)/COUNTIFS(tblPCSInput[Call Date/Time],"&gt;="&amp;(SETUP!$B$6),tblPCSInput[Call Date/Time],"&lt;"&amp;(SETUP!$B$7),tblPCSInput[Call Direction],"I",tblPCSInput[Agent ID],$A7,tblPCSInput[Valid Q1],"&gt;=1"),"")</f>
        <v/>
      </c>
      <c r="T7" s="11">
        <f>IF(S7="","",COUNTIFS(tblPCSInput[Call Date/Time],"&gt;="&amp;(SETUP!$B$6),tblPCSInput[Call Date/Time],"&lt;"&amp;(SETUP!$B$7),tblPCSInput[Call Direction],"I",tblPCSInput[Agent ID],$A7,tblPCSInput[Valid Q1],"&lt;=3",tblPCSInput[Valid Q1],"&gt;=1"))</f>
        <v/>
      </c>
      <c r="U7" s="11">
        <f>IF(S7="","",COUNTIFS(tblPCSInput[Call Date/Time],"&gt;="&amp;(SETUP!$B$6),tblPCSInput[Call Date/Time],"&lt;"&amp;(SETUP!$B$7),tblPCSInput[Call Direction],"I",tblPCSInput[Agent ID],$A7,tblPCSInput[Valid Q1],"&gt;3"))</f>
        <v/>
      </c>
      <c r="V7" s="13">
        <f>IFERROR(Q7/P7,"")</f>
        <v/>
      </c>
      <c r="W7" s="13">
        <f>IFERROR(R7/P7,"")</f>
        <v/>
      </c>
    </row>
    <row r="8" spans="1:23">
      <c r="A8" s="4">
        <f>IF(ROSTER!A8="","",ROSTER!A8)</f>
        <v>144564</v>
      </c>
      <c r="B8" s="4" t="str">
        <f>IF($A8="","",ROSTER!C8)</f>
        <v>BENSIF Hamza</v>
      </c>
      <c r="C8" s="4" t="str">
        <f>IF($A8="","",ROSTER!D8)</f>
        <v>Farouk BOUAZZAOUI</v>
      </c>
      <c r="D8" s="4" t="str">
        <f>IF($A8="","",ROSTER!E8)</f>
        <v>Anas OUAKKAD</v>
      </c>
      <c r="E8" s="4" t="str">
        <f>IF($A8="","",ROSTER!F8)</f>
        <v>RSA FR</v>
      </c>
      <c r="F8" s="11">
        <f>IF($A8="","",COUNTIFS(tblPCSInput[Call Date/Time],"&gt;="&amp;(SETUP!$B$5),tblPCSInput[Call Date/Time],"&lt;"&amp;(SETUP!$B$5+1),tblPCSInput[Call Direction],"I",tblPCSInput[Agent ID],$A8,tblPCSInput[PCSStatus],1))</f>
        <v/>
      </c>
      <c r="G8" s="11">
        <f>IF($A8="","",COUNTIFS(tblPCSInput[Call Date/Time],"&gt;="&amp;(SETUP!$B$5),tblPCSInput[Call Date/Time],"&lt;"&amp;(SETUP!$B$5+1),tblPCSInput[Call Direction],"I",tblPCSInput[Agent ID],$A8,tblPCSInput[Question 1],"&lt;&gt;"))</f>
        <v/>
      </c>
      <c r="H8" s="11">
        <f>IF($A8="","",COUNTIFS(tblPCSInput[Call Date/Time],"&gt;="&amp;(SETUP!$B$5),tblPCSInput[Call Date/Time],"&lt;"&amp;(SETUP!$B$5+1),tblPCSInput[Call Direction],"I",tblPCSInput[Agent ID],$A8,tblPCSInput[Valid Q1],"&gt;=1"))</f>
        <v/>
      </c>
      <c r="I8" s="12">
        <f>IFERROR(SUMIFS(tblPCSInput[Valid Q1],tblPCSInput[Call Date/Time],"&gt;="&amp;SETUP!$B$5,tblPCSInput[Call Date/Time],"&lt;"&amp;SETUP!$B$5+1,tblPCSInput[Call Direction],"I",tblPCSInput[Agent ID],$A8)/COUNTIFS(tblPCSInput[Call Date/Time],"&gt;="&amp;(SETUP!$B$5),tblPCSInput[Call Date/Time],"&lt;"&amp;(SETUP!$B$5+1),tblPCSInput[Call Direction],"I",tblPCSInput[Agent ID],$A8,tblPCSInput[Valid Q1],"&gt;=1"),"")</f>
        <v/>
      </c>
      <c r="J8" s="11">
        <f>IF(I8="","",COUNTIFS(tblPCSInput[Call Date/Time],"&gt;="&amp;(SETUP!$B$5),tblPCSInput[Call Date/Time],"&lt;"&amp;(SETUP!$B$5+1),tblPCSInput[Call Direction],"I",tblPCSInput[Agent ID],$A8,tblPCSInput[Valid Q1],"&lt;=3",tblPCSInput[Valid Q1],"&gt;=1"))</f>
        <v/>
      </c>
      <c r="K8" s="11">
        <f>IF(I8="","",COUNTIFS(tblPCSInput[Call Date/Time],"&gt;="&amp;(SETUP!$B$5),tblPCSInput[Call Date/Time],"&lt;"&amp;(SETUP!$B$5+1),tblPCSInput[Call Direction],"I",tblPCSInput[Agent ID],$A8,tblPCSInput[Valid Q1],"&gt;3"))</f>
        <v/>
      </c>
      <c r="L8" s="13">
        <f>IFERROR(G8/F8,"")</f>
        <v/>
      </c>
      <c r="M8" s="13">
        <f>IFERROR(H8/F8,"")</f>
        <v/>
      </c>
      <c r="N8" s="11">
        <f>IF($A8="","",MAX(0,G8-H8))</f>
        <v/>
      </c>
      <c r="O8" s="4">
        <f>IF($A8="","",IF(H8=0,"NO VALID SURVEY",IF(H8&lt;5,"LOW SAMPLE","OK")))</f>
        <v/>
      </c>
      <c r="P8" s="11">
        <f>IF($A8="","",COUNTIFS(tblPCSInput[Call Date/Time],"&gt;="&amp;(SETUP!$B$6),tblPCSInput[Call Date/Time],"&lt;"&amp;(SETUP!$B$7),tblPCSInput[Call Direction],"I",tblPCSInput[Agent ID],$A8,tblPCSInput[PCSStatus],1))</f>
        <v/>
      </c>
      <c r="Q8" s="11">
        <f>IF($A8="","",COUNTIFS(tblPCSInput[Call Date/Time],"&gt;="&amp;(SETUP!$B$6),tblPCSInput[Call Date/Time],"&lt;"&amp;(SETUP!$B$7),tblPCSInput[Call Direction],"I",tblPCSInput[Agent ID],$A8,tblPCSInput[Question 1],"&lt;&gt;"))</f>
        <v/>
      </c>
      <c r="R8" s="11">
        <f>IF($A8="","",COUNTIFS(tblPCSInput[Call Date/Time],"&gt;="&amp;(SETUP!$B$6),tblPCSInput[Call Date/Time],"&lt;"&amp;(SETUP!$B$7),tblPCSInput[Call Direction],"I",tblPCSInput[Agent ID],$A8,tblPCSInput[Valid Q1],"&gt;=1"))</f>
        <v/>
      </c>
      <c r="S8" s="12">
        <f>IFERROR(SUMIFS(tblPCSInput[Valid Q1],tblPCSInput[Call Date/Time],"&gt;="&amp;SETUP!$B$6,tblPCSInput[Call Date/Time],"&lt;"&amp;SETUP!$B$7,tblPCSInput[Call Direction],"I",tblPCSInput[Agent ID],$A8)/COUNTIFS(tblPCSInput[Call Date/Time],"&gt;="&amp;(SETUP!$B$6),tblPCSInput[Call Date/Time],"&lt;"&amp;(SETUP!$B$7),tblPCSInput[Call Direction],"I",tblPCSInput[Agent ID],$A8,tblPCSInput[Valid Q1],"&gt;=1"),"")</f>
        <v/>
      </c>
      <c r="T8" s="11">
        <f>IF(S8="","",COUNTIFS(tblPCSInput[Call Date/Time],"&gt;="&amp;(SETUP!$B$6),tblPCSInput[Call Date/Time],"&lt;"&amp;(SETUP!$B$7),tblPCSInput[Call Direction],"I",tblPCSInput[Agent ID],$A8,tblPCSInput[Valid Q1],"&lt;=3",tblPCSInput[Valid Q1],"&gt;=1"))</f>
        <v/>
      </c>
      <c r="U8" s="11">
        <f>IF(S8="","",COUNTIFS(tblPCSInput[Call Date/Time],"&gt;="&amp;(SETUP!$B$6),tblPCSInput[Call Date/Time],"&lt;"&amp;(SETUP!$B$7),tblPCSInput[Call Direction],"I",tblPCSInput[Agent ID],$A8,tblPCSInput[Valid Q1],"&gt;3"))</f>
        <v/>
      </c>
      <c r="V8" s="13">
        <f>IFERROR(Q8/P8,"")</f>
        <v/>
      </c>
      <c r="W8" s="13">
        <f>IFERROR(R8/P8,"")</f>
        <v/>
      </c>
    </row>
    <row r="9" spans="1:23">
      <c r="A9" s="4">
        <f>IF(ROSTER!A9="","",ROSTER!A9)</f>
        <v>144565</v>
      </c>
      <c r="B9" s="4" t="str">
        <f>IF($A9="","",ROSTER!C9)</f>
        <v>NABAT Nouhaila</v>
      </c>
      <c r="C9" s="4" t="str">
        <f>IF($A9="","",ROSTER!D9)</f>
        <v>Farouk BOUAZZAOUI</v>
      </c>
      <c r="D9" s="4" t="str">
        <f>IF($A9="","",ROSTER!E9)</f>
        <v>Anas OUAKKAD</v>
      </c>
      <c r="E9" s="4" t="str">
        <f>IF($A9="","",ROSTER!F9)</f>
        <v>RSA FR</v>
      </c>
      <c r="F9" s="11">
        <f>IF($A9="","",COUNTIFS(tblPCSInput[Call Date/Time],"&gt;="&amp;(SETUP!$B$5),tblPCSInput[Call Date/Time],"&lt;"&amp;(SETUP!$B$5+1),tblPCSInput[Call Direction],"I",tblPCSInput[Agent ID],$A9,tblPCSInput[PCSStatus],1))</f>
        <v/>
      </c>
      <c r="G9" s="11">
        <f>IF($A9="","",COUNTIFS(tblPCSInput[Call Date/Time],"&gt;="&amp;(SETUP!$B$5),tblPCSInput[Call Date/Time],"&lt;"&amp;(SETUP!$B$5+1),tblPCSInput[Call Direction],"I",tblPCSInput[Agent ID],$A9,tblPCSInput[Question 1],"&lt;&gt;"))</f>
        <v/>
      </c>
      <c r="H9" s="11">
        <f>IF($A9="","",COUNTIFS(tblPCSInput[Call Date/Time],"&gt;="&amp;(SETUP!$B$5),tblPCSInput[Call Date/Time],"&lt;"&amp;(SETUP!$B$5+1),tblPCSInput[Call Direction],"I",tblPCSInput[Agent ID],$A9,tblPCSInput[Valid Q1],"&gt;=1"))</f>
        <v/>
      </c>
      <c r="I9" s="12">
        <f>IFERROR(SUMIFS(tblPCSInput[Valid Q1],tblPCSInput[Call Date/Time],"&gt;="&amp;SETUP!$B$5,tblPCSInput[Call Date/Time],"&lt;"&amp;SETUP!$B$5+1,tblPCSInput[Call Direction],"I",tblPCSInput[Agent ID],$A9)/COUNTIFS(tblPCSInput[Call Date/Time],"&gt;="&amp;(SETUP!$B$5),tblPCSInput[Call Date/Time],"&lt;"&amp;(SETUP!$B$5+1),tblPCSInput[Call Direction],"I",tblPCSInput[Agent ID],$A9,tblPCSInput[Valid Q1],"&gt;=1"),"")</f>
        <v/>
      </c>
      <c r="J9" s="11">
        <f>IF(I9="","",COUNTIFS(tblPCSInput[Call Date/Time],"&gt;="&amp;(SETUP!$B$5),tblPCSInput[Call Date/Time],"&lt;"&amp;(SETUP!$B$5+1),tblPCSInput[Call Direction],"I",tblPCSInput[Agent ID],$A9,tblPCSInput[Valid Q1],"&lt;=3",tblPCSInput[Valid Q1],"&gt;=1"))</f>
        <v/>
      </c>
      <c r="K9" s="11">
        <f>IF(I9="","",COUNTIFS(tblPCSInput[Call Date/Time],"&gt;="&amp;(SETUP!$B$5),tblPCSInput[Call Date/Time],"&lt;"&amp;(SETUP!$B$5+1),tblPCSInput[Call Direction],"I",tblPCSInput[Agent ID],$A9,tblPCSInput[Valid Q1],"&gt;3"))</f>
        <v/>
      </c>
      <c r="L9" s="13">
        <f>IFERROR(G9/F9,"")</f>
        <v/>
      </c>
      <c r="M9" s="13">
        <f>IFERROR(H9/F9,"")</f>
        <v/>
      </c>
      <c r="N9" s="11">
        <f>IF($A9="","",MAX(0,G9-H9))</f>
        <v/>
      </c>
      <c r="O9" s="4">
        <f>IF($A9="","",IF(H9=0,"NO VALID SURVEY",IF(H9&lt;5,"LOW SAMPLE","OK")))</f>
        <v/>
      </c>
      <c r="P9" s="11">
        <f>IF($A9="","",COUNTIFS(tblPCSInput[Call Date/Time],"&gt;="&amp;(SETUP!$B$6),tblPCSInput[Call Date/Time],"&lt;"&amp;(SETUP!$B$7),tblPCSInput[Call Direction],"I",tblPCSInput[Agent ID],$A9,tblPCSInput[PCSStatus],1))</f>
        <v/>
      </c>
      <c r="Q9" s="11">
        <f>IF($A9="","",COUNTIFS(tblPCSInput[Call Date/Time],"&gt;="&amp;(SETUP!$B$6),tblPCSInput[Call Date/Time],"&lt;"&amp;(SETUP!$B$7),tblPCSInput[Call Direction],"I",tblPCSInput[Agent ID],$A9,tblPCSInput[Question 1],"&lt;&gt;"))</f>
        <v/>
      </c>
      <c r="R9" s="11">
        <f>IF($A9="","",COUNTIFS(tblPCSInput[Call Date/Time],"&gt;="&amp;(SETUP!$B$6),tblPCSInput[Call Date/Time],"&lt;"&amp;(SETUP!$B$7),tblPCSInput[Call Direction],"I",tblPCSInput[Agent ID],$A9,tblPCSInput[Valid Q1],"&gt;=1"))</f>
        <v/>
      </c>
      <c r="S9" s="12">
        <f>IFERROR(SUMIFS(tblPCSInput[Valid Q1],tblPCSInput[Call Date/Time],"&gt;="&amp;SETUP!$B$6,tblPCSInput[Call Date/Time],"&lt;"&amp;SETUP!$B$7,tblPCSInput[Call Direction],"I",tblPCSInput[Agent ID],$A9)/COUNTIFS(tblPCSInput[Call Date/Time],"&gt;="&amp;(SETUP!$B$6),tblPCSInput[Call Date/Time],"&lt;"&amp;(SETUP!$B$7),tblPCSInput[Call Direction],"I",tblPCSInput[Agent ID],$A9,tblPCSInput[Valid Q1],"&gt;=1"),"")</f>
        <v/>
      </c>
      <c r="T9" s="11">
        <f>IF(S9="","",COUNTIFS(tblPCSInput[Call Date/Time],"&gt;="&amp;(SETUP!$B$6),tblPCSInput[Call Date/Time],"&lt;"&amp;(SETUP!$B$7),tblPCSInput[Call Direction],"I",tblPCSInput[Agent ID],$A9,tblPCSInput[Valid Q1],"&lt;=3",tblPCSInput[Valid Q1],"&gt;=1"))</f>
        <v/>
      </c>
      <c r="U9" s="11">
        <f>IF(S9="","",COUNTIFS(tblPCSInput[Call Date/Time],"&gt;="&amp;(SETUP!$B$6),tblPCSInput[Call Date/Time],"&lt;"&amp;(SETUP!$B$7),tblPCSInput[Call Direction],"I",tblPCSInput[Agent ID],$A9,tblPCSInput[Valid Q1],"&gt;3"))</f>
        <v/>
      </c>
      <c r="V9" s="13">
        <f>IFERROR(Q9/P9,"")</f>
        <v/>
      </c>
      <c r="W9" s="13">
        <f>IFERROR(R9/P9,"")</f>
        <v/>
      </c>
    </row>
    <row r="10" spans="1:23">
      <c r="A10" s="4">
        <f>IF(ROSTER!A10="","",ROSTER!A10)</f>
        <v>199554</v>
      </c>
      <c r="B10" s="4" t="str">
        <f>IF($A10="","",ROSTER!C10)</f>
        <v>Ez-Zouaghi Amira</v>
      </c>
      <c r="C10" s="4" t="str">
        <f>IF($A10="","",ROSTER!D10)</f>
        <v>Farouk BOUAZZAOUI</v>
      </c>
      <c r="D10" s="4" t="str">
        <f>IF($A10="","",ROSTER!E10)</f>
        <v>Anas OUAKKAD</v>
      </c>
      <c r="E10" s="4" t="str">
        <f>IF($A10="","",ROSTER!F10)</f>
        <v>RSA FR</v>
      </c>
      <c r="F10" s="11">
        <f>IF($A10="","",COUNTIFS(tblPCSInput[Call Date/Time],"&gt;="&amp;(SETUP!$B$5),tblPCSInput[Call Date/Time],"&lt;"&amp;(SETUP!$B$5+1),tblPCSInput[Call Direction],"I",tblPCSInput[Agent ID],$A10,tblPCSInput[PCSStatus],1))</f>
        <v/>
      </c>
      <c r="G10" s="11">
        <f>IF($A10="","",COUNTIFS(tblPCSInput[Call Date/Time],"&gt;="&amp;(SETUP!$B$5),tblPCSInput[Call Date/Time],"&lt;"&amp;(SETUP!$B$5+1),tblPCSInput[Call Direction],"I",tblPCSInput[Agent ID],$A10,tblPCSInput[Question 1],"&lt;&gt;"))</f>
        <v/>
      </c>
      <c r="H10" s="11">
        <f>IF($A10="","",COUNTIFS(tblPCSInput[Call Date/Time],"&gt;="&amp;(SETUP!$B$5),tblPCSInput[Call Date/Time],"&lt;"&amp;(SETUP!$B$5+1),tblPCSInput[Call Direction],"I",tblPCSInput[Agent ID],$A10,tblPCSInput[Valid Q1],"&gt;=1"))</f>
        <v/>
      </c>
      <c r="I10" s="12">
        <f>IFERROR(SUMIFS(tblPCSInput[Valid Q1],tblPCSInput[Call Date/Time],"&gt;="&amp;SETUP!$B$5,tblPCSInput[Call Date/Time],"&lt;"&amp;SETUP!$B$5+1,tblPCSInput[Call Direction],"I",tblPCSInput[Agent ID],$A10)/COUNTIFS(tblPCSInput[Call Date/Time],"&gt;="&amp;(SETUP!$B$5),tblPCSInput[Call Date/Time],"&lt;"&amp;(SETUP!$B$5+1),tblPCSInput[Call Direction],"I",tblPCSInput[Agent ID],$A10,tblPCSInput[Valid Q1],"&gt;=1"),"")</f>
        <v/>
      </c>
      <c r="J10" s="11">
        <f>IF(I10="","",COUNTIFS(tblPCSInput[Call Date/Time],"&gt;="&amp;(SETUP!$B$5),tblPCSInput[Call Date/Time],"&lt;"&amp;(SETUP!$B$5+1),tblPCSInput[Call Direction],"I",tblPCSInput[Agent ID],$A10,tblPCSInput[Valid Q1],"&lt;=3",tblPCSInput[Valid Q1],"&gt;=1"))</f>
        <v/>
      </c>
      <c r="K10" s="11">
        <f>IF(I10="","",COUNTIFS(tblPCSInput[Call Date/Time],"&gt;="&amp;(SETUP!$B$5),tblPCSInput[Call Date/Time],"&lt;"&amp;(SETUP!$B$5+1),tblPCSInput[Call Direction],"I",tblPCSInput[Agent ID],$A10,tblPCSInput[Valid Q1],"&gt;3"))</f>
        <v/>
      </c>
      <c r="L10" s="13">
        <f>IFERROR(G10/F10,"")</f>
        <v/>
      </c>
      <c r="M10" s="13">
        <f>IFERROR(H10/F10,"")</f>
        <v/>
      </c>
      <c r="N10" s="11">
        <f>IF($A10="","",MAX(0,G10-H10))</f>
        <v/>
      </c>
      <c r="O10" s="4">
        <f>IF($A10="","",IF(H10=0,"NO VALID SURVEY",IF(H10&lt;5,"LOW SAMPLE","OK")))</f>
        <v/>
      </c>
      <c r="P10" s="11">
        <f>IF($A10="","",COUNTIFS(tblPCSInput[Call Date/Time],"&gt;="&amp;(SETUP!$B$6),tblPCSInput[Call Date/Time],"&lt;"&amp;(SETUP!$B$7),tblPCSInput[Call Direction],"I",tblPCSInput[Agent ID],$A10,tblPCSInput[PCSStatus],1))</f>
        <v/>
      </c>
      <c r="Q10" s="11">
        <f>IF($A10="","",COUNTIFS(tblPCSInput[Call Date/Time],"&gt;="&amp;(SETUP!$B$6),tblPCSInput[Call Date/Time],"&lt;"&amp;(SETUP!$B$7),tblPCSInput[Call Direction],"I",tblPCSInput[Agent ID],$A10,tblPCSInput[Question 1],"&lt;&gt;"))</f>
        <v/>
      </c>
      <c r="R10" s="11">
        <f>IF($A10="","",COUNTIFS(tblPCSInput[Call Date/Time],"&gt;="&amp;(SETUP!$B$6),tblPCSInput[Call Date/Time],"&lt;"&amp;(SETUP!$B$7),tblPCSInput[Call Direction],"I",tblPCSInput[Agent ID],$A10,tblPCSInput[Valid Q1],"&gt;=1"))</f>
        <v/>
      </c>
      <c r="S10" s="12">
        <f>IFERROR(SUMIFS(tblPCSInput[Valid Q1],tblPCSInput[Call Date/Time],"&gt;="&amp;SETUP!$B$6,tblPCSInput[Call Date/Time],"&lt;"&amp;SETUP!$B$7,tblPCSInput[Call Direction],"I",tblPCSInput[Agent ID],$A10)/COUNTIFS(tblPCSInput[Call Date/Time],"&gt;="&amp;(SETUP!$B$6),tblPCSInput[Call Date/Time],"&lt;"&amp;(SETUP!$B$7),tblPCSInput[Call Direction],"I",tblPCSInput[Agent ID],$A10,tblPCSInput[Valid Q1],"&gt;=1"),"")</f>
        <v/>
      </c>
      <c r="T10" s="11">
        <f>IF(S10="","",COUNTIFS(tblPCSInput[Call Date/Time],"&gt;="&amp;(SETUP!$B$6),tblPCSInput[Call Date/Time],"&lt;"&amp;(SETUP!$B$7),tblPCSInput[Call Direction],"I",tblPCSInput[Agent ID],$A10,tblPCSInput[Valid Q1],"&lt;=3",tblPCSInput[Valid Q1],"&gt;=1"))</f>
        <v/>
      </c>
      <c r="U10" s="11">
        <f>IF(S10="","",COUNTIFS(tblPCSInput[Call Date/Time],"&gt;="&amp;(SETUP!$B$6),tblPCSInput[Call Date/Time],"&lt;"&amp;(SETUP!$B$7),tblPCSInput[Call Direction],"I",tblPCSInput[Agent ID],$A10,tblPCSInput[Valid Q1],"&gt;3"))</f>
        <v/>
      </c>
      <c r="V10" s="13">
        <f>IFERROR(Q10/P10,"")</f>
        <v/>
      </c>
      <c r="W10" s="13">
        <f>IFERROR(R10/P10,"")</f>
        <v/>
      </c>
    </row>
    <row r="11" spans="1:23">
      <c r="A11" s="4">
        <f>IF(ROSTER!A11="","",ROSTER!A11)</f>
        <v>203080</v>
      </c>
      <c r="B11" s="4" t="str">
        <f>IF($A11="","",ROSTER!C11)</f>
        <v>Lamtibbou Nizar</v>
      </c>
      <c r="C11" s="4" t="str">
        <f>IF($A11="","",ROSTER!D11)</f>
        <v>Farouk BOUAZZAOUI</v>
      </c>
      <c r="D11" s="4" t="str">
        <f>IF($A11="","",ROSTER!E11)</f>
        <v>Anas OUAKKAD</v>
      </c>
      <c r="E11" s="4" t="str">
        <f>IF($A11="","",ROSTER!F11)</f>
        <v>RSA FR</v>
      </c>
      <c r="F11" s="11">
        <f>IF($A11="","",COUNTIFS(tblPCSInput[Call Date/Time],"&gt;="&amp;(SETUP!$B$5),tblPCSInput[Call Date/Time],"&lt;"&amp;(SETUP!$B$5+1),tblPCSInput[Call Direction],"I",tblPCSInput[Agent ID],$A11,tblPCSInput[PCSStatus],1))</f>
        <v/>
      </c>
      <c r="G11" s="11">
        <f>IF($A11="","",COUNTIFS(tblPCSInput[Call Date/Time],"&gt;="&amp;(SETUP!$B$5),tblPCSInput[Call Date/Time],"&lt;"&amp;(SETUP!$B$5+1),tblPCSInput[Call Direction],"I",tblPCSInput[Agent ID],$A11,tblPCSInput[Question 1],"&lt;&gt;"))</f>
        <v/>
      </c>
      <c r="H11" s="11">
        <f>IF($A11="","",COUNTIFS(tblPCSInput[Call Date/Time],"&gt;="&amp;(SETUP!$B$5),tblPCSInput[Call Date/Time],"&lt;"&amp;(SETUP!$B$5+1),tblPCSInput[Call Direction],"I",tblPCSInput[Agent ID],$A11,tblPCSInput[Valid Q1],"&gt;=1"))</f>
        <v/>
      </c>
      <c r="I11" s="12">
        <f>IFERROR(SUMIFS(tblPCSInput[Valid Q1],tblPCSInput[Call Date/Time],"&gt;="&amp;SETUP!$B$5,tblPCSInput[Call Date/Time],"&lt;"&amp;SETUP!$B$5+1,tblPCSInput[Call Direction],"I",tblPCSInput[Agent ID],$A11)/COUNTIFS(tblPCSInput[Call Date/Time],"&gt;="&amp;(SETUP!$B$5),tblPCSInput[Call Date/Time],"&lt;"&amp;(SETUP!$B$5+1),tblPCSInput[Call Direction],"I",tblPCSInput[Agent ID],$A11,tblPCSInput[Valid Q1],"&gt;=1"),"")</f>
        <v/>
      </c>
      <c r="J11" s="11">
        <f>IF(I11="","",COUNTIFS(tblPCSInput[Call Date/Time],"&gt;="&amp;(SETUP!$B$5),tblPCSInput[Call Date/Time],"&lt;"&amp;(SETUP!$B$5+1),tblPCSInput[Call Direction],"I",tblPCSInput[Agent ID],$A11,tblPCSInput[Valid Q1],"&lt;=3",tblPCSInput[Valid Q1],"&gt;=1"))</f>
        <v/>
      </c>
      <c r="K11" s="11">
        <f>IF(I11="","",COUNTIFS(tblPCSInput[Call Date/Time],"&gt;="&amp;(SETUP!$B$5),tblPCSInput[Call Date/Time],"&lt;"&amp;(SETUP!$B$5+1),tblPCSInput[Call Direction],"I",tblPCSInput[Agent ID],$A11,tblPCSInput[Valid Q1],"&gt;3"))</f>
        <v/>
      </c>
      <c r="L11" s="13">
        <f>IFERROR(G11/F11,"")</f>
        <v/>
      </c>
      <c r="M11" s="13">
        <f>IFERROR(H11/F11,"")</f>
        <v/>
      </c>
      <c r="N11" s="11">
        <f>IF($A11="","",MAX(0,G11-H11))</f>
        <v/>
      </c>
      <c r="O11" s="4">
        <f>IF($A11="","",IF(H11=0,"NO VALID SURVEY",IF(H11&lt;5,"LOW SAMPLE","OK")))</f>
        <v/>
      </c>
      <c r="P11" s="11">
        <f>IF($A11="","",COUNTIFS(tblPCSInput[Call Date/Time],"&gt;="&amp;(SETUP!$B$6),tblPCSInput[Call Date/Time],"&lt;"&amp;(SETUP!$B$7),tblPCSInput[Call Direction],"I",tblPCSInput[Agent ID],$A11,tblPCSInput[PCSStatus],1))</f>
        <v/>
      </c>
      <c r="Q11" s="11">
        <f>IF($A11="","",COUNTIFS(tblPCSInput[Call Date/Time],"&gt;="&amp;(SETUP!$B$6),tblPCSInput[Call Date/Time],"&lt;"&amp;(SETUP!$B$7),tblPCSInput[Call Direction],"I",tblPCSInput[Agent ID],$A11,tblPCSInput[Question 1],"&lt;&gt;"))</f>
        <v/>
      </c>
      <c r="R11" s="11">
        <f>IF($A11="","",COUNTIFS(tblPCSInput[Call Date/Time],"&gt;="&amp;(SETUP!$B$6),tblPCSInput[Call Date/Time],"&lt;"&amp;(SETUP!$B$7),tblPCSInput[Call Direction],"I",tblPCSInput[Agent ID],$A11,tblPCSInput[Valid Q1],"&gt;=1"))</f>
        <v/>
      </c>
      <c r="S11" s="12">
        <f>IFERROR(SUMIFS(tblPCSInput[Valid Q1],tblPCSInput[Call Date/Time],"&gt;="&amp;SETUP!$B$6,tblPCSInput[Call Date/Time],"&lt;"&amp;SETUP!$B$7,tblPCSInput[Call Direction],"I",tblPCSInput[Agent ID],$A11)/COUNTIFS(tblPCSInput[Call Date/Time],"&gt;="&amp;(SETUP!$B$6),tblPCSInput[Call Date/Time],"&lt;"&amp;(SETUP!$B$7),tblPCSInput[Call Direction],"I",tblPCSInput[Agent ID],$A11,tblPCSInput[Valid Q1],"&gt;=1"),"")</f>
        <v/>
      </c>
      <c r="T11" s="11">
        <f>IF(S11="","",COUNTIFS(tblPCSInput[Call Date/Time],"&gt;="&amp;(SETUP!$B$6),tblPCSInput[Call Date/Time],"&lt;"&amp;(SETUP!$B$7),tblPCSInput[Call Direction],"I",tblPCSInput[Agent ID],$A11,tblPCSInput[Valid Q1],"&lt;=3",tblPCSInput[Valid Q1],"&gt;=1"))</f>
        <v/>
      </c>
      <c r="U11" s="11">
        <f>IF(S11="","",COUNTIFS(tblPCSInput[Call Date/Time],"&gt;="&amp;(SETUP!$B$6),tblPCSInput[Call Date/Time],"&lt;"&amp;(SETUP!$B$7),tblPCSInput[Call Direction],"I",tblPCSInput[Agent ID],$A11,tblPCSInput[Valid Q1],"&gt;3"))</f>
        <v/>
      </c>
      <c r="V11" s="13">
        <f>IFERROR(Q11/P11,"")</f>
        <v/>
      </c>
      <c r="W11" s="13">
        <f>IFERROR(R11/P11,"")</f>
        <v/>
      </c>
    </row>
    <row r="12" spans="1:23">
      <c r="A12" s="4">
        <f>IF(ROSTER!A12="","",ROSTER!A12)</f>
        <v>203079</v>
      </c>
      <c r="B12" s="4" t="str">
        <f>IF($A12="","",ROSTER!C12)</f>
        <v>Ghali Haddad</v>
      </c>
      <c r="C12" s="4" t="str">
        <f>IF($A12="","",ROSTER!D12)</f>
        <v>Farouk BOUAZZAOUI</v>
      </c>
      <c r="D12" s="4" t="str">
        <f>IF($A12="","",ROSTER!E12)</f>
        <v>Anas OUAKKAD</v>
      </c>
      <c r="E12" s="4" t="str">
        <f>IF($A12="","",ROSTER!F12)</f>
        <v>RSA FR</v>
      </c>
      <c r="F12" s="11">
        <f>IF($A12="","",COUNTIFS(tblPCSInput[Call Date/Time],"&gt;="&amp;(SETUP!$B$5),tblPCSInput[Call Date/Time],"&lt;"&amp;(SETUP!$B$5+1),tblPCSInput[Call Direction],"I",tblPCSInput[Agent ID],$A12,tblPCSInput[PCSStatus],1))</f>
        <v/>
      </c>
      <c r="G12" s="11">
        <f>IF($A12="","",COUNTIFS(tblPCSInput[Call Date/Time],"&gt;="&amp;(SETUP!$B$5),tblPCSInput[Call Date/Time],"&lt;"&amp;(SETUP!$B$5+1),tblPCSInput[Call Direction],"I",tblPCSInput[Agent ID],$A12,tblPCSInput[Question 1],"&lt;&gt;"))</f>
        <v/>
      </c>
      <c r="H12" s="11">
        <f>IF($A12="","",COUNTIFS(tblPCSInput[Call Date/Time],"&gt;="&amp;(SETUP!$B$5),tblPCSInput[Call Date/Time],"&lt;"&amp;(SETUP!$B$5+1),tblPCSInput[Call Direction],"I",tblPCSInput[Agent ID],$A12,tblPCSInput[Valid Q1],"&gt;=1"))</f>
        <v/>
      </c>
      <c r="I12" s="12">
        <f>IFERROR(SUMIFS(tblPCSInput[Valid Q1],tblPCSInput[Call Date/Time],"&gt;="&amp;SETUP!$B$5,tblPCSInput[Call Date/Time],"&lt;"&amp;SETUP!$B$5+1,tblPCSInput[Call Direction],"I",tblPCSInput[Agent ID],$A12)/COUNTIFS(tblPCSInput[Call Date/Time],"&gt;="&amp;(SETUP!$B$5),tblPCSInput[Call Date/Time],"&lt;"&amp;(SETUP!$B$5+1),tblPCSInput[Call Direction],"I",tblPCSInput[Agent ID],$A12,tblPCSInput[Valid Q1],"&gt;=1"),"")</f>
        <v/>
      </c>
      <c r="J12" s="11">
        <f>IF(I12="","",COUNTIFS(tblPCSInput[Call Date/Time],"&gt;="&amp;(SETUP!$B$5),tblPCSInput[Call Date/Time],"&lt;"&amp;(SETUP!$B$5+1),tblPCSInput[Call Direction],"I",tblPCSInput[Agent ID],$A12,tblPCSInput[Valid Q1],"&lt;=3",tblPCSInput[Valid Q1],"&gt;=1"))</f>
        <v/>
      </c>
      <c r="K12" s="11">
        <f>IF(I12="","",COUNTIFS(tblPCSInput[Call Date/Time],"&gt;="&amp;(SETUP!$B$5),tblPCSInput[Call Date/Time],"&lt;"&amp;(SETUP!$B$5+1),tblPCSInput[Call Direction],"I",tblPCSInput[Agent ID],$A12,tblPCSInput[Valid Q1],"&gt;3"))</f>
        <v/>
      </c>
      <c r="L12" s="13">
        <f>IFERROR(G12/F12,"")</f>
        <v/>
      </c>
      <c r="M12" s="13">
        <f>IFERROR(H12/F12,"")</f>
        <v/>
      </c>
      <c r="N12" s="11">
        <f>IF($A12="","",MAX(0,G12-H12))</f>
        <v/>
      </c>
      <c r="O12" s="4">
        <f>IF($A12="","",IF(H12=0,"NO VALID SURVEY",IF(H12&lt;5,"LOW SAMPLE","OK")))</f>
        <v/>
      </c>
      <c r="P12" s="11">
        <f>IF($A12="","",COUNTIFS(tblPCSInput[Call Date/Time],"&gt;="&amp;(SETUP!$B$6),tblPCSInput[Call Date/Time],"&lt;"&amp;(SETUP!$B$7),tblPCSInput[Call Direction],"I",tblPCSInput[Agent ID],$A12,tblPCSInput[PCSStatus],1))</f>
        <v/>
      </c>
      <c r="Q12" s="11">
        <f>IF($A12="","",COUNTIFS(tblPCSInput[Call Date/Time],"&gt;="&amp;(SETUP!$B$6),tblPCSInput[Call Date/Time],"&lt;"&amp;(SETUP!$B$7),tblPCSInput[Call Direction],"I",tblPCSInput[Agent ID],$A12,tblPCSInput[Question 1],"&lt;&gt;"))</f>
        <v/>
      </c>
      <c r="R12" s="11">
        <f>IF($A12="","",COUNTIFS(tblPCSInput[Call Date/Time],"&gt;="&amp;(SETUP!$B$6),tblPCSInput[Call Date/Time],"&lt;"&amp;(SETUP!$B$7),tblPCSInput[Call Direction],"I",tblPCSInput[Agent ID],$A12,tblPCSInput[Valid Q1],"&gt;=1"))</f>
        <v/>
      </c>
      <c r="S12" s="12">
        <f>IFERROR(SUMIFS(tblPCSInput[Valid Q1],tblPCSInput[Call Date/Time],"&gt;="&amp;SETUP!$B$6,tblPCSInput[Call Date/Time],"&lt;"&amp;SETUP!$B$7,tblPCSInput[Call Direction],"I",tblPCSInput[Agent ID],$A12)/COUNTIFS(tblPCSInput[Call Date/Time],"&gt;="&amp;(SETUP!$B$6),tblPCSInput[Call Date/Time],"&lt;"&amp;(SETUP!$B$7),tblPCSInput[Call Direction],"I",tblPCSInput[Agent ID],$A12,tblPCSInput[Valid Q1],"&gt;=1"),"")</f>
        <v/>
      </c>
      <c r="T12" s="11">
        <f>IF(S12="","",COUNTIFS(tblPCSInput[Call Date/Time],"&gt;="&amp;(SETUP!$B$6),tblPCSInput[Call Date/Time],"&lt;"&amp;(SETUP!$B$7),tblPCSInput[Call Direction],"I",tblPCSInput[Agent ID],$A12,tblPCSInput[Valid Q1],"&lt;=3",tblPCSInput[Valid Q1],"&gt;=1"))</f>
        <v/>
      </c>
      <c r="U12" s="11">
        <f>IF(S12="","",COUNTIFS(tblPCSInput[Call Date/Time],"&gt;="&amp;(SETUP!$B$6),tblPCSInput[Call Date/Time],"&lt;"&amp;(SETUP!$B$7),tblPCSInput[Call Direction],"I",tblPCSInput[Agent ID],$A12,tblPCSInput[Valid Q1],"&gt;3"))</f>
        <v/>
      </c>
      <c r="V12" s="13">
        <f>IFERROR(Q12/P12,"")</f>
        <v/>
      </c>
      <c r="W12" s="13">
        <f>IFERROR(R12/P12,"")</f>
        <v/>
      </c>
    </row>
    <row r="13" spans="1:23">
      <c r="A13" s="4">
        <f>IF(ROSTER!A13="","",ROSTER!A13)</f>
        <v>207437</v>
      </c>
      <c r="B13" s="4" t="str">
        <f>IF($A13="","",ROSTER!C13)</f>
        <v>Taha Aboulhaoul</v>
      </c>
      <c r="C13" s="4" t="str">
        <f>IF($A13="","",ROSTER!D13)</f>
        <v>Farouk BOUAZZAOUI</v>
      </c>
      <c r="D13" s="4" t="str">
        <f>IF($A13="","",ROSTER!E13)</f>
        <v>Anas OUAKKAD</v>
      </c>
      <c r="E13" s="4" t="str">
        <f>IF($A13="","",ROSTER!F13)</f>
        <v>RSA FR</v>
      </c>
      <c r="F13" s="11">
        <f>IF($A13="","",COUNTIFS(tblPCSInput[Call Date/Time],"&gt;="&amp;(SETUP!$B$5),tblPCSInput[Call Date/Time],"&lt;"&amp;(SETUP!$B$5+1),tblPCSInput[Call Direction],"I",tblPCSInput[Agent ID],$A13,tblPCSInput[PCSStatus],1))</f>
        <v/>
      </c>
      <c r="G13" s="11">
        <f>IF($A13="","",COUNTIFS(tblPCSInput[Call Date/Time],"&gt;="&amp;(SETUP!$B$5),tblPCSInput[Call Date/Time],"&lt;"&amp;(SETUP!$B$5+1),tblPCSInput[Call Direction],"I",tblPCSInput[Agent ID],$A13,tblPCSInput[Question 1],"&lt;&gt;"))</f>
        <v/>
      </c>
      <c r="H13" s="11">
        <f>IF($A13="","",COUNTIFS(tblPCSInput[Call Date/Time],"&gt;="&amp;(SETUP!$B$5),tblPCSInput[Call Date/Time],"&lt;"&amp;(SETUP!$B$5+1),tblPCSInput[Call Direction],"I",tblPCSInput[Agent ID],$A13,tblPCSInput[Valid Q1],"&gt;=1"))</f>
        <v/>
      </c>
      <c r="I13" s="12">
        <f>IFERROR(SUMIFS(tblPCSInput[Valid Q1],tblPCSInput[Call Date/Time],"&gt;="&amp;SETUP!$B$5,tblPCSInput[Call Date/Time],"&lt;"&amp;SETUP!$B$5+1,tblPCSInput[Call Direction],"I",tblPCSInput[Agent ID],$A13)/COUNTIFS(tblPCSInput[Call Date/Time],"&gt;="&amp;(SETUP!$B$5),tblPCSInput[Call Date/Time],"&lt;"&amp;(SETUP!$B$5+1),tblPCSInput[Call Direction],"I",tblPCSInput[Agent ID],$A13,tblPCSInput[Valid Q1],"&gt;=1"),"")</f>
        <v/>
      </c>
      <c r="J13" s="11">
        <f>IF(I13="","",COUNTIFS(tblPCSInput[Call Date/Time],"&gt;="&amp;(SETUP!$B$5),tblPCSInput[Call Date/Time],"&lt;"&amp;(SETUP!$B$5+1),tblPCSInput[Call Direction],"I",tblPCSInput[Agent ID],$A13,tblPCSInput[Valid Q1],"&lt;=3",tblPCSInput[Valid Q1],"&gt;=1"))</f>
        <v/>
      </c>
      <c r="K13" s="11">
        <f>IF(I13="","",COUNTIFS(tblPCSInput[Call Date/Time],"&gt;="&amp;(SETUP!$B$5),tblPCSInput[Call Date/Time],"&lt;"&amp;(SETUP!$B$5+1),tblPCSInput[Call Direction],"I",tblPCSInput[Agent ID],$A13,tblPCSInput[Valid Q1],"&gt;3"))</f>
        <v/>
      </c>
      <c r="L13" s="13">
        <f>IFERROR(G13/F13,"")</f>
        <v/>
      </c>
      <c r="M13" s="13">
        <f>IFERROR(H13/F13,"")</f>
        <v/>
      </c>
      <c r="N13" s="11">
        <f>IF($A13="","",MAX(0,G13-H13))</f>
        <v/>
      </c>
      <c r="O13" s="4">
        <f>IF($A13="","",IF(H13=0,"NO VALID SURVEY",IF(H13&lt;5,"LOW SAMPLE","OK")))</f>
        <v/>
      </c>
      <c r="P13" s="11">
        <f>IF($A13="","",COUNTIFS(tblPCSInput[Call Date/Time],"&gt;="&amp;(SETUP!$B$6),tblPCSInput[Call Date/Time],"&lt;"&amp;(SETUP!$B$7),tblPCSInput[Call Direction],"I",tblPCSInput[Agent ID],$A13,tblPCSInput[PCSStatus],1))</f>
        <v/>
      </c>
      <c r="Q13" s="11">
        <f>IF($A13="","",COUNTIFS(tblPCSInput[Call Date/Time],"&gt;="&amp;(SETUP!$B$6),tblPCSInput[Call Date/Time],"&lt;"&amp;(SETUP!$B$7),tblPCSInput[Call Direction],"I",tblPCSInput[Agent ID],$A13,tblPCSInput[Question 1],"&lt;&gt;"))</f>
        <v/>
      </c>
      <c r="R13" s="11">
        <f>IF($A13="","",COUNTIFS(tblPCSInput[Call Date/Time],"&gt;="&amp;(SETUP!$B$6),tblPCSInput[Call Date/Time],"&lt;"&amp;(SETUP!$B$7),tblPCSInput[Call Direction],"I",tblPCSInput[Agent ID],$A13,tblPCSInput[Valid Q1],"&gt;=1"))</f>
        <v/>
      </c>
      <c r="S13" s="12">
        <f>IFERROR(SUMIFS(tblPCSInput[Valid Q1],tblPCSInput[Call Date/Time],"&gt;="&amp;SETUP!$B$6,tblPCSInput[Call Date/Time],"&lt;"&amp;SETUP!$B$7,tblPCSInput[Call Direction],"I",tblPCSInput[Agent ID],$A13)/COUNTIFS(tblPCSInput[Call Date/Time],"&gt;="&amp;(SETUP!$B$6),tblPCSInput[Call Date/Time],"&lt;"&amp;(SETUP!$B$7),tblPCSInput[Call Direction],"I",tblPCSInput[Agent ID],$A13,tblPCSInput[Valid Q1],"&gt;=1"),"")</f>
        <v/>
      </c>
      <c r="T13" s="11">
        <f>IF(S13="","",COUNTIFS(tblPCSInput[Call Date/Time],"&gt;="&amp;(SETUP!$B$6),tblPCSInput[Call Date/Time],"&lt;"&amp;(SETUP!$B$7),tblPCSInput[Call Direction],"I",tblPCSInput[Agent ID],$A13,tblPCSInput[Valid Q1],"&lt;=3",tblPCSInput[Valid Q1],"&gt;=1"))</f>
        <v/>
      </c>
      <c r="U13" s="11">
        <f>IF(S13="","",COUNTIFS(tblPCSInput[Call Date/Time],"&gt;="&amp;(SETUP!$B$6),tblPCSInput[Call Date/Time],"&lt;"&amp;(SETUP!$B$7),tblPCSInput[Call Direction],"I",tblPCSInput[Agent ID],$A13,tblPCSInput[Valid Q1],"&gt;3"))</f>
        <v/>
      </c>
      <c r="V13" s="13">
        <f>IFERROR(Q13/P13,"")</f>
        <v/>
      </c>
      <c r="W13" s="13">
        <f>IFERROR(R13/P13,"")</f>
        <v/>
      </c>
    </row>
    <row r="14" spans="1:23">
      <c r="A14" s="4">
        <f>IF(ROSTER!A14="","",ROSTER!A14)</f>
        <v>96491</v>
      </c>
      <c r="B14" s="4" t="str">
        <f>IF($A14="","",ROSTER!C14)</f>
        <v>AHLAL Ainane</v>
      </c>
      <c r="C14" s="4" t="str">
        <f>IF($A14="","",ROSTER!D14)</f>
        <v>Adil LAGRAOUI</v>
      </c>
      <c r="D14" s="4" t="str">
        <f>IF($A14="","",ROSTER!E14)</f>
        <v>Anas OUAKKAD</v>
      </c>
      <c r="E14" s="4" t="str">
        <f>IF($A14="","",ROSTER!F14)</f>
        <v>RSA NL</v>
      </c>
      <c r="F14" s="11">
        <f>IF($A14="","",COUNTIFS(tblPCSInput[Call Date/Time],"&gt;="&amp;(SETUP!$B$5),tblPCSInput[Call Date/Time],"&lt;"&amp;(SETUP!$B$5+1),tblPCSInput[Call Direction],"I",tblPCSInput[Agent ID],$A14,tblPCSInput[PCSStatus],1))</f>
        <v/>
      </c>
      <c r="G14" s="11">
        <f>IF($A14="","",COUNTIFS(tblPCSInput[Call Date/Time],"&gt;="&amp;(SETUP!$B$5),tblPCSInput[Call Date/Time],"&lt;"&amp;(SETUP!$B$5+1),tblPCSInput[Call Direction],"I",tblPCSInput[Agent ID],$A14,tblPCSInput[Question 1],"&lt;&gt;"))</f>
        <v/>
      </c>
      <c r="H14" s="11">
        <f>IF($A14="","",COUNTIFS(tblPCSInput[Call Date/Time],"&gt;="&amp;(SETUP!$B$5),tblPCSInput[Call Date/Time],"&lt;"&amp;(SETUP!$B$5+1),tblPCSInput[Call Direction],"I",tblPCSInput[Agent ID],$A14,tblPCSInput[Valid Q1],"&gt;=1"))</f>
        <v/>
      </c>
      <c r="I14" s="12">
        <f>IFERROR(SUMIFS(tblPCSInput[Valid Q1],tblPCSInput[Call Date/Time],"&gt;="&amp;SETUP!$B$5,tblPCSInput[Call Date/Time],"&lt;"&amp;SETUP!$B$5+1,tblPCSInput[Call Direction],"I",tblPCSInput[Agent ID],$A14)/COUNTIFS(tblPCSInput[Call Date/Time],"&gt;="&amp;(SETUP!$B$5),tblPCSInput[Call Date/Time],"&lt;"&amp;(SETUP!$B$5+1),tblPCSInput[Call Direction],"I",tblPCSInput[Agent ID],$A14,tblPCSInput[Valid Q1],"&gt;=1"),"")</f>
        <v/>
      </c>
      <c r="J14" s="11">
        <f>IF(I14="","",COUNTIFS(tblPCSInput[Call Date/Time],"&gt;="&amp;(SETUP!$B$5),tblPCSInput[Call Date/Time],"&lt;"&amp;(SETUP!$B$5+1),tblPCSInput[Call Direction],"I",tblPCSInput[Agent ID],$A14,tblPCSInput[Valid Q1],"&lt;=3",tblPCSInput[Valid Q1],"&gt;=1"))</f>
        <v/>
      </c>
      <c r="K14" s="11">
        <f>IF(I14="","",COUNTIFS(tblPCSInput[Call Date/Time],"&gt;="&amp;(SETUP!$B$5),tblPCSInput[Call Date/Time],"&lt;"&amp;(SETUP!$B$5+1),tblPCSInput[Call Direction],"I",tblPCSInput[Agent ID],$A14,tblPCSInput[Valid Q1],"&gt;3"))</f>
        <v/>
      </c>
      <c r="L14" s="13">
        <f>IFERROR(G14/F14,"")</f>
        <v/>
      </c>
      <c r="M14" s="13">
        <f>IFERROR(H14/F14,"")</f>
        <v/>
      </c>
      <c r="N14" s="11">
        <f>IF($A14="","",MAX(0,G14-H14))</f>
        <v/>
      </c>
      <c r="O14" s="4">
        <f>IF($A14="","",IF(H14=0,"NO VALID SURVEY",IF(H14&lt;5,"LOW SAMPLE","OK")))</f>
        <v/>
      </c>
      <c r="P14" s="11">
        <f>IF($A14="","",COUNTIFS(tblPCSInput[Call Date/Time],"&gt;="&amp;(SETUP!$B$6),tblPCSInput[Call Date/Time],"&lt;"&amp;(SETUP!$B$7),tblPCSInput[Call Direction],"I",tblPCSInput[Agent ID],$A14,tblPCSInput[PCSStatus],1))</f>
        <v/>
      </c>
      <c r="Q14" s="11">
        <f>IF($A14="","",COUNTIFS(tblPCSInput[Call Date/Time],"&gt;="&amp;(SETUP!$B$6),tblPCSInput[Call Date/Time],"&lt;"&amp;(SETUP!$B$7),tblPCSInput[Call Direction],"I",tblPCSInput[Agent ID],$A14,tblPCSInput[Question 1],"&lt;&gt;"))</f>
        <v/>
      </c>
      <c r="R14" s="11">
        <f>IF($A14="","",COUNTIFS(tblPCSInput[Call Date/Time],"&gt;="&amp;(SETUP!$B$6),tblPCSInput[Call Date/Time],"&lt;"&amp;(SETUP!$B$7),tblPCSInput[Call Direction],"I",tblPCSInput[Agent ID],$A14,tblPCSInput[Valid Q1],"&gt;=1"))</f>
        <v/>
      </c>
      <c r="S14" s="12">
        <f>IFERROR(SUMIFS(tblPCSInput[Valid Q1],tblPCSInput[Call Date/Time],"&gt;="&amp;SETUP!$B$6,tblPCSInput[Call Date/Time],"&lt;"&amp;SETUP!$B$7,tblPCSInput[Call Direction],"I",tblPCSInput[Agent ID],$A14)/COUNTIFS(tblPCSInput[Call Date/Time],"&gt;="&amp;(SETUP!$B$6),tblPCSInput[Call Date/Time],"&lt;"&amp;(SETUP!$B$7),tblPCSInput[Call Direction],"I",tblPCSInput[Agent ID],$A14,tblPCSInput[Valid Q1],"&gt;=1"),"")</f>
        <v/>
      </c>
      <c r="T14" s="11">
        <f>IF(S14="","",COUNTIFS(tblPCSInput[Call Date/Time],"&gt;="&amp;(SETUP!$B$6),tblPCSInput[Call Date/Time],"&lt;"&amp;(SETUP!$B$7),tblPCSInput[Call Direction],"I",tblPCSInput[Agent ID],$A14,tblPCSInput[Valid Q1],"&lt;=3",tblPCSInput[Valid Q1],"&gt;=1"))</f>
        <v/>
      </c>
      <c r="U14" s="11">
        <f>IF(S14="","",COUNTIFS(tblPCSInput[Call Date/Time],"&gt;="&amp;(SETUP!$B$6),tblPCSInput[Call Date/Time],"&lt;"&amp;(SETUP!$B$7),tblPCSInput[Call Direction],"I",tblPCSInput[Agent ID],$A14,tblPCSInput[Valid Q1],"&gt;3"))</f>
        <v/>
      </c>
      <c r="V14" s="13">
        <f>IFERROR(Q14/P14,"")</f>
        <v/>
      </c>
      <c r="W14" s="13">
        <f>IFERROR(R14/P14,"")</f>
        <v/>
      </c>
    </row>
    <row r="15" spans="1:23">
      <c r="A15" s="4">
        <f>IF(ROSTER!A15="","",ROSTER!A15)</f>
        <v>96500</v>
      </c>
      <c r="B15" s="4" t="str">
        <f>IF($A15="","",ROSTER!C15)</f>
        <v>Mejhed Asmaa</v>
      </c>
      <c r="C15" s="4" t="str">
        <f>IF($A15="","",ROSTER!D15)</f>
        <v>Ilyasse Derrazi</v>
      </c>
      <c r="D15" s="4" t="str">
        <f>IF($A15="","",ROSTER!E15)</f>
        <v>Anas OUAKKAD</v>
      </c>
      <c r="E15" s="4" t="str">
        <f>IF($A15="","",ROSTER!F15)</f>
        <v>Ford Dutch</v>
      </c>
      <c r="F15" s="11">
        <f>IF($A15="","",COUNTIFS(tblPCSInput[Call Date/Time],"&gt;="&amp;(SETUP!$B$5),tblPCSInput[Call Date/Time],"&lt;"&amp;(SETUP!$B$5+1),tblPCSInput[Call Direction],"I",tblPCSInput[Agent ID],$A15,tblPCSInput[PCSStatus],1))</f>
        <v/>
      </c>
      <c r="G15" s="11">
        <f>IF($A15="","",COUNTIFS(tblPCSInput[Call Date/Time],"&gt;="&amp;(SETUP!$B$5),tblPCSInput[Call Date/Time],"&lt;"&amp;(SETUP!$B$5+1),tblPCSInput[Call Direction],"I",tblPCSInput[Agent ID],$A15,tblPCSInput[Question 1],"&lt;&gt;"))</f>
        <v/>
      </c>
      <c r="H15" s="11">
        <f>IF($A15="","",COUNTIFS(tblPCSInput[Call Date/Time],"&gt;="&amp;(SETUP!$B$5),tblPCSInput[Call Date/Time],"&lt;"&amp;(SETUP!$B$5+1),tblPCSInput[Call Direction],"I",tblPCSInput[Agent ID],$A15,tblPCSInput[Valid Q1],"&gt;=1"))</f>
        <v/>
      </c>
      <c r="I15" s="12">
        <f>IFERROR(SUMIFS(tblPCSInput[Valid Q1],tblPCSInput[Call Date/Time],"&gt;="&amp;SETUP!$B$5,tblPCSInput[Call Date/Time],"&lt;"&amp;SETUP!$B$5+1,tblPCSInput[Call Direction],"I",tblPCSInput[Agent ID],$A15)/COUNTIFS(tblPCSInput[Call Date/Time],"&gt;="&amp;(SETUP!$B$5),tblPCSInput[Call Date/Time],"&lt;"&amp;(SETUP!$B$5+1),tblPCSInput[Call Direction],"I",tblPCSInput[Agent ID],$A15,tblPCSInput[Valid Q1],"&gt;=1"),"")</f>
        <v/>
      </c>
      <c r="J15" s="11">
        <f>IF(I15="","",COUNTIFS(tblPCSInput[Call Date/Time],"&gt;="&amp;(SETUP!$B$5),tblPCSInput[Call Date/Time],"&lt;"&amp;(SETUP!$B$5+1),tblPCSInput[Call Direction],"I",tblPCSInput[Agent ID],$A15,tblPCSInput[Valid Q1],"&lt;=3",tblPCSInput[Valid Q1],"&gt;=1"))</f>
        <v/>
      </c>
      <c r="K15" s="11">
        <f>IF(I15="","",COUNTIFS(tblPCSInput[Call Date/Time],"&gt;="&amp;(SETUP!$B$5),tblPCSInput[Call Date/Time],"&lt;"&amp;(SETUP!$B$5+1),tblPCSInput[Call Direction],"I",tblPCSInput[Agent ID],$A15,tblPCSInput[Valid Q1],"&gt;3"))</f>
        <v/>
      </c>
      <c r="L15" s="13">
        <f>IFERROR(G15/F15,"")</f>
        <v/>
      </c>
      <c r="M15" s="13">
        <f>IFERROR(H15/F15,"")</f>
        <v/>
      </c>
      <c r="N15" s="11">
        <f>IF($A15="","",MAX(0,G15-H15))</f>
        <v/>
      </c>
      <c r="O15" s="4">
        <f>IF($A15="","",IF(H15=0,"NO VALID SURVEY",IF(H15&lt;5,"LOW SAMPLE","OK")))</f>
        <v/>
      </c>
      <c r="P15" s="11">
        <f>IF($A15="","",COUNTIFS(tblPCSInput[Call Date/Time],"&gt;="&amp;(SETUP!$B$6),tblPCSInput[Call Date/Time],"&lt;"&amp;(SETUP!$B$7),tblPCSInput[Call Direction],"I",tblPCSInput[Agent ID],$A15,tblPCSInput[PCSStatus],1))</f>
        <v/>
      </c>
      <c r="Q15" s="11">
        <f>IF($A15="","",COUNTIFS(tblPCSInput[Call Date/Time],"&gt;="&amp;(SETUP!$B$6),tblPCSInput[Call Date/Time],"&lt;"&amp;(SETUP!$B$7),tblPCSInput[Call Direction],"I",tblPCSInput[Agent ID],$A15,tblPCSInput[Question 1],"&lt;&gt;"))</f>
        <v/>
      </c>
      <c r="R15" s="11">
        <f>IF($A15="","",COUNTIFS(tblPCSInput[Call Date/Time],"&gt;="&amp;(SETUP!$B$6),tblPCSInput[Call Date/Time],"&lt;"&amp;(SETUP!$B$7),tblPCSInput[Call Direction],"I",tblPCSInput[Agent ID],$A15,tblPCSInput[Valid Q1],"&gt;=1"))</f>
        <v/>
      </c>
      <c r="S15" s="12">
        <f>IFERROR(SUMIFS(tblPCSInput[Valid Q1],tblPCSInput[Call Date/Time],"&gt;="&amp;SETUP!$B$6,tblPCSInput[Call Date/Time],"&lt;"&amp;SETUP!$B$7,tblPCSInput[Call Direction],"I",tblPCSInput[Agent ID],$A15)/COUNTIFS(tblPCSInput[Call Date/Time],"&gt;="&amp;(SETUP!$B$6),tblPCSInput[Call Date/Time],"&lt;"&amp;(SETUP!$B$7),tblPCSInput[Call Direction],"I",tblPCSInput[Agent ID],$A15,tblPCSInput[Valid Q1],"&gt;=1"),"")</f>
        <v/>
      </c>
      <c r="T15" s="11">
        <f>IF(S15="","",COUNTIFS(tblPCSInput[Call Date/Time],"&gt;="&amp;(SETUP!$B$6),tblPCSInput[Call Date/Time],"&lt;"&amp;(SETUP!$B$7),tblPCSInput[Call Direction],"I",tblPCSInput[Agent ID],$A15,tblPCSInput[Valid Q1],"&lt;=3",tblPCSInput[Valid Q1],"&gt;=1"))</f>
        <v/>
      </c>
      <c r="U15" s="11">
        <f>IF(S15="","",COUNTIFS(tblPCSInput[Call Date/Time],"&gt;="&amp;(SETUP!$B$6),tblPCSInput[Call Date/Time],"&lt;"&amp;(SETUP!$B$7),tblPCSInput[Call Direction],"I",tblPCSInput[Agent ID],$A15,tblPCSInput[Valid Q1],"&gt;3"))</f>
        <v/>
      </c>
      <c r="V15" s="13">
        <f>IFERROR(Q15/P15,"")</f>
        <v/>
      </c>
      <c r="W15" s="13">
        <f>IFERROR(R15/P15,"")</f>
        <v/>
      </c>
    </row>
    <row r="16" spans="1:23">
      <c r="A16" s="4">
        <f>IF(ROSTER!A16="","",ROSTER!A16)</f>
        <v>199529</v>
      </c>
      <c r="B16" s="4" t="str">
        <f>IF($A16="","",ROSTER!C16)</f>
        <v>Ajermite Khalil</v>
      </c>
      <c r="C16" s="4" t="str">
        <f>IF($A16="","",ROSTER!D16)</f>
        <v>Adil LAGRAOUI</v>
      </c>
      <c r="D16" s="4" t="str">
        <f>IF($A16="","",ROSTER!E16)</f>
        <v>Anas OUAKKAD</v>
      </c>
      <c r="E16" s="4" t="str">
        <f>IF($A16="","",ROSTER!F16)</f>
        <v>RSA NL</v>
      </c>
      <c r="F16" s="11">
        <f>IF($A16="","",COUNTIFS(tblPCSInput[Call Date/Time],"&gt;="&amp;(SETUP!$B$5),tblPCSInput[Call Date/Time],"&lt;"&amp;(SETUP!$B$5+1),tblPCSInput[Call Direction],"I",tblPCSInput[Agent ID],$A16,tblPCSInput[PCSStatus],1))</f>
        <v/>
      </c>
      <c r="G16" s="11">
        <f>IF($A16="","",COUNTIFS(tblPCSInput[Call Date/Time],"&gt;="&amp;(SETUP!$B$5),tblPCSInput[Call Date/Time],"&lt;"&amp;(SETUP!$B$5+1),tblPCSInput[Call Direction],"I",tblPCSInput[Agent ID],$A16,tblPCSInput[Question 1],"&lt;&gt;"))</f>
        <v/>
      </c>
      <c r="H16" s="11">
        <f>IF($A16="","",COUNTIFS(tblPCSInput[Call Date/Time],"&gt;="&amp;(SETUP!$B$5),tblPCSInput[Call Date/Time],"&lt;"&amp;(SETUP!$B$5+1),tblPCSInput[Call Direction],"I",tblPCSInput[Agent ID],$A16,tblPCSInput[Valid Q1],"&gt;=1"))</f>
        <v/>
      </c>
      <c r="I16" s="12">
        <f>IFERROR(SUMIFS(tblPCSInput[Valid Q1],tblPCSInput[Call Date/Time],"&gt;="&amp;SETUP!$B$5,tblPCSInput[Call Date/Time],"&lt;"&amp;SETUP!$B$5+1,tblPCSInput[Call Direction],"I",tblPCSInput[Agent ID],$A16)/COUNTIFS(tblPCSInput[Call Date/Time],"&gt;="&amp;(SETUP!$B$5),tblPCSInput[Call Date/Time],"&lt;"&amp;(SETUP!$B$5+1),tblPCSInput[Call Direction],"I",tblPCSInput[Agent ID],$A16,tblPCSInput[Valid Q1],"&gt;=1"),"")</f>
        <v/>
      </c>
      <c r="J16" s="11">
        <f>IF(I16="","",COUNTIFS(tblPCSInput[Call Date/Time],"&gt;="&amp;(SETUP!$B$5),tblPCSInput[Call Date/Time],"&lt;"&amp;(SETUP!$B$5+1),tblPCSInput[Call Direction],"I",tblPCSInput[Agent ID],$A16,tblPCSInput[Valid Q1],"&lt;=3",tblPCSInput[Valid Q1],"&gt;=1"))</f>
        <v/>
      </c>
      <c r="K16" s="11">
        <f>IF(I16="","",COUNTIFS(tblPCSInput[Call Date/Time],"&gt;="&amp;(SETUP!$B$5),tblPCSInput[Call Date/Time],"&lt;"&amp;(SETUP!$B$5+1),tblPCSInput[Call Direction],"I",tblPCSInput[Agent ID],$A16,tblPCSInput[Valid Q1],"&gt;3"))</f>
        <v/>
      </c>
      <c r="L16" s="13">
        <f>IFERROR(G16/F16,"")</f>
        <v/>
      </c>
      <c r="M16" s="13">
        <f>IFERROR(H16/F16,"")</f>
        <v/>
      </c>
      <c r="N16" s="11">
        <f>IF($A16="","",MAX(0,G16-H16))</f>
        <v/>
      </c>
      <c r="O16" s="4">
        <f>IF($A16="","",IF(H16=0,"NO VALID SURVEY",IF(H16&lt;5,"LOW SAMPLE","OK")))</f>
        <v/>
      </c>
      <c r="P16" s="11">
        <f>IF($A16="","",COUNTIFS(tblPCSInput[Call Date/Time],"&gt;="&amp;(SETUP!$B$6),tblPCSInput[Call Date/Time],"&lt;"&amp;(SETUP!$B$7),tblPCSInput[Call Direction],"I",tblPCSInput[Agent ID],$A16,tblPCSInput[PCSStatus],1))</f>
        <v/>
      </c>
      <c r="Q16" s="11">
        <f>IF($A16="","",COUNTIFS(tblPCSInput[Call Date/Time],"&gt;="&amp;(SETUP!$B$6),tblPCSInput[Call Date/Time],"&lt;"&amp;(SETUP!$B$7),tblPCSInput[Call Direction],"I",tblPCSInput[Agent ID],$A16,tblPCSInput[Question 1],"&lt;&gt;"))</f>
        <v/>
      </c>
      <c r="R16" s="11">
        <f>IF($A16="","",COUNTIFS(tblPCSInput[Call Date/Time],"&gt;="&amp;(SETUP!$B$6),tblPCSInput[Call Date/Time],"&lt;"&amp;(SETUP!$B$7),tblPCSInput[Call Direction],"I",tblPCSInput[Agent ID],$A16,tblPCSInput[Valid Q1],"&gt;=1"))</f>
        <v/>
      </c>
      <c r="S16" s="12">
        <f>IFERROR(SUMIFS(tblPCSInput[Valid Q1],tblPCSInput[Call Date/Time],"&gt;="&amp;SETUP!$B$6,tblPCSInput[Call Date/Time],"&lt;"&amp;SETUP!$B$7,tblPCSInput[Call Direction],"I",tblPCSInput[Agent ID],$A16)/COUNTIFS(tblPCSInput[Call Date/Time],"&gt;="&amp;(SETUP!$B$6),tblPCSInput[Call Date/Time],"&lt;"&amp;(SETUP!$B$7),tblPCSInput[Call Direction],"I",tblPCSInput[Agent ID],$A16,tblPCSInput[Valid Q1],"&gt;=1"),"")</f>
        <v/>
      </c>
      <c r="T16" s="11">
        <f>IF(S16="","",COUNTIFS(tblPCSInput[Call Date/Time],"&gt;="&amp;(SETUP!$B$6),tblPCSInput[Call Date/Time],"&lt;"&amp;(SETUP!$B$7),tblPCSInput[Call Direction],"I",tblPCSInput[Agent ID],$A16,tblPCSInput[Valid Q1],"&lt;=3",tblPCSInput[Valid Q1],"&gt;=1"))</f>
        <v/>
      </c>
      <c r="U16" s="11">
        <f>IF(S16="","",COUNTIFS(tblPCSInput[Call Date/Time],"&gt;="&amp;(SETUP!$B$6),tblPCSInput[Call Date/Time],"&lt;"&amp;(SETUP!$B$7),tblPCSInput[Call Direction],"I",tblPCSInput[Agent ID],$A16,tblPCSInput[Valid Q1],"&gt;3"))</f>
        <v/>
      </c>
      <c r="V16" s="13">
        <f>IFERROR(Q16/P16,"")</f>
        <v/>
      </c>
      <c r="W16" s="13">
        <f>IFERROR(R16/P16,"")</f>
        <v/>
      </c>
    </row>
    <row r="17" spans="1:23">
      <c r="A17" s="4">
        <f>IF(ROSTER!A17="","",ROSTER!A17)</f>
        <v>104456</v>
      </c>
      <c r="B17" s="4" t="str">
        <f>IF($A17="","",ROSTER!C17)</f>
        <v>AL GAMOUS Dounya</v>
      </c>
      <c r="C17" s="4" t="str">
        <f>IF($A17="","",ROSTER!D17)</f>
        <v>Youssef KHADLY</v>
      </c>
      <c r="D17" s="4" t="str">
        <f>IF($A17="","",ROSTER!E17)</f>
        <v>Anas OUAKKAD</v>
      </c>
      <c r="E17" s="4" t="str">
        <f>IF($A17="","",ROSTER!F17)</f>
        <v>RSA NL</v>
      </c>
      <c r="F17" s="11">
        <f>IF($A17="","",COUNTIFS(tblPCSInput[Call Date/Time],"&gt;="&amp;(SETUP!$B$5),tblPCSInput[Call Date/Time],"&lt;"&amp;(SETUP!$B$5+1),tblPCSInput[Call Direction],"I",tblPCSInput[Agent ID],$A17,tblPCSInput[PCSStatus],1))</f>
        <v/>
      </c>
      <c r="G17" s="11">
        <f>IF($A17="","",COUNTIFS(tblPCSInput[Call Date/Time],"&gt;="&amp;(SETUP!$B$5),tblPCSInput[Call Date/Time],"&lt;"&amp;(SETUP!$B$5+1),tblPCSInput[Call Direction],"I",tblPCSInput[Agent ID],$A17,tblPCSInput[Question 1],"&lt;&gt;"))</f>
        <v/>
      </c>
      <c r="H17" s="11">
        <f>IF($A17="","",COUNTIFS(tblPCSInput[Call Date/Time],"&gt;="&amp;(SETUP!$B$5),tblPCSInput[Call Date/Time],"&lt;"&amp;(SETUP!$B$5+1),tblPCSInput[Call Direction],"I",tblPCSInput[Agent ID],$A17,tblPCSInput[Valid Q1],"&gt;=1"))</f>
        <v/>
      </c>
      <c r="I17" s="12">
        <f>IFERROR(SUMIFS(tblPCSInput[Valid Q1],tblPCSInput[Call Date/Time],"&gt;="&amp;SETUP!$B$5,tblPCSInput[Call Date/Time],"&lt;"&amp;SETUP!$B$5+1,tblPCSInput[Call Direction],"I",tblPCSInput[Agent ID],$A17)/COUNTIFS(tblPCSInput[Call Date/Time],"&gt;="&amp;(SETUP!$B$5),tblPCSInput[Call Date/Time],"&lt;"&amp;(SETUP!$B$5+1),tblPCSInput[Call Direction],"I",tblPCSInput[Agent ID],$A17,tblPCSInput[Valid Q1],"&gt;=1"),"")</f>
        <v/>
      </c>
      <c r="J17" s="11">
        <f>IF(I17="","",COUNTIFS(tblPCSInput[Call Date/Time],"&gt;="&amp;(SETUP!$B$5),tblPCSInput[Call Date/Time],"&lt;"&amp;(SETUP!$B$5+1),tblPCSInput[Call Direction],"I",tblPCSInput[Agent ID],$A17,tblPCSInput[Valid Q1],"&lt;=3",tblPCSInput[Valid Q1],"&gt;=1"))</f>
        <v/>
      </c>
      <c r="K17" s="11">
        <f>IF(I17="","",COUNTIFS(tblPCSInput[Call Date/Time],"&gt;="&amp;(SETUP!$B$5),tblPCSInput[Call Date/Time],"&lt;"&amp;(SETUP!$B$5+1),tblPCSInput[Call Direction],"I",tblPCSInput[Agent ID],$A17,tblPCSInput[Valid Q1],"&gt;3"))</f>
        <v/>
      </c>
      <c r="L17" s="13">
        <f>IFERROR(G17/F17,"")</f>
        <v/>
      </c>
      <c r="M17" s="13">
        <f>IFERROR(H17/F17,"")</f>
        <v/>
      </c>
      <c r="N17" s="11">
        <f>IF($A17="","",MAX(0,G17-H17))</f>
        <v/>
      </c>
      <c r="O17" s="4">
        <f>IF($A17="","",IF(H17=0,"NO VALID SURVEY",IF(H17&lt;5,"LOW SAMPLE","OK")))</f>
        <v/>
      </c>
      <c r="P17" s="11">
        <f>IF($A17="","",COUNTIFS(tblPCSInput[Call Date/Time],"&gt;="&amp;(SETUP!$B$6),tblPCSInput[Call Date/Time],"&lt;"&amp;(SETUP!$B$7),tblPCSInput[Call Direction],"I",tblPCSInput[Agent ID],$A17,tblPCSInput[PCSStatus],1))</f>
        <v/>
      </c>
      <c r="Q17" s="11">
        <f>IF($A17="","",COUNTIFS(tblPCSInput[Call Date/Time],"&gt;="&amp;(SETUP!$B$6),tblPCSInput[Call Date/Time],"&lt;"&amp;(SETUP!$B$7),tblPCSInput[Call Direction],"I",tblPCSInput[Agent ID],$A17,tblPCSInput[Question 1],"&lt;&gt;"))</f>
        <v/>
      </c>
      <c r="R17" s="11">
        <f>IF($A17="","",COUNTIFS(tblPCSInput[Call Date/Time],"&gt;="&amp;(SETUP!$B$6),tblPCSInput[Call Date/Time],"&lt;"&amp;(SETUP!$B$7),tblPCSInput[Call Direction],"I",tblPCSInput[Agent ID],$A17,tblPCSInput[Valid Q1],"&gt;=1"))</f>
        <v/>
      </c>
      <c r="S17" s="12">
        <f>IFERROR(SUMIFS(tblPCSInput[Valid Q1],tblPCSInput[Call Date/Time],"&gt;="&amp;SETUP!$B$6,tblPCSInput[Call Date/Time],"&lt;"&amp;SETUP!$B$7,tblPCSInput[Call Direction],"I",tblPCSInput[Agent ID],$A17)/COUNTIFS(tblPCSInput[Call Date/Time],"&gt;="&amp;(SETUP!$B$6),tblPCSInput[Call Date/Time],"&lt;"&amp;(SETUP!$B$7),tblPCSInput[Call Direction],"I",tblPCSInput[Agent ID],$A17,tblPCSInput[Valid Q1],"&gt;=1"),"")</f>
        <v/>
      </c>
      <c r="T17" s="11">
        <f>IF(S17="","",COUNTIFS(tblPCSInput[Call Date/Time],"&gt;="&amp;(SETUP!$B$6),tblPCSInput[Call Date/Time],"&lt;"&amp;(SETUP!$B$7),tblPCSInput[Call Direction],"I",tblPCSInput[Agent ID],$A17,tblPCSInput[Valid Q1],"&lt;=3",tblPCSInput[Valid Q1],"&gt;=1"))</f>
        <v/>
      </c>
      <c r="U17" s="11">
        <f>IF(S17="","",COUNTIFS(tblPCSInput[Call Date/Time],"&gt;="&amp;(SETUP!$B$6),tblPCSInput[Call Date/Time],"&lt;"&amp;(SETUP!$B$7),tblPCSInput[Call Direction],"I",tblPCSInput[Agent ID],$A17,tblPCSInput[Valid Q1],"&gt;3"))</f>
        <v/>
      </c>
      <c r="V17" s="13">
        <f>IFERROR(Q17/P17,"")</f>
        <v/>
      </c>
      <c r="W17" s="13">
        <f>IFERROR(R17/P17,"")</f>
        <v/>
      </c>
    </row>
    <row r="18" spans="1:23">
      <c r="A18" s="4">
        <f>IF(ROSTER!A18="","",ROSTER!A18)</f>
        <v>96528</v>
      </c>
      <c r="B18" s="4" t="str">
        <f>IF($A18="","",ROSTER!C18)</f>
        <v>BEN SALAH Abdelali</v>
      </c>
      <c r="C18" s="4" t="str">
        <f>IF($A18="","",ROSTER!D18)</f>
        <v>Youssef KHADLY</v>
      </c>
      <c r="D18" s="4" t="str">
        <f>IF($A18="","",ROSTER!E18)</f>
        <v>Anas OUAKKAD</v>
      </c>
      <c r="E18" s="4" t="str">
        <f>IF($A18="","",ROSTER!F18)</f>
        <v>RSA NL</v>
      </c>
      <c r="F18" s="11">
        <f>IF($A18="","",COUNTIFS(tblPCSInput[Call Date/Time],"&gt;="&amp;(SETUP!$B$5),tblPCSInput[Call Date/Time],"&lt;"&amp;(SETUP!$B$5+1),tblPCSInput[Call Direction],"I",tblPCSInput[Agent ID],$A18,tblPCSInput[PCSStatus],1))</f>
        <v/>
      </c>
      <c r="G18" s="11">
        <f>IF($A18="","",COUNTIFS(tblPCSInput[Call Date/Time],"&gt;="&amp;(SETUP!$B$5),tblPCSInput[Call Date/Time],"&lt;"&amp;(SETUP!$B$5+1),tblPCSInput[Call Direction],"I",tblPCSInput[Agent ID],$A18,tblPCSInput[Question 1],"&lt;&gt;"))</f>
        <v/>
      </c>
      <c r="H18" s="11">
        <f>IF($A18="","",COUNTIFS(tblPCSInput[Call Date/Time],"&gt;="&amp;(SETUP!$B$5),tblPCSInput[Call Date/Time],"&lt;"&amp;(SETUP!$B$5+1),tblPCSInput[Call Direction],"I",tblPCSInput[Agent ID],$A18,tblPCSInput[Valid Q1],"&gt;=1"))</f>
        <v/>
      </c>
      <c r="I18" s="12">
        <f>IFERROR(SUMIFS(tblPCSInput[Valid Q1],tblPCSInput[Call Date/Time],"&gt;="&amp;SETUP!$B$5,tblPCSInput[Call Date/Time],"&lt;"&amp;SETUP!$B$5+1,tblPCSInput[Call Direction],"I",tblPCSInput[Agent ID],$A18)/COUNTIFS(tblPCSInput[Call Date/Time],"&gt;="&amp;(SETUP!$B$5),tblPCSInput[Call Date/Time],"&lt;"&amp;(SETUP!$B$5+1),tblPCSInput[Call Direction],"I",tblPCSInput[Agent ID],$A18,tblPCSInput[Valid Q1],"&gt;=1"),"")</f>
        <v/>
      </c>
      <c r="J18" s="11">
        <f>IF(I18="","",COUNTIFS(tblPCSInput[Call Date/Time],"&gt;="&amp;(SETUP!$B$5),tblPCSInput[Call Date/Time],"&lt;"&amp;(SETUP!$B$5+1),tblPCSInput[Call Direction],"I",tblPCSInput[Agent ID],$A18,tblPCSInput[Valid Q1],"&lt;=3",tblPCSInput[Valid Q1],"&gt;=1"))</f>
        <v/>
      </c>
      <c r="K18" s="11">
        <f>IF(I18="","",COUNTIFS(tblPCSInput[Call Date/Time],"&gt;="&amp;(SETUP!$B$5),tblPCSInput[Call Date/Time],"&lt;"&amp;(SETUP!$B$5+1),tblPCSInput[Call Direction],"I",tblPCSInput[Agent ID],$A18,tblPCSInput[Valid Q1],"&gt;3"))</f>
        <v/>
      </c>
      <c r="L18" s="13">
        <f>IFERROR(G18/F18,"")</f>
        <v/>
      </c>
      <c r="M18" s="13">
        <f>IFERROR(H18/F18,"")</f>
        <v/>
      </c>
      <c r="N18" s="11">
        <f>IF($A18="","",MAX(0,G18-H18))</f>
        <v/>
      </c>
      <c r="O18" s="4">
        <f>IF($A18="","",IF(H18=0,"NO VALID SURVEY",IF(H18&lt;5,"LOW SAMPLE","OK")))</f>
        <v/>
      </c>
      <c r="P18" s="11">
        <f>IF($A18="","",COUNTIFS(tblPCSInput[Call Date/Time],"&gt;="&amp;(SETUP!$B$6),tblPCSInput[Call Date/Time],"&lt;"&amp;(SETUP!$B$7),tblPCSInput[Call Direction],"I",tblPCSInput[Agent ID],$A18,tblPCSInput[PCSStatus],1))</f>
        <v/>
      </c>
      <c r="Q18" s="11">
        <f>IF($A18="","",COUNTIFS(tblPCSInput[Call Date/Time],"&gt;="&amp;(SETUP!$B$6),tblPCSInput[Call Date/Time],"&lt;"&amp;(SETUP!$B$7),tblPCSInput[Call Direction],"I",tblPCSInput[Agent ID],$A18,tblPCSInput[Question 1],"&lt;&gt;"))</f>
        <v/>
      </c>
      <c r="R18" s="11">
        <f>IF($A18="","",COUNTIFS(tblPCSInput[Call Date/Time],"&gt;="&amp;(SETUP!$B$6),tblPCSInput[Call Date/Time],"&lt;"&amp;(SETUP!$B$7),tblPCSInput[Call Direction],"I",tblPCSInput[Agent ID],$A18,tblPCSInput[Valid Q1],"&gt;=1"))</f>
        <v/>
      </c>
      <c r="S18" s="12">
        <f>IFERROR(SUMIFS(tblPCSInput[Valid Q1],tblPCSInput[Call Date/Time],"&gt;="&amp;SETUP!$B$6,tblPCSInput[Call Date/Time],"&lt;"&amp;SETUP!$B$7,tblPCSInput[Call Direction],"I",tblPCSInput[Agent ID],$A18)/COUNTIFS(tblPCSInput[Call Date/Time],"&gt;="&amp;(SETUP!$B$6),tblPCSInput[Call Date/Time],"&lt;"&amp;(SETUP!$B$7),tblPCSInput[Call Direction],"I",tblPCSInput[Agent ID],$A18,tblPCSInput[Valid Q1],"&gt;=1"),"")</f>
        <v/>
      </c>
      <c r="T18" s="11">
        <f>IF(S18="","",COUNTIFS(tblPCSInput[Call Date/Time],"&gt;="&amp;(SETUP!$B$6),tblPCSInput[Call Date/Time],"&lt;"&amp;(SETUP!$B$7),tblPCSInput[Call Direction],"I",tblPCSInput[Agent ID],$A18,tblPCSInput[Valid Q1],"&lt;=3",tblPCSInput[Valid Q1],"&gt;=1"))</f>
        <v/>
      </c>
      <c r="U18" s="11">
        <f>IF(S18="","",COUNTIFS(tblPCSInput[Call Date/Time],"&gt;="&amp;(SETUP!$B$6),tblPCSInput[Call Date/Time],"&lt;"&amp;(SETUP!$B$7),tblPCSInput[Call Direction],"I",tblPCSInput[Agent ID],$A18,tblPCSInput[Valid Q1],"&gt;3"))</f>
        <v/>
      </c>
      <c r="V18" s="13">
        <f>IFERROR(Q18/P18,"")</f>
        <v/>
      </c>
      <c r="W18" s="13">
        <f>IFERROR(R18/P18,"")</f>
        <v/>
      </c>
    </row>
    <row r="19" spans="1:23">
      <c r="A19" s="4">
        <f>IF(ROSTER!A19="","",ROSTER!A19)</f>
        <v>96517</v>
      </c>
      <c r="B19" s="4" t="str">
        <f>IF($A19="","",ROSTER!C19)</f>
        <v>DAOUAYRY Bouchta</v>
      </c>
      <c r="C19" s="4" t="str">
        <f>IF($A19="","",ROSTER!D19)</f>
        <v>Adil LAGRAOUI</v>
      </c>
      <c r="D19" s="4" t="str">
        <f>IF($A19="","",ROSTER!E19)</f>
        <v>Anas OUAKKAD</v>
      </c>
      <c r="E19" s="4" t="str">
        <f>IF($A19="","",ROSTER!F19)</f>
        <v>RSA NL</v>
      </c>
      <c r="F19" s="11">
        <f>IF($A19="","",COUNTIFS(tblPCSInput[Call Date/Time],"&gt;="&amp;(SETUP!$B$5),tblPCSInput[Call Date/Time],"&lt;"&amp;(SETUP!$B$5+1),tblPCSInput[Call Direction],"I",tblPCSInput[Agent ID],$A19,tblPCSInput[PCSStatus],1))</f>
        <v/>
      </c>
      <c r="G19" s="11">
        <f>IF($A19="","",COUNTIFS(tblPCSInput[Call Date/Time],"&gt;="&amp;(SETUP!$B$5),tblPCSInput[Call Date/Time],"&lt;"&amp;(SETUP!$B$5+1),tblPCSInput[Call Direction],"I",tblPCSInput[Agent ID],$A19,tblPCSInput[Question 1],"&lt;&gt;"))</f>
        <v/>
      </c>
      <c r="H19" s="11">
        <f>IF($A19="","",COUNTIFS(tblPCSInput[Call Date/Time],"&gt;="&amp;(SETUP!$B$5),tblPCSInput[Call Date/Time],"&lt;"&amp;(SETUP!$B$5+1),tblPCSInput[Call Direction],"I",tblPCSInput[Agent ID],$A19,tblPCSInput[Valid Q1],"&gt;=1"))</f>
        <v/>
      </c>
      <c r="I19" s="12">
        <f>IFERROR(SUMIFS(tblPCSInput[Valid Q1],tblPCSInput[Call Date/Time],"&gt;="&amp;SETUP!$B$5,tblPCSInput[Call Date/Time],"&lt;"&amp;SETUP!$B$5+1,tblPCSInput[Call Direction],"I",tblPCSInput[Agent ID],$A19)/COUNTIFS(tblPCSInput[Call Date/Time],"&gt;="&amp;(SETUP!$B$5),tblPCSInput[Call Date/Time],"&lt;"&amp;(SETUP!$B$5+1),tblPCSInput[Call Direction],"I",tblPCSInput[Agent ID],$A19,tblPCSInput[Valid Q1],"&gt;=1"),"")</f>
        <v/>
      </c>
      <c r="J19" s="11">
        <f>IF(I19="","",COUNTIFS(tblPCSInput[Call Date/Time],"&gt;="&amp;(SETUP!$B$5),tblPCSInput[Call Date/Time],"&lt;"&amp;(SETUP!$B$5+1),tblPCSInput[Call Direction],"I",tblPCSInput[Agent ID],$A19,tblPCSInput[Valid Q1],"&lt;=3",tblPCSInput[Valid Q1],"&gt;=1"))</f>
        <v/>
      </c>
      <c r="K19" s="11">
        <f>IF(I19="","",COUNTIFS(tblPCSInput[Call Date/Time],"&gt;="&amp;(SETUP!$B$5),tblPCSInput[Call Date/Time],"&lt;"&amp;(SETUP!$B$5+1),tblPCSInput[Call Direction],"I",tblPCSInput[Agent ID],$A19,tblPCSInput[Valid Q1],"&gt;3"))</f>
        <v/>
      </c>
      <c r="L19" s="13">
        <f>IFERROR(G19/F19,"")</f>
        <v/>
      </c>
      <c r="M19" s="13">
        <f>IFERROR(H19/F19,"")</f>
        <v/>
      </c>
      <c r="N19" s="11">
        <f>IF($A19="","",MAX(0,G19-H19))</f>
        <v/>
      </c>
      <c r="O19" s="4">
        <f>IF($A19="","",IF(H19=0,"NO VALID SURVEY",IF(H19&lt;5,"LOW SAMPLE","OK")))</f>
        <v/>
      </c>
      <c r="P19" s="11">
        <f>IF($A19="","",COUNTIFS(tblPCSInput[Call Date/Time],"&gt;="&amp;(SETUP!$B$6),tblPCSInput[Call Date/Time],"&lt;"&amp;(SETUP!$B$7),tblPCSInput[Call Direction],"I",tblPCSInput[Agent ID],$A19,tblPCSInput[PCSStatus],1))</f>
        <v/>
      </c>
      <c r="Q19" s="11">
        <f>IF($A19="","",COUNTIFS(tblPCSInput[Call Date/Time],"&gt;="&amp;(SETUP!$B$6),tblPCSInput[Call Date/Time],"&lt;"&amp;(SETUP!$B$7),tblPCSInput[Call Direction],"I",tblPCSInput[Agent ID],$A19,tblPCSInput[Question 1],"&lt;&gt;"))</f>
        <v/>
      </c>
      <c r="R19" s="11">
        <f>IF($A19="","",COUNTIFS(tblPCSInput[Call Date/Time],"&gt;="&amp;(SETUP!$B$6),tblPCSInput[Call Date/Time],"&lt;"&amp;(SETUP!$B$7),tblPCSInput[Call Direction],"I",tblPCSInput[Agent ID],$A19,tblPCSInput[Valid Q1],"&gt;=1"))</f>
        <v/>
      </c>
      <c r="S19" s="12">
        <f>IFERROR(SUMIFS(tblPCSInput[Valid Q1],tblPCSInput[Call Date/Time],"&gt;="&amp;SETUP!$B$6,tblPCSInput[Call Date/Time],"&lt;"&amp;SETUP!$B$7,tblPCSInput[Call Direction],"I",tblPCSInput[Agent ID],$A19)/COUNTIFS(tblPCSInput[Call Date/Time],"&gt;="&amp;(SETUP!$B$6),tblPCSInput[Call Date/Time],"&lt;"&amp;(SETUP!$B$7),tblPCSInput[Call Direction],"I",tblPCSInput[Agent ID],$A19,tblPCSInput[Valid Q1],"&gt;=1"),"")</f>
        <v/>
      </c>
      <c r="T19" s="11">
        <f>IF(S19="","",COUNTIFS(tblPCSInput[Call Date/Time],"&gt;="&amp;(SETUP!$B$6),tblPCSInput[Call Date/Time],"&lt;"&amp;(SETUP!$B$7),tblPCSInput[Call Direction],"I",tblPCSInput[Agent ID],$A19,tblPCSInput[Valid Q1],"&lt;=3",tblPCSInput[Valid Q1],"&gt;=1"))</f>
        <v/>
      </c>
      <c r="U19" s="11">
        <f>IF(S19="","",COUNTIFS(tblPCSInput[Call Date/Time],"&gt;="&amp;(SETUP!$B$6),tblPCSInput[Call Date/Time],"&lt;"&amp;(SETUP!$B$7),tblPCSInput[Call Direction],"I",tblPCSInput[Agent ID],$A19,tblPCSInput[Valid Q1],"&gt;3"))</f>
        <v/>
      </c>
      <c r="V19" s="13">
        <f>IFERROR(Q19/P19,"")</f>
        <v/>
      </c>
      <c r="W19" s="13">
        <f>IFERROR(R19/P19,"")</f>
        <v/>
      </c>
    </row>
    <row r="20" spans="1:23">
      <c r="A20" s="4">
        <f>IF(ROSTER!A20="","",ROSTER!A20)</f>
        <v>221519</v>
      </c>
      <c r="B20" s="4" t="str">
        <f>IF($A20="","",ROSTER!C20)</f>
        <v>Dylan Joren</v>
      </c>
      <c r="C20" s="4" t="str">
        <f>IF($A20="","",ROSTER!D20)</f>
        <v>Adil LAGRAOUI</v>
      </c>
      <c r="D20" s="4" t="str">
        <f>IF($A20="","",ROSTER!E20)</f>
        <v>Anas OUAKKAD</v>
      </c>
      <c r="E20" s="4" t="str">
        <f>IF($A20="","",ROSTER!F20)</f>
        <v>RSA NL</v>
      </c>
      <c r="F20" s="11">
        <f>IF($A20="","",COUNTIFS(tblPCSInput[Call Date/Time],"&gt;="&amp;(SETUP!$B$5),tblPCSInput[Call Date/Time],"&lt;"&amp;(SETUP!$B$5+1),tblPCSInput[Call Direction],"I",tblPCSInput[Agent ID],$A20,tblPCSInput[PCSStatus],1))</f>
        <v/>
      </c>
      <c r="G20" s="11">
        <f>IF($A20="","",COUNTIFS(tblPCSInput[Call Date/Time],"&gt;="&amp;(SETUP!$B$5),tblPCSInput[Call Date/Time],"&lt;"&amp;(SETUP!$B$5+1),tblPCSInput[Call Direction],"I",tblPCSInput[Agent ID],$A20,tblPCSInput[Question 1],"&lt;&gt;"))</f>
        <v/>
      </c>
      <c r="H20" s="11">
        <f>IF($A20="","",COUNTIFS(tblPCSInput[Call Date/Time],"&gt;="&amp;(SETUP!$B$5),tblPCSInput[Call Date/Time],"&lt;"&amp;(SETUP!$B$5+1),tblPCSInput[Call Direction],"I",tblPCSInput[Agent ID],$A20,tblPCSInput[Valid Q1],"&gt;=1"))</f>
        <v/>
      </c>
      <c r="I20" s="12">
        <f>IFERROR(SUMIFS(tblPCSInput[Valid Q1],tblPCSInput[Call Date/Time],"&gt;="&amp;SETUP!$B$5,tblPCSInput[Call Date/Time],"&lt;"&amp;SETUP!$B$5+1,tblPCSInput[Call Direction],"I",tblPCSInput[Agent ID],$A20)/COUNTIFS(tblPCSInput[Call Date/Time],"&gt;="&amp;(SETUP!$B$5),tblPCSInput[Call Date/Time],"&lt;"&amp;(SETUP!$B$5+1),tblPCSInput[Call Direction],"I",tblPCSInput[Agent ID],$A20,tblPCSInput[Valid Q1],"&gt;=1"),"")</f>
        <v/>
      </c>
      <c r="J20" s="11">
        <f>IF(I20="","",COUNTIFS(tblPCSInput[Call Date/Time],"&gt;="&amp;(SETUP!$B$5),tblPCSInput[Call Date/Time],"&lt;"&amp;(SETUP!$B$5+1),tblPCSInput[Call Direction],"I",tblPCSInput[Agent ID],$A20,tblPCSInput[Valid Q1],"&lt;=3",tblPCSInput[Valid Q1],"&gt;=1"))</f>
        <v/>
      </c>
      <c r="K20" s="11">
        <f>IF(I20="","",COUNTIFS(tblPCSInput[Call Date/Time],"&gt;="&amp;(SETUP!$B$5),tblPCSInput[Call Date/Time],"&lt;"&amp;(SETUP!$B$5+1),tblPCSInput[Call Direction],"I",tblPCSInput[Agent ID],$A20,tblPCSInput[Valid Q1],"&gt;3"))</f>
        <v/>
      </c>
      <c r="L20" s="13">
        <f>IFERROR(G20/F20,"")</f>
        <v/>
      </c>
      <c r="M20" s="13">
        <f>IFERROR(H20/F20,"")</f>
        <v/>
      </c>
      <c r="N20" s="11">
        <f>IF($A20="","",MAX(0,G20-H20))</f>
        <v/>
      </c>
      <c r="O20" s="4">
        <f>IF($A20="","",IF(H20=0,"NO VALID SURVEY",IF(H20&lt;5,"LOW SAMPLE","OK")))</f>
        <v/>
      </c>
      <c r="P20" s="11">
        <f>IF($A20="","",COUNTIFS(tblPCSInput[Call Date/Time],"&gt;="&amp;(SETUP!$B$6),tblPCSInput[Call Date/Time],"&lt;"&amp;(SETUP!$B$7),tblPCSInput[Call Direction],"I",tblPCSInput[Agent ID],$A20,tblPCSInput[PCSStatus],1))</f>
        <v/>
      </c>
      <c r="Q20" s="11">
        <f>IF($A20="","",COUNTIFS(tblPCSInput[Call Date/Time],"&gt;="&amp;(SETUP!$B$6),tblPCSInput[Call Date/Time],"&lt;"&amp;(SETUP!$B$7),tblPCSInput[Call Direction],"I",tblPCSInput[Agent ID],$A20,tblPCSInput[Question 1],"&lt;&gt;"))</f>
        <v/>
      </c>
      <c r="R20" s="11">
        <f>IF($A20="","",COUNTIFS(tblPCSInput[Call Date/Time],"&gt;="&amp;(SETUP!$B$6),tblPCSInput[Call Date/Time],"&lt;"&amp;(SETUP!$B$7),tblPCSInput[Call Direction],"I",tblPCSInput[Agent ID],$A20,tblPCSInput[Valid Q1],"&gt;=1"))</f>
        <v/>
      </c>
      <c r="S20" s="12">
        <f>IFERROR(SUMIFS(tblPCSInput[Valid Q1],tblPCSInput[Call Date/Time],"&gt;="&amp;SETUP!$B$6,tblPCSInput[Call Date/Time],"&lt;"&amp;SETUP!$B$7,tblPCSInput[Call Direction],"I",tblPCSInput[Agent ID],$A20)/COUNTIFS(tblPCSInput[Call Date/Time],"&gt;="&amp;(SETUP!$B$6),tblPCSInput[Call Date/Time],"&lt;"&amp;(SETUP!$B$7),tblPCSInput[Call Direction],"I",tblPCSInput[Agent ID],$A20,tblPCSInput[Valid Q1],"&gt;=1"),"")</f>
        <v/>
      </c>
      <c r="T20" s="11">
        <f>IF(S20="","",COUNTIFS(tblPCSInput[Call Date/Time],"&gt;="&amp;(SETUP!$B$6),tblPCSInput[Call Date/Time],"&lt;"&amp;(SETUP!$B$7),tblPCSInput[Call Direction],"I",tblPCSInput[Agent ID],$A20,tblPCSInput[Valid Q1],"&lt;=3",tblPCSInput[Valid Q1],"&gt;=1"))</f>
        <v/>
      </c>
      <c r="U20" s="11">
        <f>IF(S20="","",COUNTIFS(tblPCSInput[Call Date/Time],"&gt;="&amp;(SETUP!$B$6),tblPCSInput[Call Date/Time],"&lt;"&amp;(SETUP!$B$7),tblPCSInput[Call Direction],"I",tblPCSInput[Agent ID],$A20,tblPCSInput[Valid Q1],"&gt;3"))</f>
        <v/>
      </c>
      <c r="V20" s="13">
        <f>IFERROR(Q20/P20,"")</f>
        <v/>
      </c>
      <c r="W20" s="13">
        <f>IFERROR(R20/P20,"")</f>
        <v/>
      </c>
    </row>
    <row r="21" spans="1:23">
      <c r="A21" s="4">
        <f>IF(ROSTER!A21="","",ROSTER!A21)</f>
        <v>123229</v>
      </c>
      <c r="B21" s="4" t="str">
        <f>IF($A21="","",ROSTER!C21)</f>
        <v>EL ARKOUBI Nasseri</v>
      </c>
      <c r="C21" s="4" t="str">
        <f>IF($A21="","",ROSTER!D21)</f>
        <v>Adil LAGRAOUI</v>
      </c>
      <c r="D21" s="4" t="str">
        <f>IF($A21="","",ROSTER!E21)</f>
        <v>Anas OUAKKAD</v>
      </c>
      <c r="E21" s="4" t="str">
        <f>IF($A21="","",ROSTER!F21)</f>
        <v>RSA NL</v>
      </c>
      <c r="F21" s="11">
        <f>IF($A21="","",COUNTIFS(tblPCSInput[Call Date/Time],"&gt;="&amp;(SETUP!$B$5),tblPCSInput[Call Date/Time],"&lt;"&amp;(SETUP!$B$5+1),tblPCSInput[Call Direction],"I",tblPCSInput[Agent ID],$A21,tblPCSInput[PCSStatus],1))</f>
        <v/>
      </c>
      <c r="G21" s="11">
        <f>IF($A21="","",COUNTIFS(tblPCSInput[Call Date/Time],"&gt;="&amp;(SETUP!$B$5),tblPCSInput[Call Date/Time],"&lt;"&amp;(SETUP!$B$5+1),tblPCSInput[Call Direction],"I",tblPCSInput[Agent ID],$A21,tblPCSInput[Question 1],"&lt;&gt;"))</f>
        <v/>
      </c>
      <c r="H21" s="11">
        <f>IF($A21="","",COUNTIFS(tblPCSInput[Call Date/Time],"&gt;="&amp;(SETUP!$B$5),tblPCSInput[Call Date/Time],"&lt;"&amp;(SETUP!$B$5+1),tblPCSInput[Call Direction],"I",tblPCSInput[Agent ID],$A21,tblPCSInput[Valid Q1],"&gt;=1"))</f>
        <v/>
      </c>
      <c r="I21" s="12">
        <f>IFERROR(SUMIFS(tblPCSInput[Valid Q1],tblPCSInput[Call Date/Time],"&gt;="&amp;SETUP!$B$5,tblPCSInput[Call Date/Time],"&lt;"&amp;SETUP!$B$5+1,tblPCSInput[Call Direction],"I",tblPCSInput[Agent ID],$A21)/COUNTIFS(tblPCSInput[Call Date/Time],"&gt;="&amp;(SETUP!$B$5),tblPCSInput[Call Date/Time],"&lt;"&amp;(SETUP!$B$5+1),tblPCSInput[Call Direction],"I",tblPCSInput[Agent ID],$A21,tblPCSInput[Valid Q1],"&gt;=1"),"")</f>
        <v/>
      </c>
      <c r="J21" s="11">
        <f>IF(I21="","",COUNTIFS(tblPCSInput[Call Date/Time],"&gt;="&amp;(SETUP!$B$5),tblPCSInput[Call Date/Time],"&lt;"&amp;(SETUP!$B$5+1),tblPCSInput[Call Direction],"I",tblPCSInput[Agent ID],$A21,tblPCSInput[Valid Q1],"&lt;=3",tblPCSInput[Valid Q1],"&gt;=1"))</f>
        <v/>
      </c>
      <c r="K21" s="11">
        <f>IF(I21="","",COUNTIFS(tblPCSInput[Call Date/Time],"&gt;="&amp;(SETUP!$B$5),tblPCSInput[Call Date/Time],"&lt;"&amp;(SETUP!$B$5+1),tblPCSInput[Call Direction],"I",tblPCSInput[Agent ID],$A21,tblPCSInput[Valid Q1],"&gt;3"))</f>
        <v/>
      </c>
      <c r="L21" s="13">
        <f>IFERROR(G21/F21,"")</f>
        <v/>
      </c>
      <c r="M21" s="13">
        <f>IFERROR(H21/F21,"")</f>
        <v/>
      </c>
      <c r="N21" s="11">
        <f>IF($A21="","",MAX(0,G21-H21))</f>
        <v/>
      </c>
      <c r="O21" s="4">
        <f>IF($A21="","",IF(H21=0,"NO VALID SURVEY",IF(H21&lt;5,"LOW SAMPLE","OK")))</f>
        <v/>
      </c>
      <c r="P21" s="11">
        <f>IF($A21="","",COUNTIFS(tblPCSInput[Call Date/Time],"&gt;="&amp;(SETUP!$B$6),tblPCSInput[Call Date/Time],"&lt;"&amp;(SETUP!$B$7),tblPCSInput[Call Direction],"I",tblPCSInput[Agent ID],$A21,tblPCSInput[PCSStatus],1))</f>
        <v/>
      </c>
      <c r="Q21" s="11">
        <f>IF($A21="","",COUNTIFS(tblPCSInput[Call Date/Time],"&gt;="&amp;(SETUP!$B$6),tblPCSInput[Call Date/Time],"&lt;"&amp;(SETUP!$B$7),tblPCSInput[Call Direction],"I",tblPCSInput[Agent ID],$A21,tblPCSInput[Question 1],"&lt;&gt;"))</f>
        <v/>
      </c>
      <c r="R21" s="11">
        <f>IF($A21="","",COUNTIFS(tblPCSInput[Call Date/Time],"&gt;="&amp;(SETUP!$B$6),tblPCSInput[Call Date/Time],"&lt;"&amp;(SETUP!$B$7),tblPCSInput[Call Direction],"I",tblPCSInput[Agent ID],$A21,tblPCSInput[Valid Q1],"&gt;=1"))</f>
        <v/>
      </c>
      <c r="S21" s="12">
        <f>IFERROR(SUMIFS(tblPCSInput[Valid Q1],tblPCSInput[Call Date/Time],"&gt;="&amp;SETUP!$B$6,tblPCSInput[Call Date/Time],"&lt;"&amp;SETUP!$B$7,tblPCSInput[Call Direction],"I",tblPCSInput[Agent ID],$A21)/COUNTIFS(tblPCSInput[Call Date/Time],"&gt;="&amp;(SETUP!$B$6),tblPCSInput[Call Date/Time],"&lt;"&amp;(SETUP!$B$7),tblPCSInput[Call Direction],"I",tblPCSInput[Agent ID],$A21,tblPCSInput[Valid Q1],"&gt;=1"),"")</f>
        <v/>
      </c>
      <c r="T21" s="11">
        <f>IF(S21="","",COUNTIFS(tblPCSInput[Call Date/Time],"&gt;="&amp;(SETUP!$B$6),tblPCSInput[Call Date/Time],"&lt;"&amp;(SETUP!$B$7),tblPCSInput[Call Direction],"I",tblPCSInput[Agent ID],$A21,tblPCSInput[Valid Q1],"&lt;=3",tblPCSInput[Valid Q1],"&gt;=1"))</f>
        <v/>
      </c>
      <c r="U21" s="11">
        <f>IF(S21="","",COUNTIFS(tblPCSInput[Call Date/Time],"&gt;="&amp;(SETUP!$B$6),tblPCSInput[Call Date/Time],"&lt;"&amp;(SETUP!$B$7),tblPCSInput[Call Direction],"I",tblPCSInput[Agent ID],$A21,tblPCSInput[Valid Q1],"&gt;3"))</f>
        <v/>
      </c>
      <c r="V21" s="13">
        <f>IFERROR(Q21/P21,"")</f>
        <v/>
      </c>
      <c r="W21" s="13">
        <f>IFERROR(R21/P21,"")</f>
        <v/>
      </c>
    </row>
    <row r="22" spans="1:23">
      <c r="A22" s="4">
        <f>IF(ROSTER!A22="","",ROSTER!A22)</f>
        <v>96486</v>
      </c>
      <c r="B22" s="4" t="str">
        <f>IF($A22="","",ROSTER!C22)</f>
        <v>EL BAROUDI El Yassmine</v>
      </c>
      <c r="C22" s="4" t="str">
        <f>IF($A22="","",ROSTER!D22)</f>
        <v>Adil LAGRAOUI</v>
      </c>
      <c r="D22" s="4" t="str">
        <f>IF($A22="","",ROSTER!E22)</f>
        <v>Anas OUAKKAD</v>
      </c>
      <c r="E22" s="4" t="str">
        <f>IF($A22="","",ROSTER!F22)</f>
        <v>RSA NL</v>
      </c>
      <c r="F22" s="11">
        <f>IF($A22="","",COUNTIFS(tblPCSInput[Call Date/Time],"&gt;="&amp;(SETUP!$B$5),tblPCSInput[Call Date/Time],"&lt;"&amp;(SETUP!$B$5+1),tblPCSInput[Call Direction],"I",tblPCSInput[Agent ID],$A22,tblPCSInput[PCSStatus],1))</f>
        <v/>
      </c>
      <c r="G22" s="11">
        <f>IF($A22="","",COUNTIFS(tblPCSInput[Call Date/Time],"&gt;="&amp;(SETUP!$B$5),tblPCSInput[Call Date/Time],"&lt;"&amp;(SETUP!$B$5+1),tblPCSInput[Call Direction],"I",tblPCSInput[Agent ID],$A22,tblPCSInput[Question 1],"&lt;&gt;"))</f>
        <v/>
      </c>
      <c r="H22" s="11">
        <f>IF($A22="","",COUNTIFS(tblPCSInput[Call Date/Time],"&gt;="&amp;(SETUP!$B$5),tblPCSInput[Call Date/Time],"&lt;"&amp;(SETUP!$B$5+1),tblPCSInput[Call Direction],"I",tblPCSInput[Agent ID],$A22,tblPCSInput[Valid Q1],"&gt;=1"))</f>
        <v/>
      </c>
      <c r="I22" s="12">
        <f>IFERROR(SUMIFS(tblPCSInput[Valid Q1],tblPCSInput[Call Date/Time],"&gt;="&amp;SETUP!$B$5,tblPCSInput[Call Date/Time],"&lt;"&amp;SETUP!$B$5+1,tblPCSInput[Call Direction],"I",tblPCSInput[Agent ID],$A22)/COUNTIFS(tblPCSInput[Call Date/Time],"&gt;="&amp;(SETUP!$B$5),tblPCSInput[Call Date/Time],"&lt;"&amp;(SETUP!$B$5+1),tblPCSInput[Call Direction],"I",tblPCSInput[Agent ID],$A22,tblPCSInput[Valid Q1],"&gt;=1"),"")</f>
        <v/>
      </c>
      <c r="J22" s="11">
        <f>IF(I22="","",COUNTIFS(tblPCSInput[Call Date/Time],"&gt;="&amp;(SETUP!$B$5),tblPCSInput[Call Date/Time],"&lt;"&amp;(SETUP!$B$5+1),tblPCSInput[Call Direction],"I",tblPCSInput[Agent ID],$A22,tblPCSInput[Valid Q1],"&lt;=3",tblPCSInput[Valid Q1],"&gt;=1"))</f>
        <v/>
      </c>
      <c r="K22" s="11">
        <f>IF(I22="","",COUNTIFS(tblPCSInput[Call Date/Time],"&gt;="&amp;(SETUP!$B$5),tblPCSInput[Call Date/Time],"&lt;"&amp;(SETUP!$B$5+1),tblPCSInput[Call Direction],"I",tblPCSInput[Agent ID],$A22,tblPCSInput[Valid Q1],"&gt;3"))</f>
        <v/>
      </c>
      <c r="L22" s="13">
        <f>IFERROR(G22/F22,"")</f>
        <v/>
      </c>
      <c r="M22" s="13">
        <f>IFERROR(H22/F22,"")</f>
        <v/>
      </c>
      <c r="N22" s="11">
        <f>IF($A22="","",MAX(0,G22-H22))</f>
        <v/>
      </c>
      <c r="O22" s="4">
        <f>IF($A22="","",IF(H22=0,"NO VALID SURVEY",IF(H22&lt;5,"LOW SAMPLE","OK")))</f>
        <v/>
      </c>
      <c r="P22" s="11">
        <f>IF($A22="","",COUNTIFS(tblPCSInput[Call Date/Time],"&gt;="&amp;(SETUP!$B$6),tblPCSInput[Call Date/Time],"&lt;"&amp;(SETUP!$B$7),tblPCSInput[Call Direction],"I",tblPCSInput[Agent ID],$A22,tblPCSInput[PCSStatus],1))</f>
        <v/>
      </c>
      <c r="Q22" s="11">
        <f>IF($A22="","",COUNTIFS(tblPCSInput[Call Date/Time],"&gt;="&amp;(SETUP!$B$6),tblPCSInput[Call Date/Time],"&lt;"&amp;(SETUP!$B$7),tblPCSInput[Call Direction],"I",tblPCSInput[Agent ID],$A22,tblPCSInput[Question 1],"&lt;&gt;"))</f>
        <v/>
      </c>
      <c r="R22" s="11">
        <f>IF($A22="","",COUNTIFS(tblPCSInput[Call Date/Time],"&gt;="&amp;(SETUP!$B$6),tblPCSInput[Call Date/Time],"&lt;"&amp;(SETUP!$B$7),tblPCSInput[Call Direction],"I",tblPCSInput[Agent ID],$A22,tblPCSInput[Valid Q1],"&gt;=1"))</f>
        <v/>
      </c>
      <c r="S22" s="12">
        <f>IFERROR(SUMIFS(tblPCSInput[Valid Q1],tblPCSInput[Call Date/Time],"&gt;="&amp;SETUP!$B$6,tblPCSInput[Call Date/Time],"&lt;"&amp;SETUP!$B$7,tblPCSInput[Call Direction],"I",tblPCSInput[Agent ID],$A22)/COUNTIFS(tblPCSInput[Call Date/Time],"&gt;="&amp;(SETUP!$B$6),tblPCSInput[Call Date/Time],"&lt;"&amp;(SETUP!$B$7),tblPCSInput[Call Direction],"I",tblPCSInput[Agent ID],$A22,tblPCSInput[Valid Q1],"&gt;=1"),"")</f>
        <v/>
      </c>
      <c r="T22" s="11">
        <f>IF(S22="","",COUNTIFS(tblPCSInput[Call Date/Time],"&gt;="&amp;(SETUP!$B$6),tblPCSInput[Call Date/Time],"&lt;"&amp;(SETUP!$B$7),tblPCSInput[Call Direction],"I",tblPCSInput[Agent ID],$A22,tblPCSInput[Valid Q1],"&lt;=3",tblPCSInput[Valid Q1],"&gt;=1"))</f>
        <v/>
      </c>
      <c r="U22" s="11">
        <f>IF(S22="","",COUNTIFS(tblPCSInput[Call Date/Time],"&gt;="&amp;(SETUP!$B$6),tblPCSInput[Call Date/Time],"&lt;"&amp;(SETUP!$B$7),tblPCSInput[Call Direction],"I",tblPCSInput[Agent ID],$A22,tblPCSInput[Valid Q1],"&gt;3"))</f>
        <v/>
      </c>
      <c r="V22" s="13">
        <f>IFERROR(Q22/P22,"")</f>
        <v/>
      </c>
      <c r="W22" s="13">
        <f>IFERROR(R22/P22,"")</f>
        <v/>
      </c>
    </row>
    <row r="23" spans="1:23">
      <c r="A23" s="4">
        <f>IF(ROSTER!A23="","",ROSTER!A23)</f>
        <v>96523</v>
      </c>
      <c r="B23" s="4" t="str">
        <f>IF($A23="","",ROSTER!C23)</f>
        <v>EL HARRAK Rachid</v>
      </c>
      <c r="C23" s="4" t="str">
        <f>IF($A23="","",ROSTER!D23)</f>
        <v>Adil LAGRAOUI</v>
      </c>
      <c r="D23" s="4" t="str">
        <f>IF($A23="","",ROSTER!E23)</f>
        <v>Anas OUAKKAD</v>
      </c>
      <c r="E23" s="4" t="str">
        <f>IF($A23="","",ROSTER!F23)</f>
        <v>RSA NL</v>
      </c>
      <c r="F23" s="11">
        <f>IF($A23="","",COUNTIFS(tblPCSInput[Call Date/Time],"&gt;="&amp;(SETUP!$B$5),tblPCSInput[Call Date/Time],"&lt;"&amp;(SETUP!$B$5+1),tblPCSInput[Call Direction],"I",tblPCSInput[Agent ID],$A23,tblPCSInput[PCSStatus],1))</f>
        <v/>
      </c>
      <c r="G23" s="11">
        <f>IF($A23="","",COUNTIFS(tblPCSInput[Call Date/Time],"&gt;="&amp;(SETUP!$B$5),tblPCSInput[Call Date/Time],"&lt;"&amp;(SETUP!$B$5+1),tblPCSInput[Call Direction],"I",tblPCSInput[Agent ID],$A23,tblPCSInput[Question 1],"&lt;&gt;"))</f>
        <v/>
      </c>
      <c r="H23" s="11">
        <f>IF($A23="","",COUNTIFS(tblPCSInput[Call Date/Time],"&gt;="&amp;(SETUP!$B$5),tblPCSInput[Call Date/Time],"&lt;"&amp;(SETUP!$B$5+1),tblPCSInput[Call Direction],"I",tblPCSInput[Agent ID],$A23,tblPCSInput[Valid Q1],"&gt;=1"))</f>
        <v/>
      </c>
      <c r="I23" s="12">
        <f>IFERROR(SUMIFS(tblPCSInput[Valid Q1],tblPCSInput[Call Date/Time],"&gt;="&amp;SETUP!$B$5,tblPCSInput[Call Date/Time],"&lt;"&amp;SETUP!$B$5+1,tblPCSInput[Call Direction],"I",tblPCSInput[Agent ID],$A23)/COUNTIFS(tblPCSInput[Call Date/Time],"&gt;="&amp;(SETUP!$B$5),tblPCSInput[Call Date/Time],"&lt;"&amp;(SETUP!$B$5+1),tblPCSInput[Call Direction],"I",tblPCSInput[Agent ID],$A23,tblPCSInput[Valid Q1],"&gt;=1"),"")</f>
        <v/>
      </c>
      <c r="J23" s="11">
        <f>IF(I23="","",COUNTIFS(tblPCSInput[Call Date/Time],"&gt;="&amp;(SETUP!$B$5),tblPCSInput[Call Date/Time],"&lt;"&amp;(SETUP!$B$5+1),tblPCSInput[Call Direction],"I",tblPCSInput[Agent ID],$A23,tblPCSInput[Valid Q1],"&lt;=3",tblPCSInput[Valid Q1],"&gt;=1"))</f>
        <v/>
      </c>
      <c r="K23" s="11">
        <f>IF(I23="","",COUNTIFS(tblPCSInput[Call Date/Time],"&gt;="&amp;(SETUP!$B$5),tblPCSInput[Call Date/Time],"&lt;"&amp;(SETUP!$B$5+1),tblPCSInput[Call Direction],"I",tblPCSInput[Agent ID],$A23,tblPCSInput[Valid Q1],"&gt;3"))</f>
        <v/>
      </c>
      <c r="L23" s="13">
        <f>IFERROR(G23/F23,"")</f>
        <v/>
      </c>
      <c r="M23" s="13">
        <f>IFERROR(H23/F23,"")</f>
        <v/>
      </c>
      <c r="N23" s="11">
        <f>IF($A23="","",MAX(0,G23-H23))</f>
        <v/>
      </c>
      <c r="O23" s="4">
        <f>IF($A23="","",IF(H23=0,"NO VALID SURVEY",IF(H23&lt;5,"LOW SAMPLE","OK")))</f>
        <v/>
      </c>
      <c r="P23" s="11">
        <f>IF($A23="","",COUNTIFS(tblPCSInput[Call Date/Time],"&gt;="&amp;(SETUP!$B$6),tblPCSInput[Call Date/Time],"&lt;"&amp;(SETUP!$B$7),tblPCSInput[Call Direction],"I",tblPCSInput[Agent ID],$A23,tblPCSInput[PCSStatus],1))</f>
        <v/>
      </c>
      <c r="Q23" s="11">
        <f>IF($A23="","",COUNTIFS(tblPCSInput[Call Date/Time],"&gt;="&amp;(SETUP!$B$6),tblPCSInput[Call Date/Time],"&lt;"&amp;(SETUP!$B$7),tblPCSInput[Call Direction],"I",tblPCSInput[Agent ID],$A23,tblPCSInput[Question 1],"&lt;&gt;"))</f>
        <v/>
      </c>
      <c r="R23" s="11">
        <f>IF($A23="","",COUNTIFS(tblPCSInput[Call Date/Time],"&gt;="&amp;(SETUP!$B$6),tblPCSInput[Call Date/Time],"&lt;"&amp;(SETUP!$B$7),tblPCSInput[Call Direction],"I",tblPCSInput[Agent ID],$A23,tblPCSInput[Valid Q1],"&gt;=1"))</f>
        <v/>
      </c>
      <c r="S23" s="12">
        <f>IFERROR(SUMIFS(tblPCSInput[Valid Q1],tblPCSInput[Call Date/Time],"&gt;="&amp;SETUP!$B$6,tblPCSInput[Call Date/Time],"&lt;"&amp;SETUP!$B$7,tblPCSInput[Call Direction],"I",tblPCSInput[Agent ID],$A23)/COUNTIFS(tblPCSInput[Call Date/Time],"&gt;="&amp;(SETUP!$B$6),tblPCSInput[Call Date/Time],"&lt;"&amp;(SETUP!$B$7),tblPCSInput[Call Direction],"I",tblPCSInput[Agent ID],$A23,tblPCSInput[Valid Q1],"&gt;=1"),"")</f>
        <v/>
      </c>
      <c r="T23" s="11">
        <f>IF(S23="","",COUNTIFS(tblPCSInput[Call Date/Time],"&gt;="&amp;(SETUP!$B$6),tblPCSInput[Call Date/Time],"&lt;"&amp;(SETUP!$B$7),tblPCSInput[Call Direction],"I",tblPCSInput[Agent ID],$A23,tblPCSInput[Valid Q1],"&lt;=3",tblPCSInput[Valid Q1],"&gt;=1"))</f>
        <v/>
      </c>
      <c r="U23" s="11">
        <f>IF(S23="","",COUNTIFS(tblPCSInput[Call Date/Time],"&gt;="&amp;(SETUP!$B$6),tblPCSInput[Call Date/Time],"&lt;"&amp;(SETUP!$B$7),tblPCSInput[Call Direction],"I",tblPCSInput[Agent ID],$A23,tblPCSInput[Valid Q1],"&gt;3"))</f>
        <v/>
      </c>
      <c r="V23" s="13">
        <f>IFERROR(Q23/P23,"")</f>
        <v/>
      </c>
      <c r="W23" s="13">
        <f>IFERROR(R23/P23,"")</f>
        <v/>
      </c>
    </row>
    <row r="24" spans="1:23">
      <c r="A24" s="4">
        <f>IF(ROSTER!A24="","",ROSTER!A24)</f>
        <v>134407</v>
      </c>
      <c r="B24" s="4" t="str">
        <f>IF($A24="","",ROSTER!C24)</f>
        <v>EL MAGHROUDI Malak</v>
      </c>
      <c r="C24" s="4" t="str">
        <f>IF($A24="","",ROSTER!D24)</f>
        <v>Youssef KHADLY</v>
      </c>
      <c r="D24" s="4" t="str">
        <f>IF($A24="","",ROSTER!E24)</f>
        <v>Anas OUAKKAD</v>
      </c>
      <c r="E24" s="4" t="str">
        <f>IF($A24="","",ROSTER!F24)</f>
        <v>RSA NL</v>
      </c>
      <c r="F24" s="11">
        <f>IF($A24="","",COUNTIFS(tblPCSInput[Call Date/Time],"&gt;="&amp;(SETUP!$B$5),tblPCSInput[Call Date/Time],"&lt;"&amp;(SETUP!$B$5+1),tblPCSInput[Call Direction],"I",tblPCSInput[Agent ID],$A24,tblPCSInput[PCSStatus],1))</f>
        <v/>
      </c>
      <c r="G24" s="11">
        <f>IF($A24="","",COUNTIFS(tblPCSInput[Call Date/Time],"&gt;="&amp;(SETUP!$B$5),tblPCSInput[Call Date/Time],"&lt;"&amp;(SETUP!$B$5+1),tblPCSInput[Call Direction],"I",tblPCSInput[Agent ID],$A24,tblPCSInput[Question 1],"&lt;&gt;"))</f>
        <v/>
      </c>
      <c r="H24" s="11">
        <f>IF($A24="","",COUNTIFS(tblPCSInput[Call Date/Time],"&gt;="&amp;(SETUP!$B$5),tblPCSInput[Call Date/Time],"&lt;"&amp;(SETUP!$B$5+1),tblPCSInput[Call Direction],"I",tblPCSInput[Agent ID],$A24,tblPCSInput[Valid Q1],"&gt;=1"))</f>
        <v/>
      </c>
      <c r="I24" s="12">
        <f>IFERROR(SUMIFS(tblPCSInput[Valid Q1],tblPCSInput[Call Date/Time],"&gt;="&amp;SETUP!$B$5,tblPCSInput[Call Date/Time],"&lt;"&amp;SETUP!$B$5+1,tblPCSInput[Call Direction],"I",tblPCSInput[Agent ID],$A24)/COUNTIFS(tblPCSInput[Call Date/Time],"&gt;="&amp;(SETUP!$B$5),tblPCSInput[Call Date/Time],"&lt;"&amp;(SETUP!$B$5+1),tblPCSInput[Call Direction],"I",tblPCSInput[Agent ID],$A24,tblPCSInput[Valid Q1],"&gt;=1"),"")</f>
        <v/>
      </c>
      <c r="J24" s="11">
        <f>IF(I24="","",COUNTIFS(tblPCSInput[Call Date/Time],"&gt;="&amp;(SETUP!$B$5),tblPCSInput[Call Date/Time],"&lt;"&amp;(SETUP!$B$5+1),tblPCSInput[Call Direction],"I",tblPCSInput[Agent ID],$A24,tblPCSInput[Valid Q1],"&lt;=3",tblPCSInput[Valid Q1],"&gt;=1"))</f>
        <v/>
      </c>
      <c r="K24" s="11">
        <f>IF(I24="","",COUNTIFS(tblPCSInput[Call Date/Time],"&gt;="&amp;(SETUP!$B$5),tblPCSInput[Call Date/Time],"&lt;"&amp;(SETUP!$B$5+1),tblPCSInput[Call Direction],"I",tblPCSInput[Agent ID],$A24,tblPCSInput[Valid Q1],"&gt;3"))</f>
        <v/>
      </c>
      <c r="L24" s="13">
        <f>IFERROR(G24/F24,"")</f>
        <v/>
      </c>
      <c r="M24" s="13">
        <f>IFERROR(H24/F24,"")</f>
        <v/>
      </c>
      <c r="N24" s="11">
        <f>IF($A24="","",MAX(0,G24-H24))</f>
        <v/>
      </c>
      <c r="O24" s="4">
        <f>IF($A24="","",IF(H24=0,"NO VALID SURVEY",IF(H24&lt;5,"LOW SAMPLE","OK")))</f>
        <v/>
      </c>
      <c r="P24" s="11">
        <f>IF($A24="","",COUNTIFS(tblPCSInput[Call Date/Time],"&gt;="&amp;(SETUP!$B$6),tblPCSInput[Call Date/Time],"&lt;"&amp;(SETUP!$B$7),tblPCSInput[Call Direction],"I",tblPCSInput[Agent ID],$A24,tblPCSInput[PCSStatus],1))</f>
        <v/>
      </c>
      <c r="Q24" s="11">
        <f>IF($A24="","",COUNTIFS(tblPCSInput[Call Date/Time],"&gt;="&amp;(SETUP!$B$6),tblPCSInput[Call Date/Time],"&lt;"&amp;(SETUP!$B$7),tblPCSInput[Call Direction],"I",tblPCSInput[Agent ID],$A24,tblPCSInput[Question 1],"&lt;&gt;"))</f>
        <v/>
      </c>
      <c r="R24" s="11">
        <f>IF($A24="","",COUNTIFS(tblPCSInput[Call Date/Time],"&gt;="&amp;(SETUP!$B$6),tblPCSInput[Call Date/Time],"&lt;"&amp;(SETUP!$B$7),tblPCSInput[Call Direction],"I",tblPCSInput[Agent ID],$A24,tblPCSInput[Valid Q1],"&gt;=1"))</f>
        <v/>
      </c>
      <c r="S24" s="12">
        <f>IFERROR(SUMIFS(tblPCSInput[Valid Q1],tblPCSInput[Call Date/Time],"&gt;="&amp;SETUP!$B$6,tblPCSInput[Call Date/Time],"&lt;"&amp;SETUP!$B$7,tblPCSInput[Call Direction],"I",tblPCSInput[Agent ID],$A24)/COUNTIFS(tblPCSInput[Call Date/Time],"&gt;="&amp;(SETUP!$B$6),tblPCSInput[Call Date/Time],"&lt;"&amp;(SETUP!$B$7),tblPCSInput[Call Direction],"I",tblPCSInput[Agent ID],$A24,tblPCSInput[Valid Q1],"&gt;=1"),"")</f>
        <v/>
      </c>
      <c r="T24" s="11">
        <f>IF(S24="","",COUNTIFS(tblPCSInput[Call Date/Time],"&gt;="&amp;(SETUP!$B$6),tblPCSInput[Call Date/Time],"&lt;"&amp;(SETUP!$B$7),tblPCSInput[Call Direction],"I",tblPCSInput[Agent ID],$A24,tblPCSInput[Valid Q1],"&lt;=3",tblPCSInput[Valid Q1],"&gt;=1"))</f>
        <v/>
      </c>
      <c r="U24" s="11">
        <f>IF(S24="","",COUNTIFS(tblPCSInput[Call Date/Time],"&gt;="&amp;(SETUP!$B$6),tblPCSInput[Call Date/Time],"&lt;"&amp;(SETUP!$B$7),tblPCSInput[Call Direction],"I",tblPCSInput[Agent ID],$A24,tblPCSInput[Valid Q1],"&gt;3"))</f>
        <v/>
      </c>
      <c r="V24" s="13">
        <f>IFERROR(Q24/P24,"")</f>
        <v/>
      </c>
      <c r="W24" s="13">
        <f>IFERROR(R24/P24,"")</f>
        <v/>
      </c>
    </row>
    <row r="25" spans="1:23">
      <c r="A25" s="4">
        <f>IF(ROSTER!A25="","",ROSTER!A25)</f>
        <v>96465</v>
      </c>
      <c r="B25" s="4" t="str">
        <f>IF($A25="","",ROSTER!C25)</f>
        <v>EL OUASGHIRI Farid</v>
      </c>
      <c r="C25" s="4" t="str">
        <f>IF($A25="","",ROSTER!D25)</f>
        <v>Youssef KHADLY</v>
      </c>
      <c r="D25" s="4" t="str">
        <f>IF($A25="","",ROSTER!E25)</f>
        <v>Anas OUAKKAD</v>
      </c>
      <c r="E25" s="4" t="str">
        <f>IF($A25="","",ROSTER!F25)</f>
        <v>RSA NL</v>
      </c>
      <c r="F25" s="11">
        <f>IF($A25="","",COUNTIFS(tblPCSInput[Call Date/Time],"&gt;="&amp;(SETUP!$B$5),tblPCSInput[Call Date/Time],"&lt;"&amp;(SETUP!$B$5+1),tblPCSInput[Call Direction],"I",tblPCSInput[Agent ID],$A25,tblPCSInput[PCSStatus],1))</f>
        <v/>
      </c>
      <c r="G25" s="11">
        <f>IF($A25="","",COUNTIFS(tblPCSInput[Call Date/Time],"&gt;="&amp;(SETUP!$B$5),tblPCSInput[Call Date/Time],"&lt;"&amp;(SETUP!$B$5+1),tblPCSInput[Call Direction],"I",tblPCSInput[Agent ID],$A25,tblPCSInput[Question 1],"&lt;&gt;"))</f>
        <v/>
      </c>
      <c r="H25" s="11">
        <f>IF($A25="","",COUNTIFS(tblPCSInput[Call Date/Time],"&gt;="&amp;(SETUP!$B$5),tblPCSInput[Call Date/Time],"&lt;"&amp;(SETUP!$B$5+1),tblPCSInput[Call Direction],"I",tblPCSInput[Agent ID],$A25,tblPCSInput[Valid Q1],"&gt;=1"))</f>
        <v/>
      </c>
      <c r="I25" s="12">
        <f>IFERROR(SUMIFS(tblPCSInput[Valid Q1],tblPCSInput[Call Date/Time],"&gt;="&amp;SETUP!$B$5,tblPCSInput[Call Date/Time],"&lt;"&amp;SETUP!$B$5+1,tblPCSInput[Call Direction],"I",tblPCSInput[Agent ID],$A25)/COUNTIFS(tblPCSInput[Call Date/Time],"&gt;="&amp;(SETUP!$B$5),tblPCSInput[Call Date/Time],"&lt;"&amp;(SETUP!$B$5+1),tblPCSInput[Call Direction],"I",tblPCSInput[Agent ID],$A25,tblPCSInput[Valid Q1],"&gt;=1"),"")</f>
        <v/>
      </c>
      <c r="J25" s="11">
        <f>IF(I25="","",COUNTIFS(tblPCSInput[Call Date/Time],"&gt;="&amp;(SETUP!$B$5),tblPCSInput[Call Date/Time],"&lt;"&amp;(SETUP!$B$5+1),tblPCSInput[Call Direction],"I",tblPCSInput[Agent ID],$A25,tblPCSInput[Valid Q1],"&lt;=3",tblPCSInput[Valid Q1],"&gt;=1"))</f>
        <v/>
      </c>
      <c r="K25" s="11">
        <f>IF(I25="","",COUNTIFS(tblPCSInput[Call Date/Time],"&gt;="&amp;(SETUP!$B$5),tblPCSInput[Call Date/Time],"&lt;"&amp;(SETUP!$B$5+1),tblPCSInput[Call Direction],"I",tblPCSInput[Agent ID],$A25,tblPCSInput[Valid Q1],"&gt;3"))</f>
        <v/>
      </c>
      <c r="L25" s="13">
        <f>IFERROR(G25/F25,"")</f>
        <v/>
      </c>
      <c r="M25" s="13">
        <f>IFERROR(H25/F25,"")</f>
        <v/>
      </c>
      <c r="N25" s="11">
        <f>IF($A25="","",MAX(0,G25-H25))</f>
        <v/>
      </c>
      <c r="O25" s="4">
        <f>IF($A25="","",IF(H25=0,"NO VALID SURVEY",IF(H25&lt;5,"LOW SAMPLE","OK")))</f>
        <v/>
      </c>
      <c r="P25" s="11">
        <f>IF($A25="","",COUNTIFS(tblPCSInput[Call Date/Time],"&gt;="&amp;(SETUP!$B$6),tblPCSInput[Call Date/Time],"&lt;"&amp;(SETUP!$B$7),tblPCSInput[Call Direction],"I",tblPCSInput[Agent ID],$A25,tblPCSInput[PCSStatus],1))</f>
        <v/>
      </c>
      <c r="Q25" s="11">
        <f>IF($A25="","",COUNTIFS(tblPCSInput[Call Date/Time],"&gt;="&amp;(SETUP!$B$6),tblPCSInput[Call Date/Time],"&lt;"&amp;(SETUP!$B$7),tblPCSInput[Call Direction],"I",tblPCSInput[Agent ID],$A25,tblPCSInput[Question 1],"&lt;&gt;"))</f>
        <v/>
      </c>
      <c r="R25" s="11">
        <f>IF($A25="","",COUNTIFS(tblPCSInput[Call Date/Time],"&gt;="&amp;(SETUP!$B$6),tblPCSInput[Call Date/Time],"&lt;"&amp;(SETUP!$B$7),tblPCSInput[Call Direction],"I",tblPCSInput[Agent ID],$A25,tblPCSInput[Valid Q1],"&gt;=1"))</f>
        <v/>
      </c>
      <c r="S25" s="12">
        <f>IFERROR(SUMIFS(tblPCSInput[Valid Q1],tblPCSInput[Call Date/Time],"&gt;="&amp;SETUP!$B$6,tblPCSInput[Call Date/Time],"&lt;"&amp;SETUP!$B$7,tblPCSInput[Call Direction],"I",tblPCSInput[Agent ID],$A25)/COUNTIFS(tblPCSInput[Call Date/Time],"&gt;="&amp;(SETUP!$B$6),tblPCSInput[Call Date/Time],"&lt;"&amp;(SETUP!$B$7),tblPCSInput[Call Direction],"I",tblPCSInput[Agent ID],$A25,tblPCSInput[Valid Q1],"&gt;=1"),"")</f>
        <v/>
      </c>
      <c r="T25" s="11">
        <f>IF(S25="","",COUNTIFS(tblPCSInput[Call Date/Time],"&gt;="&amp;(SETUP!$B$6),tblPCSInput[Call Date/Time],"&lt;"&amp;(SETUP!$B$7),tblPCSInput[Call Direction],"I",tblPCSInput[Agent ID],$A25,tblPCSInput[Valid Q1],"&lt;=3",tblPCSInput[Valid Q1],"&gt;=1"))</f>
        <v/>
      </c>
      <c r="U25" s="11">
        <f>IF(S25="","",COUNTIFS(tblPCSInput[Call Date/Time],"&gt;="&amp;(SETUP!$B$6),tblPCSInput[Call Date/Time],"&lt;"&amp;(SETUP!$B$7),tblPCSInput[Call Direction],"I",tblPCSInput[Agent ID],$A25,tblPCSInput[Valid Q1],"&gt;3"))</f>
        <v/>
      </c>
      <c r="V25" s="13">
        <f>IFERROR(Q25/P25,"")</f>
        <v/>
      </c>
      <c r="W25" s="13">
        <f>IFERROR(R25/P25,"")</f>
        <v/>
      </c>
    </row>
    <row r="26" spans="1:23">
      <c r="A26" s="4">
        <f>IF(ROSTER!A26="","",ROSTER!A26)</f>
        <v>96516</v>
      </c>
      <c r="B26" s="4" t="str">
        <f>IF($A26="","",ROSTER!C26)</f>
        <v>EZZOHARI Saad</v>
      </c>
      <c r="C26" s="4" t="str">
        <f>IF($A26="","",ROSTER!D26)</f>
        <v>Youssef KHADLY</v>
      </c>
      <c r="D26" s="4" t="str">
        <f>IF($A26="","",ROSTER!E26)</f>
        <v>Anas OUAKKAD</v>
      </c>
      <c r="E26" s="4" t="str">
        <f>IF($A26="","",ROSTER!F26)</f>
        <v>RSA NL</v>
      </c>
      <c r="F26" s="11">
        <f>IF($A26="","",COUNTIFS(tblPCSInput[Call Date/Time],"&gt;="&amp;(SETUP!$B$5),tblPCSInput[Call Date/Time],"&lt;"&amp;(SETUP!$B$5+1),tblPCSInput[Call Direction],"I",tblPCSInput[Agent ID],$A26,tblPCSInput[PCSStatus],1))</f>
        <v/>
      </c>
      <c r="G26" s="11">
        <f>IF($A26="","",COUNTIFS(tblPCSInput[Call Date/Time],"&gt;="&amp;(SETUP!$B$5),tblPCSInput[Call Date/Time],"&lt;"&amp;(SETUP!$B$5+1),tblPCSInput[Call Direction],"I",tblPCSInput[Agent ID],$A26,tblPCSInput[Question 1],"&lt;&gt;"))</f>
        <v/>
      </c>
      <c r="H26" s="11">
        <f>IF($A26="","",COUNTIFS(tblPCSInput[Call Date/Time],"&gt;="&amp;(SETUP!$B$5),tblPCSInput[Call Date/Time],"&lt;"&amp;(SETUP!$B$5+1),tblPCSInput[Call Direction],"I",tblPCSInput[Agent ID],$A26,tblPCSInput[Valid Q1],"&gt;=1"))</f>
        <v/>
      </c>
      <c r="I26" s="12">
        <f>IFERROR(SUMIFS(tblPCSInput[Valid Q1],tblPCSInput[Call Date/Time],"&gt;="&amp;SETUP!$B$5,tblPCSInput[Call Date/Time],"&lt;"&amp;SETUP!$B$5+1,tblPCSInput[Call Direction],"I",tblPCSInput[Agent ID],$A26)/COUNTIFS(tblPCSInput[Call Date/Time],"&gt;="&amp;(SETUP!$B$5),tblPCSInput[Call Date/Time],"&lt;"&amp;(SETUP!$B$5+1),tblPCSInput[Call Direction],"I",tblPCSInput[Agent ID],$A26,tblPCSInput[Valid Q1],"&gt;=1"),"")</f>
        <v/>
      </c>
      <c r="J26" s="11">
        <f>IF(I26="","",COUNTIFS(tblPCSInput[Call Date/Time],"&gt;="&amp;(SETUP!$B$5),tblPCSInput[Call Date/Time],"&lt;"&amp;(SETUP!$B$5+1),tblPCSInput[Call Direction],"I",tblPCSInput[Agent ID],$A26,tblPCSInput[Valid Q1],"&lt;=3",tblPCSInput[Valid Q1],"&gt;=1"))</f>
        <v/>
      </c>
      <c r="K26" s="11">
        <f>IF(I26="","",COUNTIFS(tblPCSInput[Call Date/Time],"&gt;="&amp;(SETUP!$B$5),tblPCSInput[Call Date/Time],"&lt;"&amp;(SETUP!$B$5+1),tblPCSInput[Call Direction],"I",tblPCSInput[Agent ID],$A26,tblPCSInput[Valid Q1],"&gt;3"))</f>
        <v/>
      </c>
      <c r="L26" s="13">
        <f>IFERROR(G26/F26,"")</f>
        <v/>
      </c>
      <c r="M26" s="13">
        <f>IFERROR(H26/F26,"")</f>
        <v/>
      </c>
      <c r="N26" s="11">
        <f>IF($A26="","",MAX(0,G26-H26))</f>
        <v/>
      </c>
      <c r="O26" s="4">
        <f>IF($A26="","",IF(H26=0,"NO VALID SURVEY",IF(H26&lt;5,"LOW SAMPLE","OK")))</f>
        <v/>
      </c>
      <c r="P26" s="11">
        <f>IF($A26="","",COUNTIFS(tblPCSInput[Call Date/Time],"&gt;="&amp;(SETUP!$B$6),tblPCSInput[Call Date/Time],"&lt;"&amp;(SETUP!$B$7),tblPCSInput[Call Direction],"I",tblPCSInput[Agent ID],$A26,tblPCSInput[PCSStatus],1))</f>
        <v/>
      </c>
      <c r="Q26" s="11">
        <f>IF($A26="","",COUNTIFS(tblPCSInput[Call Date/Time],"&gt;="&amp;(SETUP!$B$6),tblPCSInput[Call Date/Time],"&lt;"&amp;(SETUP!$B$7),tblPCSInput[Call Direction],"I",tblPCSInput[Agent ID],$A26,tblPCSInput[Question 1],"&lt;&gt;"))</f>
        <v/>
      </c>
      <c r="R26" s="11">
        <f>IF($A26="","",COUNTIFS(tblPCSInput[Call Date/Time],"&gt;="&amp;(SETUP!$B$6),tblPCSInput[Call Date/Time],"&lt;"&amp;(SETUP!$B$7),tblPCSInput[Call Direction],"I",tblPCSInput[Agent ID],$A26,tblPCSInput[Valid Q1],"&gt;=1"))</f>
        <v/>
      </c>
      <c r="S26" s="12">
        <f>IFERROR(SUMIFS(tblPCSInput[Valid Q1],tblPCSInput[Call Date/Time],"&gt;="&amp;SETUP!$B$6,tblPCSInput[Call Date/Time],"&lt;"&amp;SETUP!$B$7,tblPCSInput[Call Direction],"I",tblPCSInput[Agent ID],$A26)/COUNTIFS(tblPCSInput[Call Date/Time],"&gt;="&amp;(SETUP!$B$6),tblPCSInput[Call Date/Time],"&lt;"&amp;(SETUP!$B$7),tblPCSInput[Call Direction],"I",tblPCSInput[Agent ID],$A26,tblPCSInput[Valid Q1],"&gt;=1"),"")</f>
        <v/>
      </c>
      <c r="T26" s="11">
        <f>IF(S26="","",COUNTIFS(tblPCSInput[Call Date/Time],"&gt;="&amp;(SETUP!$B$6),tblPCSInput[Call Date/Time],"&lt;"&amp;(SETUP!$B$7),tblPCSInput[Call Direction],"I",tblPCSInput[Agent ID],$A26,tblPCSInput[Valid Q1],"&lt;=3",tblPCSInput[Valid Q1],"&gt;=1"))</f>
        <v/>
      </c>
      <c r="U26" s="11">
        <f>IF(S26="","",COUNTIFS(tblPCSInput[Call Date/Time],"&gt;="&amp;(SETUP!$B$6),tblPCSInput[Call Date/Time],"&lt;"&amp;(SETUP!$B$7),tblPCSInput[Call Direction],"I",tblPCSInput[Agent ID],$A26,tblPCSInput[Valid Q1],"&gt;3"))</f>
        <v/>
      </c>
      <c r="V26" s="13">
        <f>IFERROR(Q26/P26,"")</f>
        <v/>
      </c>
      <c r="W26" s="13">
        <f>IFERROR(R26/P26,"")</f>
        <v/>
      </c>
    </row>
    <row r="27" spans="1:23">
      <c r="A27" s="4">
        <f>IF(ROSTER!A27="","",ROSTER!A27)</f>
        <v>96526</v>
      </c>
      <c r="B27" s="4" t="str">
        <f>IF($A27="","",ROSTER!C27)</f>
        <v>HAJHOUJ Said</v>
      </c>
      <c r="C27" s="4" t="str">
        <f>IF($A27="","",ROSTER!D27)</f>
        <v>Youssef KHADLY</v>
      </c>
      <c r="D27" s="4" t="str">
        <f>IF($A27="","",ROSTER!E27)</f>
        <v>Anas OUAKKAD</v>
      </c>
      <c r="E27" s="4" t="str">
        <f>IF($A27="","",ROSTER!F27)</f>
        <v>RSA NL</v>
      </c>
      <c r="F27" s="11">
        <f>IF($A27="","",COUNTIFS(tblPCSInput[Call Date/Time],"&gt;="&amp;(SETUP!$B$5),tblPCSInput[Call Date/Time],"&lt;"&amp;(SETUP!$B$5+1),tblPCSInput[Call Direction],"I",tblPCSInput[Agent ID],$A27,tblPCSInput[PCSStatus],1))</f>
        <v/>
      </c>
      <c r="G27" s="11">
        <f>IF($A27="","",COUNTIFS(tblPCSInput[Call Date/Time],"&gt;="&amp;(SETUP!$B$5),tblPCSInput[Call Date/Time],"&lt;"&amp;(SETUP!$B$5+1),tblPCSInput[Call Direction],"I",tblPCSInput[Agent ID],$A27,tblPCSInput[Question 1],"&lt;&gt;"))</f>
        <v/>
      </c>
      <c r="H27" s="11">
        <f>IF($A27="","",COUNTIFS(tblPCSInput[Call Date/Time],"&gt;="&amp;(SETUP!$B$5),tblPCSInput[Call Date/Time],"&lt;"&amp;(SETUP!$B$5+1),tblPCSInput[Call Direction],"I",tblPCSInput[Agent ID],$A27,tblPCSInput[Valid Q1],"&gt;=1"))</f>
        <v/>
      </c>
      <c r="I27" s="12">
        <f>IFERROR(SUMIFS(tblPCSInput[Valid Q1],tblPCSInput[Call Date/Time],"&gt;="&amp;SETUP!$B$5,tblPCSInput[Call Date/Time],"&lt;"&amp;SETUP!$B$5+1,tblPCSInput[Call Direction],"I",tblPCSInput[Agent ID],$A27)/COUNTIFS(tblPCSInput[Call Date/Time],"&gt;="&amp;(SETUP!$B$5),tblPCSInput[Call Date/Time],"&lt;"&amp;(SETUP!$B$5+1),tblPCSInput[Call Direction],"I",tblPCSInput[Agent ID],$A27,tblPCSInput[Valid Q1],"&gt;=1"),"")</f>
        <v/>
      </c>
      <c r="J27" s="11">
        <f>IF(I27="","",COUNTIFS(tblPCSInput[Call Date/Time],"&gt;="&amp;(SETUP!$B$5),tblPCSInput[Call Date/Time],"&lt;"&amp;(SETUP!$B$5+1),tblPCSInput[Call Direction],"I",tblPCSInput[Agent ID],$A27,tblPCSInput[Valid Q1],"&lt;=3",tblPCSInput[Valid Q1],"&gt;=1"))</f>
        <v/>
      </c>
      <c r="K27" s="11">
        <f>IF(I27="","",COUNTIFS(tblPCSInput[Call Date/Time],"&gt;="&amp;(SETUP!$B$5),tblPCSInput[Call Date/Time],"&lt;"&amp;(SETUP!$B$5+1),tblPCSInput[Call Direction],"I",tblPCSInput[Agent ID],$A27,tblPCSInput[Valid Q1],"&gt;3"))</f>
        <v/>
      </c>
      <c r="L27" s="13">
        <f>IFERROR(G27/F27,"")</f>
        <v/>
      </c>
      <c r="M27" s="13">
        <f>IFERROR(H27/F27,"")</f>
        <v/>
      </c>
      <c r="N27" s="11">
        <f>IF($A27="","",MAX(0,G27-H27))</f>
        <v/>
      </c>
      <c r="O27" s="4">
        <f>IF($A27="","",IF(H27=0,"NO VALID SURVEY",IF(H27&lt;5,"LOW SAMPLE","OK")))</f>
        <v/>
      </c>
      <c r="P27" s="11">
        <f>IF($A27="","",COUNTIFS(tblPCSInput[Call Date/Time],"&gt;="&amp;(SETUP!$B$6),tblPCSInput[Call Date/Time],"&lt;"&amp;(SETUP!$B$7),tblPCSInput[Call Direction],"I",tblPCSInput[Agent ID],$A27,tblPCSInput[PCSStatus],1))</f>
        <v/>
      </c>
      <c r="Q27" s="11">
        <f>IF($A27="","",COUNTIFS(tblPCSInput[Call Date/Time],"&gt;="&amp;(SETUP!$B$6),tblPCSInput[Call Date/Time],"&lt;"&amp;(SETUP!$B$7),tblPCSInput[Call Direction],"I",tblPCSInput[Agent ID],$A27,tblPCSInput[Question 1],"&lt;&gt;"))</f>
        <v/>
      </c>
      <c r="R27" s="11">
        <f>IF($A27="","",COUNTIFS(tblPCSInput[Call Date/Time],"&gt;="&amp;(SETUP!$B$6),tblPCSInput[Call Date/Time],"&lt;"&amp;(SETUP!$B$7),tblPCSInput[Call Direction],"I",tblPCSInput[Agent ID],$A27,tblPCSInput[Valid Q1],"&gt;=1"))</f>
        <v/>
      </c>
      <c r="S27" s="12">
        <f>IFERROR(SUMIFS(tblPCSInput[Valid Q1],tblPCSInput[Call Date/Time],"&gt;="&amp;SETUP!$B$6,tblPCSInput[Call Date/Time],"&lt;"&amp;SETUP!$B$7,tblPCSInput[Call Direction],"I",tblPCSInput[Agent ID],$A27)/COUNTIFS(tblPCSInput[Call Date/Time],"&gt;="&amp;(SETUP!$B$6),tblPCSInput[Call Date/Time],"&lt;"&amp;(SETUP!$B$7),tblPCSInput[Call Direction],"I",tblPCSInput[Agent ID],$A27,tblPCSInput[Valid Q1],"&gt;=1"),"")</f>
        <v/>
      </c>
      <c r="T27" s="11">
        <f>IF(S27="","",COUNTIFS(tblPCSInput[Call Date/Time],"&gt;="&amp;(SETUP!$B$6),tblPCSInput[Call Date/Time],"&lt;"&amp;(SETUP!$B$7),tblPCSInput[Call Direction],"I",tblPCSInput[Agent ID],$A27,tblPCSInput[Valid Q1],"&lt;=3",tblPCSInput[Valid Q1],"&gt;=1"))</f>
        <v/>
      </c>
      <c r="U27" s="11">
        <f>IF(S27="","",COUNTIFS(tblPCSInput[Call Date/Time],"&gt;="&amp;(SETUP!$B$6),tblPCSInput[Call Date/Time],"&lt;"&amp;(SETUP!$B$7),tblPCSInput[Call Direction],"I",tblPCSInput[Agent ID],$A27,tblPCSInput[Valid Q1],"&gt;3"))</f>
        <v/>
      </c>
      <c r="V27" s="13">
        <f>IFERROR(Q27/P27,"")</f>
        <v/>
      </c>
      <c r="W27" s="13">
        <f>IFERROR(R27/P27,"")</f>
        <v/>
      </c>
    </row>
    <row r="28" spans="1:23">
      <c r="A28" s="4">
        <f>IF(ROSTER!A28="","",ROSTER!A28)</f>
        <v>207712</v>
      </c>
      <c r="B28" s="4" t="str">
        <f>IF($A28="","",ROSTER!C28)</f>
        <v>Jeaoul Aamar</v>
      </c>
      <c r="C28" s="4" t="str">
        <f>IF($A28="","",ROSTER!D28)</f>
        <v>Adil LAGRAOUI</v>
      </c>
      <c r="D28" s="4" t="str">
        <f>IF($A28="","",ROSTER!E28)</f>
        <v>Anas OUAKKAD</v>
      </c>
      <c r="E28" s="4" t="str">
        <f>IF($A28="","",ROSTER!F28)</f>
        <v>RSA NL</v>
      </c>
      <c r="F28" s="11">
        <f>IF($A28="","",COUNTIFS(tblPCSInput[Call Date/Time],"&gt;="&amp;(SETUP!$B$5),tblPCSInput[Call Date/Time],"&lt;"&amp;(SETUP!$B$5+1),tblPCSInput[Call Direction],"I",tblPCSInput[Agent ID],$A28,tblPCSInput[PCSStatus],1))</f>
        <v/>
      </c>
      <c r="G28" s="11">
        <f>IF($A28="","",COUNTIFS(tblPCSInput[Call Date/Time],"&gt;="&amp;(SETUP!$B$5),tblPCSInput[Call Date/Time],"&lt;"&amp;(SETUP!$B$5+1),tblPCSInput[Call Direction],"I",tblPCSInput[Agent ID],$A28,tblPCSInput[Question 1],"&lt;&gt;"))</f>
        <v/>
      </c>
      <c r="H28" s="11">
        <f>IF($A28="","",COUNTIFS(tblPCSInput[Call Date/Time],"&gt;="&amp;(SETUP!$B$5),tblPCSInput[Call Date/Time],"&lt;"&amp;(SETUP!$B$5+1),tblPCSInput[Call Direction],"I",tblPCSInput[Agent ID],$A28,tblPCSInput[Valid Q1],"&gt;=1"))</f>
        <v/>
      </c>
      <c r="I28" s="12">
        <f>IFERROR(SUMIFS(tblPCSInput[Valid Q1],tblPCSInput[Call Date/Time],"&gt;="&amp;SETUP!$B$5,tblPCSInput[Call Date/Time],"&lt;"&amp;SETUP!$B$5+1,tblPCSInput[Call Direction],"I",tblPCSInput[Agent ID],$A28)/COUNTIFS(tblPCSInput[Call Date/Time],"&gt;="&amp;(SETUP!$B$5),tblPCSInput[Call Date/Time],"&lt;"&amp;(SETUP!$B$5+1),tblPCSInput[Call Direction],"I",tblPCSInput[Agent ID],$A28,tblPCSInput[Valid Q1],"&gt;=1"),"")</f>
        <v/>
      </c>
      <c r="J28" s="11">
        <f>IF(I28="","",COUNTIFS(tblPCSInput[Call Date/Time],"&gt;="&amp;(SETUP!$B$5),tblPCSInput[Call Date/Time],"&lt;"&amp;(SETUP!$B$5+1),tblPCSInput[Call Direction],"I",tblPCSInput[Agent ID],$A28,tblPCSInput[Valid Q1],"&lt;=3",tblPCSInput[Valid Q1],"&gt;=1"))</f>
        <v/>
      </c>
      <c r="K28" s="11">
        <f>IF(I28="","",COUNTIFS(tblPCSInput[Call Date/Time],"&gt;="&amp;(SETUP!$B$5),tblPCSInput[Call Date/Time],"&lt;"&amp;(SETUP!$B$5+1),tblPCSInput[Call Direction],"I",tblPCSInput[Agent ID],$A28,tblPCSInput[Valid Q1],"&gt;3"))</f>
        <v/>
      </c>
      <c r="L28" s="13">
        <f>IFERROR(G28/F28,"")</f>
        <v/>
      </c>
      <c r="M28" s="13">
        <f>IFERROR(H28/F28,"")</f>
        <v/>
      </c>
      <c r="N28" s="11">
        <f>IF($A28="","",MAX(0,G28-H28))</f>
        <v/>
      </c>
      <c r="O28" s="4">
        <f>IF($A28="","",IF(H28=0,"NO VALID SURVEY",IF(H28&lt;5,"LOW SAMPLE","OK")))</f>
        <v/>
      </c>
      <c r="P28" s="11">
        <f>IF($A28="","",COUNTIFS(tblPCSInput[Call Date/Time],"&gt;="&amp;(SETUP!$B$6),tblPCSInput[Call Date/Time],"&lt;"&amp;(SETUP!$B$7),tblPCSInput[Call Direction],"I",tblPCSInput[Agent ID],$A28,tblPCSInput[PCSStatus],1))</f>
        <v/>
      </c>
      <c r="Q28" s="11">
        <f>IF($A28="","",COUNTIFS(tblPCSInput[Call Date/Time],"&gt;="&amp;(SETUP!$B$6),tblPCSInput[Call Date/Time],"&lt;"&amp;(SETUP!$B$7),tblPCSInput[Call Direction],"I",tblPCSInput[Agent ID],$A28,tblPCSInput[Question 1],"&lt;&gt;"))</f>
        <v/>
      </c>
      <c r="R28" s="11">
        <f>IF($A28="","",COUNTIFS(tblPCSInput[Call Date/Time],"&gt;="&amp;(SETUP!$B$6),tblPCSInput[Call Date/Time],"&lt;"&amp;(SETUP!$B$7),tblPCSInput[Call Direction],"I",tblPCSInput[Agent ID],$A28,tblPCSInput[Valid Q1],"&gt;=1"))</f>
        <v/>
      </c>
      <c r="S28" s="12">
        <f>IFERROR(SUMIFS(tblPCSInput[Valid Q1],tblPCSInput[Call Date/Time],"&gt;="&amp;SETUP!$B$6,tblPCSInput[Call Date/Time],"&lt;"&amp;SETUP!$B$7,tblPCSInput[Call Direction],"I",tblPCSInput[Agent ID],$A28)/COUNTIFS(tblPCSInput[Call Date/Time],"&gt;="&amp;(SETUP!$B$6),tblPCSInput[Call Date/Time],"&lt;"&amp;(SETUP!$B$7),tblPCSInput[Call Direction],"I",tblPCSInput[Agent ID],$A28,tblPCSInput[Valid Q1],"&gt;=1"),"")</f>
        <v/>
      </c>
      <c r="T28" s="11">
        <f>IF(S28="","",COUNTIFS(tblPCSInput[Call Date/Time],"&gt;="&amp;(SETUP!$B$6),tblPCSInput[Call Date/Time],"&lt;"&amp;(SETUP!$B$7),tblPCSInput[Call Direction],"I",tblPCSInput[Agent ID],$A28,tblPCSInput[Valid Q1],"&lt;=3",tblPCSInput[Valid Q1],"&gt;=1"))</f>
        <v/>
      </c>
      <c r="U28" s="11">
        <f>IF(S28="","",COUNTIFS(tblPCSInput[Call Date/Time],"&gt;="&amp;(SETUP!$B$6),tblPCSInput[Call Date/Time],"&lt;"&amp;(SETUP!$B$7),tblPCSInput[Call Direction],"I",tblPCSInput[Agent ID],$A28,tblPCSInput[Valid Q1],"&gt;3"))</f>
        <v/>
      </c>
      <c r="V28" s="13">
        <f>IFERROR(Q28/P28,"")</f>
        <v/>
      </c>
      <c r="W28" s="13">
        <f>IFERROR(R28/P28,"")</f>
        <v/>
      </c>
    </row>
    <row r="29" spans="1:23">
      <c r="A29" s="4">
        <f>IF(ROSTER!A29="","",ROSTER!A29)</f>
        <v>96484</v>
      </c>
      <c r="B29" s="4" t="str">
        <f>IF($A29="","",ROSTER!C29)</f>
        <v>KHATIR Hassan</v>
      </c>
      <c r="C29" s="4" t="str">
        <f>IF($A29="","",ROSTER!D29)</f>
        <v>Youssef KHADLY</v>
      </c>
      <c r="D29" s="4" t="str">
        <f>IF($A29="","",ROSTER!E29)</f>
        <v>Anas OUAKKAD</v>
      </c>
      <c r="E29" s="4" t="str">
        <f>IF($A29="","",ROSTER!F29)</f>
        <v>RSA NL</v>
      </c>
      <c r="F29" s="11">
        <f>IF($A29="","",COUNTIFS(tblPCSInput[Call Date/Time],"&gt;="&amp;(SETUP!$B$5),tblPCSInput[Call Date/Time],"&lt;"&amp;(SETUP!$B$5+1),tblPCSInput[Call Direction],"I",tblPCSInput[Agent ID],$A29,tblPCSInput[PCSStatus],1))</f>
        <v/>
      </c>
      <c r="G29" s="11">
        <f>IF($A29="","",COUNTIFS(tblPCSInput[Call Date/Time],"&gt;="&amp;(SETUP!$B$5),tblPCSInput[Call Date/Time],"&lt;"&amp;(SETUP!$B$5+1),tblPCSInput[Call Direction],"I",tblPCSInput[Agent ID],$A29,tblPCSInput[Question 1],"&lt;&gt;"))</f>
        <v/>
      </c>
      <c r="H29" s="11">
        <f>IF($A29="","",COUNTIFS(tblPCSInput[Call Date/Time],"&gt;="&amp;(SETUP!$B$5),tblPCSInput[Call Date/Time],"&lt;"&amp;(SETUP!$B$5+1),tblPCSInput[Call Direction],"I",tblPCSInput[Agent ID],$A29,tblPCSInput[Valid Q1],"&gt;=1"))</f>
        <v/>
      </c>
      <c r="I29" s="12">
        <f>IFERROR(SUMIFS(tblPCSInput[Valid Q1],tblPCSInput[Call Date/Time],"&gt;="&amp;SETUP!$B$5,tblPCSInput[Call Date/Time],"&lt;"&amp;SETUP!$B$5+1,tblPCSInput[Call Direction],"I",tblPCSInput[Agent ID],$A29)/COUNTIFS(tblPCSInput[Call Date/Time],"&gt;="&amp;(SETUP!$B$5),tblPCSInput[Call Date/Time],"&lt;"&amp;(SETUP!$B$5+1),tblPCSInput[Call Direction],"I",tblPCSInput[Agent ID],$A29,tblPCSInput[Valid Q1],"&gt;=1"),"")</f>
        <v/>
      </c>
      <c r="J29" s="11">
        <f>IF(I29="","",COUNTIFS(tblPCSInput[Call Date/Time],"&gt;="&amp;(SETUP!$B$5),tblPCSInput[Call Date/Time],"&lt;"&amp;(SETUP!$B$5+1),tblPCSInput[Call Direction],"I",tblPCSInput[Agent ID],$A29,tblPCSInput[Valid Q1],"&lt;=3",tblPCSInput[Valid Q1],"&gt;=1"))</f>
        <v/>
      </c>
      <c r="K29" s="11">
        <f>IF(I29="","",COUNTIFS(tblPCSInput[Call Date/Time],"&gt;="&amp;(SETUP!$B$5),tblPCSInput[Call Date/Time],"&lt;"&amp;(SETUP!$B$5+1),tblPCSInput[Call Direction],"I",tblPCSInput[Agent ID],$A29,tblPCSInput[Valid Q1],"&gt;3"))</f>
        <v/>
      </c>
      <c r="L29" s="13">
        <f>IFERROR(G29/F29,"")</f>
        <v/>
      </c>
      <c r="M29" s="13">
        <f>IFERROR(H29/F29,"")</f>
        <v/>
      </c>
      <c r="N29" s="11">
        <f>IF($A29="","",MAX(0,G29-H29))</f>
        <v/>
      </c>
      <c r="O29" s="4">
        <f>IF($A29="","",IF(H29=0,"NO VALID SURVEY",IF(H29&lt;5,"LOW SAMPLE","OK")))</f>
        <v/>
      </c>
      <c r="P29" s="11">
        <f>IF($A29="","",COUNTIFS(tblPCSInput[Call Date/Time],"&gt;="&amp;(SETUP!$B$6),tblPCSInput[Call Date/Time],"&lt;"&amp;(SETUP!$B$7),tblPCSInput[Call Direction],"I",tblPCSInput[Agent ID],$A29,tblPCSInput[PCSStatus],1))</f>
        <v/>
      </c>
      <c r="Q29" s="11">
        <f>IF($A29="","",COUNTIFS(tblPCSInput[Call Date/Time],"&gt;="&amp;(SETUP!$B$6),tblPCSInput[Call Date/Time],"&lt;"&amp;(SETUP!$B$7),tblPCSInput[Call Direction],"I",tblPCSInput[Agent ID],$A29,tblPCSInput[Question 1],"&lt;&gt;"))</f>
        <v/>
      </c>
      <c r="R29" s="11">
        <f>IF($A29="","",COUNTIFS(tblPCSInput[Call Date/Time],"&gt;="&amp;(SETUP!$B$6),tblPCSInput[Call Date/Time],"&lt;"&amp;(SETUP!$B$7),tblPCSInput[Call Direction],"I",tblPCSInput[Agent ID],$A29,tblPCSInput[Valid Q1],"&gt;=1"))</f>
        <v/>
      </c>
      <c r="S29" s="12">
        <f>IFERROR(SUMIFS(tblPCSInput[Valid Q1],tblPCSInput[Call Date/Time],"&gt;="&amp;SETUP!$B$6,tblPCSInput[Call Date/Time],"&lt;"&amp;SETUP!$B$7,tblPCSInput[Call Direction],"I",tblPCSInput[Agent ID],$A29)/COUNTIFS(tblPCSInput[Call Date/Time],"&gt;="&amp;(SETUP!$B$6),tblPCSInput[Call Date/Time],"&lt;"&amp;(SETUP!$B$7),tblPCSInput[Call Direction],"I",tblPCSInput[Agent ID],$A29,tblPCSInput[Valid Q1],"&gt;=1"),"")</f>
        <v/>
      </c>
      <c r="T29" s="11">
        <f>IF(S29="","",COUNTIFS(tblPCSInput[Call Date/Time],"&gt;="&amp;(SETUP!$B$6),tblPCSInput[Call Date/Time],"&lt;"&amp;(SETUP!$B$7),tblPCSInput[Call Direction],"I",tblPCSInput[Agent ID],$A29,tblPCSInput[Valid Q1],"&lt;=3",tblPCSInput[Valid Q1],"&gt;=1"))</f>
        <v/>
      </c>
      <c r="U29" s="11">
        <f>IF(S29="","",COUNTIFS(tblPCSInput[Call Date/Time],"&gt;="&amp;(SETUP!$B$6),tblPCSInput[Call Date/Time],"&lt;"&amp;(SETUP!$B$7),tblPCSInput[Call Direction],"I",tblPCSInput[Agent ID],$A29,tblPCSInput[Valid Q1],"&gt;3"))</f>
        <v/>
      </c>
      <c r="V29" s="13">
        <f>IFERROR(Q29/P29,"")</f>
        <v/>
      </c>
      <c r="W29" s="13">
        <f>IFERROR(R29/P29,"")</f>
        <v/>
      </c>
    </row>
    <row r="30" spans="1:23">
      <c r="A30" s="4">
        <f>IF(ROSTER!A30="","",ROSTER!A30)</f>
        <v>96468</v>
      </c>
      <c r="B30" s="4" t="str">
        <f>IF($A30="","",ROSTER!C30)</f>
        <v>MADHLOUM Mehdi</v>
      </c>
      <c r="C30" s="4" t="str">
        <f>IF($A30="","",ROSTER!D30)</f>
        <v>Adil LAGRAOUI</v>
      </c>
      <c r="D30" s="4" t="str">
        <f>IF($A30="","",ROSTER!E30)</f>
        <v>Anas OUAKKAD</v>
      </c>
      <c r="E30" s="4" t="str">
        <f>IF($A30="","",ROSTER!F30)</f>
        <v>RSA NL</v>
      </c>
      <c r="F30" s="11">
        <f>IF($A30="","",COUNTIFS(tblPCSInput[Call Date/Time],"&gt;="&amp;(SETUP!$B$5),tblPCSInput[Call Date/Time],"&lt;"&amp;(SETUP!$B$5+1),tblPCSInput[Call Direction],"I",tblPCSInput[Agent ID],$A30,tblPCSInput[PCSStatus],1))</f>
        <v/>
      </c>
      <c r="G30" s="11">
        <f>IF($A30="","",COUNTIFS(tblPCSInput[Call Date/Time],"&gt;="&amp;(SETUP!$B$5),tblPCSInput[Call Date/Time],"&lt;"&amp;(SETUP!$B$5+1),tblPCSInput[Call Direction],"I",tblPCSInput[Agent ID],$A30,tblPCSInput[Question 1],"&lt;&gt;"))</f>
        <v/>
      </c>
      <c r="H30" s="11">
        <f>IF($A30="","",COUNTIFS(tblPCSInput[Call Date/Time],"&gt;="&amp;(SETUP!$B$5),tblPCSInput[Call Date/Time],"&lt;"&amp;(SETUP!$B$5+1),tblPCSInput[Call Direction],"I",tblPCSInput[Agent ID],$A30,tblPCSInput[Valid Q1],"&gt;=1"))</f>
        <v/>
      </c>
      <c r="I30" s="12">
        <f>IFERROR(SUMIFS(tblPCSInput[Valid Q1],tblPCSInput[Call Date/Time],"&gt;="&amp;SETUP!$B$5,tblPCSInput[Call Date/Time],"&lt;"&amp;SETUP!$B$5+1,tblPCSInput[Call Direction],"I",tblPCSInput[Agent ID],$A30)/COUNTIFS(tblPCSInput[Call Date/Time],"&gt;="&amp;(SETUP!$B$5),tblPCSInput[Call Date/Time],"&lt;"&amp;(SETUP!$B$5+1),tblPCSInput[Call Direction],"I",tblPCSInput[Agent ID],$A30,tblPCSInput[Valid Q1],"&gt;=1"),"")</f>
        <v/>
      </c>
      <c r="J30" s="11">
        <f>IF(I30="","",COUNTIFS(tblPCSInput[Call Date/Time],"&gt;="&amp;(SETUP!$B$5),tblPCSInput[Call Date/Time],"&lt;"&amp;(SETUP!$B$5+1),tblPCSInput[Call Direction],"I",tblPCSInput[Agent ID],$A30,tblPCSInput[Valid Q1],"&lt;=3",tblPCSInput[Valid Q1],"&gt;=1"))</f>
        <v/>
      </c>
      <c r="K30" s="11">
        <f>IF(I30="","",COUNTIFS(tblPCSInput[Call Date/Time],"&gt;="&amp;(SETUP!$B$5),tblPCSInput[Call Date/Time],"&lt;"&amp;(SETUP!$B$5+1),tblPCSInput[Call Direction],"I",tblPCSInput[Agent ID],$A30,tblPCSInput[Valid Q1],"&gt;3"))</f>
        <v/>
      </c>
      <c r="L30" s="13">
        <f>IFERROR(G30/F30,"")</f>
        <v/>
      </c>
      <c r="M30" s="13">
        <f>IFERROR(H30/F30,"")</f>
        <v/>
      </c>
      <c r="N30" s="11">
        <f>IF($A30="","",MAX(0,G30-H30))</f>
        <v/>
      </c>
      <c r="O30" s="4">
        <f>IF($A30="","",IF(H30=0,"NO VALID SURVEY",IF(H30&lt;5,"LOW SAMPLE","OK")))</f>
        <v/>
      </c>
      <c r="P30" s="11">
        <f>IF($A30="","",COUNTIFS(tblPCSInput[Call Date/Time],"&gt;="&amp;(SETUP!$B$6),tblPCSInput[Call Date/Time],"&lt;"&amp;(SETUP!$B$7),tblPCSInput[Call Direction],"I",tblPCSInput[Agent ID],$A30,tblPCSInput[PCSStatus],1))</f>
        <v/>
      </c>
      <c r="Q30" s="11">
        <f>IF($A30="","",COUNTIFS(tblPCSInput[Call Date/Time],"&gt;="&amp;(SETUP!$B$6),tblPCSInput[Call Date/Time],"&lt;"&amp;(SETUP!$B$7),tblPCSInput[Call Direction],"I",tblPCSInput[Agent ID],$A30,tblPCSInput[Question 1],"&lt;&gt;"))</f>
        <v/>
      </c>
      <c r="R30" s="11">
        <f>IF($A30="","",COUNTIFS(tblPCSInput[Call Date/Time],"&gt;="&amp;(SETUP!$B$6),tblPCSInput[Call Date/Time],"&lt;"&amp;(SETUP!$B$7),tblPCSInput[Call Direction],"I",tblPCSInput[Agent ID],$A30,tblPCSInput[Valid Q1],"&gt;=1"))</f>
        <v/>
      </c>
      <c r="S30" s="12">
        <f>IFERROR(SUMIFS(tblPCSInput[Valid Q1],tblPCSInput[Call Date/Time],"&gt;="&amp;SETUP!$B$6,tblPCSInput[Call Date/Time],"&lt;"&amp;SETUP!$B$7,tblPCSInput[Call Direction],"I",tblPCSInput[Agent ID],$A30)/COUNTIFS(tblPCSInput[Call Date/Time],"&gt;="&amp;(SETUP!$B$6),tblPCSInput[Call Date/Time],"&lt;"&amp;(SETUP!$B$7),tblPCSInput[Call Direction],"I",tblPCSInput[Agent ID],$A30,tblPCSInput[Valid Q1],"&gt;=1"),"")</f>
        <v/>
      </c>
      <c r="T30" s="11">
        <f>IF(S30="","",COUNTIFS(tblPCSInput[Call Date/Time],"&gt;="&amp;(SETUP!$B$6),tblPCSInput[Call Date/Time],"&lt;"&amp;(SETUP!$B$7),tblPCSInput[Call Direction],"I",tblPCSInput[Agent ID],$A30,tblPCSInput[Valid Q1],"&lt;=3",tblPCSInput[Valid Q1],"&gt;=1"))</f>
        <v/>
      </c>
      <c r="U30" s="11">
        <f>IF(S30="","",COUNTIFS(tblPCSInput[Call Date/Time],"&gt;="&amp;(SETUP!$B$6),tblPCSInput[Call Date/Time],"&lt;"&amp;(SETUP!$B$7),tblPCSInput[Call Direction],"I",tblPCSInput[Agent ID],$A30,tblPCSInput[Valid Q1],"&gt;3"))</f>
        <v/>
      </c>
      <c r="V30" s="13">
        <f>IFERROR(Q30/P30,"")</f>
        <v/>
      </c>
      <c r="W30" s="13">
        <f>IFERROR(R30/P30,"")</f>
        <v/>
      </c>
    </row>
    <row r="31" spans="1:23">
      <c r="A31" s="4">
        <f>IF(ROSTER!A31="","",ROSTER!A31)</f>
        <v>96462</v>
      </c>
      <c r="B31" s="4" t="str">
        <f>IF($A31="","",ROSTER!C31)</f>
        <v>OUASKIOT Rachida</v>
      </c>
      <c r="C31" s="4" t="str">
        <f>IF($A31="","",ROSTER!D31)</f>
        <v>Youssef KHADLY</v>
      </c>
      <c r="D31" s="4" t="str">
        <f>IF($A31="","",ROSTER!E31)</f>
        <v>Anas OUAKKAD</v>
      </c>
      <c r="E31" s="4" t="str">
        <f>IF($A31="","",ROSTER!F31)</f>
        <v>RSA NL</v>
      </c>
      <c r="F31" s="11">
        <f>IF($A31="","",COUNTIFS(tblPCSInput[Call Date/Time],"&gt;="&amp;(SETUP!$B$5),tblPCSInput[Call Date/Time],"&lt;"&amp;(SETUP!$B$5+1),tblPCSInput[Call Direction],"I",tblPCSInput[Agent ID],$A31,tblPCSInput[PCSStatus],1))</f>
        <v/>
      </c>
      <c r="G31" s="11">
        <f>IF($A31="","",COUNTIFS(tblPCSInput[Call Date/Time],"&gt;="&amp;(SETUP!$B$5),tblPCSInput[Call Date/Time],"&lt;"&amp;(SETUP!$B$5+1),tblPCSInput[Call Direction],"I",tblPCSInput[Agent ID],$A31,tblPCSInput[Question 1],"&lt;&gt;"))</f>
        <v/>
      </c>
      <c r="H31" s="11">
        <f>IF($A31="","",COUNTIFS(tblPCSInput[Call Date/Time],"&gt;="&amp;(SETUP!$B$5),tblPCSInput[Call Date/Time],"&lt;"&amp;(SETUP!$B$5+1),tblPCSInput[Call Direction],"I",tblPCSInput[Agent ID],$A31,tblPCSInput[Valid Q1],"&gt;=1"))</f>
        <v/>
      </c>
      <c r="I31" s="12">
        <f>IFERROR(SUMIFS(tblPCSInput[Valid Q1],tblPCSInput[Call Date/Time],"&gt;="&amp;SETUP!$B$5,tblPCSInput[Call Date/Time],"&lt;"&amp;SETUP!$B$5+1,tblPCSInput[Call Direction],"I",tblPCSInput[Agent ID],$A31)/COUNTIFS(tblPCSInput[Call Date/Time],"&gt;="&amp;(SETUP!$B$5),tblPCSInput[Call Date/Time],"&lt;"&amp;(SETUP!$B$5+1),tblPCSInput[Call Direction],"I",tblPCSInput[Agent ID],$A31,tblPCSInput[Valid Q1],"&gt;=1"),"")</f>
        <v/>
      </c>
      <c r="J31" s="11">
        <f>IF(I31="","",COUNTIFS(tblPCSInput[Call Date/Time],"&gt;="&amp;(SETUP!$B$5),tblPCSInput[Call Date/Time],"&lt;"&amp;(SETUP!$B$5+1),tblPCSInput[Call Direction],"I",tblPCSInput[Agent ID],$A31,tblPCSInput[Valid Q1],"&lt;=3",tblPCSInput[Valid Q1],"&gt;=1"))</f>
        <v/>
      </c>
      <c r="K31" s="11">
        <f>IF(I31="","",COUNTIFS(tblPCSInput[Call Date/Time],"&gt;="&amp;(SETUP!$B$5),tblPCSInput[Call Date/Time],"&lt;"&amp;(SETUP!$B$5+1),tblPCSInput[Call Direction],"I",tblPCSInput[Agent ID],$A31,tblPCSInput[Valid Q1],"&gt;3"))</f>
        <v/>
      </c>
      <c r="L31" s="13">
        <f>IFERROR(G31/F31,"")</f>
        <v/>
      </c>
      <c r="M31" s="13">
        <f>IFERROR(H31/F31,"")</f>
        <v/>
      </c>
      <c r="N31" s="11">
        <f>IF($A31="","",MAX(0,G31-H31))</f>
        <v/>
      </c>
      <c r="O31" s="4">
        <f>IF($A31="","",IF(H31=0,"NO VALID SURVEY",IF(H31&lt;5,"LOW SAMPLE","OK")))</f>
        <v/>
      </c>
      <c r="P31" s="11">
        <f>IF($A31="","",COUNTIFS(tblPCSInput[Call Date/Time],"&gt;="&amp;(SETUP!$B$6),tblPCSInput[Call Date/Time],"&lt;"&amp;(SETUP!$B$7),tblPCSInput[Call Direction],"I",tblPCSInput[Agent ID],$A31,tblPCSInput[PCSStatus],1))</f>
        <v/>
      </c>
      <c r="Q31" s="11">
        <f>IF($A31="","",COUNTIFS(tblPCSInput[Call Date/Time],"&gt;="&amp;(SETUP!$B$6),tblPCSInput[Call Date/Time],"&lt;"&amp;(SETUP!$B$7),tblPCSInput[Call Direction],"I",tblPCSInput[Agent ID],$A31,tblPCSInput[Question 1],"&lt;&gt;"))</f>
        <v/>
      </c>
      <c r="R31" s="11">
        <f>IF($A31="","",COUNTIFS(tblPCSInput[Call Date/Time],"&gt;="&amp;(SETUP!$B$6),tblPCSInput[Call Date/Time],"&lt;"&amp;(SETUP!$B$7),tblPCSInput[Call Direction],"I",tblPCSInput[Agent ID],$A31,tblPCSInput[Valid Q1],"&gt;=1"))</f>
        <v/>
      </c>
      <c r="S31" s="12">
        <f>IFERROR(SUMIFS(tblPCSInput[Valid Q1],tblPCSInput[Call Date/Time],"&gt;="&amp;SETUP!$B$6,tblPCSInput[Call Date/Time],"&lt;"&amp;SETUP!$B$7,tblPCSInput[Call Direction],"I",tblPCSInput[Agent ID],$A31)/COUNTIFS(tblPCSInput[Call Date/Time],"&gt;="&amp;(SETUP!$B$6),tblPCSInput[Call Date/Time],"&lt;"&amp;(SETUP!$B$7),tblPCSInput[Call Direction],"I",tblPCSInput[Agent ID],$A31,tblPCSInput[Valid Q1],"&gt;=1"),"")</f>
        <v/>
      </c>
      <c r="T31" s="11">
        <f>IF(S31="","",COUNTIFS(tblPCSInput[Call Date/Time],"&gt;="&amp;(SETUP!$B$6),tblPCSInput[Call Date/Time],"&lt;"&amp;(SETUP!$B$7),tblPCSInput[Call Direction],"I",tblPCSInput[Agent ID],$A31,tblPCSInput[Valid Q1],"&lt;=3",tblPCSInput[Valid Q1],"&gt;=1"))</f>
        <v/>
      </c>
      <c r="U31" s="11">
        <f>IF(S31="","",COUNTIFS(tblPCSInput[Call Date/Time],"&gt;="&amp;(SETUP!$B$6),tblPCSInput[Call Date/Time],"&lt;"&amp;(SETUP!$B$7),tblPCSInput[Call Direction],"I",tblPCSInput[Agent ID],$A31,tblPCSInput[Valid Q1],"&gt;3"))</f>
        <v/>
      </c>
      <c r="V31" s="13">
        <f>IFERROR(Q31/P31,"")</f>
        <v/>
      </c>
      <c r="W31" s="13">
        <f>IFERROR(R31/P31,"")</f>
        <v/>
      </c>
    </row>
    <row r="32" spans="1:23">
      <c r="A32" s="4">
        <f>IF(ROSTER!A32="","",ROSTER!A32)</f>
        <v>96452</v>
      </c>
      <c r="B32" s="4" t="str">
        <f>IF($A32="","",ROSTER!C32)</f>
        <v>QNICHER Mohammed Ali</v>
      </c>
      <c r="C32" s="4" t="str">
        <f>IF($A32="","",ROSTER!D32)</f>
        <v>Youssef KHADLY</v>
      </c>
      <c r="D32" s="4" t="str">
        <f>IF($A32="","",ROSTER!E32)</f>
        <v>Anas OUAKKAD</v>
      </c>
      <c r="E32" s="4" t="str">
        <f>IF($A32="","",ROSTER!F32)</f>
        <v>RSA NL</v>
      </c>
      <c r="F32" s="11">
        <f>IF($A32="","",COUNTIFS(tblPCSInput[Call Date/Time],"&gt;="&amp;(SETUP!$B$5),tblPCSInput[Call Date/Time],"&lt;"&amp;(SETUP!$B$5+1),tblPCSInput[Call Direction],"I",tblPCSInput[Agent ID],$A32,tblPCSInput[PCSStatus],1))</f>
        <v/>
      </c>
      <c r="G32" s="11">
        <f>IF($A32="","",COUNTIFS(tblPCSInput[Call Date/Time],"&gt;="&amp;(SETUP!$B$5),tblPCSInput[Call Date/Time],"&lt;"&amp;(SETUP!$B$5+1),tblPCSInput[Call Direction],"I",tblPCSInput[Agent ID],$A32,tblPCSInput[Question 1],"&lt;&gt;"))</f>
        <v/>
      </c>
      <c r="H32" s="11">
        <f>IF($A32="","",COUNTIFS(tblPCSInput[Call Date/Time],"&gt;="&amp;(SETUP!$B$5),tblPCSInput[Call Date/Time],"&lt;"&amp;(SETUP!$B$5+1),tblPCSInput[Call Direction],"I",tblPCSInput[Agent ID],$A32,tblPCSInput[Valid Q1],"&gt;=1"))</f>
        <v/>
      </c>
      <c r="I32" s="12">
        <f>IFERROR(SUMIFS(tblPCSInput[Valid Q1],tblPCSInput[Call Date/Time],"&gt;="&amp;SETUP!$B$5,tblPCSInput[Call Date/Time],"&lt;"&amp;SETUP!$B$5+1,tblPCSInput[Call Direction],"I",tblPCSInput[Agent ID],$A32)/COUNTIFS(tblPCSInput[Call Date/Time],"&gt;="&amp;(SETUP!$B$5),tblPCSInput[Call Date/Time],"&lt;"&amp;(SETUP!$B$5+1),tblPCSInput[Call Direction],"I",tblPCSInput[Agent ID],$A32,tblPCSInput[Valid Q1],"&gt;=1"),"")</f>
        <v/>
      </c>
      <c r="J32" s="11">
        <f>IF(I32="","",COUNTIFS(tblPCSInput[Call Date/Time],"&gt;="&amp;(SETUP!$B$5),tblPCSInput[Call Date/Time],"&lt;"&amp;(SETUP!$B$5+1),tblPCSInput[Call Direction],"I",tblPCSInput[Agent ID],$A32,tblPCSInput[Valid Q1],"&lt;=3",tblPCSInput[Valid Q1],"&gt;=1"))</f>
        <v/>
      </c>
      <c r="K32" s="11">
        <f>IF(I32="","",COUNTIFS(tblPCSInput[Call Date/Time],"&gt;="&amp;(SETUP!$B$5),tblPCSInput[Call Date/Time],"&lt;"&amp;(SETUP!$B$5+1),tblPCSInput[Call Direction],"I",tblPCSInput[Agent ID],$A32,tblPCSInput[Valid Q1],"&gt;3"))</f>
        <v/>
      </c>
      <c r="L32" s="13">
        <f>IFERROR(G32/F32,"")</f>
        <v/>
      </c>
      <c r="M32" s="13">
        <f>IFERROR(H32/F32,"")</f>
        <v/>
      </c>
      <c r="N32" s="11">
        <f>IF($A32="","",MAX(0,G32-H32))</f>
        <v/>
      </c>
      <c r="O32" s="4">
        <f>IF($A32="","",IF(H32=0,"NO VALID SURVEY",IF(H32&lt;5,"LOW SAMPLE","OK")))</f>
        <v/>
      </c>
      <c r="P32" s="11">
        <f>IF($A32="","",COUNTIFS(tblPCSInput[Call Date/Time],"&gt;="&amp;(SETUP!$B$6),tblPCSInput[Call Date/Time],"&lt;"&amp;(SETUP!$B$7),tblPCSInput[Call Direction],"I",tblPCSInput[Agent ID],$A32,tblPCSInput[PCSStatus],1))</f>
        <v/>
      </c>
      <c r="Q32" s="11">
        <f>IF($A32="","",COUNTIFS(tblPCSInput[Call Date/Time],"&gt;="&amp;(SETUP!$B$6),tblPCSInput[Call Date/Time],"&lt;"&amp;(SETUP!$B$7),tblPCSInput[Call Direction],"I",tblPCSInput[Agent ID],$A32,tblPCSInput[Question 1],"&lt;&gt;"))</f>
        <v/>
      </c>
      <c r="R32" s="11">
        <f>IF($A32="","",COUNTIFS(tblPCSInput[Call Date/Time],"&gt;="&amp;(SETUP!$B$6),tblPCSInput[Call Date/Time],"&lt;"&amp;(SETUP!$B$7),tblPCSInput[Call Direction],"I",tblPCSInput[Agent ID],$A32,tblPCSInput[Valid Q1],"&gt;=1"))</f>
        <v/>
      </c>
      <c r="S32" s="12">
        <f>IFERROR(SUMIFS(tblPCSInput[Valid Q1],tblPCSInput[Call Date/Time],"&gt;="&amp;SETUP!$B$6,tblPCSInput[Call Date/Time],"&lt;"&amp;SETUP!$B$7,tblPCSInput[Call Direction],"I",tblPCSInput[Agent ID],$A32)/COUNTIFS(tblPCSInput[Call Date/Time],"&gt;="&amp;(SETUP!$B$6),tblPCSInput[Call Date/Time],"&lt;"&amp;(SETUP!$B$7),tblPCSInput[Call Direction],"I",tblPCSInput[Agent ID],$A32,tblPCSInput[Valid Q1],"&gt;=1"),"")</f>
        <v/>
      </c>
      <c r="T32" s="11">
        <f>IF(S32="","",COUNTIFS(tblPCSInput[Call Date/Time],"&gt;="&amp;(SETUP!$B$6),tblPCSInput[Call Date/Time],"&lt;"&amp;(SETUP!$B$7),tblPCSInput[Call Direction],"I",tblPCSInput[Agent ID],$A32,tblPCSInput[Valid Q1],"&lt;=3",tblPCSInput[Valid Q1],"&gt;=1"))</f>
        <v/>
      </c>
      <c r="U32" s="11">
        <f>IF(S32="","",COUNTIFS(tblPCSInput[Call Date/Time],"&gt;="&amp;(SETUP!$B$6),tblPCSInput[Call Date/Time],"&lt;"&amp;(SETUP!$B$7),tblPCSInput[Call Direction],"I",tblPCSInput[Agent ID],$A32,tblPCSInput[Valid Q1],"&gt;3"))</f>
        <v/>
      </c>
      <c r="V32" s="13">
        <f>IFERROR(Q32/P32,"")</f>
        <v/>
      </c>
      <c r="W32" s="13">
        <f>IFERROR(R32/P32,"")</f>
        <v/>
      </c>
    </row>
    <row r="33" spans="1:23">
      <c r="A33" s="4">
        <f>IF(ROSTER!A33="","",ROSTER!A33)</f>
        <v>203591</v>
      </c>
      <c r="B33" s="4" t="str">
        <f>IF($A33="","",ROSTER!C33)</f>
        <v>El Mornaki Mustapha</v>
      </c>
      <c r="C33" s="4" t="str">
        <f>IF($A33="","",ROSTER!D33)</f>
        <v>Zineb MOUFID</v>
      </c>
      <c r="D33" s="4" t="str">
        <f>IF($A33="","",ROSTER!E33)</f>
        <v>Anas OUAKKAD</v>
      </c>
      <c r="E33" s="4" t="str">
        <f>IF($A33="","",ROSTER!F33)</f>
        <v>OEM FR</v>
      </c>
      <c r="F33" s="11">
        <f>IF($A33="","",COUNTIFS(tblPCSInput[Call Date/Time],"&gt;="&amp;(SETUP!$B$5),tblPCSInput[Call Date/Time],"&lt;"&amp;(SETUP!$B$5+1),tblPCSInput[Call Direction],"I",tblPCSInput[Agent ID],$A33,tblPCSInput[PCSStatus],1))</f>
        <v/>
      </c>
      <c r="G33" s="11">
        <f>IF($A33="","",COUNTIFS(tblPCSInput[Call Date/Time],"&gt;="&amp;(SETUP!$B$5),tblPCSInput[Call Date/Time],"&lt;"&amp;(SETUP!$B$5+1),tblPCSInput[Call Direction],"I",tblPCSInput[Agent ID],$A33,tblPCSInput[Question 1],"&lt;&gt;"))</f>
        <v/>
      </c>
      <c r="H33" s="11">
        <f>IF($A33="","",COUNTIFS(tblPCSInput[Call Date/Time],"&gt;="&amp;(SETUP!$B$5),tblPCSInput[Call Date/Time],"&lt;"&amp;(SETUP!$B$5+1),tblPCSInput[Call Direction],"I",tblPCSInput[Agent ID],$A33,tblPCSInput[Valid Q1],"&gt;=1"))</f>
        <v/>
      </c>
      <c r="I33" s="12">
        <f>IFERROR(SUMIFS(tblPCSInput[Valid Q1],tblPCSInput[Call Date/Time],"&gt;="&amp;SETUP!$B$5,tblPCSInput[Call Date/Time],"&lt;"&amp;SETUP!$B$5+1,tblPCSInput[Call Direction],"I",tblPCSInput[Agent ID],$A33)/COUNTIFS(tblPCSInput[Call Date/Time],"&gt;="&amp;(SETUP!$B$5),tblPCSInput[Call Date/Time],"&lt;"&amp;(SETUP!$B$5+1),tblPCSInput[Call Direction],"I",tblPCSInput[Agent ID],$A33,tblPCSInput[Valid Q1],"&gt;=1"),"")</f>
        <v/>
      </c>
      <c r="J33" s="11">
        <f>IF(I33="","",COUNTIFS(tblPCSInput[Call Date/Time],"&gt;="&amp;(SETUP!$B$5),tblPCSInput[Call Date/Time],"&lt;"&amp;(SETUP!$B$5+1),tblPCSInput[Call Direction],"I",tblPCSInput[Agent ID],$A33,tblPCSInput[Valid Q1],"&lt;=3",tblPCSInput[Valid Q1],"&gt;=1"))</f>
        <v/>
      </c>
      <c r="K33" s="11">
        <f>IF(I33="","",COUNTIFS(tblPCSInput[Call Date/Time],"&gt;="&amp;(SETUP!$B$5),tblPCSInput[Call Date/Time],"&lt;"&amp;(SETUP!$B$5+1),tblPCSInput[Call Direction],"I",tblPCSInput[Agent ID],$A33,tblPCSInput[Valid Q1],"&gt;3"))</f>
        <v/>
      </c>
      <c r="L33" s="13">
        <f>IFERROR(G33/F33,"")</f>
        <v/>
      </c>
      <c r="M33" s="13">
        <f>IFERROR(H33/F33,"")</f>
        <v/>
      </c>
      <c r="N33" s="11">
        <f>IF($A33="","",MAX(0,G33-H33))</f>
        <v/>
      </c>
      <c r="O33" s="4">
        <f>IF($A33="","",IF(H33=0,"NO VALID SURVEY",IF(H33&lt;5,"LOW SAMPLE","OK")))</f>
        <v/>
      </c>
      <c r="P33" s="11">
        <f>IF($A33="","",COUNTIFS(tblPCSInput[Call Date/Time],"&gt;="&amp;(SETUP!$B$6),tblPCSInput[Call Date/Time],"&lt;"&amp;(SETUP!$B$7),tblPCSInput[Call Direction],"I",tblPCSInput[Agent ID],$A33,tblPCSInput[PCSStatus],1))</f>
        <v/>
      </c>
      <c r="Q33" s="11">
        <f>IF($A33="","",COUNTIFS(tblPCSInput[Call Date/Time],"&gt;="&amp;(SETUP!$B$6),tblPCSInput[Call Date/Time],"&lt;"&amp;(SETUP!$B$7),tblPCSInput[Call Direction],"I",tblPCSInput[Agent ID],$A33,tblPCSInput[Question 1],"&lt;&gt;"))</f>
        <v/>
      </c>
      <c r="R33" s="11">
        <f>IF($A33="","",COUNTIFS(tblPCSInput[Call Date/Time],"&gt;="&amp;(SETUP!$B$6),tblPCSInput[Call Date/Time],"&lt;"&amp;(SETUP!$B$7),tblPCSInput[Call Direction],"I",tblPCSInput[Agent ID],$A33,tblPCSInput[Valid Q1],"&gt;=1"))</f>
        <v/>
      </c>
      <c r="S33" s="12">
        <f>IFERROR(SUMIFS(tblPCSInput[Valid Q1],tblPCSInput[Call Date/Time],"&gt;="&amp;SETUP!$B$6,tblPCSInput[Call Date/Time],"&lt;"&amp;SETUP!$B$7,tblPCSInput[Call Direction],"I",tblPCSInput[Agent ID],$A33)/COUNTIFS(tblPCSInput[Call Date/Time],"&gt;="&amp;(SETUP!$B$6),tblPCSInput[Call Date/Time],"&lt;"&amp;(SETUP!$B$7),tblPCSInput[Call Direction],"I",tblPCSInput[Agent ID],$A33,tblPCSInput[Valid Q1],"&gt;=1"),"")</f>
        <v/>
      </c>
      <c r="T33" s="11">
        <f>IF(S33="","",COUNTIFS(tblPCSInput[Call Date/Time],"&gt;="&amp;(SETUP!$B$6),tblPCSInput[Call Date/Time],"&lt;"&amp;(SETUP!$B$7),tblPCSInput[Call Direction],"I",tblPCSInput[Agent ID],$A33,tblPCSInput[Valid Q1],"&lt;=3",tblPCSInput[Valid Q1],"&gt;=1"))</f>
        <v/>
      </c>
      <c r="U33" s="11">
        <f>IF(S33="","",COUNTIFS(tblPCSInput[Call Date/Time],"&gt;="&amp;(SETUP!$B$6),tblPCSInput[Call Date/Time],"&lt;"&amp;(SETUP!$B$7),tblPCSInput[Call Direction],"I",tblPCSInput[Agent ID],$A33,tblPCSInput[Valid Q1],"&gt;3"))</f>
        <v/>
      </c>
      <c r="V33" s="13">
        <f>IFERROR(Q33/P33,"")</f>
        <v/>
      </c>
      <c r="W33" s="13">
        <f>IFERROR(R33/P33,"")</f>
        <v/>
      </c>
    </row>
    <row r="34" spans="1:23">
      <c r="A34" s="4">
        <f>IF(ROSTER!A34="","",ROSTER!A34)</f>
        <v>199550</v>
      </c>
      <c r="B34" s="4" t="str">
        <f>IF($A34="","",ROSTER!C34)</f>
        <v>Sbai Driss</v>
      </c>
      <c r="C34" s="4" t="str">
        <f>IF($A34="","",ROSTER!D34)</f>
        <v>Adil LAGRAOUI</v>
      </c>
      <c r="D34" s="4" t="str">
        <f>IF($A34="","",ROSTER!E34)</f>
        <v>Anas OUAKKAD</v>
      </c>
      <c r="E34" s="4" t="str">
        <f>IF($A34="","",ROSTER!F34)</f>
        <v>RSA VL</v>
      </c>
      <c r="F34" s="11">
        <f>IF($A34="","",COUNTIFS(tblPCSInput[Call Date/Time],"&gt;="&amp;(SETUP!$B$5),tblPCSInput[Call Date/Time],"&lt;"&amp;(SETUP!$B$5+1),tblPCSInput[Call Direction],"I",tblPCSInput[Agent ID],$A34,tblPCSInput[PCSStatus],1))</f>
        <v/>
      </c>
      <c r="G34" s="11">
        <f>IF($A34="","",COUNTIFS(tblPCSInput[Call Date/Time],"&gt;="&amp;(SETUP!$B$5),tblPCSInput[Call Date/Time],"&lt;"&amp;(SETUP!$B$5+1),tblPCSInput[Call Direction],"I",tblPCSInput[Agent ID],$A34,tblPCSInput[Question 1],"&lt;&gt;"))</f>
        <v/>
      </c>
      <c r="H34" s="11">
        <f>IF($A34="","",COUNTIFS(tblPCSInput[Call Date/Time],"&gt;="&amp;(SETUP!$B$5),tblPCSInput[Call Date/Time],"&lt;"&amp;(SETUP!$B$5+1),tblPCSInput[Call Direction],"I",tblPCSInput[Agent ID],$A34,tblPCSInput[Valid Q1],"&gt;=1"))</f>
        <v/>
      </c>
      <c r="I34" s="12">
        <f>IFERROR(SUMIFS(tblPCSInput[Valid Q1],tblPCSInput[Call Date/Time],"&gt;="&amp;SETUP!$B$5,tblPCSInput[Call Date/Time],"&lt;"&amp;SETUP!$B$5+1,tblPCSInput[Call Direction],"I",tblPCSInput[Agent ID],$A34)/COUNTIFS(tblPCSInput[Call Date/Time],"&gt;="&amp;(SETUP!$B$5),tblPCSInput[Call Date/Time],"&lt;"&amp;(SETUP!$B$5+1),tblPCSInput[Call Direction],"I",tblPCSInput[Agent ID],$A34,tblPCSInput[Valid Q1],"&gt;=1"),"")</f>
        <v/>
      </c>
      <c r="J34" s="11">
        <f>IF(I34="","",COUNTIFS(tblPCSInput[Call Date/Time],"&gt;="&amp;(SETUP!$B$5),tblPCSInput[Call Date/Time],"&lt;"&amp;(SETUP!$B$5+1),tblPCSInput[Call Direction],"I",tblPCSInput[Agent ID],$A34,tblPCSInput[Valid Q1],"&lt;=3",tblPCSInput[Valid Q1],"&gt;=1"))</f>
        <v/>
      </c>
      <c r="K34" s="11">
        <f>IF(I34="","",COUNTIFS(tblPCSInput[Call Date/Time],"&gt;="&amp;(SETUP!$B$5),tblPCSInput[Call Date/Time],"&lt;"&amp;(SETUP!$B$5+1),tblPCSInput[Call Direction],"I",tblPCSInput[Agent ID],$A34,tblPCSInput[Valid Q1],"&gt;3"))</f>
        <v/>
      </c>
      <c r="L34" s="13">
        <f>IFERROR(G34/F34,"")</f>
        <v/>
      </c>
      <c r="M34" s="13">
        <f>IFERROR(H34/F34,"")</f>
        <v/>
      </c>
      <c r="N34" s="11">
        <f>IF($A34="","",MAX(0,G34-H34))</f>
        <v/>
      </c>
      <c r="O34" s="4">
        <f>IF($A34="","",IF(H34=0,"NO VALID SURVEY",IF(H34&lt;5,"LOW SAMPLE","OK")))</f>
        <v/>
      </c>
      <c r="P34" s="11">
        <f>IF($A34="","",COUNTIFS(tblPCSInput[Call Date/Time],"&gt;="&amp;(SETUP!$B$6),tblPCSInput[Call Date/Time],"&lt;"&amp;(SETUP!$B$7),tblPCSInput[Call Direction],"I",tblPCSInput[Agent ID],$A34,tblPCSInput[PCSStatus],1))</f>
        <v/>
      </c>
      <c r="Q34" s="11">
        <f>IF($A34="","",COUNTIFS(tblPCSInput[Call Date/Time],"&gt;="&amp;(SETUP!$B$6),tblPCSInput[Call Date/Time],"&lt;"&amp;(SETUP!$B$7),tblPCSInput[Call Direction],"I",tblPCSInput[Agent ID],$A34,tblPCSInput[Question 1],"&lt;&gt;"))</f>
        <v/>
      </c>
      <c r="R34" s="11">
        <f>IF($A34="","",COUNTIFS(tblPCSInput[Call Date/Time],"&gt;="&amp;(SETUP!$B$6),tblPCSInput[Call Date/Time],"&lt;"&amp;(SETUP!$B$7),tblPCSInput[Call Direction],"I",tblPCSInput[Agent ID],$A34,tblPCSInput[Valid Q1],"&gt;=1"))</f>
        <v/>
      </c>
      <c r="S34" s="12">
        <f>IFERROR(SUMIFS(tblPCSInput[Valid Q1],tblPCSInput[Call Date/Time],"&gt;="&amp;SETUP!$B$6,tblPCSInput[Call Date/Time],"&lt;"&amp;SETUP!$B$7,tblPCSInput[Call Direction],"I",tblPCSInput[Agent ID],$A34)/COUNTIFS(tblPCSInput[Call Date/Time],"&gt;="&amp;(SETUP!$B$6),tblPCSInput[Call Date/Time],"&lt;"&amp;(SETUP!$B$7),tblPCSInput[Call Direction],"I",tblPCSInput[Agent ID],$A34,tblPCSInput[Valid Q1],"&gt;=1"),"")</f>
        <v/>
      </c>
      <c r="T34" s="11">
        <f>IF(S34="","",COUNTIFS(tblPCSInput[Call Date/Time],"&gt;="&amp;(SETUP!$B$6),tblPCSInput[Call Date/Time],"&lt;"&amp;(SETUP!$B$7),tblPCSInput[Call Direction],"I",tblPCSInput[Agent ID],$A34,tblPCSInput[Valid Q1],"&lt;=3",tblPCSInput[Valid Q1],"&gt;=1"))</f>
        <v/>
      </c>
      <c r="U34" s="11">
        <f>IF(S34="","",COUNTIFS(tblPCSInput[Call Date/Time],"&gt;="&amp;(SETUP!$B$6),tblPCSInput[Call Date/Time],"&lt;"&amp;(SETUP!$B$7),tblPCSInput[Call Direction],"I",tblPCSInput[Agent ID],$A34,tblPCSInput[Valid Q1],"&gt;3"))</f>
        <v/>
      </c>
      <c r="V34" s="13">
        <f>IFERROR(Q34/P34,"")</f>
        <v/>
      </c>
      <c r="W34" s="13">
        <f>IFERROR(R34/P34,"")</f>
        <v/>
      </c>
    </row>
    <row r="35" spans="1:23">
      <c r="A35" s="4">
        <f>IF(ROSTER!A35="","",ROSTER!A35)</f>
        <v>221751</v>
      </c>
      <c r="B35" s="4" t="str">
        <f>IF($A35="","",ROSTER!C35)</f>
        <v>Shaib Hashemi</v>
      </c>
      <c r="C35" s="4" t="str">
        <f>IF($A35="","",ROSTER!D35)</f>
        <v>Adil LAGRAOUI</v>
      </c>
      <c r="D35" s="4" t="str">
        <f>IF($A35="","",ROSTER!E35)</f>
        <v>Anas OUAKKAD</v>
      </c>
      <c r="E35" s="4" t="str">
        <f>IF($A35="","",ROSTER!F35)</f>
        <v>RSA NL</v>
      </c>
      <c r="F35" s="11">
        <f>IF($A35="","",COUNTIFS(tblPCSInput[Call Date/Time],"&gt;="&amp;(SETUP!$B$5),tblPCSInput[Call Date/Time],"&lt;"&amp;(SETUP!$B$5+1),tblPCSInput[Call Direction],"I",tblPCSInput[Agent ID],$A35,tblPCSInput[PCSStatus],1))</f>
        <v/>
      </c>
      <c r="G35" s="11">
        <f>IF($A35="","",COUNTIFS(tblPCSInput[Call Date/Time],"&gt;="&amp;(SETUP!$B$5),tblPCSInput[Call Date/Time],"&lt;"&amp;(SETUP!$B$5+1),tblPCSInput[Call Direction],"I",tblPCSInput[Agent ID],$A35,tblPCSInput[Question 1],"&lt;&gt;"))</f>
        <v/>
      </c>
      <c r="H35" s="11">
        <f>IF($A35="","",COUNTIFS(tblPCSInput[Call Date/Time],"&gt;="&amp;(SETUP!$B$5),tblPCSInput[Call Date/Time],"&lt;"&amp;(SETUP!$B$5+1),tblPCSInput[Call Direction],"I",tblPCSInput[Agent ID],$A35,tblPCSInput[Valid Q1],"&gt;=1"))</f>
        <v/>
      </c>
      <c r="I35" s="12">
        <f>IFERROR(SUMIFS(tblPCSInput[Valid Q1],tblPCSInput[Call Date/Time],"&gt;="&amp;SETUP!$B$5,tblPCSInput[Call Date/Time],"&lt;"&amp;SETUP!$B$5+1,tblPCSInput[Call Direction],"I",tblPCSInput[Agent ID],$A35)/COUNTIFS(tblPCSInput[Call Date/Time],"&gt;="&amp;(SETUP!$B$5),tblPCSInput[Call Date/Time],"&lt;"&amp;(SETUP!$B$5+1),tblPCSInput[Call Direction],"I",tblPCSInput[Agent ID],$A35,tblPCSInput[Valid Q1],"&gt;=1"),"")</f>
        <v/>
      </c>
      <c r="J35" s="11">
        <f>IF(I35="","",COUNTIFS(tblPCSInput[Call Date/Time],"&gt;="&amp;(SETUP!$B$5),tblPCSInput[Call Date/Time],"&lt;"&amp;(SETUP!$B$5+1),tblPCSInput[Call Direction],"I",tblPCSInput[Agent ID],$A35,tblPCSInput[Valid Q1],"&lt;=3",tblPCSInput[Valid Q1],"&gt;=1"))</f>
        <v/>
      </c>
      <c r="K35" s="11">
        <f>IF(I35="","",COUNTIFS(tblPCSInput[Call Date/Time],"&gt;="&amp;(SETUP!$B$5),tblPCSInput[Call Date/Time],"&lt;"&amp;(SETUP!$B$5+1),tblPCSInput[Call Direction],"I",tblPCSInput[Agent ID],$A35,tblPCSInput[Valid Q1],"&gt;3"))</f>
        <v/>
      </c>
      <c r="L35" s="13">
        <f>IFERROR(G35/F35,"")</f>
        <v/>
      </c>
      <c r="M35" s="13">
        <f>IFERROR(H35/F35,"")</f>
        <v/>
      </c>
      <c r="N35" s="11">
        <f>IF($A35="","",MAX(0,G35-H35))</f>
        <v/>
      </c>
      <c r="O35" s="4">
        <f>IF($A35="","",IF(H35=0,"NO VALID SURVEY",IF(H35&lt;5,"LOW SAMPLE","OK")))</f>
        <v/>
      </c>
      <c r="P35" s="11">
        <f>IF($A35="","",COUNTIFS(tblPCSInput[Call Date/Time],"&gt;="&amp;(SETUP!$B$6),tblPCSInput[Call Date/Time],"&lt;"&amp;(SETUP!$B$7),tblPCSInput[Call Direction],"I",tblPCSInput[Agent ID],$A35,tblPCSInput[PCSStatus],1))</f>
        <v/>
      </c>
      <c r="Q35" s="11">
        <f>IF($A35="","",COUNTIFS(tblPCSInput[Call Date/Time],"&gt;="&amp;(SETUP!$B$6),tblPCSInput[Call Date/Time],"&lt;"&amp;(SETUP!$B$7),tblPCSInput[Call Direction],"I",tblPCSInput[Agent ID],$A35,tblPCSInput[Question 1],"&lt;&gt;"))</f>
        <v/>
      </c>
      <c r="R35" s="11">
        <f>IF($A35="","",COUNTIFS(tblPCSInput[Call Date/Time],"&gt;="&amp;(SETUP!$B$6),tblPCSInput[Call Date/Time],"&lt;"&amp;(SETUP!$B$7),tblPCSInput[Call Direction],"I",tblPCSInput[Agent ID],$A35,tblPCSInput[Valid Q1],"&gt;=1"))</f>
        <v/>
      </c>
      <c r="S35" s="12">
        <f>IFERROR(SUMIFS(tblPCSInput[Valid Q1],tblPCSInput[Call Date/Time],"&gt;="&amp;SETUP!$B$6,tblPCSInput[Call Date/Time],"&lt;"&amp;SETUP!$B$7,tblPCSInput[Call Direction],"I",tblPCSInput[Agent ID],$A35)/COUNTIFS(tblPCSInput[Call Date/Time],"&gt;="&amp;(SETUP!$B$6),tblPCSInput[Call Date/Time],"&lt;"&amp;(SETUP!$B$7),tblPCSInput[Call Direction],"I",tblPCSInput[Agent ID],$A35,tblPCSInput[Valid Q1],"&gt;=1"),"")</f>
        <v/>
      </c>
      <c r="T35" s="11">
        <f>IF(S35="","",COUNTIFS(tblPCSInput[Call Date/Time],"&gt;="&amp;(SETUP!$B$6),tblPCSInput[Call Date/Time],"&lt;"&amp;(SETUP!$B$7),tblPCSInput[Call Direction],"I",tblPCSInput[Agent ID],$A35,tblPCSInput[Valid Q1],"&lt;=3",tblPCSInput[Valid Q1],"&gt;=1"))</f>
        <v/>
      </c>
      <c r="U35" s="11">
        <f>IF(S35="","",COUNTIFS(tblPCSInput[Call Date/Time],"&gt;="&amp;(SETUP!$B$6),tblPCSInput[Call Date/Time],"&lt;"&amp;(SETUP!$B$7),tblPCSInput[Call Direction],"I",tblPCSInput[Agent ID],$A35,tblPCSInput[Valid Q1],"&gt;3"))</f>
        <v/>
      </c>
      <c r="V35" s="13">
        <f>IFERROR(Q35/P35,"")</f>
        <v/>
      </c>
      <c r="W35" s="13">
        <f>IFERROR(R35/P35,"")</f>
        <v/>
      </c>
    </row>
    <row r="36" spans="1:23">
      <c r="A36" s="4">
        <f>IF(ROSTER!A36="","",ROSTER!A36)</f>
        <v>96476</v>
      </c>
      <c r="B36" s="4" t="str">
        <f>IF($A36="","",ROSTER!C36)</f>
        <v>ULUDAG Erkan</v>
      </c>
      <c r="C36" s="4" t="str">
        <f>IF($A36="","",ROSTER!D36)</f>
        <v>Adil LAGRAOUI</v>
      </c>
      <c r="D36" s="4" t="str">
        <f>IF($A36="","",ROSTER!E36)</f>
        <v>Anas OUAKKAD</v>
      </c>
      <c r="E36" s="4" t="str">
        <f>IF($A36="","",ROSTER!F36)</f>
        <v>RSA NL</v>
      </c>
      <c r="F36" s="11">
        <f>IF($A36="","",COUNTIFS(tblPCSInput[Call Date/Time],"&gt;="&amp;(SETUP!$B$5),tblPCSInput[Call Date/Time],"&lt;"&amp;(SETUP!$B$5+1),tblPCSInput[Call Direction],"I",tblPCSInput[Agent ID],$A36,tblPCSInput[PCSStatus],1))</f>
        <v/>
      </c>
      <c r="G36" s="11">
        <f>IF($A36="","",COUNTIFS(tblPCSInput[Call Date/Time],"&gt;="&amp;(SETUP!$B$5),tblPCSInput[Call Date/Time],"&lt;"&amp;(SETUP!$B$5+1),tblPCSInput[Call Direction],"I",tblPCSInput[Agent ID],$A36,tblPCSInput[Question 1],"&lt;&gt;"))</f>
        <v/>
      </c>
      <c r="H36" s="11">
        <f>IF($A36="","",COUNTIFS(tblPCSInput[Call Date/Time],"&gt;="&amp;(SETUP!$B$5),tblPCSInput[Call Date/Time],"&lt;"&amp;(SETUP!$B$5+1),tblPCSInput[Call Direction],"I",tblPCSInput[Agent ID],$A36,tblPCSInput[Valid Q1],"&gt;=1"))</f>
        <v/>
      </c>
      <c r="I36" s="12">
        <f>IFERROR(SUMIFS(tblPCSInput[Valid Q1],tblPCSInput[Call Date/Time],"&gt;="&amp;SETUP!$B$5,tblPCSInput[Call Date/Time],"&lt;"&amp;SETUP!$B$5+1,tblPCSInput[Call Direction],"I",tblPCSInput[Agent ID],$A36)/COUNTIFS(tblPCSInput[Call Date/Time],"&gt;="&amp;(SETUP!$B$5),tblPCSInput[Call Date/Time],"&lt;"&amp;(SETUP!$B$5+1),tblPCSInput[Call Direction],"I",tblPCSInput[Agent ID],$A36,tblPCSInput[Valid Q1],"&gt;=1"),"")</f>
        <v/>
      </c>
      <c r="J36" s="11">
        <f>IF(I36="","",COUNTIFS(tblPCSInput[Call Date/Time],"&gt;="&amp;(SETUP!$B$5),tblPCSInput[Call Date/Time],"&lt;"&amp;(SETUP!$B$5+1),tblPCSInput[Call Direction],"I",tblPCSInput[Agent ID],$A36,tblPCSInput[Valid Q1],"&lt;=3",tblPCSInput[Valid Q1],"&gt;=1"))</f>
        <v/>
      </c>
      <c r="K36" s="11">
        <f>IF(I36="","",COUNTIFS(tblPCSInput[Call Date/Time],"&gt;="&amp;(SETUP!$B$5),tblPCSInput[Call Date/Time],"&lt;"&amp;(SETUP!$B$5+1),tblPCSInput[Call Direction],"I",tblPCSInput[Agent ID],$A36,tblPCSInput[Valid Q1],"&gt;3"))</f>
        <v/>
      </c>
      <c r="L36" s="13">
        <f>IFERROR(G36/F36,"")</f>
        <v/>
      </c>
      <c r="M36" s="13">
        <f>IFERROR(H36/F36,"")</f>
        <v/>
      </c>
      <c r="N36" s="11">
        <f>IF($A36="","",MAX(0,G36-H36))</f>
        <v/>
      </c>
      <c r="O36" s="4">
        <f>IF($A36="","",IF(H36=0,"NO VALID SURVEY",IF(H36&lt;5,"LOW SAMPLE","OK")))</f>
        <v/>
      </c>
      <c r="P36" s="11">
        <f>IF($A36="","",COUNTIFS(tblPCSInput[Call Date/Time],"&gt;="&amp;(SETUP!$B$6),tblPCSInput[Call Date/Time],"&lt;"&amp;(SETUP!$B$7),tblPCSInput[Call Direction],"I",tblPCSInput[Agent ID],$A36,tblPCSInput[PCSStatus],1))</f>
        <v/>
      </c>
      <c r="Q36" s="11">
        <f>IF($A36="","",COUNTIFS(tblPCSInput[Call Date/Time],"&gt;="&amp;(SETUP!$B$6),tblPCSInput[Call Date/Time],"&lt;"&amp;(SETUP!$B$7),tblPCSInput[Call Direction],"I",tblPCSInput[Agent ID],$A36,tblPCSInput[Question 1],"&lt;&gt;"))</f>
        <v/>
      </c>
      <c r="R36" s="11">
        <f>IF($A36="","",COUNTIFS(tblPCSInput[Call Date/Time],"&gt;="&amp;(SETUP!$B$6),tblPCSInput[Call Date/Time],"&lt;"&amp;(SETUP!$B$7),tblPCSInput[Call Direction],"I",tblPCSInput[Agent ID],$A36,tblPCSInput[Valid Q1],"&gt;=1"))</f>
        <v/>
      </c>
      <c r="S36" s="12">
        <f>IFERROR(SUMIFS(tblPCSInput[Valid Q1],tblPCSInput[Call Date/Time],"&gt;="&amp;SETUP!$B$6,tblPCSInput[Call Date/Time],"&lt;"&amp;SETUP!$B$7,tblPCSInput[Call Direction],"I",tblPCSInput[Agent ID],$A36)/COUNTIFS(tblPCSInput[Call Date/Time],"&gt;="&amp;(SETUP!$B$6),tblPCSInput[Call Date/Time],"&lt;"&amp;(SETUP!$B$7),tblPCSInput[Call Direction],"I",tblPCSInput[Agent ID],$A36,tblPCSInput[Valid Q1],"&gt;=1"),"")</f>
        <v/>
      </c>
      <c r="T36" s="11">
        <f>IF(S36="","",COUNTIFS(tblPCSInput[Call Date/Time],"&gt;="&amp;(SETUP!$B$6),tblPCSInput[Call Date/Time],"&lt;"&amp;(SETUP!$B$7),tblPCSInput[Call Direction],"I",tblPCSInput[Agent ID],$A36,tblPCSInput[Valid Q1],"&lt;=3",tblPCSInput[Valid Q1],"&gt;=1"))</f>
        <v/>
      </c>
      <c r="U36" s="11">
        <f>IF(S36="","",COUNTIFS(tblPCSInput[Call Date/Time],"&gt;="&amp;(SETUP!$B$6),tblPCSInput[Call Date/Time],"&lt;"&amp;(SETUP!$B$7),tblPCSInput[Call Direction],"I",tblPCSInput[Agent ID],$A36,tblPCSInput[Valid Q1],"&gt;3"))</f>
        <v/>
      </c>
      <c r="V36" s="13">
        <f>IFERROR(Q36/P36,"")</f>
        <v/>
      </c>
      <c r="W36" s="13">
        <f>IFERROR(R36/P36,"")</f>
        <v/>
      </c>
    </row>
    <row r="37" spans="1:23">
      <c r="A37" s="4">
        <f>IF(ROSTER!A37="","",ROSTER!A37)</f>
        <v>202682</v>
      </c>
      <c r="B37" s="4" t="str">
        <f>IF($A37="","",ROSTER!C37)</f>
        <v>Beekman Kai</v>
      </c>
      <c r="C37" s="4" t="str">
        <f>IF($A37="","",ROSTER!D37)</f>
        <v>Ilyasse Derrazi</v>
      </c>
      <c r="D37" s="4" t="str">
        <f>IF($A37="","",ROSTER!E37)</f>
        <v>Anas OUAKKAD</v>
      </c>
      <c r="E37" s="4" t="str">
        <f>IF($A37="","",ROSTER!F37)</f>
        <v>Ford Dutch</v>
      </c>
      <c r="F37" s="11">
        <f>IF($A37="","",COUNTIFS(tblPCSInput[Call Date/Time],"&gt;="&amp;(SETUP!$B$5),tblPCSInput[Call Date/Time],"&lt;"&amp;(SETUP!$B$5+1),tblPCSInput[Call Direction],"I",tblPCSInput[Agent ID],$A37,tblPCSInput[PCSStatus],1))</f>
        <v/>
      </c>
      <c r="G37" s="11">
        <f>IF($A37="","",COUNTIFS(tblPCSInput[Call Date/Time],"&gt;="&amp;(SETUP!$B$5),tblPCSInput[Call Date/Time],"&lt;"&amp;(SETUP!$B$5+1),tblPCSInput[Call Direction],"I",tblPCSInput[Agent ID],$A37,tblPCSInput[Question 1],"&lt;&gt;"))</f>
        <v/>
      </c>
      <c r="H37" s="11">
        <f>IF($A37="","",COUNTIFS(tblPCSInput[Call Date/Time],"&gt;="&amp;(SETUP!$B$5),tblPCSInput[Call Date/Time],"&lt;"&amp;(SETUP!$B$5+1),tblPCSInput[Call Direction],"I",tblPCSInput[Agent ID],$A37,tblPCSInput[Valid Q1],"&gt;=1"))</f>
        <v/>
      </c>
      <c r="I37" s="12">
        <f>IFERROR(SUMIFS(tblPCSInput[Valid Q1],tblPCSInput[Call Date/Time],"&gt;="&amp;SETUP!$B$5,tblPCSInput[Call Date/Time],"&lt;"&amp;SETUP!$B$5+1,tblPCSInput[Call Direction],"I",tblPCSInput[Agent ID],$A37)/COUNTIFS(tblPCSInput[Call Date/Time],"&gt;="&amp;(SETUP!$B$5),tblPCSInput[Call Date/Time],"&lt;"&amp;(SETUP!$B$5+1),tblPCSInput[Call Direction],"I",tblPCSInput[Agent ID],$A37,tblPCSInput[Valid Q1],"&gt;=1"),"")</f>
        <v/>
      </c>
      <c r="J37" s="11">
        <f>IF(I37="","",COUNTIFS(tblPCSInput[Call Date/Time],"&gt;="&amp;(SETUP!$B$5),tblPCSInput[Call Date/Time],"&lt;"&amp;(SETUP!$B$5+1),tblPCSInput[Call Direction],"I",tblPCSInput[Agent ID],$A37,tblPCSInput[Valid Q1],"&lt;=3",tblPCSInput[Valid Q1],"&gt;=1"))</f>
        <v/>
      </c>
      <c r="K37" s="11">
        <f>IF(I37="","",COUNTIFS(tblPCSInput[Call Date/Time],"&gt;="&amp;(SETUP!$B$5),tblPCSInput[Call Date/Time],"&lt;"&amp;(SETUP!$B$5+1),tblPCSInput[Call Direction],"I",tblPCSInput[Agent ID],$A37,tblPCSInput[Valid Q1],"&gt;3"))</f>
        <v/>
      </c>
      <c r="L37" s="13">
        <f>IFERROR(G37/F37,"")</f>
        <v/>
      </c>
      <c r="M37" s="13">
        <f>IFERROR(H37/F37,"")</f>
        <v/>
      </c>
      <c r="N37" s="11">
        <f>IF($A37="","",MAX(0,G37-H37))</f>
        <v/>
      </c>
      <c r="O37" s="4">
        <f>IF($A37="","",IF(H37=0,"NO VALID SURVEY",IF(H37&lt;5,"LOW SAMPLE","OK")))</f>
        <v/>
      </c>
      <c r="P37" s="11">
        <f>IF($A37="","",COUNTIFS(tblPCSInput[Call Date/Time],"&gt;="&amp;(SETUP!$B$6),tblPCSInput[Call Date/Time],"&lt;"&amp;(SETUP!$B$7),tblPCSInput[Call Direction],"I",tblPCSInput[Agent ID],$A37,tblPCSInput[PCSStatus],1))</f>
        <v/>
      </c>
      <c r="Q37" s="11">
        <f>IF($A37="","",COUNTIFS(tblPCSInput[Call Date/Time],"&gt;="&amp;(SETUP!$B$6),tblPCSInput[Call Date/Time],"&lt;"&amp;(SETUP!$B$7),tblPCSInput[Call Direction],"I",tblPCSInput[Agent ID],$A37,tblPCSInput[Question 1],"&lt;&gt;"))</f>
        <v/>
      </c>
      <c r="R37" s="11">
        <f>IF($A37="","",COUNTIFS(tblPCSInput[Call Date/Time],"&gt;="&amp;(SETUP!$B$6),tblPCSInput[Call Date/Time],"&lt;"&amp;(SETUP!$B$7),tblPCSInput[Call Direction],"I",tblPCSInput[Agent ID],$A37,tblPCSInput[Valid Q1],"&gt;=1"))</f>
        <v/>
      </c>
      <c r="S37" s="12">
        <f>IFERROR(SUMIFS(tblPCSInput[Valid Q1],tblPCSInput[Call Date/Time],"&gt;="&amp;SETUP!$B$6,tblPCSInput[Call Date/Time],"&lt;"&amp;SETUP!$B$7,tblPCSInput[Call Direction],"I",tblPCSInput[Agent ID],$A37)/COUNTIFS(tblPCSInput[Call Date/Time],"&gt;="&amp;(SETUP!$B$6),tblPCSInput[Call Date/Time],"&lt;"&amp;(SETUP!$B$7),tblPCSInput[Call Direction],"I",tblPCSInput[Agent ID],$A37,tblPCSInput[Valid Q1],"&gt;=1"),"")</f>
        <v/>
      </c>
      <c r="T37" s="11">
        <f>IF(S37="","",COUNTIFS(tblPCSInput[Call Date/Time],"&gt;="&amp;(SETUP!$B$6),tblPCSInput[Call Date/Time],"&lt;"&amp;(SETUP!$B$7),tblPCSInput[Call Direction],"I",tblPCSInput[Agent ID],$A37,tblPCSInput[Valid Q1],"&lt;=3",tblPCSInput[Valid Q1],"&gt;=1"))</f>
        <v/>
      </c>
      <c r="U37" s="11">
        <f>IF(S37="","",COUNTIFS(tblPCSInput[Call Date/Time],"&gt;="&amp;(SETUP!$B$6),tblPCSInput[Call Date/Time],"&lt;"&amp;(SETUP!$B$7),tblPCSInput[Call Direction],"I",tblPCSInput[Agent ID],$A37,tblPCSInput[Valid Q1],"&gt;3"))</f>
        <v/>
      </c>
      <c r="V37" s="13">
        <f>IFERROR(Q37/P37,"")</f>
        <v/>
      </c>
      <c r="W37" s="13">
        <f>IFERROR(R37/P37,"")</f>
        <v/>
      </c>
    </row>
    <row r="38" spans="1:23">
      <c r="A38" s="4">
        <f>IF(ROSTER!A38="","",ROSTER!A38)</f>
        <v>203620</v>
      </c>
      <c r="B38" s="4" t="str">
        <f>IF($A38="","",ROSTER!C38)</f>
        <v>Channane Fadwa</v>
      </c>
      <c r="C38" s="4" t="str">
        <f>IF($A38="","",ROSTER!D38)</f>
        <v>Zineb MOUFID</v>
      </c>
      <c r="D38" s="4" t="str">
        <f>IF($A38="","",ROSTER!E38)</f>
        <v>Anas OUAKKAD</v>
      </c>
      <c r="E38" s="4" t="str">
        <f>IF($A38="","",ROSTER!F38)</f>
        <v>OEM FR</v>
      </c>
      <c r="F38" s="11">
        <f>IF($A38="","",COUNTIFS(tblPCSInput[Call Date/Time],"&gt;="&amp;(SETUP!$B$5),tblPCSInput[Call Date/Time],"&lt;"&amp;(SETUP!$B$5+1),tblPCSInput[Call Direction],"I",tblPCSInput[Agent ID],$A38,tblPCSInput[PCSStatus],1))</f>
        <v/>
      </c>
      <c r="G38" s="11">
        <f>IF($A38="","",COUNTIFS(tblPCSInput[Call Date/Time],"&gt;="&amp;(SETUP!$B$5),tblPCSInput[Call Date/Time],"&lt;"&amp;(SETUP!$B$5+1),tblPCSInput[Call Direction],"I",tblPCSInput[Agent ID],$A38,tblPCSInput[Question 1],"&lt;&gt;"))</f>
        <v/>
      </c>
      <c r="H38" s="11">
        <f>IF($A38="","",COUNTIFS(tblPCSInput[Call Date/Time],"&gt;="&amp;(SETUP!$B$5),tblPCSInput[Call Date/Time],"&lt;"&amp;(SETUP!$B$5+1),tblPCSInput[Call Direction],"I",tblPCSInput[Agent ID],$A38,tblPCSInput[Valid Q1],"&gt;=1"))</f>
        <v/>
      </c>
      <c r="I38" s="12">
        <f>IFERROR(SUMIFS(tblPCSInput[Valid Q1],tblPCSInput[Call Date/Time],"&gt;="&amp;SETUP!$B$5,tblPCSInput[Call Date/Time],"&lt;"&amp;SETUP!$B$5+1,tblPCSInput[Call Direction],"I",tblPCSInput[Agent ID],$A38)/COUNTIFS(tblPCSInput[Call Date/Time],"&gt;="&amp;(SETUP!$B$5),tblPCSInput[Call Date/Time],"&lt;"&amp;(SETUP!$B$5+1),tblPCSInput[Call Direction],"I",tblPCSInput[Agent ID],$A38,tblPCSInput[Valid Q1],"&gt;=1"),"")</f>
        <v/>
      </c>
      <c r="J38" s="11">
        <f>IF(I38="","",COUNTIFS(tblPCSInput[Call Date/Time],"&gt;="&amp;(SETUP!$B$5),tblPCSInput[Call Date/Time],"&lt;"&amp;(SETUP!$B$5+1),tblPCSInput[Call Direction],"I",tblPCSInput[Agent ID],$A38,tblPCSInput[Valid Q1],"&lt;=3",tblPCSInput[Valid Q1],"&gt;=1"))</f>
        <v/>
      </c>
      <c r="K38" s="11">
        <f>IF(I38="","",COUNTIFS(tblPCSInput[Call Date/Time],"&gt;="&amp;(SETUP!$B$5),tblPCSInput[Call Date/Time],"&lt;"&amp;(SETUP!$B$5+1),tblPCSInput[Call Direction],"I",tblPCSInput[Agent ID],$A38,tblPCSInput[Valid Q1],"&gt;3"))</f>
        <v/>
      </c>
      <c r="L38" s="13">
        <f>IFERROR(G38/F38,"")</f>
        <v/>
      </c>
      <c r="M38" s="13">
        <f>IFERROR(H38/F38,"")</f>
        <v/>
      </c>
      <c r="N38" s="11">
        <f>IF($A38="","",MAX(0,G38-H38))</f>
        <v/>
      </c>
      <c r="O38" s="4">
        <f>IF($A38="","",IF(H38=0,"NO VALID SURVEY",IF(H38&lt;5,"LOW SAMPLE","OK")))</f>
        <v/>
      </c>
      <c r="P38" s="11">
        <f>IF($A38="","",COUNTIFS(tblPCSInput[Call Date/Time],"&gt;="&amp;(SETUP!$B$6),tblPCSInput[Call Date/Time],"&lt;"&amp;(SETUP!$B$7),tblPCSInput[Call Direction],"I",tblPCSInput[Agent ID],$A38,tblPCSInput[PCSStatus],1))</f>
        <v/>
      </c>
      <c r="Q38" s="11">
        <f>IF($A38="","",COUNTIFS(tblPCSInput[Call Date/Time],"&gt;="&amp;(SETUP!$B$6),tblPCSInput[Call Date/Time],"&lt;"&amp;(SETUP!$B$7),tblPCSInput[Call Direction],"I",tblPCSInput[Agent ID],$A38,tblPCSInput[Question 1],"&lt;&gt;"))</f>
        <v/>
      </c>
      <c r="R38" s="11">
        <f>IF($A38="","",COUNTIFS(tblPCSInput[Call Date/Time],"&gt;="&amp;(SETUP!$B$6),tblPCSInput[Call Date/Time],"&lt;"&amp;(SETUP!$B$7),tblPCSInput[Call Direction],"I",tblPCSInput[Agent ID],$A38,tblPCSInput[Valid Q1],"&gt;=1"))</f>
        <v/>
      </c>
      <c r="S38" s="12">
        <f>IFERROR(SUMIFS(tblPCSInput[Valid Q1],tblPCSInput[Call Date/Time],"&gt;="&amp;SETUP!$B$6,tblPCSInput[Call Date/Time],"&lt;"&amp;SETUP!$B$7,tblPCSInput[Call Direction],"I",tblPCSInput[Agent ID],$A38)/COUNTIFS(tblPCSInput[Call Date/Time],"&gt;="&amp;(SETUP!$B$6),tblPCSInput[Call Date/Time],"&lt;"&amp;(SETUP!$B$7),tblPCSInput[Call Direction],"I",tblPCSInput[Agent ID],$A38,tblPCSInput[Valid Q1],"&gt;=1"),"")</f>
        <v/>
      </c>
      <c r="T38" s="11">
        <f>IF(S38="","",COUNTIFS(tblPCSInput[Call Date/Time],"&gt;="&amp;(SETUP!$B$6),tblPCSInput[Call Date/Time],"&lt;"&amp;(SETUP!$B$7),tblPCSInput[Call Direction],"I",tblPCSInput[Agent ID],$A38,tblPCSInput[Valid Q1],"&lt;=3",tblPCSInput[Valid Q1],"&gt;=1"))</f>
        <v/>
      </c>
      <c r="U38" s="11">
        <f>IF(S38="","",COUNTIFS(tblPCSInput[Call Date/Time],"&gt;="&amp;(SETUP!$B$6),tblPCSInput[Call Date/Time],"&lt;"&amp;(SETUP!$B$7),tblPCSInput[Call Direction],"I",tblPCSInput[Agent ID],$A38,tblPCSInput[Valid Q1],"&gt;3"))</f>
        <v/>
      </c>
      <c r="V38" s="13">
        <f>IFERROR(Q38/P38,"")</f>
        <v/>
      </c>
      <c r="W38" s="13">
        <f>IFERROR(R38/P38,"")</f>
        <v/>
      </c>
    </row>
    <row r="39" spans="1:23">
      <c r="A39" s="4">
        <f>IF(ROSTER!A39="","",ROSTER!A39)</f>
        <v>203629</v>
      </c>
      <c r="B39" s="4" t="str">
        <f>IF($A39="","",ROSTER!C39)</f>
        <v>Serigne Mouhamadou Mansour Sy Gueye</v>
      </c>
      <c r="C39" s="4" t="str">
        <f>IF($A39="","",ROSTER!D39)</f>
        <v>Malak AZERKI</v>
      </c>
      <c r="D39" s="4" t="str">
        <f>IF($A39="","",ROSTER!E39)</f>
        <v>Anas OUAKKAD</v>
      </c>
      <c r="E39" s="4" t="str">
        <f>IF($A39="","",ROSTER!F39)</f>
        <v>OEM FR</v>
      </c>
      <c r="F39" s="11">
        <f>IF($A39="","",COUNTIFS(tblPCSInput[Call Date/Time],"&gt;="&amp;(SETUP!$B$5),tblPCSInput[Call Date/Time],"&lt;"&amp;(SETUP!$B$5+1),tblPCSInput[Call Direction],"I",tblPCSInput[Agent ID],$A39,tblPCSInput[PCSStatus],1))</f>
        <v/>
      </c>
      <c r="G39" s="11">
        <f>IF($A39="","",COUNTIFS(tblPCSInput[Call Date/Time],"&gt;="&amp;(SETUP!$B$5),tblPCSInput[Call Date/Time],"&lt;"&amp;(SETUP!$B$5+1),tblPCSInput[Call Direction],"I",tblPCSInput[Agent ID],$A39,tblPCSInput[Question 1],"&lt;&gt;"))</f>
        <v/>
      </c>
      <c r="H39" s="11">
        <f>IF($A39="","",COUNTIFS(tblPCSInput[Call Date/Time],"&gt;="&amp;(SETUP!$B$5),tblPCSInput[Call Date/Time],"&lt;"&amp;(SETUP!$B$5+1),tblPCSInput[Call Direction],"I",tblPCSInput[Agent ID],$A39,tblPCSInput[Valid Q1],"&gt;=1"))</f>
        <v/>
      </c>
      <c r="I39" s="12">
        <f>IFERROR(SUMIFS(tblPCSInput[Valid Q1],tblPCSInput[Call Date/Time],"&gt;="&amp;SETUP!$B$5,tblPCSInput[Call Date/Time],"&lt;"&amp;SETUP!$B$5+1,tblPCSInput[Call Direction],"I",tblPCSInput[Agent ID],$A39)/COUNTIFS(tblPCSInput[Call Date/Time],"&gt;="&amp;(SETUP!$B$5),tblPCSInput[Call Date/Time],"&lt;"&amp;(SETUP!$B$5+1),tblPCSInput[Call Direction],"I",tblPCSInput[Agent ID],$A39,tblPCSInput[Valid Q1],"&gt;=1"),"")</f>
        <v/>
      </c>
      <c r="J39" s="11">
        <f>IF(I39="","",COUNTIFS(tblPCSInput[Call Date/Time],"&gt;="&amp;(SETUP!$B$5),tblPCSInput[Call Date/Time],"&lt;"&amp;(SETUP!$B$5+1),tblPCSInput[Call Direction],"I",tblPCSInput[Agent ID],$A39,tblPCSInput[Valid Q1],"&lt;=3",tblPCSInput[Valid Q1],"&gt;=1"))</f>
        <v/>
      </c>
      <c r="K39" s="11">
        <f>IF(I39="","",COUNTIFS(tblPCSInput[Call Date/Time],"&gt;="&amp;(SETUP!$B$5),tblPCSInput[Call Date/Time],"&lt;"&amp;(SETUP!$B$5+1),tblPCSInput[Call Direction],"I",tblPCSInput[Agent ID],$A39,tblPCSInput[Valid Q1],"&gt;3"))</f>
        <v/>
      </c>
      <c r="L39" s="13">
        <f>IFERROR(G39/F39,"")</f>
        <v/>
      </c>
      <c r="M39" s="13">
        <f>IFERROR(H39/F39,"")</f>
        <v/>
      </c>
      <c r="N39" s="11">
        <f>IF($A39="","",MAX(0,G39-H39))</f>
        <v/>
      </c>
      <c r="O39" s="4">
        <f>IF($A39="","",IF(H39=0,"NO VALID SURVEY",IF(H39&lt;5,"LOW SAMPLE","OK")))</f>
        <v/>
      </c>
      <c r="P39" s="11">
        <f>IF($A39="","",COUNTIFS(tblPCSInput[Call Date/Time],"&gt;="&amp;(SETUP!$B$6),tblPCSInput[Call Date/Time],"&lt;"&amp;(SETUP!$B$7),tblPCSInput[Call Direction],"I",tblPCSInput[Agent ID],$A39,tblPCSInput[PCSStatus],1))</f>
        <v/>
      </c>
      <c r="Q39" s="11">
        <f>IF($A39="","",COUNTIFS(tblPCSInput[Call Date/Time],"&gt;="&amp;(SETUP!$B$6),tblPCSInput[Call Date/Time],"&lt;"&amp;(SETUP!$B$7),tblPCSInput[Call Direction],"I",tblPCSInput[Agent ID],$A39,tblPCSInput[Question 1],"&lt;&gt;"))</f>
        <v/>
      </c>
      <c r="R39" s="11">
        <f>IF($A39="","",COUNTIFS(tblPCSInput[Call Date/Time],"&gt;="&amp;(SETUP!$B$6),tblPCSInput[Call Date/Time],"&lt;"&amp;(SETUP!$B$7),tblPCSInput[Call Direction],"I",tblPCSInput[Agent ID],$A39,tblPCSInput[Valid Q1],"&gt;=1"))</f>
        <v/>
      </c>
      <c r="S39" s="12">
        <f>IFERROR(SUMIFS(tblPCSInput[Valid Q1],tblPCSInput[Call Date/Time],"&gt;="&amp;SETUP!$B$6,tblPCSInput[Call Date/Time],"&lt;"&amp;SETUP!$B$7,tblPCSInput[Call Direction],"I",tblPCSInput[Agent ID],$A39)/COUNTIFS(tblPCSInput[Call Date/Time],"&gt;="&amp;(SETUP!$B$6),tblPCSInput[Call Date/Time],"&lt;"&amp;(SETUP!$B$7),tblPCSInput[Call Direction],"I",tblPCSInput[Agent ID],$A39,tblPCSInput[Valid Q1],"&gt;=1"),"")</f>
        <v/>
      </c>
      <c r="T39" s="11">
        <f>IF(S39="","",COUNTIFS(tblPCSInput[Call Date/Time],"&gt;="&amp;(SETUP!$B$6),tblPCSInput[Call Date/Time],"&lt;"&amp;(SETUP!$B$7),tblPCSInput[Call Direction],"I",tblPCSInput[Agent ID],$A39,tblPCSInput[Valid Q1],"&lt;=3",tblPCSInput[Valid Q1],"&gt;=1"))</f>
        <v/>
      </c>
      <c r="U39" s="11">
        <f>IF(S39="","",COUNTIFS(tblPCSInput[Call Date/Time],"&gt;="&amp;(SETUP!$B$6),tblPCSInput[Call Date/Time],"&lt;"&amp;(SETUP!$B$7),tblPCSInput[Call Direction],"I",tblPCSInput[Agent ID],$A39,tblPCSInput[Valid Q1],"&gt;3"))</f>
        <v/>
      </c>
      <c r="V39" s="13">
        <f>IFERROR(Q39/P39,"")</f>
        <v/>
      </c>
      <c r="W39" s="13">
        <f>IFERROR(R39/P39,"")</f>
        <v/>
      </c>
    </row>
    <row r="40" spans="1:23">
      <c r="A40" s="4">
        <f>IF(ROSTER!A40="","",ROSTER!A40)</f>
        <v>203601</v>
      </c>
      <c r="B40" s="4" t="str">
        <f>IF($A40="","",ROSTER!C40)</f>
        <v>Belcaid Anas</v>
      </c>
      <c r="C40" s="4" t="str">
        <f>IF($A40="","",ROSTER!D40)</f>
        <v>Malak AZERKI</v>
      </c>
      <c r="D40" s="4" t="str">
        <f>IF($A40="","",ROSTER!E40)</f>
        <v>Anas OUAKKAD</v>
      </c>
      <c r="E40" s="4" t="str">
        <f>IF($A40="","",ROSTER!F40)</f>
        <v>OEM FR</v>
      </c>
      <c r="F40" s="11">
        <f>IF($A40="","",COUNTIFS(tblPCSInput[Call Date/Time],"&gt;="&amp;(SETUP!$B$5),tblPCSInput[Call Date/Time],"&lt;"&amp;(SETUP!$B$5+1),tblPCSInput[Call Direction],"I",tblPCSInput[Agent ID],$A40,tblPCSInput[PCSStatus],1))</f>
        <v/>
      </c>
      <c r="G40" s="11">
        <f>IF($A40="","",COUNTIFS(tblPCSInput[Call Date/Time],"&gt;="&amp;(SETUP!$B$5),tblPCSInput[Call Date/Time],"&lt;"&amp;(SETUP!$B$5+1),tblPCSInput[Call Direction],"I",tblPCSInput[Agent ID],$A40,tblPCSInput[Question 1],"&lt;&gt;"))</f>
        <v/>
      </c>
      <c r="H40" s="11">
        <f>IF($A40="","",COUNTIFS(tblPCSInput[Call Date/Time],"&gt;="&amp;(SETUP!$B$5),tblPCSInput[Call Date/Time],"&lt;"&amp;(SETUP!$B$5+1),tblPCSInput[Call Direction],"I",tblPCSInput[Agent ID],$A40,tblPCSInput[Valid Q1],"&gt;=1"))</f>
        <v/>
      </c>
      <c r="I40" s="12">
        <f>IFERROR(SUMIFS(tblPCSInput[Valid Q1],tblPCSInput[Call Date/Time],"&gt;="&amp;SETUP!$B$5,tblPCSInput[Call Date/Time],"&lt;"&amp;SETUP!$B$5+1,tblPCSInput[Call Direction],"I",tblPCSInput[Agent ID],$A40)/COUNTIFS(tblPCSInput[Call Date/Time],"&gt;="&amp;(SETUP!$B$5),tblPCSInput[Call Date/Time],"&lt;"&amp;(SETUP!$B$5+1),tblPCSInput[Call Direction],"I",tblPCSInput[Agent ID],$A40,tblPCSInput[Valid Q1],"&gt;=1"),"")</f>
        <v/>
      </c>
      <c r="J40" s="11">
        <f>IF(I40="","",COUNTIFS(tblPCSInput[Call Date/Time],"&gt;="&amp;(SETUP!$B$5),tblPCSInput[Call Date/Time],"&lt;"&amp;(SETUP!$B$5+1),tblPCSInput[Call Direction],"I",tblPCSInput[Agent ID],$A40,tblPCSInput[Valid Q1],"&lt;=3",tblPCSInput[Valid Q1],"&gt;=1"))</f>
        <v/>
      </c>
      <c r="K40" s="11">
        <f>IF(I40="","",COUNTIFS(tblPCSInput[Call Date/Time],"&gt;="&amp;(SETUP!$B$5),tblPCSInput[Call Date/Time],"&lt;"&amp;(SETUP!$B$5+1),tblPCSInput[Call Direction],"I",tblPCSInput[Agent ID],$A40,tblPCSInput[Valid Q1],"&gt;3"))</f>
        <v/>
      </c>
      <c r="L40" s="13">
        <f>IFERROR(G40/F40,"")</f>
        <v/>
      </c>
      <c r="M40" s="13">
        <f>IFERROR(H40/F40,"")</f>
        <v/>
      </c>
      <c r="N40" s="11">
        <f>IF($A40="","",MAX(0,G40-H40))</f>
        <v/>
      </c>
      <c r="O40" s="4">
        <f>IF($A40="","",IF(H40=0,"NO VALID SURVEY",IF(H40&lt;5,"LOW SAMPLE","OK")))</f>
        <v/>
      </c>
      <c r="P40" s="11">
        <f>IF($A40="","",COUNTIFS(tblPCSInput[Call Date/Time],"&gt;="&amp;(SETUP!$B$6),tblPCSInput[Call Date/Time],"&lt;"&amp;(SETUP!$B$7),tblPCSInput[Call Direction],"I",tblPCSInput[Agent ID],$A40,tblPCSInput[PCSStatus],1))</f>
        <v/>
      </c>
      <c r="Q40" s="11">
        <f>IF($A40="","",COUNTIFS(tblPCSInput[Call Date/Time],"&gt;="&amp;(SETUP!$B$6),tblPCSInput[Call Date/Time],"&lt;"&amp;(SETUP!$B$7),tblPCSInput[Call Direction],"I",tblPCSInput[Agent ID],$A40,tblPCSInput[Question 1],"&lt;&gt;"))</f>
        <v/>
      </c>
      <c r="R40" s="11">
        <f>IF($A40="","",COUNTIFS(tblPCSInput[Call Date/Time],"&gt;="&amp;(SETUP!$B$6),tblPCSInput[Call Date/Time],"&lt;"&amp;(SETUP!$B$7),tblPCSInput[Call Direction],"I",tblPCSInput[Agent ID],$A40,tblPCSInput[Valid Q1],"&gt;=1"))</f>
        <v/>
      </c>
      <c r="S40" s="12">
        <f>IFERROR(SUMIFS(tblPCSInput[Valid Q1],tblPCSInput[Call Date/Time],"&gt;="&amp;SETUP!$B$6,tblPCSInput[Call Date/Time],"&lt;"&amp;SETUP!$B$7,tblPCSInput[Call Direction],"I",tblPCSInput[Agent ID],$A40)/COUNTIFS(tblPCSInput[Call Date/Time],"&gt;="&amp;(SETUP!$B$6),tblPCSInput[Call Date/Time],"&lt;"&amp;(SETUP!$B$7),tblPCSInput[Call Direction],"I",tblPCSInput[Agent ID],$A40,tblPCSInput[Valid Q1],"&gt;=1"),"")</f>
        <v/>
      </c>
      <c r="T40" s="11">
        <f>IF(S40="","",COUNTIFS(tblPCSInput[Call Date/Time],"&gt;="&amp;(SETUP!$B$6),tblPCSInput[Call Date/Time],"&lt;"&amp;(SETUP!$B$7),tblPCSInput[Call Direction],"I",tblPCSInput[Agent ID],$A40,tblPCSInput[Valid Q1],"&lt;=3",tblPCSInput[Valid Q1],"&gt;=1"))</f>
        <v/>
      </c>
      <c r="U40" s="11">
        <f>IF(S40="","",COUNTIFS(tblPCSInput[Call Date/Time],"&gt;="&amp;(SETUP!$B$6),tblPCSInput[Call Date/Time],"&lt;"&amp;(SETUP!$B$7),tblPCSInput[Call Direction],"I",tblPCSInput[Agent ID],$A40,tblPCSInput[Valid Q1],"&gt;3"))</f>
        <v/>
      </c>
      <c r="V40" s="13">
        <f>IFERROR(Q40/P40,"")</f>
        <v/>
      </c>
      <c r="W40" s="13">
        <f>IFERROR(R40/P40,"")</f>
        <v/>
      </c>
    </row>
    <row r="41" spans="1:23">
      <c r="A41" s="4">
        <f>IF(ROSTER!A41="","",ROSTER!A41)</f>
        <v>203607</v>
      </c>
      <c r="B41" s="4" t="str">
        <f>IF($A41="","",ROSTER!C41)</f>
        <v>Nissaoui Morad</v>
      </c>
      <c r="C41" s="4" t="str">
        <f>IF($A41="","",ROSTER!D41)</f>
        <v>Malak AZERKI</v>
      </c>
      <c r="D41" s="4" t="str">
        <f>IF($A41="","",ROSTER!E41)</f>
        <v>Anas OUAKKAD</v>
      </c>
      <c r="E41" s="4" t="str">
        <f>IF($A41="","",ROSTER!F41)</f>
        <v>OEM FR</v>
      </c>
      <c r="F41" s="11">
        <f>IF($A41="","",COUNTIFS(tblPCSInput[Call Date/Time],"&gt;="&amp;(SETUP!$B$5),tblPCSInput[Call Date/Time],"&lt;"&amp;(SETUP!$B$5+1),tblPCSInput[Call Direction],"I",tblPCSInput[Agent ID],$A41,tblPCSInput[PCSStatus],1))</f>
        <v/>
      </c>
      <c r="G41" s="11">
        <f>IF($A41="","",COUNTIFS(tblPCSInput[Call Date/Time],"&gt;="&amp;(SETUP!$B$5),tblPCSInput[Call Date/Time],"&lt;"&amp;(SETUP!$B$5+1),tblPCSInput[Call Direction],"I",tblPCSInput[Agent ID],$A41,tblPCSInput[Question 1],"&lt;&gt;"))</f>
        <v/>
      </c>
      <c r="H41" s="11">
        <f>IF($A41="","",COUNTIFS(tblPCSInput[Call Date/Time],"&gt;="&amp;(SETUP!$B$5),tblPCSInput[Call Date/Time],"&lt;"&amp;(SETUP!$B$5+1),tblPCSInput[Call Direction],"I",tblPCSInput[Agent ID],$A41,tblPCSInput[Valid Q1],"&gt;=1"))</f>
        <v/>
      </c>
      <c r="I41" s="12">
        <f>IFERROR(SUMIFS(tblPCSInput[Valid Q1],tblPCSInput[Call Date/Time],"&gt;="&amp;SETUP!$B$5,tblPCSInput[Call Date/Time],"&lt;"&amp;SETUP!$B$5+1,tblPCSInput[Call Direction],"I",tblPCSInput[Agent ID],$A41)/COUNTIFS(tblPCSInput[Call Date/Time],"&gt;="&amp;(SETUP!$B$5),tblPCSInput[Call Date/Time],"&lt;"&amp;(SETUP!$B$5+1),tblPCSInput[Call Direction],"I",tblPCSInput[Agent ID],$A41,tblPCSInput[Valid Q1],"&gt;=1"),"")</f>
        <v/>
      </c>
      <c r="J41" s="11">
        <f>IF(I41="","",COUNTIFS(tblPCSInput[Call Date/Time],"&gt;="&amp;(SETUP!$B$5),tblPCSInput[Call Date/Time],"&lt;"&amp;(SETUP!$B$5+1),tblPCSInput[Call Direction],"I",tblPCSInput[Agent ID],$A41,tblPCSInput[Valid Q1],"&lt;=3",tblPCSInput[Valid Q1],"&gt;=1"))</f>
        <v/>
      </c>
      <c r="K41" s="11">
        <f>IF(I41="","",COUNTIFS(tblPCSInput[Call Date/Time],"&gt;="&amp;(SETUP!$B$5),tblPCSInput[Call Date/Time],"&lt;"&amp;(SETUP!$B$5+1),tblPCSInput[Call Direction],"I",tblPCSInput[Agent ID],$A41,tblPCSInput[Valid Q1],"&gt;3"))</f>
        <v/>
      </c>
      <c r="L41" s="13">
        <f>IFERROR(G41/F41,"")</f>
        <v/>
      </c>
      <c r="M41" s="13">
        <f>IFERROR(H41/F41,"")</f>
        <v/>
      </c>
      <c r="N41" s="11">
        <f>IF($A41="","",MAX(0,G41-H41))</f>
        <v/>
      </c>
      <c r="O41" s="4">
        <f>IF($A41="","",IF(H41=0,"NO VALID SURVEY",IF(H41&lt;5,"LOW SAMPLE","OK")))</f>
        <v/>
      </c>
      <c r="P41" s="11">
        <f>IF($A41="","",COUNTIFS(tblPCSInput[Call Date/Time],"&gt;="&amp;(SETUP!$B$6),tblPCSInput[Call Date/Time],"&lt;"&amp;(SETUP!$B$7),tblPCSInput[Call Direction],"I",tblPCSInput[Agent ID],$A41,tblPCSInput[PCSStatus],1))</f>
        <v/>
      </c>
      <c r="Q41" s="11">
        <f>IF($A41="","",COUNTIFS(tblPCSInput[Call Date/Time],"&gt;="&amp;(SETUP!$B$6),tblPCSInput[Call Date/Time],"&lt;"&amp;(SETUP!$B$7),tblPCSInput[Call Direction],"I",tblPCSInput[Agent ID],$A41,tblPCSInput[Question 1],"&lt;&gt;"))</f>
        <v/>
      </c>
      <c r="R41" s="11">
        <f>IF($A41="","",COUNTIFS(tblPCSInput[Call Date/Time],"&gt;="&amp;(SETUP!$B$6),tblPCSInput[Call Date/Time],"&lt;"&amp;(SETUP!$B$7),tblPCSInput[Call Direction],"I",tblPCSInput[Agent ID],$A41,tblPCSInput[Valid Q1],"&gt;=1"))</f>
        <v/>
      </c>
      <c r="S41" s="12">
        <f>IFERROR(SUMIFS(tblPCSInput[Valid Q1],tblPCSInput[Call Date/Time],"&gt;="&amp;SETUP!$B$6,tblPCSInput[Call Date/Time],"&lt;"&amp;SETUP!$B$7,tblPCSInput[Call Direction],"I",tblPCSInput[Agent ID],$A41)/COUNTIFS(tblPCSInput[Call Date/Time],"&gt;="&amp;(SETUP!$B$6),tblPCSInput[Call Date/Time],"&lt;"&amp;(SETUP!$B$7),tblPCSInput[Call Direction],"I",tblPCSInput[Agent ID],$A41,tblPCSInput[Valid Q1],"&gt;=1"),"")</f>
        <v/>
      </c>
      <c r="T41" s="11">
        <f>IF(S41="","",COUNTIFS(tblPCSInput[Call Date/Time],"&gt;="&amp;(SETUP!$B$6),tblPCSInput[Call Date/Time],"&lt;"&amp;(SETUP!$B$7),tblPCSInput[Call Direction],"I",tblPCSInput[Agent ID],$A41,tblPCSInput[Valid Q1],"&lt;=3",tblPCSInput[Valid Q1],"&gt;=1"))</f>
        <v/>
      </c>
      <c r="U41" s="11">
        <f>IF(S41="","",COUNTIFS(tblPCSInput[Call Date/Time],"&gt;="&amp;(SETUP!$B$6),tblPCSInput[Call Date/Time],"&lt;"&amp;(SETUP!$B$7),tblPCSInput[Call Direction],"I",tblPCSInput[Agent ID],$A41,tblPCSInput[Valid Q1],"&gt;3"))</f>
        <v/>
      </c>
      <c r="V41" s="13">
        <f>IFERROR(Q41/P41,"")</f>
        <v/>
      </c>
      <c r="W41" s="13">
        <f>IFERROR(R41/P41,"")</f>
        <v/>
      </c>
    </row>
    <row r="42" spans="1:23">
      <c r="A42" s="4">
        <f>IF(ROSTER!A42="","",ROSTER!A42)</f>
        <v>203646</v>
      </c>
      <c r="B42" s="4" t="str">
        <f>IF($A42="","",ROSTER!C42)</f>
        <v>Jemkar Yasmine</v>
      </c>
      <c r="C42" s="4" t="str">
        <f>IF($A42="","",ROSTER!D42)</f>
        <v>Malak AZERKI</v>
      </c>
      <c r="D42" s="4" t="str">
        <f>IF($A42="","",ROSTER!E42)</f>
        <v>Anas OUAKKAD</v>
      </c>
      <c r="E42" s="4" t="str">
        <f>IF($A42="","",ROSTER!F42)</f>
        <v>OEM FR</v>
      </c>
      <c r="F42" s="11">
        <f>IF($A42="","",COUNTIFS(tblPCSInput[Call Date/Time],"&gt;="&amp;(SETUP!$B$5),tblPCSInput[Call Date/Time],"&lt;"&amp;(SETUP!$B$5+1),tblPCSInput[Call Direction],"I",tblPCSInput[Agent ID],$A42,tblPCSInput[PCSStatus],1))</f>
        <v/>
      </c>
      <c r="G42" s="11">
        <f>IF($A42="","",COUNTIFS(tblPCSInput[Call Date/Time],"&gt;="&amp;(SETUP!$B$5),tblPCSInput[Call Date/Time],"&lt;"&amp;(SETUP!$B$5+1),tblPCSInput[Call Direction],"I",tblPCSInput[Agent ID],$A42,tblPCSInput[Question 1],"&lt;&gt;"))</f>
        <v/>
      </c>
      <c r="H42" s="11">
        <f>IF($A42="","",COUNTIFS(tblPCSInput[Call Date/Time],"&gt;="&amp;(SETUP!$B$5),tblPCSInput[Call Date/Time],"&lt;"&amp;(SETUP!$B$5+1),tblPCSInput[Call Direction],"I",tblPCSInput[Agent ID],$A42,tblPCSInput[Valid Q1],"&gt;=1"))</f>
        <v/>
      </c>
      <c r="I42" s="12">
        <f>IFERROR(SUMIFS(tblPCSInput[Valid Q1],tblPCSInput[Call Date/Time],"&gt;="&amp;SETUP!$B$5,tblPCSInput[Call Date/Time],"&lt;"&amp;SETUP!$B$5+1,tblPCSInput[Call Direction],"I",tblPCSInput[Agent ID],$A42)/COUNTIFS(tblPCSInput[Call Date/Time],"&gt;="&amp;(SETUP!$B$5),tblPCSInput[Call Date/Time],"&lt;"&amp;(SETUP!$B$5+1),tblPCSInput[Call Direction],"I",tblPCSInput[Agent ID],$A42,tblPCSInput[Valid Q1],"&gt;=1"),"")</f>
        <v/>
      </c>
      <c r="J42" s="11">
        <f>IF(I42="","",COUNTIFS(tblPCSInput[Call Date/Time],"&gt;="&amp;(SETUP!$B$5),tblPCSInput[Call Date/Time],"&lt;"&amp;(SETUP!$B$5+1),tblPCSInput[Call Direction],"I",tblPCSInput[Agent ID],$A42,tblPCSInput[Valid Q1],"&lt;=3",tblPCSInput[Valid Q1],"&gt;=1"))</f>
        <v/>
      </c>
      <c r="K42" s="11">
        <f>IF(I42="","",COUNTIFS(tblPCSInput[Call Date/Time],"&gt;="&amp;(SETUP!$B$5),tblPCSInput[Call Date/Time],"&lt;"&amp;(SETUP!$B$5+1),tblPCSInput[Call Direction],"I",tblPCSInput[Agent ID],$A42,tblPCSInput[Valid Q1],"&gt;3"))</f>
        <v/>
      </c>
      <c r="L42" s="13">
        <f>IFERROR(G42/F42,"")</f>
        <v/>
      </c>
      <c r="M42" s="13">
        <f>IFERROR(H42/F42,"")</f>
        <v/>
      </c>
      <c r="N42" s="11">
        <f>IF($A42="","",MAX(0,G42-H42))</f>
        <v/>
      </c>
      <c r="O42" s="4">
        <f>IF($A42="","",IF(H42=0,"NO VALID SURVEY",IF(H42&lt;5,"LOW SAMPLE","OK")))</f>
        <v/>
      </c>
      <c r="P42" s="11">
        <f>IF($A42="","",COUNTIFS(tblPCSInput[Call Date/Time],"&gt;="&amp;(SETUP!$B$6),tblPCSInput[Call Date/Time],"&lt;"&amp;(SETUP!$B$7),tblPCSInput[Call Direction],"I",tblPCSInput[Agent ID],$A42,tblPCSInput[PCSStatus],1))</f>
        <v/>
      </c>
      <c r="Q42" s="11">
        <f>IF($A42="","",COUNTIFS(tblPCSInput[Call Date/Time],"&gt;="&amp;(SETUP!$B$6),tblPCSInput[Call Date/Time],"&lt;"&amp;(SETUP!$B$7),tblPCSInput[Call Direction],"I",tblPCSInput[Agent ID],$A42,tblPCSInput[Question 1],"&lt;&gt;"))</f>
        <v/>
      </c>
      <c r="R42" s="11">
        <f>IF($A42="","",COUNTIFS(tblPCSInput[Call Date/Time],"&gt;="&amp;(SETUP!$B$6),tblPCSInput[Call Date/Time],"&lt;"&amp;(SETUP!$B$7),tblPCSInput[Call Direction],"I",tblPCSInput[Agent ID],$A42,tblPCSInput[Valid Q1],"&gt;=1"))</f>
        <v/>
      </c>
      <c r="S42" s="12">
        <f>IFERROR(SUMIFS(tblPCSInput[Valid Q1],tblPCSInput[Call Date/Time],"&gt;="&amp;SETUP!$B$6,tblPCSInput[Call Date/Time],"&lt;"&amp;SETUP!$B$7,tblPCSInput[Call Direction],"I",tblPCSInput[Agent ID],$A42)/COUNTIFS(tblPCSInput[Call Date/Time],"&gt;="&amp;(SETUP!$B$6),tblPCSInput[Call Date/Time],"&lt;"&amp;(SETUP!$B$7),tblPCSInput[Call Direction],"I",tblPCSInput[Agent ID],$A42,tblPCSInput[Valid Q1],"&gt;=1"),"")</f>
        <v/>
      </c>
      <c r="T42" s="11">
        <f>IF(S42="","",COUNTIFS(tblPCSInput[Call Date/Time],"&gt;="&amp;(SETUP!$B$6),tblPCSInput[Call Date/Time],"&lt;"&amp;(SETUP!$B$7),tblPCSInput[Call Direction],"I",tblPCSInput[Agent ID],$A42,tblPCSInput[Valid Q1],"&lt;=3",tblPCSInput[Valid Q1],"&gt;=1"))</f>
        <v/>
      </c>
      <c r="U42" s="11">
        <f>IF(S42="","",COUNTIFS(tblPCSInput[Call Date/Time],"&gt;="&amp;(SETUP!$B$6),tblPCSInput[Call Date/Time],"&lt;"&amp;(SETUP!$B$7),tblPCSInput[Call Direction],"I",tblPCSInput[Agent ID],$A42,tblPCSInput[Valid Q1],"&gt;3"))</f>
        <v/>
      </c>
      <c r="V42" s="13">
        <f>IFERROR(Q42/P42,"")</f>
        <v/>
      </c>
      <c r="W42" s="13">
        <f>IFERROR(R42/P42,"")</f>
        <v/>
      </c>
    </row>
    <row r="43" spans="1:23">
      <c r="A43" s="4">
        <f>IF(ROSTER!A43="","",ROSTER!A43)</f>
        <v>203603</v>
      </c>
      <c r="B43" s="4" t="str">
        <f>IF($A43="","",ROSTER!C43)</f>
        <v>Senghor Baptistine</v>
      </c>
      <c r="C43" s="4" t="str">
        <f>IF($A43="","",ROSTER!D43)</f>
        <v>Zineb MOUFID</v>
      </c>
      <c r="D43" s="4" t="str">
        <f>IF($A43="","",ROSTER!E43)</f>
        <v>Anas OUAKKAD</v>
      </c>
      <c r="E43" s="4" t="str">
        <f>IF($A43="","",ROSTER!F43)</f>
        <v>OEM FR</v>
      </c>
      <c r="F43" s="11">
        <f>IF($A43="","",COUNTIFS(tblPCSInput[Call Date/Time],"&gt;="&amp;(SETUP!$B$5),tblPCSInput[Call Date/Time],"&lt;"&amp;(SETUP!$B$5+1),tblPCSInput[Call Direction],"I",tblPCSInput[Agent ID],$A43,tblPCSInput[PCSStatus],1))</f>
        <v/>
      </c>
      <c r="G43" s="11">
        <f>IF($A43="","",COUNTIFS(tblPCSInput[Call Date/Time],"&gt;="&amp;(SETUP!$B$5),tblPCSInput[Call Date/Time],"&lt;"&amp;(SETUP!$B$5+1),tblPCSInput[Call Direction],"I",tblPCSInput[Agent ID],$A43,tblPCSInput[Question 1],"&lt;&gt;"))</f>
        <v/>
      </c>
      <c r="H43" s="11">
        <f>IF($A43="","",COUNTIFS(tblPCSInput[Call Date/Time],"&gt;="&amp;(SETUP!$B$5),tblPCSInput[Call Date/Time],"&lt;"&amp;(SETUP!$B$5+1),tblPCSInput[Call Direction],"I",tblPCSInput[Agent ID],$A43,tblPCSInput[Valid Q1],"&gt;=1"))</f>
        <v/>
      </c>
      <c r="I43" s="12">
        <f>IFERROR(SUMIFS(tblPCSInput[Valid Q1],tblPCSInput[Call Date/Time],"&gt;="&amp;SETUP!$B$5,tblPCSInput[Call Date/Time],"&lt;"&amp;SETUP!$B$5+1,tblPCSInput[Call Direction],"I",tblPCSInput[Agent ID],$A43)/COUNTIFS(tblPCSInput[Call Date/Time],"&gt;="&amp;(SETUP!$B$5),tblPCSInput[Call Date/Time],"&lt;"&amp;(SETUP!$B$5+1),tblPCSInput[Call Direction],"I",tblPCSInput[Agent ID],$A43,tblPCSInput[Valid Q1],"&gt;=1"),"")</f>
        <v/>
      </c>
      <c r="J43" s="11">
        <f>IF(I43="","",COUNTIFS(tblPCSInput[Call Date/Time],"&gt;="&amp;(SETUP!$B$5),tblPCSInput[Call Date/Time],"&lt;"&amp;(SETUP!$B$5+1),tblPCSInput[Call Direction],"I",tblPCSInput[Agent ID],$A43,tblPCSInput[Valid Q1],"&lt;=3",tblPCSInput[Valid Q1],"&gt;=1"))</f>
        <v/>
      </c>
      <c r="K43" s="11">
        <f>IF(I43="","",COUNTIFS(tblPCSInput[Call Date/Time],"&gt;="&amp;(SETUP!$B$5),tblPCSInput[Call Date/Time],"&lt;"&amp;(SETUP!$B$5+1),tblPCSInput[Call Direction],"I",tblPCSInput[Agent ID],$A43,tblPCSInput[Valid Q1],"&gt;3"))</f>
        <v/>
      </c>
      <c r="L43" s="13">
        <f>IFERROR(G43/F43,"")</f>
        <v/>
      </c>
      <c r="M43" s="13">
        <f>IFERROR(H43/F43,"")</f>
        <v/>
      </c>
      <c r="N43" s="11">
        <f>IF($A43="","",MAX(0,G43-H43))</f>
        <v/>
      </c>
      <c r="O43" s="4">
        <f>IF($A43="","",IF(H43=0,"NO VALID SURVEY",IF(H43&lt;5,"LOW SAMPLE","OK")))</f>
        <v/>
      </c>
      <c r="P43" s="11">
        <f>IF($A43="","",COUNTIFS(tblPCSInput[Call Date/Time],"&gt;="&amp;(SETUP!$B$6),tblPCSInput[Call Date/Time],"&lt;"&amp;(SETUP!$B$7),tblPCSInput[Call Direction],"I",tblPCSInput[Agent ID],$A43,tblPCSInput[PCSStatus],1))</f>
        <v/>
      </c>
      <c r="Q43" s="11">
        <f>IF($A43="","",COUNTIFS(tblPCSInput[Call Date/Time],"&gt;="&amp;(SETUP!$B$6),tblPCSInput[Call Date/Time],"&lt;"&amp;(SETUP!$B$7),tblPCSInput[Call Direction],"I",tblPCSInput[Agent ID],$A43,tblPCSInput[Question 1],"&lt;&gt;"))</f>
        <v/>
      </c>
      <c r="R43" s="11">
        <f>IF($A43="","",COUNTIFS(tblPCSInput[Call Date/Time],"&gt;="&amp;(SETUP!$B$6),tblPCSInput[Call Date/Time],"&lt;"&amp;(SETUP!$B$7),tblPCSInput[Call Direction],"I",tblPCSInput[Agent ID],$A43,tblPCSInput[Valid Q1],"&gt;=1"))</f>
        <v/>
      </c>
      <c r="S43" s="12">
        <f>IFERROR(SUMIFS(tblPCSInput[Valid Q1],tblPCSInput[Call Date/Time],"&gt;="&amp;SETUP!$B$6,tblPCSInput[Call Date/Time],"&lt;"&amp;SETUP!$B$7,tblPCSInput[Call Direction],"I",tblPCSInput[Agent ID],$A43)/COUNTIFS(tblPCSInput[Call Date/Time],"&gt;="&amp;(SETUP!$B$6),tblPCSInput[Call Date/Time],"&lt;"&amp;(SETUP!$B$7),tblPCSInput[Call Direction],"I",tblPCSInput[Agent ID],$A43,tblPCSInput[Valid Q1],"&gt;=1"),"")</f>
        <v/>
      </c>
      <c r="T43" s="11">
        <f>IF(S43="","",COUNTIFS(tblPCSInput[Call Date/Time],"&gt;="&amp;(SETUP!$B$6),tblPCSInput[Call Date/Time],"&lt;"&amp;(SETUP!$B$7),tblPCSInput[Call Direction],"I",tblPCSInput[Agent ID],$A43,tblPCSInput[Valid Q1],"&lt;=3",tblPCSInput[Valid Q1],"&gt;=1"))</f>
        <v/>
      </c>
      <c r="U43" s="11">
        <f>IF(S43="","",COUNTIFS(tblPCSInput[Call Date/Time],"&gt;="&amp;(SETUP!$B$6),tblPCSInput[Call Date/Time],"&lt;"&amp;(SETUP!$B$7),tblPCSInput[Call Direction],"I",tblPCSInput[Agent ID],$A43,tblPCSInput[Valid Q1],"&gt;3"))</f>
        <v/>
      </c>
      <c r="V43" s="13">
        <f>IFERROR(Q43/P43,"")</f>
        <v/>
      </c>
      <c r="W43" s="13">
        <f>IFERROR(R43/P43,"")</f>
        <v/>
      </c>
    </row>
    <row r="44" spans="1:23">
      <c r="A44" s="4">
        <f>IF(ROSTER!A44="","",ROSTER!A44)</f>
        <v>203618</v>
      </c>
      <c r="B44" s="4" t="str">
        <f>IF($A44="","",ROSTER!C44)</f>
        <v>Benmrieh Kawtar</v>
      </c>
      <c r="C44" s="4" t="str">
        <f>IF($A44="","",ROSTER!D44)</f>
        <v>Malak AZERKI</v>
      </c>
      <c r="D44" s="4" t="str">
        <f>IF($A44="","",ROSTER!E44)</f>
        <v>Anas OUAKKAD</v>
      </c>
      <c r="E44" s="4" t="str">
        <f>IF($A44="","",ROSTER!F44)</f>
        <v>OEM FR</v>
      </c>
      <c r="F44" s="11">
        <f>IF($A44="","",COUNTIFS(tblPCSInput[Call Date/Time],"&gt;="&amp;(SETUP!$B$5),tblPCSInput[Call Date/Time],"&lt;"&amp;(SETUP!$B$5+1),tblPCSInput[Call Direction],"I",tblPCSInput[Agent ID],$A44,tblPCSInput[PCSStatus],1))</f>
        <v/>
      </c>
      <c r="G44" s="11">
        <f>IF($A44="","",COUNTIFS(tblPCSInput[Call Date/Time],"&gt;="&amp;(SETUP!$B$5),tblPCSInput[Call Date/Time],"&lt;"&amp;(SETUP!$B$5+1),tblPCSInput[Call Direction],"I",tblPCSInput[Agent ID],$A44,tblPCSInput[Question 1],"&lt;&gt;"))</f>
        <v/>
      </c>
      <c r="H44" s="11">
        <f>IF($A44="","",COUNTIFS(tblPCSInput[Call Date/Time],"&gt;="&amp;(SETUP!$B$5),tblPCSInput[Call Date/Time],"&lt;"&amp;(SETUP!$B$5+1),tblPCSInput[Call Direction],"I",tblPCSInput[Agent ID],$A44,tblPCSInput[Valid Q1],"&gt;=1"))</f>
        <v/>
      </c>
      <c r="I44" s="12">
        <f>IFERROR(SUMIFS(tblPCSInput[Valid Q1],tblPCSInput[Call Date/Time],"&gt;="&amp;SETUP!$B$5,tblPCSInput[Call Date/Time],"&lt;"&amp;SETUP!$B$5+1,tblPCSInput[Call Direction],"I",tblPCSInput[Agent ID],$A44)/COUNTIFS(tblPCSInput[Call Date/Time],"&gt;="&amp;(SETUP!$B$5),tblPCSInput[Call Date/Time],"&lt;"&amp;(SETUP!$B$5+1),tblPCSInput[Call Direction],"I",tblPCSInput[Agent ID],$A44,tblPCSInput[Valid Q1],"&gt;=1"),"")</f>
        <v/>
      </c>
      <c r="J44" s="11">
        <f>IF(I44="","",COUNTIFS(tblPCSInput[Call Date/Time],"&gt;="&amp;(SETUP!$B$5),tblPCSInput[Call Date/Time],"&lt;"&amp;(SETUP!$B$5+1),tblPCSInput[Call Direction],"I",tblPCSInput[Agent ID],$A44,tblPCSInput[Valid Q1],"&lt;=3",tblPCSInput[Valid Q1],"&gt;=1"))</f>
        <v/>
      </c>
      <c r="K44" s="11">
        <f>IF(I44="","",COUNTIFS(tblPCSInput[Call Date/Time],"&gt;="&amp;(SETUP!$B$5),tblPCSInput[Call Date/Time],"&lt;"&amp;(SETUP!$B$5+1),tblPCSInput[Call Direction],"I",tblPCSInput[Agent ID],$A44,tblPCSInput[Valid Q1],"&gt;3"))</f>
        <v/>
      </c>
      <c r="L44" s="13">
        <f>IFERROR(G44/F44,"")</f>
        <v/>
      </c>
      <c r="M44" s="13">
        <f>IFERROR(H44/F44,"")</f>
        <v/>
      </c>
      <c r="N44" s="11">
        <f>IF($A44="","",MAX(0,G44-H44))</f>
        <v/>
      </c>
      <c r="O44" s="4">
        <f>IF($A44="","",IF(H44=0,"NO VALID SURVEY",IF(H44&lt;5,"LOW SAMPLE","OK")))</f>
        <v/>
      </c>
      <c r="P44" s="11">
        <f>IF($A44="","",COUNTIFS(tblPCSInput[Call Date/Time],"&gt;="&amp;(SETUP!$B$6),tblPCSInput[Call Date/Time],"&lt;"&amp;(SETUP!$B$7),tblPCSInput[Call Direction],"I",tblPCSInput[Agent ID],$A44,tblPCSInput[PCSStatus],1))</f>
        <v/>
      </c>
      <c r="Q44" s="11">
        <f>IF($A44="","",COUNTIFS(tblPCSInput[Call Date/Time],"&gt;="&amp;(SETUP!$B$6),tblPCSInput[Call Date/Time],"&lt;"&amp;(SETUP!$B$7),tblPCSInput[Call Direction],"I",tblPCSInput[Agent ID],$A44,tblPCSInput[Question 1],"&lt;&gt;"))</f>
        <v/>
      </c>
      <c r="R44" s="11">
        <f>IF($A44="","",COUNTIFS(tblPCSInput[Call Date/Time],"&gt;="&amp;(SETUP!$B$6),tblPCSInput[Call Date/Time],"&lt;"&amp;(SETUP!$B$7),tblPCSInput[Call Direction],"I",tblPCSInput[Agent ID],$A44,tblPCSInput[Valid Q1],"&gt;=1"))</f>
        <v/>
      </c>
      <c r="S44" s="12">
        <f>IFERROR(SUMIFS(tblPCSInput[Valid Q1],tblPCSInput[Call Date/Time],"&gt;="&amp;SETUP!$B$6,tblPCSInput[Call Date/Time],"&lt;"&amp;SETUP!$B$7,tblPCSInput[Call Direction],"I",tblPCSInput[Agent ID],$A44)/COUNTIFS(tblPCSInput[Call Date/Time],"&gt;="&amp;(SETUP!$B$6),tblPCSInput[Call Date/Time],"&lt;"&amp;(SETUP!$B$7),tblPCSInput[Call Direction],"I",tblPCSInput[Agent ID],$A44,tblPCSInput[Valid Q1],"&gt;=1"),"")</f>
        <v/>
      </c>
      <c r="T44" s="11">
        <f>IF(S44="","",COUNTIFS(tblPCSInput[Call Date/Time],"&gt;="&amp;(SETUP!$B$6),tblPCSInput[Call Date/Time],"&lt;"&amp;(SETUP!$B$7),tblPCSInput[Call Direction],"I",tblPCSInput[Agent ID],$A44,tblPCSInput[Valid Q1],"&lt;=3",tblPCSInput[Valid Q1],"&gt;=1"))</f>
        <v/>
      </c>
      <c r="U44" s="11">
        <f>IF(S44="","",COUNTIFS(tblPCSInput[Call Date/Time],"&gt;="&amp;(SETUP!$B$6),tblPCSInput[Call Date/Time],"&lt;"&amp;(SETUP!$B$7),tblPCSInput[Call Direction],"I",tblPCSInput[Agent ID],$A44,tblPCSInput[Valid Q1],"&gt;3"))</f>
        <v/>
      </c>
      <c r="V44" s="13">
        <f>IFERROR(Q44/P44,"")</f>
        <v/>
      </c>
      <c r="W44" s="13">
        <f>IFERROR(R44/P44,"")</f>
        <v/>
      </c>
    </row>
    <row r="45" spans="1:23">
      <c r="A45" s="4">
        <f>IF(ROSTER!A45="","",ROSTER!A45)</f>
        <v>203627</v>
      </c>
      <c r="B45" s="4" t="str">
        <f>IF($A45="","",ROSTER!C45)</f>
        <v>Sy Ousmane</v>
      </c>
      <c r="C45" s="4" t="str">
        <f>IF($A45="","",ROSTER!D45)</f>
        <v>Zineb MOUFID</v>
      </c>
      <c r="D45" s="4" t="str">
        <f>IF($A45="","",ROSTER!E45)</f>
        <v>Anas OUAKKAD</v>
      </c>
      <c r="E45" s="4" t="str">
        <f>IF($A45="","",ROSTER!F45)</f>
        <v>OEM FR</v>
      </c>
      <c r="F45" s="11">
        <f>IF($A45="","",COUNTIFS(tblPCSInput[Call Date/Time],"&gt;="&amp;(SETUP!$B$5),tblPCSInput[Call Date/Time],"&lt;"&amp;(SETUP!$B$5+1),tblPCSInput[Call Direction],"I",tblPCSInput[Agent ID],$A45,tblPCSInput[PCSStatus],1))</f>
        <v/>
      </c>
      <c r="G45" s="11">
        <f>IF($A45="","",COUNTIFS(tblPCSInput[Call Date/Time],"&gt;="&amp;(SETUP!$B$5),tblPCSInput[Call Date/Time],"&lt;"&amp;(SETUP!$B$5+1),tblPCSInput[Call Direction],"I",tblPCSInput[Agent ID],$A45,tblPCSInput[Question 1],"&lt;&gt;"))</f>
        <v/>
      </c>
      <c r="H45" s="11">
        <f>IF($A45="","",COUNTIFS(tblPCSInput[Call Date/Time],"&gt;="&amp;(SETUP!$B$5),tblPCSInput[Call Date/Time],"&lt;"&amp;(SETUP!$B$5+1),tblPCSInput[Call Direction],"I",tblPCSInput[Agent ID],$A45,tblPCSInput[Valid Q1],"&gt;=1"))</f>
        <v/>
      </c>
      <c r="I45" s="12">
        <f>IFERROR(SUMIFS(tblPCSInput[Valid Q1],tblPCSInput[Call Date/Time],"&gt;="&amp;SETUP!$B$5,tblPCSInput[Call Date/Time],"&lt;"&amp;SETUP!$B$5+1,tblPCSInput[Call Direction],"I",tblPCSInput[Agent ID],$A45)/COUNTIFS(tblPCSInput[Call Date/Time],"&gt;="&amp;(SETUP!$B$5),tblPCSInput[Call Date/Time],"&lt;"&amp;(SETUP!$B$5+1),tblPCSInput[Call Direction],"I",tblPCSInput[Agent ID],$A45,tblPCSInput[Valid Q1],"&gt;=1"),"")</f>
        <v/>
      </c>
      <c r="J45" s="11">
        <f>IF(I45="","",COUNTIFS(tblPCSInput[Call Date/Time],"&gt;="&amp;(SETUP!$B$5),tblPCSInput[Call Date/Time],"&lt;"&amp;(SETUP!$B$5+1),tblPCSInput[Call Direction],"I",tblPCSInput[Agent ID],$A45,tblPCSInput[Valid Q1],"&lt;=3",tblPCSInput[Valid Q1],"&gt;=1"))</f>
        <v/>
      </c>
      <c r="K45" s="11">
        <f>IF(I45="","",COUNTIFS(tblPCSInput[Call Date/Time],"&gt;="&amp;(SETUP!$B$5),tblPCSInput[Call Date/Time],"&lt;"&amp;(SETUP!$B$5+1),tblPCSInput[Call Direction],"I",tblPCSInput[Agent ID],$A45,tblPCSInput[Valid Q1],"&gt;3"))</f>
        <v/>
      </c>
      <c r="L45" s="13">
        <f>IFERROR(G45/F45,"")</f>
        <v/>
      </c>
      <c r="M45" s="13">
        <f>IFERROR(H45/F45,"")</f>
        <v/>
      </c>
      <c r="N45" s="11">
        <f>IF($A45="","",MAX(0,G45-H45))</f>
        <v/>
      </c>
      <c r="O45" s="4">
        <f>IF($A45="","",IF(H45=0,"NO VALID SURVEY",IF(H45&lt;5,"LOW SAMPLE","OK")))</f>
        <v/>
      </c>
      <c r="P45" s="11">
        <f>IF($A45="","",COUNTIFS(tblPCSInput[Call Date/Time],"&gt;="&amp;(SETUP!$B$6),tblPCSInput[Call Date/Time],"&lt;"&amp;(SETUP!$B$7),tblPCSInput[Call Direction],"I",tblPCSInput[Agent ID],$A45,tblPCSInput[PCSStatus],1))</f>
        <v/>
      </c>
      <c r="Q45" s="11">
        <f>IF($A45="","",COUNTIFS(tblPCSInput[Call Date/Time],"&gt;="&amp;(SETUP!$B$6),tblPCSInput[Call Date/Time],"&lt;"&amp;(SETUP!$B$7),tblPCSInput[Call Direction],"I",tblPCSInput[Agent ID],$A45,tblPCSInput[Question 1],"&lt;&gt;"))</f>
        <v/>
      </c>
      <c r="R45" s="11">
        <f>IF($A45="","",COUNTIFS(tblPCSInput[Call Date/Time],"&gt;="&amp;(SETUP!$B$6),tblPCSInput[Call Date/Time],"&lt;"&amp;(SETUP!$B$7),tblPCSInput[Call Direction],"I",tblPCSInput[Agent ID],$A45,tblPCSInput[Valid Q1],"&gt;=1"))</f>
        <v/>
      </c>
      <c r="S45" s="12">
        <f>IFERROR(SUMIFS(tblPCSInput[Valid Q1],tblPCSInput[Call Date/Time],"&gt;="&amp;SETUP!$B$6,tblPCSInput[Call Date/Time],"&lt;"&amp;SETUP!$B$7,tblPCSInput[Call Direction],"I",tblPCSInput[Agent ID],$A45)/COUNTIFS(tblPCSInput[Call Date/Time],"&gt;="&amp;(SETUP!$B$6),tblPCSInput[Call Date/Time],"&lt;"&amp;(SETUP!$B$7),tblPCSInput[Call Direction],"I",tblPCSInput[Agent ID],$A45,tblPCSInput[Valid Q1],"&gt;=1"),"")</f>
        <v/>
      </c>
      <c r="T45" s="11">
        <f>IF(S45="","",COUNTIFS(tblPCSInput[Call Date/Time],"&gt;="&amp;(SETUP!$B$6),tblPCSInput[Call Date/Time],"&lt;"&amp;(SETUP!$B$7),tblPCSInput[Call Direction],"I",tblPCSInput[Agent ID],$A45,tblPCSInput[Valid Q1],"&lt;=3",tblPCSInput[Valid Q1],"&gt;=1"))</f>
        <v/>
      </c>
      <c r="U45" s="11">
        <f>IF(S45="","",COUNTIFS(tblPCSInput[Call Date/Time],"&gt;="&amp;(SETUP!$B$6),tblPCSInput[Call Date/Time],"&lt;"&amp;(SETUP!$B$7),tblPCSInput[Call Direction],"I",tblPCSInput[Agent ID],$A45,tblPCSInput[Valid Q1],"&gt;3"))</f>
        <v/>
      </c>
      <c r="V45" s="13">
        <f>IFERROR(Q45/P45,"")</f>
        <v/>
      </c>
      <c r="W45" s="13">
        <f>IFERROR(R45/P45,"")</f>
        <v/>
      </c>
    </row>
    <row r="46" spans="1:23">
      <c r="A46" s="4">
        <f>IF(ROSTER!A46="","",ROSTER!A46)</f>
        <v>203606</v>
      </c>
      <c r="B46" s="4" t="str">
        <f>IF($A46="","",ROSTER!C46)</f>
        <v>Ennajari Naima</v>
      </c>
      <c r="C46" s="4" t="str">
        <f>IF($A46="","",ROSTER!D46)</f>
        <v>Zineb MOUFID</v>
      </c>
      <c r="D46" s="4" t="str">
        <f>IF($A46="","",ROSTER!E46)</f>
        <v>Anas OUAKKAD</v>
      </c>
      <c r="E46" s="4" t="str">
        <f>IF($A46="","",ROSTER!F46)</f>
        <v>OEM FR</v>
      </c>
      <c r="F46" s="11">
        <f>IF($A46="","",COUNTIFS(tblPCSInput[Call Date/Time],"&gt;="&amp;(SETUP!$B$5),tblPCSInput[Call Date/Time],"&lt;"&amp;(SETUP!$B$5+1),tblPCSInput[Call Direction],"I",tblPCSInput[Agent ID],$A46,tblPCSInput[PCSStatus],1))</f>
        <v/>
      </c>
      <c r="G46" s="11">
        <f>IF($A46="","",COUNTIFS(tblPCSInput[Call Date/Time],"&gt;="&amp;(SETUP!$B$5),tblPCSInput[Call Date/Time],"&lt;"&amp;(SETUP!$B$5+1),tblPCSInput[Call Direction],"I",tblPCSInput[Agent ID],$A46,tblPCSInput[Question 1],"&lt;&gt;"))</f>
        <v/>
      </c>
      <c r="H46" s="11">
        <f>IF($A46="","",COUNTIFS(tblPCSInput[Call Date/Time],"&gt;="&amp;(SETUP!$B$5),tblPCSInput[Call Date/Time],"&lt;"&amp;(SETUP!$B$5+1),tblPCSInput[Call Direction],"I",tblPCSInput[Agent ID],$A46,tblPCSInput[Valid Q1],"&gt;=1"))</f>
        <v/>
      </c>
      <c r="I46" s="12">
        <f>IFERROR(SUMIFS(tblPCSInput[Valid Q1],tblPCSInput[Call Date/Time],"&gt;="&amp;SETUP!$B$5,tblPCSInput[Call Date/Time],"&lt;"&amp;SETUP!$B$5+1,tblPCSInput[Call Direction],"I",tblPCSInput[Agent ID],$A46)/COUNTIFS(tblPCSInput[Call Date/Time],"&gt;="&amp;(SETUP!$B$5),tblPCSInput[Call Date/Time],"&lt;"&amp;(SETUP!$B$5+1),tblPCSInput[Call Direction],"I",tblPCSInput[Agent ID],$A46,tblPCSInput[Valid Q1],"&gt;=1"),"")</f>
        <v/>
      </c>
      <c r="J46" s="11">
        <f>IF(I46="","",COUNTIFS(tblPCSInput[Call Date/Time],"&gt;="&amp;(SETUP!$B$5),tblPCSInput[Call Date/Time],"&lt;"&amp;(SETUP!$B$5+1),tblPCSInput[Call Direction],"I",tblPCSInput[Agent ID],$A46,tblPCSInput[Valid Q1],"&lt;=3",tblPCSInput[Valid Q1],"&gt;=1"))</f>
        <v/>
      </c>
      <c r="K46" s="11">
        <f>IF(I46="","",COUNTIFS(tblPCSInput[Call Date/Time],"&gt;="&amp;(SETUP!$B$5),tblPCSInput[Call Date/Time],"&lt;"&amp;(SETUP!$B$5+1),tblPCSInput[Call Direction],"I",tblPCSInput[Agent ID],$A46,tblPCSInput[Valid Q1],"&gt;3"))</f>
        <v/>
      </c>
      <c r="L46" s="13">
        <f>IFERROR(G46/F46,"")</f>
        <v/>
      </c>
      <c r="M46" s="13">
        <f>IFERROR(H46/F46,"")</f>
        <v/>
      </c>
      <c r="N46" s="11">
        <f>IF($A46="","",MAX(0,G46-H46))</f>
        <v/>
      </c>
      <c r="O46" s="4">
        <f>IF($A46="","",IF(H46=0,"NO VALID SURVEY",IF(H46&lt;5,"LOW SAMPLE","OK")))</f>
        <v/>
      </c>
      <c r="P46" s="11">
        <f>IF($A46="","",COUNTIFS(tblPCSInput[Call Date/Time],"&gt;="&amp;(SETUP!$B$6),tblPCSInput[Call Date/Time],"&lt;"&amp;(SETUP!$B$7),tblPCSInput[Call Direction],"I",tblPCSInput[Agent ID],$A46,tblPCSInput[PCSStatus],1))</f>
        <v/>
      </c>
      <c r="Q46" s="11">
        <f>IF($A46="","",COUNTIFS(tblPCSInput[Call Date/Time],"&gt;="&amp;(SETUP!$B$6),tblPCSInput[Call Date/Time],"&lt;"&amp;(SETUP!$B$7),tblPCSInput[Call Direction],"I",tblPCSInput[Agent ID],$A46,tblPCSInput[Question 1],"&lt;&gt;"))</f>
        <v/>
      </c>
      <c r="R46" s="11">
        <f>IF($A46="","",COUNTIFS(tblPCSInput[Call Date/Time],"&gt;="&amp;(SETUP!$B$6),tblPCSInput[Call Date/Time],"&lt;"&amp;(SETUP!$B$7),tblPCSInput[Call Direction],"I",tblPCSInput[Agent ID],$A46,tblPCSInput[Valid Q1],"&gt;=1"))</f>
        <v/>
      </c>
      <c r="S46" s="12">
        <f>IFERROR(SUMIFS(tblPCSInput[Valid Q1],tblPCSInput[Call Date/Time],"&gt;="&amp;SETUP!$B$6,tblPCSInput[Call Date/Time],"&lt;"&amp;SETUP!$B$7,tblPCSInput[Call Direction],"I",tblPCSInput[Agent ID],$A46)/COUNTIFS(tblPCSInput[Call Date/Time],"&gt;="&amp;(SETUP!$B$6),tblPCSInput[Call Date/Time],"&lt;"&amp;(SETUP!$B$7),tblPCSInput[Call Direction],"I",tblPCSInput[Agent ID],$A46,tblPCSInput[Valid Q1],"&gt;=1"),"")</f>
        <v/>
      </c>
      <c r="T46" s="11">
        <f>IF(S46="","",COUNTIFS(tblPCSInput[Call Date/Time],"&gt;="&amp;(SETUP!$B$6),tblPCSInput[Call Date/Time],"&lt;"&amp;(SETUP!$B$7),tblPCSInput[Call Direction],"I",tblPCSInput[Agent ID],$A46,tblPCSInput[Valid Q1],"&lt;=3",tblPCSInput[Valid Q1],"&gt;=1"))</f>
        <v/>
      </c>
      <c r="U46" s="11">
        <f>IF(S46="","",COUNTIFS(tblPCSInput[Call Date/Time],"&gt;="&amp;(SETUP!$B$6),tblPCSInput[Call Date/Time],"&lt;"&amp;(SETUP!$B$7),tblPCSInput[Call Direction],"I",tblPCSInput[Agent ID],$A46,tblPCSInput[Valid Q1],"&gt;3"))</f>
        <v/>
      </c>
      <c r="V46" s="13">
        <f>IFERROR(Q46/P46,"")</f>
        <v/>
      </c>
      <c r="W46" s="13">
        <f>IFERROR(R46/P46,"")</f>
        <v/>
      </c>
    </row>
    <row r="47" spans="1:23">
      <c r="A47" s="4">
        <f>IF(ROSTER!A47="","",ROSTER!A47)</f>
        <v>203575</v>
      </c>
      <c r="B47" s="4" t="str">
        <f>IF($A47="","",ROSTER!C47)</f>
        <v>Diallo Mustapha Salam</v>
      </c>
      <c r="C47" s="4" t="str">
        <f>IF($A47="","",ROSTER!D47)</f>
        <v>Malak AZERKI</v>
      </c>
      <c r="D47" s="4" t="str">
        <f>IF($A47="","",ROSTER!E47)</f>
        <v>Anas OUAKKAD</v>
      </c>
      <c r="E47" s="4" t="str">
        <f>IF($A47="","",ROSTER!F47)</f>
        <v>OEM FR</v>
      </c>
      <c r="F47" s="11">
        <f>IF($A47="","",COUNTIFS(tblPCSInput[Call Date/Time],"&gt;="&amp;(SETUP!$B$5),tblPCSInput[Call Date/Time],"&lt;"&amp;(SETUP!$B$5+1),tblPCSInput[Call Direction],"I",tblPCSInput[Agent ID],$A47,tblPCSInput[PCSStatus],1))</f>
        <v/>
      </c>
      <c r="G47" s="11">
        <f>IF($A47="","",COUNTIFS(tblPCSInput[Call Date/Time],"&gt;="&amp;(SETUP!$B$5),tblPCSInput[Call Date/Time],"&lt;"&amp;(SETUP!$B$5+1),tblPCSInput[Call Direction],"I",tblPCSInput[Agent ID],$A47,tblPCSInput[Question 1],"&lt;&gt;"))</f>
        <v/>
      </c>
      <c r="H47" s="11">
        <f>IF($A47="","",COUNTIFS(tblPCSInput[Call Date/Time],"&gt;="&amp;(SETUP!$B$5),tblPCSInput[Call Date/Time],"&lt;"&amp;(SETUP!$B$5+1),tblPCSInput[Call Direction],"I",tblPCSInput[Agent ID],$A47,tblPCSInput[Valid Q1],"&gt;=1"))</f>
        <v/>
      </c>
      <c r="I47" s="12">
        <f>IFERROR(SUMIFS(tblPCSInput[Valid Q1],tblPCSInput[Call Date/Time],"&gt;="&amp;SETUP!$B$5,tblPCSInput[Call Date/Time],"&lt;"&amp;SETUP!$B$5+1,tblPCSInput[Call Direction],"I",tblPCSInput[Agent ID],$A47)/COUNTIFS(tblPCSInput[Call Date/Time],"&gt;="&amp;(SETUP!$B$5),tblPCSInput[Call Date/Time],"&lt;"&amp;(SETUP!$B$5+1),tblPCSInput[Call Direction],"I",tblPCSInput[Agent ID],$A47,tblPCSInput[Valid Q1],"&gt;=1"),"")</f>
        <v/>
      </c>
      <c r="J47" s="11">
        <f>IF(I47="","",COUNTIFS(tblPCSInput[Call Date/Time],"&gt;="&amp;(SETUP!$B$5),tblPCSInput[Call Date/Time],"&lt;"&amp;(SETUP!$B$5+1),tblPCSInput[Call Direction],"I",tblPCSInput[Agent ID],$A47,tblPCSInput[Valid Q1],"&lt;=3",tblPCSInput[Valid Q1],"&gt;=1"))</f>
        <v/>
      </c>
      <c r="K47" s="11">
        <f>IF(I47="","",COUNTIFS(tblPCSInput[Call Date/Time],"&gt;="&amp;(SETUP!$B$5),tblPCSInput[Call Date/Time],"&lt;"&amp;(SETUP!$B$5+1),tblPCSInput[Call Direction],"I",tblPCSInput[Agent ID],$A47,tblPCSInput[Valid Q1],"&gt;3"))</f>
        <v/>
      </c>
      <c r="L47" s="13">
        <f>IFERROR(G47/F47,"")</f>
        <v/>
      </c>
      <c r="M47" s="13">
        <f>IFERROR(H47/F47,"")</f>
        <v/>
      </c>
      <c r="N47" s="11">
        <f>IF($A47="","",MAX(0,G47-H47))</f>
        <v/>
      </c>
      <c r="O47" s="4">
        <f>IF($A47="","",IF(H47=0,"NO VALID SURVEY",IF(H47&lt;5,"LOW SAMPLE","OK")))</f>
        <v/>
      </c>
      <c r="P47" s="11">
        <f>IF($A47="","",COUNTIFS(tblPCSInput[Call Date/Time],"&gt;="&amp;(SETUP!$B$6),tblPCSInput[Call Date/Time],"&lt;"&amp;(SETUP!$B$7),tblPCSInput[Call Direction],"I",tblPCSInput[Agent ID],$A47,tblPCSInput[PCSStatus],1))</f>
        <v/>
      </c>
      <c r="Q47" s="11">
        <f>IF($A47="","",COUNTIFS(tblPCSInput[Call Date/Time],"&gt;="&amp;(SETUP!$B$6),tblPCSInput[Call Date/Time],"&lt;"&amp;(SETUP!$B$7),tblPCSInput[Call Direction],"I",tblPCSInput[Agent ID],$A47,tblPCSInput[Question 1],"&lt;&gt;"))</f>
        <v/>
      </c>
      <c r="R47" s="11">
        <f>IF($A47="","",COUNTIFS(tblPCSInput[Call Date/Time],"&gt;="&amp;(SETUP!$B$6),tblPCSInput[Call Date/Time],"&lt;"&amp;(SETUP!$B$7),tblPCSInput[Call Direction],"I",tblPCSInput[Agent ID],$A47,tblPCSInput[Valid Q1],"&gt;=1"))</f>
        <v/>
      </c>
      <c r="S47" s="12">
        <f>IFERROR(SUMIFS(tblPCSInput[Valid Q1],tblPCSInput[Call Date/Time],"&gt;="&amp;SETUP!$B$6,tblPCSInput[Call Date/Time],"&lt;"&amp;SETUP!$B$7,tblPCSInput[Call Direction],"I",tblPCSInput[Agent ID],$A47)/COUNTIFS(tblPCSInput[Call Date/Time],"&gt;="&amp;(SETUP!$B$6),tblPCSInput[Call Date/Time],"&lt;"&amp;(SETUP!$B$7),tblPCSInput[Call Direction],"I",tblPCSInput[Agent ID],$A47,tblPCSInput[Valid Q1],"&gt;=1"),"")</f>
        <v/>
      </c>
      <c r="T47" s="11">
        <f>IF(S47="","",COUNTIFS(tblPCSInput[Call Date/Time],"&gt;="&amp;(SETUP!$B$6),tblPCSInput[Call Date/Time],"&lt;"&amp;(SETUP!$B$7),tblPCSInput[Call Direction],"I",tblPCSInput[Agent ID],$A47,tblPCSInput[Valid Q1],"&lt;=3",tblPCSInput[Valid Q1],"&gt;=1"))</f>
        <v/>
      </c>
      <c r="U47" s="11">
        <f>IF(S47="","",COUNTIFS(tblPCSInput[Call Date/Time],"&gt;="&amp;(SETUP!$B$6),tblPCSInput[Call Date/Time],"&lt;"&amp;(SETUP!$B$7),tblPCSInput[Call Direction],"I",tblPCSInput[Agent ID],$A47,tblPCSInput[Valid Q1],"&gt;3"))</f>
        <v/>
      </c>
      <c r="V47" s="13">
        <f>IFERROR(Q47/P47,"")</f>
        <v/>
      </c>
      <c r="W47" s="13">
        <f>IFERROR(R47/P47,"")</f>
        <v/>
      </c>
    </row>
    <row r="48" spans="1:23">
      <c r="A48" s="4">
        <f>IF(ROSTER!A48="","",ROSTER!A48)</f>
        <v>205263</v>
      </c>
      <c r="B48" s="4" t="str">
        <f>IF($A48="","",ROSTER!C48)</f>
        <v>Assague Abderrahim</v>
      </c>
      <c r="C48" s="4" t="str">
        <f>IF($A48="","",ROSTER!D48)</f>
        <v>Malak AZERKI</v>
      </c>
      <c r="D48" s="4" t="str">
        <f>IF($A48="","",ROSTER!E48)</f>
        <v>Anas OUAKKAD</v>
      </c>
      <c r="E48" s="4" t="str">
        <f>IF($A48="","",ROSTER!F48)</f>
        <v>OEM FR</v>
      </c>
      <c r="F48" s="11">
        <f>IF($A48="","",COUNTIFS(tblPCSInput[Call Date/Time],"&gt;="&amp;(SETUP!$B$5),tblPCSInput[Call Date/Time],"&lt;"&amp;(SETUP!$B$5+1),tblPCSInput[Call Direction],"I",tblPCSInput[Agent ID],$A48,tblPCSInput[PCSStatus],1))</f>
        <v/>
      </c>
      <c r="G48" s="11">
        <f>IF($A48="","",COUNTIFS(tblPCSInput[Call Date/Time],"&gt;="&amp;(SETUP!$B$5),tblPCSInput[Call Date/Time],"&lt;"&amp;(SETUP!$B$5+1),tblPCSInput[Call Direction],"I",tblPCSInput[Agent ID],$A48,tblPCSInput[Question 1],"&lt;&gt;"))</f>
        <v/>
      </c>
      <c r="H48" s="11">
        <f>IF($A48="","",COUNTIFS(tblPCSInput[Call Date/Time],"&gt;="&amp;(SETUP!$B$5),tblPCSInput[Call Date/Time],"&lt;"&amp;(SETUP!$B$5+1),tblPCSInput[Call Direction],"I",tblPCSInput[Agent ID],$A48,tblPCSInput[Valid Q1],"&gt;=1"))</f>
        <v/>
      </c>
      <c r="I48" s="12">
        <f>IFERROR(SUMIFS(tblPCSInput[Valid Q1],tblPCSInput[Call Date/Time],"&gt;="&amp;SETUP!$B$5,tblPCSInput[Call Date/Time],"&lt;"&amp;SETUP!$B$5+1,tblPCSInput[Call Direction],"I",tblPCSInput[Agent ID],$A48)/COUNTIFS(tblPCSInput[Call Date/Time],"&gt;="&amp;(SETUP!$B$5),tblPCSInput[Call Date/Time],"&lt;"&amp;(SETUP!$B$5+1),tblPCSInput[Call Direction],"I",tblPCSInput[Agent ID],$A48,tblPCSInput[Valid Q1],"&gt;=1"),"")</f>
        <v/>
      </c>
      <c r="J48" s="11">
        <f>IF(I48="","",COUNTIFS(tblPCSInput[Call Date/Time],"&gt;="&amp;(SETUP!$B$5),tblPCSInput[Call Date/Time],"&lt;"&amp;(SETUP!$B$5+1),tblPCSInput[Call Direction],"I",tblPCSInput[Agent ID],$A48,tblPCSInput[Valid Q1],"&lt;=3",tblPCSInput[Valid Q1],"&gt;=1"))</f>
        <v/>
      </c>
      <c r="K48" s="11">
        <f>IF(I48="","",COUNTIFS(tblPCSInput[Call Date/Time],"&gt;="&amp;(SETUP!$B$5),tblPCSInput[Call Date/Time],"&lt;"&amp;(SETUP!$B$5+1),tblPCSInput[Call Direction],"I",tblPCSInput[Agent ID],$A48,tblPCSInput[Valid Q1],"&gt;3"))</f>
        <v/>
      </c>
      <c r="L48" s="13">
        <f>IFERROR(G48/F48,"")</f>
        <v/>
      </c>
      <c r="M48" s="13">
        <f>IFERROR(H48/F48,"")</f>
        <v/>
      </c>
      <c r="N48" s="11">
        <f>IF($A48="","",MAX(0,G48-H48))</f>
        <v/>
      </c>
      <c r="O48" s="4">
        <f>IF($A48="","",IF(H48=0,"NO VALID SURVEY",IF(H48&lt;5,"LOW SAMPLE","OK")))</f>
        <v/>
      </c>
      <c r="P48" s="11">
        <f>IF($A48="","",COUNTIFS(tblPCSInput[Call Date/Time],"&gt;="&amp;(SETUP!$B$6),tblPCSInput[Call Date/Time],"&lt;"&amp;(SETUP!$B$7),tblPCSInput[Call Direction],"I",tblPCSInput[Agent ID],$A48,tblPCSInput[PCSStatus],1))</f>
        <v/>
      </c>
      <c r="Q48" s="11">
        <f>IF($A48="","",COUNTIFS(tblPCSInput[Call Date/Time],"&gt;="&amp;(SETUP!$B$6),tblPCSInput[Call Date/Time],"&lt;"&amp;(SETUP!$B$7),tblPCSInput[Call Direction],"I",tblPCSInput[Agent ID],$A48,tblPCSInput[Question 1],"&lt;&gt;"))</f>
        <v/>
      </c>
      <c r="R48" s="11">
        <f>IF($A48="","",COUNTIFS(tblPCSInput[Call Date/Time],"&gt;="&amp;(SETUP!$B$6),tblPCSInput[Call Date/Time],"&lt;"&amp;(SETUP!$B$7),tblPCSInput[Call Direction],"I",tblPCSInput[Agent ID],$A48,tblPCSInput[Valid Q1],"&gt;=1"))</f>
        <v/>
      </c>
      <c r="S48" s="12">
        <f>IFERROR(SUMIFS(tblPCSInput[Valid Q1],tblPCSInput[Call Date/Time],"&gt;="&amp;SETUP!$B$6,tblPCSInput[Call Date/Time],"&lt;"&amp;SETUP!$B$7,tblPCSInput[Call Direction],"I",tblPCSInput[Agent ID],$A48)/COUNTIFS(tblPCSInput[Call Date/Time],"&gt;="&amp;(SETUP!$B$6),tblPCSInput[Call Date/Time],"&lt;"&amp;(SETUP!$B$7),tblPCSInput[Call Direction],"I",tblPCSInput[Agent ID],$A48,tblPCSInput[Valid Q1],"&gt;=1"),"")</f>
        <v/>
      </c>
      <c r="T48" s="11">
        <f>IF(S48="","",COUNTIFS(tblPCSInput[Call Date/Time],"&gt;="&amp;(SETUP!$B$6),tblPCSInput[Call Date/Time],"&lt;"&amp;(SETUP!$B$7),tblPCSInput[Call Direction],"I",tblPCSInput[Agent ID],$A48,tblPCSInput[Valid Q1],"&lt;=3",tblPCSInput[Valid Q1],"&gt;=1"))</f>
        <v/>
      </c>
      <c r="U48" s="11">
        <f>IF(S48="","",COUNTIFS(tblPCSInput[Call Date/Time],"&gt;="&amp;(SETUP!$B$6),tblPCSInput[Call Date/Time],"&lt;"&amp;(SETUP!$B$7),tblPCSInput[Call Direction],"I",tblPCSInput[Agent ID],$A48,tblPCSInput[Valid Q1],"&gt;3"))</f>
        <v/>
      </c>
      <c r="V48" s="13">
        <f>IFERROR(Q48/P48,"")</f>
        <v/>
      </c>
      <c r="W48" s="13">
        <f>IFERROR(R48/P48,"")</f>
        <v/>
      </c>
    </row>
    <row r="49" spans="1:23">
      <c r="A49" s="4">
        <f>IF(ROSTER!A49="","",ROSTER!A49)</f>
        <v>203634</v>
      </c>
      <c r="B49" s="4" t="str">
        <f>IF($A49="","",ROSTER!C49)</f>
        <v>Kabbouh Ayman</v>
      </c>
      <c r="C49" s="4" t="str">
        <f>IF($A49="","",ROSTER!D49)</f>
        <v>Zineb MOUFID</v>
      </c>
      <c r="D49" s="4" t="str">
        <f>IF($A49="","",ROSTER!E49)</f>
        <v>Anas OUAKKAD</v>
      </c>
      <c r="E49" s="4" t="str">
        <f>IF($A49="","",ROSTER!F49)</f>
        <v>OEM FR</v>
      </c>
      <c r="F49" s="11">
        <f>IF($A49="","",COUNTIFS(tblPCSInput[Call Date/Time],"&gt;="&amp;(SETUP!$B$5),tblPCSInput[Call Date/Time],"&lt;"&amp;(SETUP!$B$5+1),tblPCSInput[Call Direction],"I",tblPCSInput[Agent ID],$A49,tblPCSInput[PCSStatus],1))</f>
        <v/>
      </c>
      <c r="G49" s="11">
        <f>IF($A49="","",COUNTIFS(tblPCSInput[Call Date/Time],"&gt;="&amp;(SETUP!$B$5),tblPCSInput[Call Date/Time],"&lt;"&amp;(SETUP!$B$5+1),tblPCSInput[Call Direction],"I",tblPCSInput[Agent ID],$A49,tblPCSInput[Question 1],"&lt;&gt;"))</f>
        <v/>
      </c>
      <c r="H49" s="11">
        <f>IF($A49="","",COUNTIFS(tblPCSInput[Call Date/Time],"&gt;="&amp;(SETUP!$B$5),tblPCSInput[Call Date/Time],"&lt;"&amp;(SETUP!$B$5+1),tblPCSInput[Call Direction],"I",tblPCSInput[Agent ID],$A49,tblPCSInput[Valid Q1],"&gt;=1"))</f>
        <v/>
      </c>
      <c r="I49" s="12">
        <f>IFERROR(SUMIFS(tblPCSInput[Valid Q1],tblPCSInput[Call Date/Time],"&gt;="&amp;SETUP!$B$5,tblPCSInput[Call Date/Time],"&lt;"&amp;SETUP!$B$5+1,tblPCSInput[Call Direction],"I",tblPCSInput[Agent ID],$A49)/COUNTIFS(tblPCSInput[Call Date/Time],"&gt;="&amp;(SETUP!$B$5),tblPCSInput[Call Date/Time],"&lt;"&amp;(SETUP!$B$5+1),tblPCSInput[Call Direction],"I",tblPCSInput[Agent ID],$A49,tblPCSInput[Valid Q1],"&gt;=1"),"")</f>
        <v/>
      </c>
      <c r="J49" s="11">
        <f>IF(I49="","",COUNTIFS(tblPCSInput[Call Date/Time],"&gt;="&amp;(SETUP!$B$5),tblPCSInput[Call Date/Time],"&lt;"&amp;(SETUP!$B$5+1),tblPCSInput[Call Direction],"I",tblPCSInput[Agent ID],$A49,tblPCSInput[Valid Q1],"&lt;=3",tblPCSInput[Valid Q1],"&gt;=1"))</f>
        <v/>
      </c>
      <c r="K49" s="11">
        <f>IF(I49="","",COUNTIFS(tblPCSInput[Call Date/Time],"&gt;="&amp;(SETUP!$B$5),tblPCSInput[Call Date/Time],"&lt;"&amp;(SETUP!$B$5+1),tblPCSInput[Call Direction],"I",tblPCSInput[Agent ID],$A49,tblPCSInput[Valid Q1],"&gt;3"))</f>
        <v/>
      </c>
      <c r="L49" s="13">
        <f>IFERROR(G49/F49,"")</f>
        <v/>
      </c>
      <c r="M49" s="13">
        <f>IFERROR(H49/F49,"")</f>
        <v/>
      </c>
      <c r="N49" s="11">
        <f>IF($A49="","",MAX(0,G49-H49))</f>
        <v/>
      </c>
      <c r="O49" s="4">
        <f>IF($A49="","",IF(H49=0,"NO VALID SURVEY",IF(H49&lt;5,"LOW SAMPLE","OK")))</f>
        <v/>
      </c>
      <c r="P49" s="11">
        <f>IF($A49="","",COUNTIFS(tblPCSInput[Call Date/Time],"&gt;="&amp;(SETUP!$B$6),tblPCSInput[Call Date/Time],"&lt;"&amp;(SETUP!$B$7),tblPCSInput[Call Direction],"I",tblPCSInput[Agent ID],$A49,tblPCSInput[PCSStatus],1))</f>
        <v/>
      </c>
      <c r="Q49" s="11">
        <f>IF($A49="","",COUNTIFS(tblPCSInput[Call Date/Time],"&gt;="&amp;(SETUP!$B$6),tblPCSInput[Call Date/Time],"&lt;"&amp;(SETUP!$B$7),tblPCSInput[Call Direction],"I",tblPCSInput[Agent ID],$A49,tblPCSInput[Question 1],"&lt;&gt;"))</f>
        <v/>
      </c>
      <c r="R49" s="11">
        <f>IF($A49="","",COUNTIFS(tblPCSInput[Call Date/Time],"&gt;="&amp;(SETUP!$B$6),tblPCSInput[Call Date/Time],"&lt;"&amp;(SETUP!$B$7),tblPCSInput[Call Direction],"I",tblPCSInput[Agent ID],$A49,tblPCSInput[Valid Q1],"&gt;=1"))</f>
        <v/>
      </c>
      <c r="S49" s="12">
        <f>IFERROR(SUMIFS(tblPCSInput[Valid Q1],tblPCSInput[Call Date/Time],"&gt;="&amp;SETUP!$B$6,tblPCSInput[Call Date/Time],"&lt;"&amp;SETUP!$B$7,tblPCSInput[Call Direction],"I",tblPCSInput[Agent ID],$A49)/COUNTIFS(tblPCSInput[Call Date/Time],"&gt;="&amp;(SETUP!$B$6),tblPCSInput[Call Date/Time],"&lt;"&amp;(SETUP!$B$7),tblPCSInput[Call Direction],"I",tblPCSInput[Agent ID],$A49,tblPCSInput[Valid Q1],"&gt;=1"),"")</f>
        <v/>
      </c>
      <c r="T49" s="11">
        <f>IF(S49="","",COUNTIFS(tblPCSInput[Call Date/Time],"&gt;="&amp;(SETUP!$B$6),tblPCSInput[Call Date/Time],"&lt;"&amp;(SETUP!$B$7),tblPCSInput[Call Direction],"I",tblPCSInput[Agent ID],$A49,tblPCSInput[Valid Q1],"&lt;=3",tblPCSInput[Valid Q1],"&gt;=1"))</f>
        <v/>
      </c>
      <c r="U49" s="11">
        <f>IF(S49="","",COUNTIFS(tblPCSInput[Call Date/Time],"&gt;="&amp;(SETUP!$B$6),tblPCSInput[Call Date/Time],"&lt;"&amp;(SETUP!$B$7),tblPCSInput[Call Direction],"I",tblPCSInput[Agent ID],$A49,tblPCSInput[Valid Q1],"&gt;3"))</f>
        <v/>
      </c>
      <c r="V49" s="13">
        <f>IFERROR(Q49/P49,"")</f>
        <v/>
      </c>
      <c r="W49" s="13">
        <f>IFERROR(R49/P49,"")</f>
        <v/>
      </c>
    </row>
    <row r="50" spans="1:23">
      <c r="A50" s="4">
        <f>IF(ROSTER!A50="","",ROSTER!A50)</f>
        <v>203626</v>
      </c>
      <c r="B50" s="4" t="str">
        <f>IF($A50="","",ROSTER!C50)</f>
        <v>El Makhloufi Nouhaila</v>
      </c>
      <c r="C50" s="4" t="str">
        <f>IF($A50="","",ROSTER!D50)</f>
        <v>Malak AZERKI</v>
      </c>
      <c r="D50" s="4" t="str">
        <f>IF($A50="","",ROSTER!E50)</f>
        <v>Anas OUAKKAD</v>
      </c>
      <c r="E50" s="4" t="str">
        <f>IF($A50="","",ROSTER!F50)</f>
        <v>OEM FR</v>
      </c>
      <c r="F50" s="11">
        <f>IF($A50="","",COUNTIFS(tblPCSInput[Call Date/Time],"&gt;="&amp;(SETUP!$B$5),tblPCSInput[Call Date/Time],"&lt;"&amp;(SETUP!$B$5+1),tblPCSInput[Call Direction],"I",tblPCSInput[Agent ID],$A50,tblPCSInput[PCSStatus],1))</f>
        <v/>
      </c>
      <c r="G50" s="11">
        <f>IF($A50="","",COUNTIFS(tblPCSInput[Call Date/Time],"&gt;="&amp;(SETUP!$B$5),tblPCSInput[Call Date/Time],"&lt;"&amp;(SETUP!$B$5+1),tblPCSInput[Call Direction],"I",tblPCSInput[Agent ID],$A50,tblPCSInput[Question 1],"&lt;&gt;"))</f>
        <v/>
      </c>
      <c r="H50" s="11">
        <f>IF($A50="","",COUNTIFS(tblPCSInput[Call Date/Time],"&gt;="&amp;(SETUP!$B$5),tblPCSInput[Call Date/Time],"&lt;"&amp;(SETUP!$B$5+1),tblPCSInput[Call Direction],"I",tblPCSInput[Agent ID],$A50,tblPCSInput[Valid Q1],"&gt;=1"))</f>
        <v/>
      </c>
      <c r="I50" s="12">
        <f>IFERROR(SUMIFS(tblPCSInput[Valid Q1],tblPCSInput[Call Date/Time],"&gt;="&amp;SETUP!$B$5,tblPCSInput[Call Date/Time],"&lt;"&amp;SETUP!$B$5+1,tblPCSInput[Call Direction],"I",tblPCSInput[Agent ID],$A50)/COUNTIFS(tblPCSInput[Call Date/Time],"&gt;="&amp;(SETUP!$B$5),tblPCSInput[Call Date/Time],"&lt;"&amp;(SETUP!$B$5+1),tblPCSInput[Call Direction],"I",tblPCSInput[Agent ID],$A50,tblPCSInput[Valid Q1],"&gt;=1"),"")</f>
        <v/>
      </c>
      <c r="J50" s="11">
        <f>IF(I50="","",COUNTIFS(tblPCSInput[Call Date/Time],"&gt;="&amp;(SETUP!$B$5),tblPCSInput[Call Date/Time],"&lt;"&amp;(SETUP!$B$5+1),tblPCSInput[Call Direction],"I",tblPCSInput[Agent ID],$A50,tblPCSInput[Valid Q1],"&lt;=3",tblPCSInput[Valid Q1],"&gt;=1"))</f>
        <v/>
      </c>
      <c r="K50" s="11">
        <f>IF(I50="","",COUNTIFS(tblPCSInput[Call Date/Time],"&gt;="&amp;(SETUP!$B$5),tblPCSInput[Call Date/Time],"&lt;"&amp;(SETUP!$B$5+1),tblPCSInput[Call Direction],"I",tblPCSInput[Agent ID],$A50,tblPCSInput[Valid Q1],"&gt;3"))</f>
        <v/>
      </c>
      <c r="L50" s="13">
        <f>IFERROR(G50/F50,"")</f>
        <v/>
      </c>
      <c r="M50" s="13">
        <f>IFERROR(H50/F50,"")</f>
        <v/>
      </c>
      <c r="N50" s="11">
        <f>IF($A50="","",MAX(0,G50-H50))</f>
        <v/>
      </c>
      <c r="O50" s="4">
        <f>IF($A50="","",IF(H50=0,"NO VALID SURVEY",IF(H50&lt;5,"LOW SAMPLE","OK")))</f>
        <v/>
      </c>
      <c r="P50" s="11">
        <f>IF($A50="","",COUNTIFS(tblPCSInput[Call Date/Time],"&gt;="&amp;(SETUP!$B$6),tblPCSInput[Call Date/Time],"&lt;"&amp;(SETUP!$B$7),tblPCSInput[Call Direction],"I",tblPCSInput[Agent ID],$A50,tblPCSInput[PCSStatus],1))</f>
        <v/>
      </c>
      <c r="Q50" s="11">
        <f>IF($A50="","",COUNTIFS(tblPCSInput[Call Date/Time],"&gt;="&amp;(SETUP!$B$6),tblPCSInput[Call Date/Time],"&lt;"&amp;(SETUP!$B$7),tblPCSInput[Call Direction],"I",tblPCSInput[Agent ID],$A50,tblPCSInput[Question 1],"&lt;&gt;"))</f>
        <v/>
      </c>
      <c r="R50" s="11">
        <f>IF($A50="","",COUNTIFS(tblPCSInput[Call Date/Time],"&gt;="&amp;(SETUP!$B$6),tblPCSInput[Call Date/Time],"&lt;"&amp;(SETUP!$B$7),tblPCSInput[Call Direction],"I",tblPCSInput[Agent ID],$A50,tblPCSInput[Valid Q1],"&gt;=1"))</f>
        <v/>
      </c>
      <c r="S50" s="12">
        <f>IFERROR(SUMIFS(tblPCSInput[Valid Q1],tblPCSInput[Call Date/Time],"&gt;="&amp;SETUP!$B$6,tblPCSInput[Call Date/Time],"&lt;"&amp;SETUP!$B$7,tblPCSInput[Call Direction],"I",tblPCSInput[Agent ID],$A50)/COUNTIFS(tblPCSInput[Call Date/Time],"&gt;="&amp;(SETUP!$B$6),tblPCSInput[Call Date/Time],"&lt;"&amp;(SETUP!$B$7),tblPCSInput[Call Direction],"I",tblPCSInput[Agent ID],$A50,tblPCSInput[Valid Q1],"&gt;=1"),"")</f>
        <v/>
      </c>
      <c r="T50" s="11">
        <f>IF(S50="","",COUNTIFS(tblPCSInput[Call Date/Time],"&gt;="&amp;(SETUP!$B$6),tblPCSInput[Call Date/Time],"&lt;"&amp;(SETUP!$B$7),tblPCSInput[Call Direction],"I",tblPCSInput[Agent ID],$A50,tblPCSInput[Valid Q1],"&lt;=3",tblPCSInput[Valid Q1],"&gt;=1"))</f>
        <v/>
      </c>
      <c r="U50" s="11">
        <f>IF(S50="","",COUNTIFS(tblPCSInput[Call Date/Time],"&gt;="&amp;(SETUP!$B$6),tblPCSInput[Call Date/Time],"&lt;"&amp;(SETUP!$B$7),tblPCSInput[Call Direction],"I",tblPCSInput[Agent ID],$A50,tblPCSInput[Valid Q1],"&gt;3"))</f>
        <v/>
      </c>
      <c r="V50" s="13">
        <f>IFERROR(Q50/P50,"")</f>
        <v/>
      </c>
      <c r="W50" s="13">
        <f>IFERROR(R50/P50,"")</f>
        <v/>
      </c>
    </row>
    <row r="51" spans="1:23">
      <c r="A51" s="4">
        <f>IF(ROSTER!A51="","",ROSTER!A51)</f>
        <v>204044</v>
      </c>
      <c r="B51" s="4" t="str">
        <f>IF($A51="","",ROSTER!C51)</f>
        <v>Koppens Arko</v>
      </c>
      <c r="C51" s="4" t="str">
        <f>IF($A51="","",ROSTER!D51)</f>
        <v>Ilyasse Derrazi</v>
      </c>
      <c r="D51" s="4" t="str">
        <f>IF($A51="","",ROSTER!E51)</f>
        <v>Anas OUAKKAD</v>
      </c>
      <c r="E51" s="4" t="str">
        <f>IF($A51="","",ROSTER!F51)</f>
        <v>Ford Dutch</v>
      </c>
      <c r="F51" s="11">
        <f>IF($A51="","",COUNTIFS(tblPCSInput[Call Date/Time],"&gt;="&amp;(SETUP!$B$5),tblPCSInput[Call Date/Time],"&lt;"&amp;(SETUP!$B$5+1),tblPCSInput[Call Direction],"I",tblPCSInput[Agent ID],$A51,tblPCSInput[PCSStatus],1))</f>
        <v/>
      </c>
      <c r="G51" s="11">
        <f>IF($A51="","",COUNTIFS(tblPCSInput[Call Date/Time],"&gt;="&amp;(SETUP!$B$5),tblPCSInput[Call Date/Time],"&lt;"&amp;(SETUP!$B$5+1),tblPCSInput[Call Direction],"I",tblPCSInput[Agent ID],$A51,tblPCSInput[Question 1],"&lt;&gt;"))</f>
        <v/>
      </c>
      <c r="H51" s="11">
        <f>IF($A51="","",COUNTIFS(tblPCSInput[Call Date/Time],"&gt;="&amp;(SETUP!$B$5),tblPCSInput[Call Date/Time],"&lt;"&amp;(SETUP!$B$5+1),tblPCSInput[Call Direction],"I",tblPCSInput[Agent ID],$A51,tblPCSInput[Valid Q1],"&gt;=1"))</f>
        <v/>
      </c>
      <c r="I51" s="12">
        <f>IFERROR(SUMIFS(tblPCSInput[Valid Q1],tblPCSInput[Call Date/Time],"&gt;="&amp;SETUP!$B$5,tblPCSInput[Call Date/Time],"&lt;"&amp;SETUP!$B$5+1,tblPCSInput[Call Direction],"I",tblPCSInput[Agent ID],$A51)/COUNTIFS(tblPCSInput[Call Date/Time],"&gt;="&amp;(SETUP!$B$5),tblPCSInput[Call Date/Time],"&lt;"&amp;(SETUP!$B$5+1),tblPCSInput[Call Direction],"I",tblPCSInput[Agent ID],$A51,tblPCSInput[Valid Q1],"&gt;=1"),"")</f>
        <v/>
      </c>
      <c r="J51" s="11">
        <f>IF(I51="","",COUNTIFS(tblPCSInput[Call Date/Time],"&gt;="&amp;(SETUP!$B$5),tblPCSInput[Call Date/Time],"&lt;"&amp;(SETUP!$B$5+1),tblPCSInput[Call Direction],"I",tblPCSInput[Agent ID],$A51,tblPCSInput[Valid Q1],"&lt;=3",tblPCSInput[Valid Q1],"&gt;=1"))</f>
        <v/>
      </c>
      <c r="K51" s="11">
        <f>IF(I51="","",COUNTIFS(tblPCSInput[Call Date/Time],"&gt;="&amp;(SETUP!$B$5),tblPCSInput[Call Date/Time],"&lt;"&amp;(SETUP!$B$5+1),tblPCSInput[Call Direction],"I",tblPCSInput[Agent ID],$A51,tblPCSInput[Valid Q1],"&gt;3"))</f>
        <v/>
      </c>
      <c r="L51" s="13">
        <f>IFERROR(G51/F51,"")</f>
        <v/>
      </c>
      <c r="M51" s="13">
        <f>IFERROR(H51/F51,"")</f>
        <v/>
      </c>
      <c r="N51" s="11">
        <f>IF($A51="","",MAX(0,G51-H51))</f>
        <v/>
      </c>
      <c r="O51" s="4">
        <f>IF($A51="","",IF(H51=0,"NO VALID SURVEY",IF(H51&lt;5,"LOW SAMPLE","OK")))</f>
        <v/>
      </c>
      <c r="P51" s="11">
        <f>IF($A51="","",COUNTIFS(tblPCSInput[Call Date/Time],"&gt;="&amp;(SETUP!$B$6),tblPCSInput[Call Date/Time],"&lt;"&amp;(SETUP!$B$7),tblPCSInput[Call Direction],"I",tblPCSInput[Agent ID],$A51,tblPCSInput[PCSStatus],1))</f>
        <v/>
      </c>
      <c r="Q51" s="11">
        <f>IF($A51="","",COUNTIFS(tblPCSInput[Call Date/Time],"&gt;="&amp;(SETUP!$B$6),tblPCSInput[Call Date/Time],"&lt;"&amp;(SETUP!$B$7),tblPCSInput[Call Direction],"I",tblPCSInput[Agent ID],$A51,tblPCSInput[Question 1],"&lt;&gt;"))</f>
        <v/>
      </c>
      <c r="R51" s="11">
        <f>IF($A51="","",COUNTIFS(tblPCSInput[Call Date/Time],"&gt;="&amp;(SETUP!$B$6),tblPCSInput[Call Date/Time],"&lt;"&amp;(SETUP!$B$7),tblPCSInput[Call Direction],"I",tblPCSInput[Agent ID],$A51,tblPCSInput[Valid Q1],"&gt;=1"))</f>
        <v/>
      </c>
      <c r="S51" s="12">
        <f>IFERROR(SUMIFS(tblPCSInput[Valid Q1],tblPCSInput[Call Date/Time],"&gt;="&amp;SETUP!$B$6,tblPCSInput[Call Date/Time],"&lt;"&amp;SETUP!$B$7,tblPCSInput[Call Direction],"I",tblPCSInput[Agent ID],$A51)/COUNTIFS(tblPCSInput[Call Date/Time],"&gt;="&amp;(SETUP!$B$6),tblPCSInput[Call Date/Time],"&lt;"&amp;(SETUP!$B$7),tblPCSInput[Call Direction],"I",tblPCSInput[Agent ID],$A51,tblPCSInput[Valid Q1],"&gt;=1"),"")</f>
        <v/>
      </c>
      <c r="T51" s="11">
        <f>IF(S51="","",COUNTIFS(tblPCSInput[Call Date/Time],"&gt;="&amp;(SETUP!$B$6),tblPCSInput[Call Date/Time],"&lt;"&amp;(SETUP!$B$7),tblPCSInput[Call Direction],"I",tblPCSInput[Agent ID],$A51,tblPCSInput[Valid Q1],"&lt;=3",tblPCSInput[Valid Q1],"&gt;=1"))</f>
        <v/>
      </c>
      <c r="U51" s="11">
        <f>IF(S51="","",COUNTIFS(tblPCSInput[Call Date/Time],"&gt;="&amp;(SETUP!$B$6),tblPCSInput[Call Date/Time],"&lt;"&amp;(SETUP!$B$7),tblPCSInput[Call Direction],"I",tblPCSInput[Agent ID],$A51,tblPCSInput[Valid Q1],"&gt;3"))</f>
        <v/>
      </c>
      <c r="V51" s="13">
        <f>IFERROR(Q51/P51,"")</f>
        <v/>
      </c>
      <c r="W51" s="13">
        <f>IFERROR(R51/P51,"")</f>
        <v/>
      </c>
    </row>
    <row r="52" spans="1:23">
      <c r="A52" s="4">
        <f>IF(ROSTER!A52="","",ROSTER!A52)</f>
        <v>204042</v>
      </c>
      <c r="B52" s="4" t="str">
        <f>IF($A52="","",ROSTER!C52)</f>
        <v>Moslyh El Mahdi</v>
      </c>
      <c r="C52" s="4" t="str">
        <f>IF($A52="","",ROSTER!D52)</f>
        <v>Ilyasse Derrazi</v>
      </c>
      <c r="D52" s="4" t="str">
        <f>IF($A52="","",ROSTER!E52)</f>
        <v>Anas OUAKKAD</v>
      </c>
      <c r="E52" s="4" t="str">
        <f>IF($A52="","",ROSTER!F52)</f>
        <v>Ford Dutch</v>
      </c>
      <c r="F52" s="11">
        <f>IF($A52="","",COUNTIFS(tblPCSInput[Call Date/Time],"&gt;="&amp;(SETUP!$B$5),tblPCSInput[Call Date/Time],"&lt;"&amp;(SETUP!$B$5+1),tblPCSInput[Call Direction],"I",tblPCSInput[Agent ID],$A52,tblPCSInput[PCSStatus],1))</f>
        <v/>
      </c>
      <c r="G52" s="11">
        <f>IF($A52="","",COUNTIFS(tblPCSInput[Call Date/Time],"&gt;="&amp;(SETUP!$B$5),tblPCSInput[Call Date/Time],"&lt;"&amp;(SETUP!$B$5+1),tblPCSInput[Call Direction],"I",tblPCSInput[Agent ID],$A52,tblPCSInput[Question 1],"&lt;&gt;"))</f>
        <v/>
      </c>
      <c r="H52" s="11">
        <f>IF($A52="","",COUNTIFS(tblPCSInput[Call Date/Time],"&gt;="&amp;(SETUP!$B$5),tblPCSInput[Call Date/Time],"&lt;"&amp;(SETUP!$B$5+1),tblPCSInput[Call Direction],"I",tblPCSInput[Agent ID],$A52,tblPCSInput[Valid Q1],"&gt;=1"))</f>
        <v/>
      </c>
      <c r="I52" s="12">
        <f>IFERROR(SUMIFS(tblPCSInput[Valid Q1],tblPCSInput[Call Date/Time],"&gt;="&amp;SETUP!$B$5,tblPCSInput[Call Date/Time],"&lt;"&amp;SETUP!$B$5+1,tblPCSInput[Call Direction],"I",tblPCSInput[Agent ID],$A52)/COUNTIFS(tblPCSInput[Call Date/Time],"&gt;="&amp;(SETUP!$B$5),tblPCSInput[Call Date/Time],"&lt;"&amp;(SETUP!$B$5+1),tblPCSInput[Call Direction],"I",tblPCSInput[Agent ID],$A52,tblPCSInput[Valid Q1],"&gt;=1"),"")</f>
        <v/>
      </c>
      <c r="J52" s="11">
        <f>IF(I52="","",COUNTIFS(tblPCSInput[Call Date/Time],"&gt;="&amp;(SETUP!$B$5),tblPCSInput[Call Date/Time],"&lt;"&amp;(SETUP!$B$5+1),tblPCSInput[Call Direction],"I",tblPCSInput[Agent ID],$A52,tblPCSInput[Valid Q1],"&lt;=3",tblPCSInput[Valid Q1],"&gt;=1"))</f>
        <v/>
      </c>
      <c r="K52" s="11">
        <f>IF(I52="","",COUNTIFS(tblPCSInput[Call Date/Time],"&gt;="&amp;(SETUP!$B$5),tblPCSInput[Call Date/Time],"&lt;"&amp;(SETUP!$B$5+1),tblPCSInput[Call Direction],"I",tblPCSInput[Agent ID],$A52,tblPCSInput[Valid Q1],"&gt;3"))</f>
        <v/>
      </c>
      <c r="L52" s="13">
        <f>IFERROR(G52/F52,"")</f>
        <v/>
      </c>
      <c r="M52" s="13">
        <f>IFERROR(H52/F52,"")</f>
        <v/>
      </c>
      <c r="N52" s="11">
        <f>IF($A52="","",MAX(0,G52-H52))</f>
        <v/>
      </c>
      <c r="O52" s="4">
        <f>IF($A52="","",IF(H52=0,"NO VALID SURVEY",IF(H52&lt;5,"LOW SAMPLE","OK")))</f>
        <v/>
      </c>
      <c r="P52" s="11">
        <f>IF($A52="","",COUNTIFS(tblPCSInput[Call Date/Time],"&gt;="&amp;(SETUP!$B$6),tblPCSInput[Call Date/Time],"&lt;"&amp;(SETUP!$B$7),tblPCSInput[Call Direction],"I",tblPCSInput[Agent ID],$A52,tblPCSInput[PCSStatus],1))</f>
        <v/>
      </c>
      <c r="Q52" s="11">
        <f>IF($A52="","",COUNTIFS(tblPCSInput[Call Date/Time],"&gt;="&amp;(SETUP!$B$6),tblPCSInput[Call Date/Time],"&lt;"&amp;(SETUP!$B$7),tblPCSInput[Call Direction],"I",tblPCSInput[Agent ID],$A52,tblPCSInput[Question 1],"&lt;&gt;"))</f>
        <v/>
      </c>
      <c r="R52" s="11">
        <f>IF($A52="","",COUNTIFS(tblPCSInput[Call Date/Time],"&gt;="&amp;(SETUP!$B$6),tblPCSInput[Call Date/Time],"&lt;"&amp;(SETUP!$B$7),tblPCSInput[Call Direction],"I",tblPCSInput[Agent ID],$A52,tblPCSInput[Valid Q1],"&gt;=1"))</f>
        <v/>
      </c>
      <c r="S52" s="12">
        <f>IFERROR(SUMIFS(tblPCSInput[Valid Q1],tblPCSInput[Call Date/Time],"&gt;="&amp;SETUP!$B$6,tblPCSInput[Call Date/Time],"&lt;"&amp;SETUP!$B$7,tblPCSInput[Call Direction],"I",tblPCSInput[Agent ID],$A52)/COUNTIFS(tblPCSInput[Call Date/Time],"&gt;="&amp;(SETUP!$B$6),tblPCSInput[Call Date/Time],"&lt;"&amp;(SETUP!$B$7),tblPCSInput[Call Direction],"I",tblPCSInput[Agent ID],$A52,tblPCSInput[Valid Q1],"&gt;=1"),"")</f>
        <v/>
      </c>
      <c r="T52" s="11">
        <f>IF(S52="","",COUNTIFS(tblPCSInput[Call Date/Time],"&gt;="&amp;(SETUP!$B$6),tblPCSInput[Call Date/Time],"&lt;"&amp;(SETUP!$B$7),tblPCSInput[Call Direction],"I",tblPCSInput[Agent ID],$A52,tblPCSInput[Valid Q1],"&lt;=3",tblPCSInput[Valid Q1],"&gt;=1"))</f>
        <v/>
      </c>
      <c r="U52" s="11">
        <f>IF(S52="","",COUNTIFS(tblPCSInput[Call Date/Time],"&gt;="&amp;(SETUP!$B$6),tblPCSInput[Call Date/Time],"&lt;"&amp;(SETUP!$B$7),tblPCSInput[Call Direction],"I",tblPCSInput[Agent ID],$A52,tblPCSInput[Valid Q1],"&gt;3"))</f>
        <v/>
      </c>
      <c r="V52" s="13">
        <f>IFERROR(Q52/P52,"")</f>
        <v/>
      </c>
      <c r="W52" s="13">
        <f>IFERROR(R52/P52,"")</f>
        <v/>
      </c>
    </row>
    <row r="53" spans="1:23">
      <c r="A53" s="4">
        <f>IF(ROSTER!A53="","",ROSTER!A53)</f>
        <v>205225</v>
      </c>
      <c r="B53" s="4" t="str">
        <f>IF($A53="","",ROSTER!C53)</f>
        <v>Hajjab Abdelfatah</v>
      </c>
      <c r="C53" s="4" t="str">
        <f>IF($A53="","",ROSTER!D53)</f>
        <v>Ilyasse Derrazi</v>
      </c>
      <c r="D53" s="4" t="str">
        <f>IF($A53="","",ROSTER!E53)</f>
        <v>Anas OUAKKAD</v>
      </c>
      <c r="E53" s="4" t="str">
        <f>IF($A53="","",ROSTER!F53)</f>
        <v>Ford Dutch</v>
      </c>
      <c r="F53" s="11">
        <f>IF($A53="","",COUNTIFS(tblPCSInput[Call Date/Time],"&gt;="&amp;(SETUP!$B$5),tblPCSInput[Call Date/Time],"&lt;"&amp;(SETUP!$B$5+1),tblPCSInput[Call Direction],"I",tblPCSInput[Agent ID],$A53,tblPCSInput[PCSStatus],1))</f>
        <v/>
      </c>
      <c r="G53" s="11">
        <f>IF($A53="","",COUNTIFS(tblPCSInput[Call Date/Time],"&gt;="&amp;(SETUP!$B$5),tblPCSInput[Call Date/Time],"&lt;"&amp;(SETUP!$B$5+1),tblPCSInput[Call Direction],"I",tblPCSInput[Agent ID],$A53,tblPCSInput[Question 1],"&lt;&gt;"))</f>
        <v/>
      </c>
      <c r="H53" s="11">
        <f>IF($A53="","",COUNTIFS(tblPCSInput[Call Date/Time],"&gt;="&amp;(SETUP!$B$5),tblPCSInput[Call Date/Time],"&lt;"&amp;(SETUP!$B$5+1),tblPCSInput[Call Direction],"I",tblPCSInput[Agent ID],$A53,tblPCSInput[Valid Q1],"&gt;=1"))</f>
        <v/>
      </c>
      <c r="I53" s="12">
        <f>IFERROR(SUMIFS(tblPCSInput[Valid Q1],tblPCSInput[Call Date/Time],"&gt;="&amp;SETUP!$B$5,tblPCSInput[Call Date/Time],"&lt;"&amp;SETUP!$B$5+1,tblPCSInput[Call Direction],"I",tblPCSInput[Agent ID],$A53)/COUNTIFS(tblPCSInput[Call Date/Time],"&gt;="&amp;(SETUP!$B$5),tblPCSInput[Call Date/Time],"&lt;"&amp;(SETUP!$B$5+1),tblPCSInput[Call Direction],"I",tblPCSInput[Agent ID],$A53,tblPCSInput[Valid Q1],"&gt;=1"),"")</f>
        <v/>
      </c>
      <c r="J53" s="11">
        <f>IF(I53="","",COUNTIFS(tblPCSInput[Call Date/Time],"&gt;="&amp;(SETUP!$B$5),tblPCSInput[Call Date/Time],"&lt;"&amp;(SETUP!$B$5+1),tblPCSInput[Call Direction],"I",tblPCSInput[Agent ID],$A53,tblPCSInput[Valid Q1],"&lt;=3",tblPCSInput[Valid Q1],"&gt;=1"))</f>
        <v/>
      </c>
      <c r="K53" s="11">
        <f>IF(I53="","",COUNTIFS(tblPCSInput[Call Date/Time],"&gt;="&amp;(SETUP!$B$5),tblPCSInput[Call Date/Time],"&lt;"&amp;(SETUP!$B$5+1),tblPCSInput[Call Direction],"I",tblPCSInput[Agent ID],$A53,tblPCSInput[Valid Q1],"&gt;3"))</f>
        <v/>
      </c>
      <c r="L53" s="13">
        <f>IFERROR(G53/F53,"")</f>
        <v/>
      </c>
      <c r="M53" s="13">
        <f>IFERROR(H53/F53,"")</f>
        <v/>
      </c>
      <c r="N53" s="11">
        <f>IF($A53="","",MAX(0,G53-H53))</f>
        <v/>
      </c>
      <c r="O53" s="4">
        <f>IF($A53="","",IF(H53=0,"NO VALID SURVEY",IF(H53&lt;5,"LOW SAMPLE","OK")))</f>
        <v/>
      </c>
      <c r="P53" s="11">
        <f>IF($A53="","",COUNTIFS(tblPCSInput[Call Date/Time],"&gt;="&amp;(SETUP!$B$6),tblPCSInput[Call Date/Time],"&lt;"&amp;(SETUP!$B$7),tblPCSInput[Call Direction],"I",tblPCSInput[Agent ID],$A53,tblPCSInput[PCSStatus],1))</f>
        <v/>
      </c>
      <c r="Q53" s="11">
        <f>IF($A53="","",COUNTIFS(tblPCSInput[Call Date/Time],"&gt;="&amp;(SETUP!$B$6),tblPCSInput[Call Date/Time],"&lt;"&amp;(SETUP!$B$7),tblPCSInput[Call Direction],"I",tblPCSInput[Agent ID],$A53,tblPCSInput[Question 1],"&lt;&gt;"))</f>
        <v/>
      </c>
      <c r="R53" s="11">
        <f>IF($A53="","",COUNTIFS(tblPCSInput[Call Date/Time],"&gt;="&amp;(SETUP!$B$6),tblPCSInput[Call Date/Time],"&lt;"&amp;(SETUP!$B$7),tblPCSInput[Call Direction],"I",tblPCSInput[Agent ID],$A53,tblPCSInput[Valid Q1],"&gt;=1"))</f>
        <v/>
      </c>
      <c r="S53" s="12">
        <f>IFERROR(SUMIFS(tblPCSInput[Valid Q1],tblPCSInput[Call Date/Time],"&gt;="&amp;SETUP!$B$6,tblPCSInput[Call Date/Time],"&lt;"&amp;SETUP!$B$7,tblPCSInput[Call Direction],"I",tblPCSInput[Agent ID],$A53)/COUNTIFS(tblPCSInput[Call Date/Time],"&gt;="&amp;(SETUP!$B$6),tblPCSInput[Call Date/Time],"&lt;"&amp;(SETUP!$B$7),tblPCSInput[Call Direction],"I",tblPCSInput[Agent ID],$A53,tblPCSInput[Valid Q1],"&gt;=1"),"")</f>
        <v/>
      </c>
      <c r="T53" s="11">
        <f>IF(S53="","",COUNTIFS(tblPCSInput[Call Date/Time],"&gt;="&amp;(SETUP!$B$6),tblPCSInput[Call Date/Time],"&lt;"&amp;(SETUP!$B$7),tblPCSInput[Call Direction],"I",tblPCSInput[Agent ID],$A53,tblPCSInput[Valid Q1],"&lt;=3",tblPCSInput[Valid Q1],"&gt;=1"))</f>
        <v/>
      </c>
      <c r="U53" s="11">
        <f>IF(S53="","",COUNTIFS(tblPCSInput[Call Date/Time],"&gt;="&amp;(SETUP!$B$6),tblPCSInput[Call Date/Time],"&lt;"&amp;(SETUP!$B$7),tblPCSInput[Call Direction],"I",tblPCSInput[Agent ID],$A53,tblPCSInput[Valid Q1],"&gt;3"))</f>
        <v/>
      </c>
      <c r="V53" s="13">
        <f>IFERROR(Q53/P53,"")</f>
        <v/>
      </c>
      <c r="W53" s="13">
        <f>IFERROR(R53/P53,"")</f>
        <v/>
      </c>
    </row>
    <row r="54" spans="1:23">
      <c r="A54" s="4">
        <f>IF(ROSTER!A54="","",ROSTER!A54)</f>
        <v>204043</v>
      </c>
      <c r="B54" s="4" t="str">
        <f>IF($A54="","",ROSTER!C54)</f>
        <v>El Yakhloufi Fouad</v>
      </c>
      <c r="C54" s="4" t="str">
        <f>IF($A54="","",ROSTER!D54)</f>
        <v>Ilyasse Derrazi</v>
      </c>
      <c r="D54" s="4" t="str">
        <f>IF($A54="","",ROSTER!E54)</f>
        <v>Anas OUAKKAD</v>
      </c>
      <c r="E54" s="4" t="str">
        <f>IF($A54="","",ROSTER!F54)</f>
        <v>Ford Dutch</v>
      </c>
      <c r="F54" s="11">
        <f>IF($A54="","",COUNTIFS(tblPCSInput[Call Date/Time],"&gt;="&amp;(SETUP!$B$5),tblPCSInput[Call Date/Time],"&lt;"&amp;(SETUP!$B$5+1),tblPCSInput[Call Direction],"I",tblPCSInput[Agent ID],$A54,tblPCSInput[PCSStatus],1))</f>
        <v/>
      </c>
      <c r="G54" s="11">
        <f>IF($A54="","",COUNTIFS(tblPCSInput[Call Date/Time],"&gt;="&amp;(SETUP!$B$5),tblPCSInput[Call Date/Time],"&lt;"&amp;(SETUP!$B$5+1),tblPCSInput[Call Direction],"I",tblPCSInput[Agent ID],$A54,tblPCSInput[Question 1],"&lt;&gt;"))</f>
        <v/>
      </c>
      <c r="H54" s="11">
        <f>IF($A54="","",COUNTIFS(tblPCSInput[Call Date/Time],"&gt;="&amp;(SETUP!$B$5),tblPCSInput[Call Date/Time],"&lt;"&amp;(SETUP!$B$5+1),tblPCSInput[Call Direction],"I",tblPCSInput[Agent ID],$A54,tblPCSInput[Valid Q1],"&gt;=1"))</f>
        <v/>
      </c>
      <c r="I54" s="12">
        <f>IFERROR(SUMIFS(tblPCSInput[Valid Q1],tblPCSInput[Call Date/Time],"&gt;="&amp;SETUP!$B$5,tblPCSInput[Call Date/Time],"&lt;"&amp;SETUP!$B$5+1,tblPCSInput[Call Direction],"I",tblPCSInput[Agent ID],$A54)/COUNTIFS(tblPCSInput[Call Date/Time],"&gt;="&amp;(SETUP!$B$5),tblPCSInput[Call Date/Time],"&lt;"&amp;(SETUP!$B$5+1),tblPCSInput[Call Direction],"I",tblPCSInput[Agent ID],$A54,tblPCSInput[Valid Q1],"&gt;=1"),"")</f>
        <v/>
      </c>
      <c r="J54" s="11">
        <f>IF(I54="","",COUNTIFS(tblPCSInput[Call Date/Time],"&gt;="&amp;(SETUP!$B$5),tblPCSInput[Call Date/Time],"&lt;"&amp;(SETUP!$B$5+1),tblPCSInput[Call Direction],"I",tblPCSInput[Agent ID],$A54,tblPCSInput[Valid Q1],"&lt;=3",tblPCSInput[Valid Q1],"&gt;=1"))</f>
        <v/>
      </c>
      <c r="K54" s="11">
        <f>IF(I54="","",COUNTIFS(tblPCSInput[Call Date/Time],"&gt;="&amp;(SETUP!$B$5),tblPCSInput[Call Date/Time],"&lt;"&amp;(SETUP!$B$5+1),tblPCSInput[Call Direction],"I",tblPCSInput[Agent ID],$A54,tblPCSInput[Valid Q1],"&gt;3"))</f>
        <v/>
      </c>
      <c r="L54" s="13">
        <f>IFERROR(G54/F54,"")</f>
        <v/>
      </c>
      <c r="M54" s="13">
        <f>IFERROR(H54/F54,"")</f>
        <v/>
      </c>
      <c r="N54" s="11">
        <f>IF($A54="","",MAX(0,G54-H54))</f>
        <v/>
      </c>
      <c r="O54" s="4">
        <f>IF($A54="","",IF(H54=0,"NO VALID SURVEY",IF(H54&lt;5,"LOW SAMPLE","OK")))</f>
        <v/>
      </c>
      <c r="P54" s="11">
        <f>IF($A54="","",COUNTIFS(tblPCSInput[Call Date/Time],"&gt;="&amp;(SETUP!$B$6),tblPCSInput[Call Date/Time],"&lt;"&amp;(SETUP!$B$7),tblPCSInput[Call Direction],"I",tblPCSInput[Agent ID],$A54,tblPCSInput[PCSStatus],1))</f>
        <v/>
      </c>
      <c r="Q54" s="11">
        <f>IF($A54="","",COUNTIFS(tblPCSInput[Call Date/Time],"&gt;="&amp;(SETUP!$B$6),tblPCSInput[Call Date/Time],"&lt;"&amp;(SETUP!$B$7),tblPCSInput[Call Direction],"I",tblPCSInput[Agent ID],$A54,tblPCSInput[Question 1],"&lt;&gt;"))</f>
        <v/>
      </c>
      <c r="R54" s="11">
        <f>IF($A54="","",COUNTIFS(tblPCSInput[Call Date/Time],"&gt;="&amp;(SETUP!$B$6),tblPCSInput[Call Date/Time],"&lt;"&amp;(SETUP!$B$7),tblPCSInput[Call Direction],"I",tblPCSInput[Agent ID],$A54,tblPCSInput[Valid Q1],"&gt;=1"))</f>
        <v/>
      </c>
      <c r="S54" s="12">
        <f>IFERROR(SUMIFS(tblPCSInput[Valid Q1],tblPCSInput[Call Date/Time],"&gt;="&amp;SETUP!$B$6,tblPCSInput[Call Date/Time],"&lt;"&amp;SETUP!$B$7,tblPCSInput[Call Direction],"I",tblPCSInput[Agent ID],$A54)/COUNTIFS(tblPCSInput[Call Date/Time],"&gt;="&amp;(SETUP!$B$6),tblPCSInput[Call Date/Time],"&lt;"&amp;(SETUP!$B$7),tblPCSInput[Call Direction],"I",tblPCSInput[Agent ID],$A54,tblPCSInput[Valid Q1],"&gt;=1"),"")</f>
        <v/>
      </c>
      <c r="T54" s="11">
        <f>IF(S54="","",COUNTIFS(tblPCSInput[Call Date/Time],"&gt;="&amp;(SETUP!$B$6),tblPCSInput[Call Date/Time],"&lt;"&amp;(SETUP!$B$7),tblPCSInput[Call Direction],"I",tblPCSInput[Agent ID],$A54,tblPCSInput[Valid Q1],"&lt;=3",tblPCSInput[Valid Q1],"&gt;=1"))</f>
        <v/>
      </c>
      <c r="U54" s="11">
        <f>IF(S54="","",COUNTIFS(tblPCSInput[Call Date/Time],"&gt;="&amp;(SETUP!$B$6),tblPCSInput[Call Date/Time],"&lt;"&amp;(SETUP!$B$7),tblPCSInput[Call Direction],"I",tblPCSInput[Agent ID],$A54,tblPCSInput[Valid Q1],"&gt;3"))</f>
        <v/>
      </c>
      <c r="V54" s="13">
        <f>IFERROR(Q54/P54,"")</f>
        <v/>
      </c>
      <c r="W54" s="13">
        <f>IFERROR(R54/P54,"")</f>
        <v/>
      </c>
    </row>
    <row r="55" spans="1:23">
      <c r="A55" s="4">
        <f>IF(ROSTER!A55="","",ROSTER!A55)</f>
        <v>204040</v>
      </c>
      <c r="B55" s="4" t="str">
        <f>IF($A55="","",ROSTER!C55)</f>
        <v>Redouane Abdelhamid</v>
      </c>
      <c r="C55" s="4" t="str">
        <f>IF($A55="","",ROSTER!D55)</f>
        <v>Ilyasse Derrazi</v>
      </c>
      <c r="D55" s="4" t="str">
        <f>IF($A55="","",ROSTER!E55)</f>
        <v>Anas OUAKKAD</v>
      </c>
      <c r="E55" s="4" t="str">
        <f>IF($A55="","",ROSTER!F55)</f>
        <v>Ford Dutch</v>
      </c>
      <c r="F55" s="11">
        <f>IF($A55="","",COUNTIFS(tblPCSInput[Call Date/Time],"&gt;="&amp;(SETUP!$B$5),tblPCSInput[Call Date/Time],"&lt;"&amp;(SETUP!$B$5+1),tblPCSInput[Call Direction],"I",tblPCSInput[Agent ID],$A55,tblPCSInput[PCSStatus],1))</f>
        <v/>
      </c>
      <c r="G55" s="11">
        <f>IF($A55="","",COUNTIFS(tblPCSInput[Call Date/Time],"&gt;="&amp;(SETUP!$B$5),tblPCSInput[Call Date/Time],"&lt;"&amp;(SETUP!$B$5+1),tblPCSInput[Call Direction],"I",tblPCSInput[Agent ID],$A55,tblPCSInput[Question 1],"&lt;&gt;"))</f>
        <v/>
      </c>
      <c r="H55" s="11">
        <f>IF($A55="","",COUNTIFS(tblPCSInput[Call Date/Time],"&gt;="&amp;(SETUP!$B$5),tblPCSInput[Call Date/Time],"&lt;"&amp;(SETUP!$B$5+1),tblPCSInput[Call Direction],"I",tblPCSInput[Agent ID],$A55,tblPCSInput[Valid Q1],"&gt;=1"))</f>
        <v/>
      </c>
      <c r="I55" s="12">
        <f>IFERROR(SUMIFS(tblPCSInput[Valid Q1],tblPCSInput[Call Date/Time],"&gt;="&amp;SETUP!$B$5,tblPCSInput[Call Date/Time],"&lt;"&amp;SETUP!$B$5+1,tblPCSInput[Call Direction],"I",tblPCSInput[Agent ID],$A55)/COUNTIFS(tblPCSInput[Call Date/Time],"&gt;="&amp;(SETUP!$B$5),tblPCSInput[Call Date/Time],"&lt;"&amp;(SETUP!$B$5+1),tblPCSInput[Call Direction],"I",tblPCSInput[Agent ID],$A55,tblPCSInput[Valid Q1],"&gt;=1"),"")</f>
        <v/>
      </c>
      <c r="J55" s="11">
        <f>IF(I55="","",COUNTIFS(tblPCSInput[Call Date/Time],"&gt;="&amp;(SETUP!$B$5),tblPCSInput[Call Date/Time],"&lt;"&amp;(SETUP!$B$5+1),tblPCSInput[Call Direction],"I",tblPCSInput[Agent ID],$A55,tblPCSInput[Valid Q1],"&lt;=3",tblPCSInput[Valid Q1],"&gt;=1"))</f>
        <v/>
      </c>
      <c r="K55" s="11">
        <f>IF(I55="","",COUNTIFS(tblPCSInput[Call Date/Time],"&gt;="&amp;(SETUP!$B$5),tblPCSInput[Call Date/Time],"&lt;"&amp;(SETUP!$B$5+1),tblPCSInput[Call Direction],"I",tblPCSInput[Agent ID],$A55,tblPCSInput[Valid Q1],"&gt;3"))</f>
        <v/>
      </c>
      <c r="L55" s="13">
        <f>IFERROR(G55/F55,"")</f>
        <v/>
      </c>
      <c r="M55" s="13">
        <f>IFERROR(H55/F55,"")</f>
        <v/>
      </c>
      <c r="N55" s="11">
        <f>IF($A55="","",MAX(0,G55-H55))</f>
        <v/>
      </c>
      <c r="O55" s="4">
        <f>IF($A55="","",IF(H55=0,"NO VALID SURVEY",IF(H55&lt;5,"LOW SAMPLE","OK")))</f>
        <v/>
      </c>
      <c r="P55" s="11">
        <f>IF($A55="","",COUNTIFS(tblPCSInput[Call Date/Time],"&gt;="&amp;(SETUP!$B$6),tblPCSInput[Call Date/Time],"&lt;"&amp;(SETUP!$B$7),tblPCSInput[Call Direction],"I",tblPCSInput[Agent ID],$A55,tblPCSInput[PCSStatus],1))</f>
        <v/>
      </c>
      <c r="Q55" s="11">
        <f>IF($A55="","",COUNTIFS(tblPCSInput[Call Date/Time],"&gt;="&amp;(SETUP!$B$6),tblPCSInput[Call Date/Time],"&lt;"&amp;(SETUP!$B$7),tblPCSInput[Call Direction],"I",tblPCSInput[Agent ID],$A55,tblPCSInput[Question 1],"&lt;&gt;"))</f>
        <v/>
      </c>
      <c r="R55" s="11">
        <f>IF($A55="","",COUNTIFS(tblPCSInput[Call Date/Time],"&gt;="&amp;(SETUP!$B$6),tblPCSInput[Call Date/Time],"&lt;"&amp;(SETUP!$B$7),tblPCSInput[Call Direction],"I",tblPCSInput[Agent ID],$A55,tblPCSInput[Valid Q1],"&gt;=1"))</f>
        <v/>
      </c>
      <c r="S55" s="12">
        <f>IFERROR(SUMIFS(tblPCSInput[Valid Q1],tblPCSInput[Call Date/Time],"&gt;="&amp;SETUP!$B$6,tblPCSInput[Call Date/Time],"&lt;"&amp;SETUP!$B$7,tblPCSInput[Call Direction],"I",tblPCSInput[Agent ID],$A55)/COUNTIFS(tblPCSInput[Call Date/Time],"&gt;="&amp;(SETUP!$B$6),tblPCSInput[Call Date/Time],"&lt;"&amp;(SETUP!$B$7),tblPCSInput[Call Direction],"I",tblPCSInput[Agent ID],$A55,tblPCSInput[Valid Q1],"&gt;=1"),"")</f>
        <v/>
      </c>
      <c r="T55" s="11">
        <f>IF(S55="","",COUNTIFS(tblPCSInput[Call Date/Time],"&gt;="&amp;(SETUP!$B$6),tblPCSInput[Call Date/Time],"&lt;"&amp;(SETUP!$B$7),tblPCSInput[Call Direction],"I",tblPCSInput[Agent ID],$A55,tblPCSInput[Valid Q1],"&lt;=3",tblPCSInput[Valid Q1],"&gt;=1"))</f>
        <v/>
      </c>
      <c r="U55" s="11">
        <f>IF(S55="","",COUNTIFS(tblPCSInput[Call Date/Time],"&gt;="&amp;(SETUP!$B$6),tblPCSInput[Call Date/Time],"&lt;"&amp;(SETUP!$B$7),tblPCSInput[Call Direction],"I",tblPCSInput[Agent ID],$A55,tblPCSInput[Valid Q1],"&gt;3"))</f>
        <v/>
      </c>
      <c r="V55" s="13">
        <f>IFERROR(Q55/P55,"")</f>
        <v/>
      </c>
      <c r="W55" s="13">
        <f>IFERROR(R55/P55,"")</f>
        <v/>
      </c>
    </row>
    <row r="56" spans="1:23">
      <c r="A56" s="4">
        <f>IF(ROSTER!A56="","",ROSTER!A56)</f>
        <v>204045</v>
      </c>
      <c r="B56" s="4" t="str">
        <f>IF($A56="","",ROSTER!C56)</f>
        <v>Ait El Bashir Salah Eddine</v>
      </c>
      <c r="C56" s="4" t="str">
        <f>IF($A56="","",ROSTER!D56)</f>
        <v>Ilyasse Derrazi</v>
      </c>
      <c r="D56" s="4" t="str">
        <f>IF($A56="","",ROSTER!E56)</f>
        <v>Anas OUAKKAD</v>
      </c>
      <c r="E56" s="4" t="str">
        <f>IF($A56="","",ROSTER!F56)</f>
        <v>Ford Dutch</v>
      </c>
      <c r="F56" s="11">
        <f>IF($A56="","",COUNTIFS(tblPCSInput[Call Date/Time],"&gt;="&amp;(SETUP!$B$5),tblPCSInput[Call Date/Time],"&lt;"&amp;(SETUP!$B$5+1),tblPCSInput[Call Direction],"I",tblPCSInput[Agent ID],$A56,tblPCSInput[PCSStatus],1))</f>
        <v/>
      </c>
      <c r="G56" s="11">
        <f>IF($A56="","",COUNTIFS(tblPCSInput[Call Date/Time],"&gt;="&amp;(SETUP!$B$5),tblPCSInput[Call Date/Time],"&lt;"&amp;(SETUP!$B$5+1),tblPCSInput[Call Direction],"I",tblPCSInput[Agent ID],$A56,tblPCSInput[Question 1],"&lt;&gt;"))</f>
        <v/>
      </c>
      <c r="H56" s="11">
        <f>IF($A56="","",COUNTIFS(tblPCSInput[Call Date/Time],"&gt;="&amp;(SETUP!$B$5),tblPCSInput[Call Date/Time],"&lt;"&amp;(SETUP!$B$5+1),tblPCSInput[Call Direction],"I",tblPCSInput[Agent ID],$A56,tblPCSInput[Valid Q1],"&gt;=1"))</f>
        <v/>
      </c>
      <c r="I56" s="12">
        <f>IFERROR(SUMIFS(tblPCSInput[Valid Q1],tblPCSInput[Call Date/Time],"&gt;="&amp;SETUP!$B$5,tblPCSInput[Call Date/Time],"&lt;"&amp;SETUP!$B$5+1,tblPCSInput[Call Direction],"I",tblPCSInput[Agent ID],$A56)/COUNTIFS(tblPCSInput[Call Date/Time],"&gt;="&amp;(SETUP!$B$5),tblPCSInput[Call Date/Time],"&lt;"&amp;(SETUP!$B$5+1),tblPCSInput[Call Direction],"I",tblPCSInput[Agent ID],$A56,tblPCSInput[Valid Q1],"&gt;=1"),"")</f>
        <v/>
      </c>
      <c r="J56" s="11">
        <f>IF(I56="","",COUNTIFS(tblPCSInput[Call Date/Time],"&gt;="&amp;(SETUP!$B$5),tblPCSInput[Call Date/Time],"&lt;"&amp;(SETUP!$B$5+1),tblPCSInput[Call Direction],"I",tblPCSInput[Agent ID],$A56,tblPCSInput[Valid Q1],"&lt;=3",tblPCSInput[Valid Q1],"&gt;=1"))</f>
        <v/>
      </c>
      <c r="K56" s="11">
        <f>IF(I56="","",COUNTIFS(tblPCSInput[Call Date/Time],"&gt;="&amp;(SETUP!$B$5),tblPCSInput[Call Date/Time],"&lt;"&amp;(SETUP!$B$5+1),tblPCSInput[Call Direction],"I",tblPCSInput[Agent ID],$A56,tblPCSInput[Valid Q1],"&gt;3"))</f>
        <v/>
      </c>
      <c r="L56" s="13">
        <f>IFERROR(G56/F56,"")</f>
        <v/>
      </c>
      <c r="M56" s="13">
        <f>IFERROR(H56/F56,"")</f>
        <v/>
      </c>
      <c r="N56" s="11">
        <f>IF($A56="","",MAX(0,G56-H56))</f>
        <v/>
      </c>
      <c r="O56" s="4">
        <f>IF($A56="","",IF(H56=0,"NO VALID SURVEY",IF(H56&lt;5,"LOW SAMPLE","OK")))</f>
        <v/>
      </c>
      <c r="P56" s="11">
        <f>IF($A56="","",COUNTIFS(tblPCSInput[Call Date/Time],"&gt;="&amp;(SETUP!$B$6),tblPCSInput[Call Date/Time],"&lt;"&amp;(SETUP!$B$7),tblPCSInput[Call Direction],"I",tblPCSInput[Agent ID],$A56,tblPCSInput[PCSStatus],1))</f>
        <v/>
      </c>
      <c r="Q56" s="11">
        <f>IF($A56="","",COUNTIFS(tblPCSInput[Call Date/Time],"&gt;="&amp;(SETUP!$B$6),tblPCSInput[Call Date/Time],"&lt;"&amp;(SETUP!$B$7),tblPCSInput[Call Direction],"I",tblPCSInput[Agent ID],$A56,tblPCSInput[Question 1],"&lt;&gt;"))</f>
        <v/>
      </c>
      <c r="R56" s="11">
        <f>IF($A56="","",COUNTIFS(tblPCSInput[Call Date/Time],"&gt;="&amp;(SETUP!$B$6),tblPCSInput[Call Date/Time],"&lt;"&amp;(SETUP!$B$7),tblPCSInput[Call Direction],"I",tblPCSInput[Agent ID],$A56,tblPCSInput[Valid Q1],"&gt;=1"))</f>
        <v/>
      </c>
      <c r="S56" s="12">
        <f>IFERROR(SUMIFS(tblPCSInput[Valid Q1],tblPCSInput[Call Date/Time],"&gt;="&amp;SETUP!$B$6,tblPCSInput[Call Date/Time],"&lt;"&amp;SETUP!$B$7,tblPCSInput[Call Direction],"I",tblPCSInput[Agent ID],$A56)/COUNTIFS(tblPCSInput[Call Date/Time],"&gt;="&amp;(SETUP!$B$6),tblPCSInput[Call Date/Time],"&lt;"&amp;(SETUP!$B$7),tblPCSInput[Call Direction],"I",tblPCSInput[Agent ID],$A56,tblPCSInput[Valid Q1],"&gt;=1"),"")</f>
        <v/>
      </c>
      <c r="T56" s="11">
        <f>IF(S56="","",COUNTIFS(tblPCSInput[Call Date/Time],"&gt;="&amp;(SETUP!$B$6),tblPCSInput[Call Date/Time],"&lt;"&amp;(SETUP!$B$7),tblPCSInput[Call Direction],"I",tblPCSInput[Agent ID],$A56,tblPCSInput[Valid Q1],"&lt;=3",tblPCSInput[Valid Q1],"&gt;=1"))</f>
        <v/>
      </c>
      <c r="U56" s="11">
        <f>IF(S56="","",COUNTIFS(tblPCSInput[Call Date/Time],"&gt;="&amp;(SETUP!$B$6),tblPCSInput[Call Date/Time],"&lt;"&amp;(SETUP!$B$7),tblPCSInput[Call Direction],"I",tblPCSInput[Agent ID],$A56,tblPCSInput[Valid Q1],"&gt;3"))</f>
        <v/>
      </c>
      <c r="V56" s="13">
        <f>IFERROR(Q56/P56,"")</f>
        <v/>
      </c>
      <c r="W56" s="13">
        <f>IFERROR(R56/P56,"")</f>
        <v/>
      </c>
    </row>
    <row r="57" spans="1:23">
      <c r="A57" s="4">
        <f>IF(ROSTER!A57="","",ROSTER!A57)</f>
        <v>204046</v>
      </c>
      <c r="B57" s="4" t="str">
        <f>IF($A57="","",ROSTER!C57)</f>
        <v>Ajedioui Achraf</v>
      </c>
      <c r="C57" s="4" t="str">
        <f>IF($A57="","",ROSTER!D57)</f>
        <v>Ilyasse Derrazi</v>
      </c>
      <c r="D57" s="4" t="str">
        <f>IF($A57="","",ROSTER!E57)</f>
        <v>Anas OUAKKAD</v>
      </c>
      <c r="E57" s="4" t="str">
        <f>IF($A57="","",ROSTER!F57)</f>
        <v>Ford Dutch</v>
      </c>
      <c r="F57" s="11">
        <f>IF($A57="","",COUNTIFS(tblPCSInput[Call Date/Time],"&gt;="&amp;(SETUP!$B$5),tblPCSInput[Call Date/Time],"&lt;"&amp;(SETUP!$B$5+1),tblPCSInput[Call Direction],"I",tblPCSInput[Agent ID],$A57,tblPCSInput[PCSStatus],1))</f>
        <v/>
      </c>
      <c r="G57" s="11">
        <f>IF($A57="","",COUNTIFS(tblPCSInput[Call Date/Time],"&gt;="&amp;(SETUP!$B$5),tblPCSInput[Call Date/Time],"&lt;"&amp;(SETUP!$B$5+1),tblPCSInput[Call Direction],"I",tblPCSInput[Agent ID],$A57,tblPCSInput[Question 1],"&lt;&gt;"))</f>
        <v/>
      </c>
      <c r="H57" s="11">
        <f>IF($A57="","",COUNTIFS(tblPCSInput[Call Date/Time],"&gt;="&amp;(SETUP!$B$5),tblPCSInput[Call Date/Time],"&lt;"&amp;(SETUP!$B$5+1),tblPCSInput[Call Direction],"I",tblPCSInput[Agent ID],$A57,tblPCSInput[Valid Q1],"&gt;=1"))</f>
        <v/>
      </c>
      <c r="I57" s="12">
        <f>IFERROR(SUMIFS(tblPCSInput[Valid Q1],tblPCSInput[Call Date/Time],"&gt;="&amp;SETUP!$B$5,tblPCSInput[Call Date/Time],"&lt;"&amp;SETUP!$B$5+1,tblPCSInput[Call Direction],"I",tblPCSInput[Agent ID],$A57)/COUNTIFS(tblPCSInput[Call Date/Time],"&gt;="&amp;(SETUP!$B$5),tblPCSInput[Call Date/Time],"&lt;"&amp;(SETUP!$B$5+1),tblPCSInput[Call Direction],"I",tblPCSInput[Agent ID],$A57,tblPCSInput[Valid Q1],"&gt;=1"),"")</f>
        <v/>
      </c>
      <c r="J57" s="11">
        <f>IF(I57="","",COUNTIFS(tblPCSInput[Call Date/Time],"&gt;="&amp;(SETUP!$B$5),tblPCSInput[Call Date/Time],"&lt;"&amp;(SETUP!$B$5+1),tblPCSInput[Call Direction],"I",tblPCSInput[Agent ID],$A57,tblPCSInput[Valid Q1],"&lt;=3",tblPCSInput[Valid Q1],"&gt;=1"))</f>
        <v/>
      </c>
      <c r="K57" s="11">
        <f>IF(I57="","",COUNTIFS(tblPCSInput[Call Date/Time],"&gt;="&amp;(SETUP!$B$5),tblPCSInput[Call Date/Time],"&lt;"&amp;(SETUP!$B$5+1),tblPCSInput[Call Direction],"I",tblPCSInput[Agent ID],$A57,tblPCSInput[Valid Q1],"&gt;3"))</f>
        <v/>
      </c>
      <c r="L57" s="13">
        <f>IFERROR(G57/F57,"")</f>
        <v/>
      </c>
      <c r="M57" s="13">
        <f>IFERROR(H57/F57,"")</f>
        <v/>
      </c>
      <c r="N57" s="11">
        <f>IF($A57="","",MAX(0,G57-H57))</f>
        <v/>
      </c>
      <c r="O57" s="4">
        <f>IF($A57="","",IF(H57=0,"NO VALID SURVEY",IF(H57&lt;5,"LOW SAMPLE","OK")))</f>
        <v/>
      </c>
      <c r="P57" s="11">
        <f>IF($A57="","",COUNTIFS(tblPCSInput[Call Date/Time],"&gt;="&amp;(SETUP!$B$6),tblPCSInput[Call Date/Time],"&lt;"&amp;(SETUP!$B$7),tblPCSInput[Call Direction],"I",tblPCSInput[Agent ID],$A57,tblPCSInput[PCSStatus],1))</f>
        <v/>
      </c>
      <c r="Q57" s="11">
        <f>IF($A57="","",COUNTIFS(tblPCSInput[Call Date/Time],"&gt;="&amp;(SETUP!$B$6),tblPCSInput[Call Date/Time],"&lt;"&amp;(SETUP!$B$7),tblPCSInput[Call Direction],"I",tblPCSInput[Agent ID],$A57,tblPCSInput[Question 1],"&lt;&gt;"))</f>
        <v/>
      </c>
      <c r="R57" s="11">
        <f>IF($A57="","",COUNTIFS(tblPCSInput[Call Date/Time],"&gt;="&amp;(SETUP!$B$6),tblPCSInput[Call Date/Time],"&lt;"&amp;(SETUP!$B$7),tblPCSInput[Call Direction],"I",tblPCSInput[Agent ID],$A57,tblPCSInput[Valid Q1],"&gt;=1"))</f>
        <v/>
      </c>
      <c r="S57" s="12">
        <f>IFERROR(SUMIFS(tblPCSInput[Valid Q1],tblPCSInput[Call Date/Time],"&gt;="&amp;SETUP!$B$6,tblPCSInput[Call Date/Time],"&lt;"&amp;SETUP!$B$7,tblPCSInput[Call Direction],"I",tblPCSInput[Agent ID],$A57)/COUNTIFS(tblPCSInput[Call Date/Time],"&gt;="&amp;(SETUP!$B$6),tblPCSInput[Call Date/Time],"&lt;"&amp;(SETUP!$B$7),tblPCSInput[Call Direction],"I",tblPCSInput[Agent ID],$A57,tblPCSInput[Valid Q1],"&gt;=1"),"")</f>
        <v/>
      </c>
      <c r="T57" s="11">
        <f>IF(S57="","",COUNTIFS(tblPCSInput[Call Date/Time],"&gt;="&amp;(SETUP!$B$6),tblPCSInput[Call Date/Time],"&lt;"&amp;(SETUP!$B$7),tblPCSInput[Call Direction],"I",tblPCSInput[Agent ID],$A57,tblPCSInput[Valid Q1],"&lt;=3",tblPCSInput[Valid Q1],"&gt;=1"))</f>
        <v/>
      </c>
      <c r="U57" s="11">
        <f>IF(S57="","",COUNTIFS(tblPCSInput[Call Date/Time],"&gt;="&amp;(SETUP!$B$6),tblPCSInput[Call Date/Time],"&lt;"&amp;(SETUP!$B$7),tblPCSInput[Call Direction],"I",tblPCSInput[Agent ID],$A57,tblPCSInput[Valid Q1],"&gt;3"))</f>
        <v/>
      </c>
      <c r="V57" s="13">
        <f>IFERROR(Q57/P57,"")</f>
        <v/>
      </c>
      <c r="W57" s="13">
        <f>IFERROR(R57/P57,"")</f>
        <v/>
      </c>
    </row>
    <row r="58" spans="1:23">
      <c r="A58" s="4">
        <f>IF(ROSTER!A58="","",ROSTER!A58)</f>
        <v>204047</v>
      </c>
      <c r="B58" s="4" t="str">
        <f>IF($A58="","",ROSTER!C58)</f>
        <v>Rhauni Safwane</v>
      </c>
      <c r="C58" s="4" t="str">
        <f>IF($A58="","",ROSTER!D58)</f>
        <v>Ilyasse Derrazi</v>
      </c>
      <c r="D58" s="4" t="str">
        <f>IF($A58="","",ROSTER!E58)</f>
        <v>Anas OUAKKAD</v>
      </c>
      <c r="E58" s="4" t="str">
        <f>IF($A58="","",ROSTER!F58)</f>
        <v>Ford Dutch</v>
      </c>
      <c r="F58" s="11">
        <f>IF($A58="","",COUNTIFS(tblPCSInput[Call Date/Time],"&gt;="&amp;(SETUP!$B$5),tblPCSInput[Call Date/Time],"&lt;"&amp;(SETUP!$B$5+1),tblPCSInput[Call Direction],"I",tblPCSInput[Agent ID],$A58,tblPCSInput[PCSStatus],1))</f>
        <v/>
      </c>
      <c r="G58" s="11">
        <f>IF($A58="","",COUNTIFS(tblPCSInput[Call Date/Time],"&gt;="&amp;(SETUP!$B$5),tblPCSInput[Call Date/Time],"&lt;"&amp;(SETUP!$B$5+1),tblPCSInput[Call Direction],"I",tblPCSInput[Agent ID],$A58,tblPCSInput[Question 1],"&lt;&gt;"))</f>
        <v/>
      </c>
      <c r="H58" s="11">
        <f>IF($A58="","",COUNTIFS(tblPCSInput[Call Date/Time],"&gt;="&amp;(SETUP!$B$5),tblPCSInput[Call Date/Time],"&lt;"&amp;(SETUP!$B$5+1),tblPCSInput[Call Direction],"I",tblPCSInput[Agent ID],$A58,tblPCSInput[Valid Q1],"&gt;=1"))</f>
        <v/>
      </c>
      <c r="I58" s="12">
        <f>IFERROR(SUMIFS(tblPCSInput[Valid Q1],tblPCSInput[Call Date/Time],"&gt;="&amp;SETUP!$B$5,tblPCSInput[Call Date/Time],"&lt;"&amp;SETUP!$B$5+1,tblPCSInput[Call Direction],"I",tblPCSInput[Agent ID],$A58)/COUNTIFS(tblPCSInput[Call Date/Time],"&gt;="&amp;(SETUP!$B$5),tblPCSInput[Call Date/Time],"&lt;"&amp;(SETUP!$B$5+1),tblPCSInput[Call Direction],"I",tblPCSInput[Agent ID],$A58,tblPCSInput[Valid Q1],"&gt;=1"),"")</f>
        <v/>
      </c>
      <c r="J58" s="11">
        <f>IF(I58="","",COUNTIFS(tblPCSInput[Call Date/Time],"&gt;="&amp;(SETUP!$B$5),tblPCSInput[Call Date/Time],"&lt;"&amp;(SETUP!$B$5+1),tblPCSInput[Call Direction],"I",tblPCSInput[Agent ID],$A58,tblPCSInput[Valid Q1],"&lt;=3",tblPCSInput[Valid Q1],"&gt;=1"))</f>
        <v/>
      </c>
      <c r="K58" s="11">
        <f>IF(I58="","",COUNTIFS(tblPCSInput[Call Date/Time],"&gt;="&amp;(SETUP!$B$5),tblPCSInput[Call Date/Time],"&lt;"&amp;(SETUP!$B$5+1),tblPCSInput[Call Direction],"I",tblPCSInput[Agent ID],$A58,tblPCSInput[Valid Q1],"&gt;3"))</f>
        <v/>
      </c>
      <c r="L58" s="13">
        <f>IFERROR(G58/F58,"")</f>
        <v/>
      </c>
      <c r="M58" s="13">
        <f>IFERROR(H58/F58,"")</f>
        <v/>
      </c>
      <c r="N58" s="11">
        <f>IF($A58="","",MAX(0,G58-H58))</f>
        <v/>
      </c>
      <c r="O58" s="4">
        <f>IF($A58="","",IF(H58=0,"NO VALID SURVEY",IF(H58&lt;5,"LOW SAMPLE","OK")))</f>
        <v/>
      </c>
      <c r="P58" s="11">
        <f>IF($A58="","",COUNTIFS(tblPCSInput[Call Date/Time],"&gt;="&amp;(SETUP!$B$6),tblPCSInput[Call Date/Time],"&lt;"&amp;(SETUP!$B$7),tblPCSInput[Call Direction],"I",tblPCSInput[Agent ID],$A58,tblPCSInput[PCSStatus],1))</f>
        <v/>
      </c>
      <c r="Q58" s="11">
        <f>IF($A58="","",COUNTIFS(tblPCSInput[Call Date/Time],"&gt;="&amp;(SETUP!$B$6),tblPCSInput[Call Date/Time],"&lt;"&amp;(SETUP!$B$7),tblPCSInput[Call Direction],"I",tblPCSInput[Agent ID],$A58,tblPCSInput[Question 1],"&lt;&gt;"))</f>
        <v/>
      </c>
      <c r="R58" s="11">
        <f>IF($A58="","",COUNTIFS(tblPCSInput[Call Date/Time],"&gt;="&amp;(SETUP!$B$6),tblPCSInput[Call Date/Time],"&lt;"&amp;(SETUP!$B$7),tblPCSInput[Call Direction],"I",tblPCSInput[Agent ID],$A58,tblPCSInput[Valid Q1],"&gt;=1"))</f>
        <v/>
      </c>
      <c r="S58" s="12">
        <f>IFERROR(SUMIFS(tblPCSInput[Valid Q1],tblPCSInput[Call Date/Time],"&gt;="&amp;SETUP!$B$6,tblPCSInput[Call Date/Time],"&lt;"&amp;SETUP!$B$7,tblPCSInput[Call Direction],"I",tblPCSInput[Agent ID],$A58)/COUNTIFS(tblPCSInput[Call Date/Time],"&gt;="&amp;(SETUP!$B$6),tblPCSInput[Call Date/Time],"&lt;"&amp;(SETUP!$B$7),tblPCSInput[Call Direction],"I",tblPCSInput[Agent ID],$A58,tblPCSInput[Valid Q1],"&gt;=1"),"")</f>
        <v/>
      </c>
      <c r="T58" s="11">
        <f>IF(S58="","",COUNTIFS(tblPCSInput[Call Date/Time],"&gt;="&amp;(SETUP!$B$6),tblPCSInput[Call Date/Time],"&lt;"&amp;(SETUP!$B$7),tblPCSInput[Call Direction],"I",tblPCSInput[Agent ID],$A58,tblPCSInput[Valid Q1],"&lt;=3",tblPCSInput[Valid Q1],"&gt;=1"))</f>
        <v/>
      </c>
      <c r="U58" s="11">
        <f>IF(S58="","",COUNTIFS(tblPCSInput[Call Date/Time],"&gt;="&amp;(SETUP!$B$6),tblPCSInput[Call Date/Time],"&lt;"&amp;(SETUP!$B$7),tblPCSInput[Call Direction],"I",tblPCSInput[Agent ID],$A58,tblPCSInput[Valid Q1],"&gt;3"))</f>
        <v/>
      </c>
      <c r="V58" s="13">
        <f>IFERROR(Q58/P58,"")</f>
        <v/>
      </c>
      <c r="W58" s="13">
        <f>IFERROR(R58/P58,"")</f>
        <v/>
      </c>
    </row>
    <row r="59" spans="1:23">
      <c r="A59" s="4">
        <f>IF(ROSTER!A59="","",ROSTER!A59)</f>
        <v>203579</v>
      </c>
      <c r="B59" s="4" t="str">
        <f>IF($A59="","",ROSTER!C59)</f>
        <v>Jaouan Anouar</v>
      </c>
      <c r="C59" s="4" t="str">
        <f>IF($A59="","",ROSTER!D59)</f>
        <v>Malak AZERKI</v>
      </c>
      <c r="D59" s="4" t="str">
        <f>IF($A59="","",ROSTER!E59)</f>
        <v>Anas OUAKKAD</v>
      </c>
      <c r="E59" s="4" t="str">
        <f>IF($A59="","",ROSTER!F59)</f>
        <v>OEM FR</v>
      </c>
      <c r="F59" s="11">
        <f>IF($A59="","",COUNTIFS(tblPCSInput[Call Date/Time],"&gt;="&amp;(SETUP!$B$5),tblPCSInput[Call Date/Time],"&lt;"&amp;(SETUP!$B$5+1),tblPCSInput[Call Direction],"I",tblPCSInput[Agent ID],$A59,tblPCSInput[PCSStatus],1))</f>
        <v/>
      </c>
      <c r="G59" s="11">
        <f>IF($A59="","",COUNTIFS(tblPCSInput[Call Date/Time],"&gt;="&amp;(SETUP!$B$5),tblPCSInput[Call Date/Time],"&lt;"&amp;(SETUP!$B$5+1),tblPCSInput[Call Direction],"I",tblPCSInput[Agent ID],$A59,tblPCSInput[Question 1],"&lt;&gt;"))</f>
        <v/>
      </c>
      <c r="H59" s="11">
        <f>IF($A59="","",COUNTIFS(tblPCSInput[Call Date/Time],"&gt;="&amp;(SETUP!$B$5),tblPCSInput[Call Date/Time],"&lt;"&amp;(SETUP!$B$5+1),tblPCSInput[Call Direction],"I",tblPCSInput[Agent ID],$A59,tblPCSInput[Valid Q1],"&gt;=1"))</f>
        <v/>
      </c>
      <c r="I59" s="12">
        <f>IFERROR(SUMIFS(tblPCSInput[Valid Q1],tblPCSInput[Call Date/Time],"&gt;="&amp;SETUP!$B$5,tblPCSInput[Call Date/Time],"&lt;"&amp;SETUP!$B$5+1,tblPCSInput[Call Direction],"I",tblPCSInput[Agent ID],$A59)/COUNTIFS(tblPCSInput[Call Date/Time],"&gt;="&amp;(SETUP!$B$5),tblPCSInput[Call Date/Time],"&lt;"&amp;(SETUP!$B$5+1),tblPCSInput[Call Direction],"I",tblPCSInput[Agent ID],$A59,tblPCSInput[Valid Q1],"&gt;=1"),"")</f>
        <v/>
      </c>
      <c r="J59" s="11">
        <f>IF(I59="","",COUNTIFS(tblPCSInput[Call Date/Time],"&gt;="&amp;(SETUP!$B$5),tblPCSInput[Call Date/Time],"&lt;"&amp;(SETUP!$B$5+1),tblPCSInput[Call Direction],"I",tblPCSInput[Agent ID],$A59,tblPCSInput[Valid Q1],"&lt;=3",tblPCSInput[Valid Q1],"&gt;=1"))</f>
        <v/>
      </c>
      <c r="K59" s="11">
        <f>IF(I59="","",COUNTIFS(tblPCSInput[Call Date/Time],"&gt;="&amp;(SETUP!$B$5),tblPCSInput[Call Date/Time],"&lt;"&amp;(SETUP!$B$5+1),tblPCSInput[Call Direction],"I",tblPCSInput[Agent ID],$A59,tblPCSInput[Valid Q1],"&gt;3"))</f>
        <v/>
      </c>
      <c r="L59" s="13">
        <f>IFERROR(G59/F59,"")</f>
        <v/>
      </c>
      <c r="M59" s="13">
        <f>IFERROR(H59/F59,"")</f>
        <v/>
      </c>
      <c r="N59" s="11">
        <f>IF($A59="","",MAX(0,G59-H59))</f>
        <v/>
      </c>
      <c r="O59" s="4">
        <f>IF($A59="","",IF(H59=0,"NO VALID SURVEY",IF(H59&lt;5,"LOW SAMPLE","OK")))</f>
        <v/>
      </c>
      <c r="P59" s="11">
        <f>IF($A59="","",COUNTIFS(tblPCSInput[Call Date/Time],"&gt;="&amp;(SETUP!$B$6),tblPCSInput[Call Date/Time],"&lt;"&amp;(SETUP!$B$7),tblPCSInput[Call Direction],"I",tblPCSInput[Agent ID],$A59,tblPCSInput[PCSStatus],1))</f>
        <v/>
      </c>
      <c r="Q59" s="11">
        <f>IF($A59="","",COUNTIFS(tblPCSInput[Call Date/Time],"&gt;="&amp;(SETUP!$B$6),tblPCSInput[Call Date/Time],"&lt;"&amp;(SETUP!$B$7),tblPCSInput[Call Direction],"I",tblPCSInput[Agent ID],$A59,tblPCSInput[Question 1],"&lt;&gt;"))</f>
        <v/>
      </c>
      <c r="R59" s="11">
        <f>IF($A59="","",COUNTIFS(tblPCSInput[Call Date/Time],"&gt;="&amp;(SETUP!$B$6),tblPCSInput[Call Date/Time],"&lt;"&amp;(SETUP!$B$7),tblPCSInput[Call Direction],"I",tblPCSInput[Agent ID],$A59,tblPCSInput[Valid Q1],"&gt;=1"))</f>
        <v/>
      </c>
      <c r="S59" s="12">
        <f>IFERROR(SUMIFS(tblPCSInput[Valid Q1],tblPCSInput[Call Date/Time],"&gt;="&amp;SETUP!$B$6,tblPCSInput[Call Date/Time],"&lt;"&amp;SETUP!$B$7,tblPCSInput[Call Direction],"I",tblPCSInput[Agent ID],$A59)/COUNTIFS(tblPCSInput[Call Date/Time],"&gt;="&amp;(SETUP!$B$6),tblPCSInput[Call Date/Time],"&lt;"&amp;(SETUP!$B$7),tblPCSInput[Call Direction],"I",tblPCSInput[Agent ID],$A59,tblPCSInput[Valid Q1],"&gt;=1"),"")</f>
        <v/>
      </c>
      <c r="T59" s="11">
        <f>IF(S59="","",COUNTIFS(tblPCSInput[Call Date/Time],"&gt;="&amp;(SETUP!$B$6),tblPCSInput[Call Date/Time],"&lt;"&amp;(SETUP!$B$7),tblPCSInput[Call Direction],"I",tblPCSInput[Agent ID],$A59,tblPCSInput[Valid Q1],"&lt;=3",tblPCSInput[Valid Q1],"&gt;=1"))</f>
        <v/>
      </c>
      <c r="U59" s="11">
        <f>IF(S59="","",COUNTIFS(tblPCSInput[Call Date/Time],"&gt;="&amp;(SETUP!$B$6),tblPCSInput[Call Date/Time],"&lt;"&amp;(SETUP!$B$7),tblPCSInput[Call Direction],"I",tblPCSInput[Agent ID],$A59,tblPCSInput[Valid Q1],"&gt;3"))</f>
        <v/>
      </c>
      <c r="V59" s="13">
        <f>IFERROR(Q59/P59,"")</f>
        <v/>
      </c>
      <c r="W59" s="13">
        <f>IFERROR(R59/P59,"")</f>
        <v/>
      </c>
    </row>
    <row r="60" spans="1:23">
      <c r="A60" s="4">
        <f>IF(ROSTER!A60="","",ROSTER!A60)</f>
        <v>205266</v>
      </c>
      <c r="B60" s="4" t="str">
        <f>IF($A60="","",ROSTER!C60)</f>
        <v>Jadda Hamza</v>
      </c>
      <c r="C60" s="4" t="str">
        <f>IF($A60="","",ROSTER!D60)</f>
        <v>Zineb MOUFID</v>
      </c>
      <c r="D60" s="4" t="str">
        <f>IF($A60="","",ROSTER!E60)</f>
        <v>Anas OUAKKAD</v>
      </c>
      <c r="E60" s="4" t="str">
        <f>IF($A60="","",ROSTER!F60)</f>
        <v>OEM FR</v>
      </c>
      <c r="F60" s="11">
        <f>IF($A60="","",COUNTIFS(tblPCSInput[Call Date/Time],"&gt;="&amp;(SETUP!$B$5),tblPCSInput[Call Date/Time],"&lt;"&amp;(SETUP!$B$5+1),tblPCSInput[Call Direction],"I",tblPCSInput[Agent ID],$A60,tblPCSInput[PCSStatus],1))</f>
        <v/>
      </c>
      <c r="G60" s="11">
        <f>IF($A60="","",COUNTIFS(tblPCSInput[Call Date/Time],"&gt;="&amp;(SETUP!$B$5),tblPCSInput[Call Date/Time],"&lt;"&amp;(SETUP!$B$5+1),tblPCSInput[Call Direction],"I",tblPCSInput[Agent ID],$A60,tblPCSInput[Question 1],"&lt;&gt;"))</f>
        <v/>
      </c>
      <c r="H60" s="11">
        <f>IF($A60="","",COUNTIFS(tblPCSInput[Call Date/Time],"&gt;="&amp;(SETUP!$B$5),tblPCSInput[Call Date/Time],"&lt;"&amp;(SETUP!$B$5+1),tblPCSInput[Call Direction],"I",tblPCSInput[Agent ID],$A60,tblPCSInput[Valid Q1],"&gt;=1"))</f>
        <v/>
      </c>
      <c r="I60" s="12">
        <f>IFERROR(SUMIFS(tblPCSInput[Valid Q1],tblPCSInput[Call Date/Time],"&gt;="&amp;SETUP!$B$5,tblPCSInput[Call Date/Time],"&lt;"&amp;SETUP!$B$5+1,tblPCSInput[Call Direction],"I",tblPCSInput[Agent ID],$A60)/COUNTIFS(tblPCSInput[Call Date/Time],"&gt;="&amp;(SETUP!$B$5),tblPCSInput[Call Date/Time],"&lt;"&amp;(SETUP!$B$5+1),tblPCSInput[Call Direction],"I",tblPCSInput[Agent ID],$A60,tblPCSInput[Valid Q1],"&gt;=1"),"")</f>
        <v/>
      </c>
      <c r="J60" s="11">
        <f>IF(I60="","",COUNTIFS(tblPCSInput[Call Date/Time],"&gt;="&amp;(SETUP!$B$5),tblPCSInput[Call Date/Time],"&lt;"&amp;(SETUP!$B$5+1),tblPCSInput[Call Direction],"I",tblPCSInput[Agent ID],$A60,tblPCSInput[Valid Q1],"&lt;=3",tblPCSInput[Valid Q1],"&gt;=1"))</f>
        <v/>
      </c>
      <c r="K60" s="11">
        <f>IF(I60="","",COUNTIFS(tblPCSInput[Call Date/Time],"&gt;="&amp;(SETUP!$B$5),tblPCSInput[Call Date/Time],"&lt;"&amp;(SETUP!$B$5+1),tblPCSInput[Call Direction],"I",tblPCSInput[Agent ID],$A60,tblPCSInput[Valid Q1],"&gt;3"))</f>
        <v/>
      </c>
      <c r="L60" s="13">
        <f>IFERROR(G60/F60,"")</f>
        <v/>
      </c>
      <c r="M60" s="13">
        <f>IFERROR(H60/F60,"")</f>
        <v/>
      </c>
      <c r="N60" s="11">
        <f>IF($A60="","",MAX(0,G60-H60))</f>
        <v/>
      </c>
      <c r="O60" s="4">
        <f>IF($A60="","",IF(H60=0,"NO VALID SURVEY",IF(H60&lt;5,"LOW SAMPLE","OK")))</f>
        <v/>
      </c>
      <c r="P60" s="11">
        <f>IF($A60="","",COUNTIFS(tblPCSInput[Call Date/Time],"&gt;="&amp;(SETUP!$B$6),tblPCSInput[Call Date/Time],"&lt;"&amp;(SETUP!$B$7),tblPCSInput[Call Direction],"I",tblPCSInput[Agent ID],$A60,tblPCSInput[PCSStatus],1))</f>
        <v/>
      </c>
      <c r="Q60" s="11">
        <f>IF($A60="","",COUNTIFS(tblPCSInput[Call Date/Time],"&gt;="&amp;(SETUP!$B$6),tblPCSInput[Call Date/Time],"&lt;"&amp;(SETUP!$B$7),tblPCSInput[Call Direction],"I",tblPCSInput[Agent ID],$A60,tblPCSInput[Question 1],"&lt;&gt;"))</f>
        <v/>
      </c>
      <c r="R60" s="11">
        <f>IF($A60="","",COUNTIFS(tblPCSInput[Call Date/Time],"&gt;="&amp;(SETUP!$B$6),tblPCSInput[Call Date/Time],"&lt;"&amp;(SETUP!$B$7),tblPCSInput[Call Direction],"I",tblPCSInput[Agent ID],$A60,tblPCSInput[Valid Q1],"&gt;=1"))</f>
        <v/>
      </c>
      <c r="S60" s="12">
        <f>IFERROR(SUMIFS(tblPCSInput[Valid Q1],tblPCSInput[Call Date/Time],"&gt;="&amp;SETUP!$B$6,tblPCSInput[Call Date/Time],"&lt;"&amp;SETUP!$B$7,tblPCSInput[Call Direction],"I",tblPCSInput[Agent ID],$A60)/COUNTIFS(tblPCSInput[Call Date/Time],"&gt;="&amp;(SETUP!$B$6),tblPCSInput[Call Date/Time],"&lt;"&amp;(SETUP!$B$7),tblPCSInput[Call Direction],"I",tblPCSInput[Agent ID],$A60,tblPCSInput[Valid Q1],"&gt;=1"),"")</f>
        <v/>
      </c>
      <c r="T60" s="11">
        <f>IF(S60="","",COUNTIFS(tblPCSInput[Call Date/Time],"&gt;="&amp;(SETUP!$B$6),tblPCSInput[Call Date/Time],"&lt;"&amp;(SETUP!$B$7),tblPCSInput[Call Direction],"I",tblPCSInput[Agent ID],$A60,tblPCSInput[Valid Q1],"&lt;=3",tblPCSInput[Valid Q1],"&gt;=1"))</f>
        <v/>
      </c>
      <c r="U60" s="11">
        <f>IF(S60="","",COUNTIFS(tblPCSInput[Call Date/Time],"&gt;="&amp;(SETUP!$B$6),tblPCSInput[Call Date/Time],"&lt;"&amp;(SETUP!$B$7),tblPCSInput[Call Direction],"I",tblPCSInput[Agent ID],$A60,tblPCSInput[Valid Q1],"&gt;3"))</f>
        <v/>
      </c>
      <c r="V60" s="13">
        <f>IFERROR(Q60/P60,"")</f>
        <v/>
      </c>
      <c r="W60" s="13">
        <f>IFERROR(R60/P60,"")</f>
        <v/>
      </c>
    </row>
    <row r="61" spans="1:23">
      <c r="A61" s="4">
        <f>IF(ROSTER!A61="","",ROSTER!A61)</f>
        <v>203624</v>
      </c>
      <c r="B61" s="4" t="str">
        <f>IF($A61="","",ROSTER!C61)</f>
        <v>Khillane Abdelfattah</v>
      </c>
      <c r="C61" s="4" t="str">
        <f>IF($A61="","",ROSTER!D61)</f>
        <v>Kenza EL MOUMNI</v>
      </c>
      <c r="D61" s="4" t="str">
        <f>IF($A61="","",ROSTER!E61)</f>
        <v>Anas OUAKKAD</v>
      </c>
      <c r="E61" s="4" t="str">
        <f>IF($A61="","",ROSTER!F61)</f>
        <v>OEM FR</v>
      </c>
      <c r="F61" s="11">
        <f>IF($A61="","",COUNTIFS(tblPCSInput[Call Date/Time],"&gt;="&amp;(SETUP!$B$5),tblPCSInput[Call Date/Time],"&lt;"&amp;(SETUP!$B$5+1),tblPCSInput[Call Direction],"I",tblPCSInput[Agent ID],$A61,tblPCSInput[PCSStatus],1))</f>
        <v/>
      </c>
      <c r="G61" s="11">
        <f>IF($A61="","",COUNTIFS(tblPCSInput[Call Date/Time],"&gt;="&amp;(SETUP!$B$5),tblPCSInput[Call Date/Time],"&lt;"&amp;(SETUP!$B$5+1),tblPCSInput[Call Direction],"I",tblPCSInput[Agent ID],$A61,tblPCSInput[Question 1],"&lt;&gt;"))</f>
        <v/>
      </c>
      <c r="H61" s="11">
        <f>IF($A61="","",COUNTIFS(tblPCSInput[Call Date/Time],"&gt;="&amp;(SETUP!$B$5),tblPCSInput[Call Date/Time],"&lt;"&amp;(SETUP!$B$5+1),tblPCSInput[Call Direction],"I",tblPCSInput[Agent ID],$A61,tblPCSInput[Valid Q1],"&gt;=1"))</f>
        <v/>
      </c>
      <c r="I61" s="12">
        <f>IFERROR(SUMIFS(tblPCSInput[Valid Q1],tblPCSInput[Call Date/Time],"&gt;="&amp;SETUP!$B$5,tblPCSInput[Call Date/Time],"&lt;"&amp;SETUP!$B$5+1,tblPCSInput[Call Direction],"I",tblPCSInput[Agent ID],$A61)/COUNTIFS(tblPCSInput[Call Date/Time],"&gt;="&amp;(SETUP!$B$5),tblPCSInput[Call Date/Time],"&lt;"&amp;(SETUP!$B$5+1),tblPCSInput[Call Direction],"I",tblPCSInput[Agent ID],$A61,tblPCSInput[Valid Q1],"&gt;=1"),"")</f>
        <v/>
      </c>
      <c r="J61" s="11">
        <f>IF(I61="","",COUNTIFS(tblPCSInput[Call Date/Time],"&gt;="&amp;(SETUP!$B$5),tblPCSInput[Call Date/Time],"&lt;"&amp;(SETUP!$B$5+1),tblPCSInput[Call Direction],"I",tblPCSInput[Agent ID],$A61,tblPCSInput[Valid Q1],"&lt;=3",tblPCSInput[Valid Q1],"&gt;=1"))</f>
        <v/>
      </c>
      <c r="K61" s="11">
        <f>IF(I61="","",COUNTIFS(tblPCSInput[Call Date/Time],"&gt;="&amp;(SETUP!$B$5),tblPCSInput[Call Date/Time],"&lt;"&amp;(SETUP!$B$5+1),tblPCSInput[Call Direction],"I",tblPCSInput[Agent ID],$A61,tblPCSInput[Valid Q1],"&gt;3"))</f>
        <v/>
      </c>
      <c r="L61" s="13">
        <f>IFERROR(G61/F61,"")</f>
        <v/>
      </c>
      <c r="M61" s="13">
        <f>IFERROR(H61/F61,"")</f>
        <v/>
      </c>
      <c r="N61" s="11">
        <f>IF($A61="","",MAX(0,G61-H61))</f>
        <v/>
      </c>
      <c r="O61" s="4">
        <f>IF($A61="","",IF(H61=0,"NO VALID SURVEY",IF(H61&lt;5,"LOW SAMPLE","OK")))</f>
        <v/>
      </c>
      <c r="P61" s="11">
        <f>IF($A61="","",COUNTIFS(tblPCSInput[Call Date/Time],"&gt;="&amp;(SETUP!$B$6),tblPCSInput[Call Date/Time],"&lt;"&amp;(SETUP!$B$7),tblPCSInput[Call Direction],"I",tblPCSInput[Agent ID],$A61,tblPCSInput[PCSStatus],1))</f>
        <v/>
      </c>
      <c r="Q61" s="11">
        <f>IF($A61="","",COUNTIFS(tblPCSInput[Call Date/Time],"&gt;="&amp;(SETUP!$B$6),tblPCSInput[Call Date/Time],"&lt;"&amp;(SETUP!$B$7),tblPCSInput[Call Direction],"I",tblPCSInput[Agent ID],$A61,tblPCSInput[Question 1],"&lt;&gt;"))</f>
        <v/>
      </c>
      <c r="R61" s="11">
        <f>IF($A61="","",COUNTIFS(tblPCSInput[Call Date/Time],"&gt;="&amp;(SETUP!$B$6),tblPCSInput[Call Date/Time],"&lt;"&amp;(SETUP!$B$7),tblPCSInput[Call Direction],"I",tblPCSInput[Agent ID],$A61,tblPCSInput[Valid Q1],"&gt;=1"))</f>
        <v/>
      </c>
      <c r="S61" s="12">
        <f>IFERROR(SUMIFS(tblPCSInput[Valid Q1],tblPCSInput[Call Date/Time],"&gt;="&amp;SETUP!$B$6,tblPCSInput[Call Date/Time],"&lt;"&amp;SETUP!$B$7,tblPCSInput[Call Direction],"I",tblPCSInput[Agent ID],$A61)/COUNTIFS(tblPCSInput[Call Date/Time],"&gt;="&amp;(SETUP!$B$6),tblPCSInput[Call Date/Time],"&lt;"&amp;(SETUP!$B$7),tblPCSInput[Call Direction],"I",tblPCSInput[Agent ID],$A61,tblPCSInput[Valid Q1],"&gt;=1"),"")</f>
        <v/>
      </c>
      <c r="T61" s="11">
        <f>IF(S61="","",COUNTIFS(tblPCSInput[Call Date/Time],"&gt;="&amp;(SETUP!$B$6),tblPCSInput[Call Date/Time],"&lt;"&amp;(SETUP!$B$7),tblPCSInput[Call Direction],"I",tblPCSInput[Agent ID],$A61,tblPCSInput[Valid Q1],"&lt;=3",tblPCSInput[Valid Q1],"&gt;=1"))</f>
        <v/>
      </c>
      <c r="U61" s="11">
        <f>IF(S61="","",COUNTIFS(tblPCSInput[Call Date/Time],"&gt;="&amp;(SETUP!$B$6),tblPCSInput[Call Date/Time],"&lt;"&amp;(SETUP!$B$7),tblPCSInput[Call Direction],"I",tblPCSInput[Agent ID],$A61,tblPCSInput[Valid Q1],"&gt;3"))</f>
        <v/>
      </c>
      <c r="V61" s="13">
        <f>IFERROR(Q61/P61,"")</f>
        <v/>
      </c>
      <c r="W61" s="13">
        <f>IFERROR(R61/P61,"")</f>
        <v/>
      </c>
    </row>
    <row r="62" spans="1:23">
      <c r="A62" s="4">
        <f>IF(ROSTER!A62="","",ROSTER!A62)</f>
        <v>203630</v>
      </c>
      <c r="B62" s="4" t="str">
        <f>IF($A62="","",ROSTER!C62)</f>
        <v>Wajid Amine</v>
      </c>
      <c r="C62" s="4" t="str">
        <f>IF($A62="","",ROSTER!D62)</f>
        <v>Zineb MOUFID</v>
      </c>
      <c r="D62" s="4" t="str">
        <f>IF($A62="","",ROSTER!E62)</f>
        <v>Anas OUAKKAD</v>
      </c>
      <c r="E62" s="4" t="str">
        <f>IF($A62="","",ROSTER!F62)</f>
        <v>OEM FR</v>
      </c>
      <c r="F62" s="11">
        <f>IF($A62="","",COUNTIFS(tblPCSInput[Call Date/Time],"&gt;="&amp;(SETUP!$B$5),tblPCSInput[Call Date/Time],"&lt;"&amp;(SETUP!$B$5+1),tblPCSInput[Call Direction],"I",tblPCSInput[Agent ID],$A62,tblPCSInput[PCSStatus],1))</f>
        <v/>
      </c>
      <c r="G62" s="11">
        <f>IF($A62="","",COUNTIFS(tblPCSInput[Call Date/Time],"&gt;="&amp;(SETUP!$B$5),tblPCSInput[Call Date/Time],"&lt;"&amp;(SETUP!$B$5+1),tblPCSInput[Call Direction],"I",tblPCSInput[Agent ID],$A62,tblPCSInput[Question 1],"&lt;&gt;"))</f>
        <v/>
      </c>
      <c r="H62" s="11">
        <f>IF($A62="","",COUNTIFS(tblPCSInput[Call Date/Time],"&gt;="&amp;(SETUP!$B$5),tblPCSInput[Call Date/Time],"&lt;"&amp;(SETUP!$B$5+1),tblPCSInput[Call Direction],"I",tblPCSInput[Agent ID],$A62,tblPCSInput[Valid Q1],"&gt;=1"))</f>
        <v/>
      </c>
      <c r="I62" s="12">
        <f>IFERROR(SUMIFS(tblPCSInput[Valid Q1],tblPCSInput[Call Date/Time],"&gt;="&amp;SETUP!$B$5,tblPCSInput[Call Date/Time],"&lt;"&amp;SETUP!$B$5+1,tblPCSInput[Call Direction],"I",tblPCSInput[Agent ID],$A62)/COUNTIFS(tblPCSInput[Call Date/Time],"&gt;="&amp;(SETUP!$B$5),tblPCSInput[Call Date/Time],"&lt;"&amp;(SETUP!$B$5+1),tblPCSInput[Call Direction],"I",tblPCSInput[Agent ID],$A62,tblPCSInput[Valid Q1],"&gt;=1"),"")</f>
        <v/>
      </c>
      <c r="J62" s="11">
        <f>IF(I62="","",COUNTIFS(tblPCSInput[Call Date/Time],"&gt;="&amp;(SETUP!$B$5),tblPCSInput[Call Date/Time],"&lt;"&amp;(SETUP!$B$5+1),tblPCSInput[Call Direction],"I",tblPCSInput[Agent ID],$A62,tblPCSInput[Valid Q1],"&lt;=3",tblPCSInput[Valid Q1],"&gt;=1"))</f>
        <v/>
      </c>
      <c r="K62" s="11">
        <f>IF(I62="","",COUNTIFS(tblPCSInput[Call Date/Time],"&gt;="&amp;(SETUP!$B$5),tblPCSInput[Call Date/Time],"&lt;"&amp;(SETUP!$B$5+1),tblPCSInput[Call Direction],"I",tblPCSInput[Agent ID],$A62,tblPCSInput[Valid Q1],"&gt;3"))</f>
        <v/>
      </c>
      <c r="L62" s="13">
        <f>IFERROR(G62/F62,"")</f>
        <v/>
      </c>
      <c r="M62" s="13">
        <f>IFERROR(H62/F62,"")</f>
        <v/>
      </c>
      <c r="N62" s="11">
        <f>IF($A62="","",MAX(0,G62-H62))</f>
        <v/>
      </c>
      <c r="O62" s="4">
        <f>IF($A62="","",IF(H62=0,"NO VALID SURVEY",IF(H62&lt;5,"LOW SAMPLE","OK")))</f>
        <v/>
      </c>
      <c r="P62" s="11">
        <f>IF($A62="","",COUNTIFS(tblPCSInput[Call Date/Time],"&gt;="&amp;(SETUP!$B$6),tblPCSInput[Call Date/Time],"&lt;"&amp;(SETUP!$B$7),tblPCSInput[Call Direction],"I",tblPCSInput[Agent ID],$A62,tblPCSInput[PCSStatus],1))</f>
        <v/>
      </c>
      <c r="Q62" s="11">
        <f>IF($A62="","",COUNTIFS(tblPCSInput[Call Date/Time],"&gt;="&amp;(SETUP!$B$6),tblPCSInput[Call Date/Time],"&lt;"&amp;(SETUP!$B$7),tblPCSInput[Call Direction],"I",tblPCSInput[Agent ID],$A62,tblPCSInput[Question 1],"&lt;&gt;"))</f>
        <v/>
      </c>
      <c r="R62" s="11">
        <f>IF($A62="","",COUNTIFS(tblPCSInput[Call Date/Time],"&gt;="&amp;(SETUP!$B$6),tblPCSInput[Call Date/Time],"&lt;"&amp;(SETUP!$B$7),tblPCSInput[Call Direction],"I",tblPCSInput[Agent ID],$A62,tblPCSInput[Valid Q1],"&gt;=1"))</f>
        <v/>
      </c>
      <c r="S62" s="12">
        <f>IFERROR(SUMIFS(tblPCSInput[Valid Q1],tblPCSInput[Call Date/Time],"&gt;="&amp;SETUP!$B$6,tblPCSInput[Call Date/Time],"&lt;"&amp;SETUP!$B$7,tblPCSInput[Call Direction],"I",tblPCSInput[Agent ID],$A62)/COUNTIFS(tblPCSInput[Call Date/Time],"&gt;="&amp;(SETUP!$B$6),tblPCSInput[Call Date/Time],"&lt;"&amp;(SETUP!$B$7),tblPCSInput[Call Direction],"I",tblPCSInput[Agent ID],$A62,tblPCSInput[Valid Q1],"&gt;=1"),"")</f>
        <v/>
      </c>
      <c r="T62" s="11">
        <f>IF(S62="","",COUNTIFS(tblPCSInput[Call Date/Time],"&gt;="&amp;(SETUP!$B$6),tblPCSInput[Call Date/Time],"&lt;"&amp;(SETUP!$B$7),tblPCSInput[Call Direction],"I",tblPCSInput[Agent ID],$A62,tblPCSInput[Valid Q1],"&lt;=3",tblPCSInput[Valid Q1],"&gt;=1"))</f>
        <v/>
      </c>
      <c r="U62" s="11">
        <f>IF(S62="","",COUNTIFS(tblPCSInput[Call Date/Time],"&gt;="&amp;(SETUP!$B$6),tblPCSInput[Call Date/Time],"&lt;"&amp;(SETUP!$B$7),tblPCSInput[Call Direction],"I",tblPCSInput[Agent ID],$A62,tblPCSInput[Valid Q1],"&gt;3"))</f>
        <v/>
      </c>
      <c r="V62" s="13">
        <f>IFERROR(Q62/P62,"")</f>
        <v/>
      </c>
      <c r="W62" s="13">
        <f>IFERROR(R62/P62,"")</f>
        <v/>
      </c>
    </row>
    <row r="63" spans="1:23">
      <c r="A63" s="4">
        <f>IF(ROSTER!A63="","",ROSTER!A63)</f>
        <v>204024</v>
      </c>
      <c r="B63" s="4" t="str">
        <f>IF($A63="","",ROSTER!C63)</f>
        <v>Van der Laan Tim</v>
      </c>
      <c r="C63" s="4" t="str">
        <f>IF($A63="","",ROSTER!D63)</f>
        <v>Chaima Amrani</v>
      </c>
      <c r="D63" s="4" t="str">
        <f>IF($A63="","",ROSTER!E63)</f>
        <v>Anas OUAKKAD</v>
      </c>
      <c r="E63" s="4" t="str">
        <f>IF($A63="","",ROSTER!F63)</f>
        <v>Ford Dutch</v>
      </c>
      <c r="F63" s="11">
        <f>IF($A63="","",COUNTIFS(tblPCSInput[Call Date/Time],"&gt;="&amp;(SETUP!$B$5),tblPCSInput[Call Date/Time],"&lt;"&amp;(SETUP!$B$5+1),tblPCSInput[Call Direction],"I",tblPCSInput[Agent ID],$A63,tblPCSInput[PCSStatus],1))</f>
        <v/>
      </c>
      <c r="G63" s="11">
        <f>IF($A63="","",COUNTIFS(tblPCSInput[Call Date/Time],"&gt;="&amp;(SETUP!$B$5),tblPCSInput[Call Date/Time],"&lt;"&amp;(SETUP!$B$5+1),tblPCSInput[Call Direction],"I",tblPCSInput[Agent ID],$A63,tblPCSInput[Question 1],"&lt;&gt;"))</f>
        <v/>
      </c>
      <c r="H63" s="11">
        <f>IF($A63="","",COUNTIFS(tblPCSInput[Call Date/Time],"&gt;="&amp;(SETUP!$B$5),tblPCSInput[Call Date/Time],"&lt;"&amp;(SETUP!$B$5+1),tblPCSInput[Call Direction],"I",tblPCSInput[Agent ID],$A63,tblPCSInput[Valid Q1],"&gt;=1"))</f>
        <v/>
      </c>
      <c r="I63" s="12">
        <f>IFERROR(SUMIFS(tblPCSInput[Valid Q1],tblPCSInput[Call Date/Time],"&gt;="&amp;SETUP!$B$5,tblPCSInput[Call Date/Time],"&lt;"&amp;SETUP!$B$5+1,tblPCSInput[Call Direction],"I",tblPCSInput[Agent ID],$A63)/COUNTIFS(tblPCSInput[Call Date/Time],"&gt;="&amp;(SETUP!$B$5),tblPCSInput[Call Date/Time],"&lt;"&amp;(SETUP!$B$5+1),tblPCSInput[Call Direction],"I",tblPCSInput[Agent ID],$A63,tblPCSInput[Valid Q1],"&gt;=1"),"")</f>
        <v/>
      </c>
      <c r="J63" s="11">
        <f>IF(I63="","",COUNTIFS(tblPCSInput[Call Date/Time],"&gt;="&amp;(SETUP!$B$5),tblPCSInput[Call Date/Time],"&lt;"&amp;(SETUP!$B$5+1),tblPCSInput[Call Direction],"I",tblPCSInput[Agent ID],$A63,tblPCSInput[Valid Q1],"&lt;=3",tblPCSInput[Valid Q1],"&gt;=1"))</f>
        <v/>
      </c>
      <c r="K63" s="11">
        <f>IF(I63="","",COUNTIFS(tblPCSInput[Call Date/Time],"&gt;="&amp;(SETUP!$B$5),tblPCSInput[Call Date/Time],"&lt;"&amp;(SETUP!$B$5+1),tblPCSInput[Call Direction],"I",tblPCSInput[Agent ID],$A63,tblPCSInput[Valid Q1],"&gt;3"))</f>
        <v/>
      </c>
      <c r="L63" s="13">
        <f>IFERROR(G63/F63,"")</f>
        <v/>
      </c>
      <c r="M63" s="13">
        <f>IFERROR(H63/F63,"")</f>
        <v/>
      </c>
      <c r="N63" s="11">
        <f>IF($A63="","",MAX(0,G63-H63))</f>
        <v/>
      </c>
      <c r="O63" s="4">
        <f>IF($A63="","",IF(H63=0,"NO VALID SURVEY",IF(H63&lt;5,"LOW SAMPLE","OK")))</f>
        <v/>
      </c>
      <c r="P63" s="11">
        <f>IF($A63="","",COUNTIFS(tblPCSInput[Call Date/Time],"&gt;="&amp;(SETUP!$B$6),tblPCSInput[Call Date/Time],"&lt;"&amp;(SETUP!$B$7),tblPCSInput[Call Direction],"I",tblPCSInput[Agent ID],$A63,tblPCSInput[PCSStatus],1))</f>
        <v/>
      </c>
      <c r="Q63" s="11">
        <f>IF($A63="","",COUNTIFS(tblPCSInput[Call Date/Time],"&gt;="&amp;(SETUP!$B$6),tblPCSInput[Call Date/Time],"&lt;"&amp;(SETUP!$B$7),tblPCSInput[Call Direction],"I",tblPCSInput[Agent ID],$A63,tblPCSInput[Question 1],"&lt;&gt;"))</f>
        <v/>
      </c>
      <c r="R63" s="11">
        <f>IF($A63="","",COUNTIFS(tblPCSInput[Call Date/Time],"&gt;="&amp;(SETUP!$B$6),tblPCSInput[Call Date/Time],"&lt;"&amp;(SETUP!$B$7),tblPCSInput[Call Direction],"I",tblPCSInput[Agent ID],$A63,tblPCSInput[Valid Q1],"&gt;=1"))</f>
        <v/>
      </c>
      <c r="S63" s="12">
        <f>IFERROR(SUMIFS(tblPCSInput[Valid Q1],tblPCSInput[Call Date/Time],"&gt;="&amp;SETUP!$B$6,tblPCSInput[Call Date/Time],"&lt;"&amp;SETUP!$B$7,tblPCSInput[Call Direction],"I",tblPCSInput[Agent ID],$A63)/COUNTIFS(tblPCSInput[Call Date/Time],"&gt;="&amp;(SETUP!$B$6),tblPCSInput[Call Date/Time],"&lt;"&amp;(SETUP!$B$7),tblPCSInput[Call Direction],"I",tblPCSInput[Agent ID],$A63,tblPCSInput[Valid Q1],"&gt;=1"),"")</f>
        <v/>
      </c>
      <c r="T63" s="11">
        <f>IF(S63="","",COUNTIFS(tblPCSInput[Call Date/Time],"&gt;="&amp;(SETUP!$B$6),tblPCSInput[Call Date/Time],"&lt;"&amp;(SETUP!$B$7),tblPCSInput[Call Direction],"I",tblPCSInput[Agent ID],$A63,tblPCSInput[Valid Q1],"&lt;=3",tblPCSInput[Valid Q1],"&gt;=1"))</f>
        <v/>
      </c>
      <c r="U63" s="11">
        <f>IF(S63="","",COUNTIFS(tblPCSInput[Call Date/Time],"&gt;="&amp;(SETUP!$B$6),tblPCSInput[Call Date/Time],"&lt;"&amp;(SETUP!$B$7),tblPCSInput[Call Direction],"I",tblPCSInput[Agent ID],$A63,tblPCSInput[Valid Q1],"&gt;3"))</f>
        <v/>
      </c>
      <c r="V63" s="13">
        <f>IFERROR(Q63/P63,"")</f>
        <v/>
      </c>
      <c r="W63" s="13">
        <f>IFERROR(R63/P63,"")</f>
        <v/>
      </c>
    </row>
    <row r="64" spans="1:23">
      <c r="A64" s="4">
        <f>IF(ROSTER!A64="","",ROSTER!A64)</f>
        <v>204025</v>
      </c>
      <c r="B64" s="4" t="str">
        <f>IF($A64="","",ROSTER!C64)</f>
        <v>Adil Chouhaibi </v>
      </c>
      <c r="C64" s="4" t="str">
        <f>IF($A64="","",ROSTER!D64)</f>
        <v>Ilyasse Derrazi</v>
      </c>
      <c r="D64" s="4" t="str">
        <f>IF($A64="","",ROSTER!E64)</f>
        <v>Anas OUAKKAD</v>
      </c>
      <c r="E64" s="4" t="str">
        <f>IF($A64="","",ROSTER!F64)</f>
        <v>Ford Dutch</v>
      </c>
      <c r="F64" s="11">
        <f>IF($A64="","",COUNTIFS(tblPCSInput[Call Date/Time],"&gt;="&amp;(SETUP!$B$5),tblPCSInput[Call Date/Time],"&lt;"&amp;(SETUP!$B$5+1),tblPCSInput[Call Direction],"I",tblPCSInput[Agent ID],$A64,tblPCSInput[PCSStatus],1))</f>
        <v/>
      </c>
      <c r="G64" s="11">
        <f>IF($A64="","",COUNTIFS(tblPCSInput[Call Date/Time],"&gt;="&amp;(SETUP!$B$5),tblPCSInput[Call Date/Time],"&lt;"&amp;(SETUP!$B$5+1),tblPCSInput[Call Direction],"I",tblPCSInput[Agent ID],$A64,tblPCSInput[Question 1],"&lt;&gt;"))</f>
        <v/>
      </c>
      <c r="H64" s="11">
        <f>IF($A64="","",COUNTIFS(tblPCSInput[Call Date/Time],"&gt;="&amp;(SETUP!$B$5),tblPCSInput[Call Date/Time],"&lt;"&amp;(SETUP!$B$5+1),tblPCSInput[Call Direction],"I",tblPCSInput[Agent ID],$A64,tblPCSInput[Valid Q1],"&gt;=1"))</f>
        <v/>
      </c>
      <c r="I64" s="12">
        <f>IFERROR(SUMIFS(tblPCSInput[Valid Q1],tblPCSInput[Call Date/Time],"&gt;="&amp;SETUP!$B$5,tblPCSInput[Call Date/Time],"&lt;"&amp;SETUP!$B$5+1,tblPCSInput[Call Direction],"I",tblPCSInput[Agent ID],$A64)/COUNTIFS(tblPCSInput[Call Date/Time],"&gt;="&amp;(SETUP!$B$5),tblPCSInput[Call Date/Time],"&lt;"&amp;(SETUP!$B$5+1),tblPCSInput[Call Direction],"I",tblPCSInput[Agent ID],$A64,tblPCSInput[Valid Q1],"&gt;=1"),"")</f>
        <v/>
      </c>
      <c r="J64" s="11">
        <f>IF(I64="","",COUNTIFS(tblPCSInput[Call Date/Time],"&gt;="&amp;(SETUP!$B$5),tblPCSInput[Call Date/Time],"&lt;"&amp;(SETUP!$B$5+1),tblPCSInput[Call Direction],"I",tblPCSInput[Agent ID],$A64,tblPCSInput[Valid Q1],"&lt;=3",tblPCSInput[Valid Q1],"&gt;=1"))</f>
        <v/>
      </c>
      <c r="K64" s="11">
        <f>IF(I64="","",COUNTIFS(tblPCSInput[Call Date/Time],"&gt;="&amp;(SETUP!$B$5),tblPCSInput[Call Date/Time],"&lt;"&amp;(SETUP!$B$5+1),tblPCSInput[Call Direction],"I",tblPCSInput[Agent ID],$A64,tblPCSInput[Valid Q1],"&gt;3"))</f>
        <v/>
      </c>
      <c r="L64" s="13">
        <f>IFERROR(G64/F64,"")</f>
        <v/>
      </c>
      <c r="M64" s="13">
        <f>IFERROR(H64/F64,"")</f>
        <v/>
      </c>
      <c r="N64" s="11">
        <f>IF($A64="","",MAX(0,G64-H64))</f>
        <v/>
      </c>
      <c r="O64" s="4">
        <f>IF($A64="","",IF(H64=0,"NO VALID SURVEY",IF(H64&lt;5,"LOW SAMPLE","OK")))</f>
        <v/>
      </c>
      <c r="P64" s="11">
        <f>IF($A64="","",COUNTIFS(tblPCSInput[Call Date/Time],"&gt;="&amp;(SETUP!$B$6),tblPCSInput[Call Date/Time],"&lt;"&amp;(SETUP!$B$7),tblPCSInput[Call Direction],"I",tblPCSInput[Agent ID],$A64,tblPCSInput[PCSStatus],1))</f>
        <v/>
      </c>
      <c r="Q64" s="11">
        <f>IF($A64="","",COUNTIFS(tblPCSInput[Call Date/Time],"&gt;="&amp;(SETUP!$B$6),tblPCSInput[Call Date/Time],"&lt;"&amp;(SETUP!$B$7),tblPCSInput[Call Direction],"I",tblPCSInput[Agent ID],$A64,tblPCSInput[Question 1],"&lt;&gt;"))</f>
        <v/>
      </c>
      <c r="R64" s="11">
        <f>IF($A64="","",COUNTIFS(tblPCSInput[Call Date/Time],"&gt;="&amp;(SETUP!$B$6),tblPCSInput[Call Date/Time],"&lt;"&amp;(SETUP!$B$7),tblPCSInput[Call Direction],"I",tblPCSInput[Agent ID],$A64,tblPCSInput[Valid Q1],"&gt;=1"))</f>
        <v/>
      </c>
      <c r="S64" s="12">
        <f>IFERROR(SUMIFS(tblPCSInput[Valid Q1],tblPCSInput[Call Date/Time],"&gt;="&amp;SETUP!$B$6,tblPCSInput[Call Date/Time],"&lt;"&amp;SETUP!$B$7,tblPCSInput[Call Direction],"I",tblPCSInput[Agent ID],$A64)/COUNTIFS(tblPCSInput[Call Date/Time],"&gt;="&amp;(SETUP!$B$6),tblPCSInput[Call Date/Time],"&lt;"&amp;(SETUP!$B$7),tblPCSInput[Call Direction],"I",tblPCSInput[Agent ID],$A64,tblPCSInput[Valid Q1],"&gt;=1"),"")</f>
        <v/>
      </c>
      <c r="T64" s="11">
        <f>IF(S64="","",COUNTIFS(tblPCSInput[Call Date/Time],"&gt;="&amp;(SETUP!$B$6),tblPCSInput[Call Date/Time],"&lt;"&amp;(SETUP!$B$7),tblPCSInput[Call Direction],"I",tblPCSInput[Agent ID],$A64,tblPCSInput[Valid Q1],"&lt;=3",tblPCSInput[Valid Q1],"&gt;=1"))</f>
        <v/>
      </c>
      <c r="U64" s="11">
        <f>IF(S64="","",COUNTIFS(tblPCSInput[Call Date/Time],"&gt;="&amp;(SETUP!$B$6),tblPCSInput[Call Date/Time],"&lt;"&amp;(SETUP!$B$7),tblPCSInput[Call Direction],"I",tblPCSInput[Agent ID],$A64,tblPCSInput[Valid Q1],"&gt;3"))</f>
        <v/>
      </c>
      <c r="V64" s="13">
        <f>IFERROR(Q64/P64,"")</f>
        <v/>
      </c>
      <c r="W64" s="13">
        <f>IFERROR(R64/P64,"")</f>
        <v/>
      </c>
    </row>
    <row r="65" spans="1:23">
      <c r="A65" s="4">
        <f>IF(ROSTER!A65="","",ROSTER!A65)</f>
        <v>204030</v>
      </c>
      <c r="B65" s="4" t="str">
        <f>IF($A65="","",ROSTER!C65)</f>
        <v>Saoud Karim</v>
      </c>
      <c r="C65" s="4" t="str">
        <f>IF($A65="","",ROSTER!D65)</f>
        <v>Chaima Amrani</v>
      </c>
      <c r="D65" s="4" t="str">
        <f>IF($A65="","",ROSTER!E65)</f>
        <v>Anas OUAKKAD</v>
      </c>
      <c r="E65" s="4" t="str">
        <f>IF($A65="","",ROSTER!F65)</f>
        <v>Ford Dutch</v>
      </c>
      <c r="F65" s="11">
        <f>IF($A65="","",COUNTIFS(tblPCSInput[Call Date/Time],"&gt;="&amp;(SETUP!$B$5),tblPCSInput[Call Date/Time],"&lt;"&amp;(SETUP!$B$5+1),tblPCSInput[Call Direction],"I",tblPCSInput[Agent ID],$A65,tblPCSInput[PCSStatus],1))</f>
        <v/>
      </c>
      <c r="G65" s="11">
        <f>IF($A65="","",COUNTIFS(tblPCSInput[Call Date/Time],"&gt;="&amp;(SETUP!$B$5),tblPCSInput[Call Date/Time],"&lt;"&amp;(SETUP!$B$5+1),tblPCSInput[Call Direction],"I",tblPCSInput[Agent ID],$A65,tblPCSInput[Question 1],"&lt;&gt;"))</f>
        <v/>
      </c>
      <c r="H65" s="11">
        <f>IF($A65="","",COUNTIFS(tblPCSInput[Call Date/Time],"&gt;="&amp;(SETUP!$B$5),tblPCSInput[Call Date/Time],"&lt;"&amp;(SETUP!$B$5+1),tblPCSInput[Call Direction],"I",tblPCSInput[Agent ID],$A65,tblPCSInput[Valid Q1],"&gt;=1"))</f>
        <v/>
      </c>
      <c r="I65" s="12">
        <f>IFERROR(SUMIFS(tblPCSInput[Valid Q1],tblPCSInput[Call Date/Time],"&gt;="&amp;SETUP!$B$5,tblPCSInput[Call Date/Time],"&lt;"&amp;SETUP!$B$5+1,tblPCSInput[Call Direction],"I",tblPCSInput[Agent ID],$A65)/COUNTIFS(tblPCSInput[Call Date/Time],"&gt;="&amp;(SETUP!$B$5),tblPCSInput[Call Date/Time],"&lt;"&amp;(SETUP!$B$5+1),tblPCSInput[Call Direction],"I",tblPCSInput[Agent ID],$A65,tblPCSInput[Valid Q1],"&gt;=1"),"")</f>
        <v/>
      </c>
      <c r="J65" s="11">
        <f>IF(I65="","",COUNTIFS(tblPCSInput[Call Date/Time],"&gt;="&amp;(SETUP!$B$5),tblPCSInput[Call Date/Time],"&lt;"&amp;(SETUP!$B$5+1),tblPCSInput[Call Direction],"I",tblPCSInput[Agent ID],$A65,tblPCSInput[Valid Q1],"&lt;=3",tblPCSInput[Valid Q1],"&gt;=1"))</f>
        <v/>
      </c>
      <c r="K65" s="11">
        <f>IF(I65="","",COUNTIFS(tblPCSInput[Call Date/Time],"&gt;="&amp;(SETUP!$B$5),tblPCSInput[Call Date/Time],"&lt;"&amp;(SETUP!$B$5+1),tblPCSInput[Call Direction],"I",tblPCSInput[Agent ID],$A65,tblPCSInput[Valid Q1],"&gt;3"))</f>
        <v/>
      </c>
      <c r="L65" s="13">
        <f>IFERROR(G65/F65,"")</f>
        <v/>
      </c>
      <c r="M65" s="13">
        <f>IFERROR(H65/F65,"")</f>
        <v/>
      </c>
      <c r="N65" s="11">
        <f>IF($A65="","",MAX(0,G65-H65))</f>
        <v/>
      </c>
      <c r="O65" s="4">
        <f>IF($A65="","",IF(H65=0,"NO VALID SURVEY",IF(H65&lt;5,"LOW SAMPLE","OK")))</f>
        <v/>
      </c>
      <c r="P65" s="11">
        <f>IF($A65="","",COUNTIFS(tblPCSInput[Call Date/Time],"&gt;="&amp;(SETUP!$B$6),tblPCSInput[Call Date/Time],"&lt;"&amp;(SETUP!$B$7),tblPCSInput[Call Direction],"I",tblPCSInput[Agent ID],$A65,tblPCSInput[PCSStatus],1))</f>
        <v/>
      </c>
      <c r="Q65" s="11">
        <f>IF($A65="","",COUNTIFS(tblPCSInput[Call Date/Time],"&gt;="&amp;(SETUP!$B$6),tblPCSInput[Call Date/Time],"&lt;"&amp;(SETUP!$B$7),tblPCSInput[Call Direction],"I",tblPCSInput[Agent ID],$A65,tblPCSInput[Question 1],"&lt;&gt;"))</f>
        <v/>
      </c>
      <c r="R65" s="11">
        <f>IF($A65="","",COUNTIFS(tblPCSInput[Call Date/Time],"&gt;="&amp;(SETUP!$B$6),tblPCSInput[Call Date/Time],"&lt;"&amp;(SETUP!$B$7),tblPCSInput[Call Direction],"I",tblPCSInput[Agent ID],$A65,tblPCSInput[Valid Q1],"&gt;=1"))</f>
        <v/>
      </c>
      <c r="S65" s="12">
        <f>IFERROR(SUMIFS(tblPCSInput[Valid Q1],tblPCSInput[Call Date/Time],"&gt;="&amp;SETUP!$B$6,tblPCSInput[Call Date/Time],"&lt;"&amp;SETUP!$B$7,tblPCSInput[Call Direction],"I",tblPCSInput[Agent ID],$A65)/COUNTIFS(tblPCSInput[Call Date/Time],"&gt;="&amp;(SETUP!$B$6),tblPCSInput[Call Date/Time],"&lt;"&amp;(SETUP!$B$7),tblPCSInput[Call Direction],"I",tblPCSInput[Agent ID],$A65,tblPCSInput[Valid Q1],"&gt;=1"),"")</f>
        <v/>
      </c>
      <c r="T65" s="11">
        <f>IF(S65="","",COUNTIFS(tblPCSInput[Call Date/Time],"&gt;="&amp;(SETUP!$B$6),tblPCSInput[Call Date/Time],"&lt;"&amp;(SETUP!$B$7),tblPCSInput[Call Direction],"I",tblPCSInput[Agent ID],$A65,tblPCSInput[Valid Q1],"&lt;=3",tblPCSInput[Valid Q1],"&gt;=1"))</f>
        <v/>
      </c>
      <c r="U65" s="11">
        <f>IF(S65="","",COUNTIFS(tblPCSInput[Call Date/Time],"&gt;="&amp;(SETUP!$B$6),tblPCSInput[Call Date/Time],"&lt;"&amp;(SETUP!$B$7),tblPCSInput[Call Direction],"I",tblPCSInput[Agent ID],$A65,tblPCSInput[Valid Q1],"&gt;3"))</f>
        <v/>
      </c>
      <c r="V65" s="13">
        <f>IFERROR(Q65/P65,"")</f>
        <v/>
      </c>
      <c r="W65" s="13">
        <f>IFERROR(R65/P65,"")</f>
        <v/>
      </c>
    </row>
    <row r="66" spans="1:23">
      <c r="A66" s="4">
        <f>IF(ROSTER!A66="","",ROSTER!A66)</f>
        <v>204033</v>
      </c>
      <c r="B66" s="4" t="str">
        <f>IF($A66="","",ROSTER!C66)</f>
        <v>Oulad Abdelaziz Youssef</v>
      </c>
      <c r="C66" s="4" t="str">
        <f>IF($A66="","",ROSTER!D66)</f>
        <v>Chaima Amrani</v>
      </c>
      <c r="D66" s="4" t="str">
        <f>IF($A66="","",ROSTER!E66)</f>
        <v>Anas OUAKKAD</v>
      </c>
      <c r="E66" s="4" t="str">
        <f>IF($A66="","",ROSTER!F66)</f>
        <v>Ford Dutch</v>
      </c>
      <c r="F66" s="11">
        <f>IF($A66="","",COUNTIFS(tblPCSInput[Call Date/Time],"&gt;="&amp;(SETUP!$B$5),tblPCSInput[Call Date/Time],"&lt;"&amp;(SETUP!$B$5+1),tblPCSInput[Call Direction],"I",tblPCSInput[Agent ID],$A66,tblPCSInput[PCSStatus],1))</f>
        <v/>
      </c>
      <c r="G66" s="11">
        <f>IF($A66="","",COUNTIFS(tblPCSInput[Call Date/Time],"&gt;="&amp;(SETUP!$B$5),tblPCSInput[Call Date/Time],"&lt;"&amp;(SETUP!$B$5+1),tblPCSInput[Call Direction],"I",tblPCSInput[Agent ID],$A66,tblPCSInput[Question 1],"&lt;&gt;"))</f>
        <v/>
      </c>
      <c r="H66" s="11">
        <f>IF($A66="","",COUNTIFS(tblPCSInput[Call Date/Time],"&gt;="&amp;(SETUP!$B$5),tblPCSInput[Call Date/Time],"&lt;"&amp;(SETUP!$B$5+1),tblPCSInput[Call Direction],"I",tblPCSInput[Agent ID],$A66,tblPCSInput[Valid Q1],"&gt;=1"))</f>
        <v/>
      </c>
      <c r="I66" s="12">
        <f>IFERROR(SUMIFS(tblPCSInput[Valid Q1],tblPCSInput[Call Date/Time],"&gt;="&amp;SETUP!$B$5,tblPCSInput[Call Date/Time],"&lt;"&amp;SETUP!$B$5+1,tblPCSInput[Call Direction],"I",tblPCSInput[Agent ID],$A66)/COUNTIFS(tblPCSInput[Call Date/Time],"&gt;="&amp;(SETUP!$B$5),tblPCSInput[Call Date/Time],"&lt;"&amp;(SETUP!$B$5+1),tblPCSInput[Call Direction],"I",tblPCSInput[Agent ID],$A66,tblPCSInput[Valid Q1],"&gt;=1"),"")</f>
        <v/>
      </c>
      <c r="J66" s="11">
        <f>IF(I66="","",COUNTIFS(tblPCSInput[Call Date/Time],"&gt;="&amp;(SETUP!$B$5),tblPCSInput[Call Date/Time],"&lt;"&amp;(SETUP!$B$5+1),tblPCSInput[Call Direction],"I",tblPCSInput[Agent ID],$A66,tblPCSInput[Valid Q1],"&lt;=3",tblPCSInput[Valid Q1],"&gt;=1"))</f>
        <v/>
      </c>
      <c r="K66" s="11">
        <f>IF(I66="","",COUNTIFS(tblPCSInput[Call Date/Time],"&gt;="&amp;(SETUP!$B$5),tblPCSInput[Call Date/Time],"&lt;"&amp;(SETUP!$B$5+1),tblPCSInput[Call Direction],"I",tblPCSInput[Agent ID],$A66,tblPCSInput[Valid Q1],"&gt;3"))</f>
        <v/>
      </c>
      <c r="L66" s="13">
        <f>IFERROR(G66/F66,"")</f>
        <v/>
      </c>
      <c r="M66" s="13">
        <f>IFERROR(H66/F66,"")</f>
        <v/>
      </c>
      <c r="N66" s="11">
        <f>IF($A66="","",MAX(0,G66-H66))</f>
        <v/>
      </c>
      <c r="O66" s="4">
        <f>IF($A66="","",IF(H66=0,"NO VALID SURVEY",IF(H66&lt;5,"LOW SAMPLE","OK")))</f>
        <v/>
      </c>
      <c r="P66" s="11">
        <f>IF($A66="","",COUNTIFS(tblPCSInput[Call Date/Time],"&gt;="&amp;(SETUP!$B$6),tblPCSInput[Call Date/Time],"&lt;"&amp;(SETUP!$B$7),tblPCSInput[Call Direction],"I",tblPCSInput[Agent ID],$A66,tblPCSInput[PCSStatus],1))</f>
        <v/>
      </c>
      <c r="Q66" s="11">
        <f>IF($A66="","",COUNTIFS(tblPCSInput[Call Date/Time],"&gt;="&amp;(SETUP!$B$6),tblPCSInput[Call Date/Time],"&lt;"&amp;(SETUP!$B$7),tblPCSInput[Call Direction],"I",tblPCSInput[Agent ID],$A66,tblPCSInput[Question 1],"&lt;&gt;"))</f>
        <v/>
      </c>
      <c r="R66" s="11">
        <f>IF($A66="","",COUNTIFS(tblPCSInput[Call Date/Time],"&gt;="&amp;(SETUP!$B$6),tblPCSInput[Call Date/Time],"&lt;"&amp;(SETUP!$B$7),tblPCSInput[Call Direction],"I",tblPCSInput[Agent ID],$A66,tblPCSInput[Valid Q1],"&gt;=1"))</f>
        <v/>
      </c>
      <c r="S66" s="12">
        <f>IFERROR(SUMIFS(tblPCSInput[Valid Q1],tblPCSInput[Call Date/Time],"&gt;="&amp;SETUP!$B$6,tblPCSInput[Call Date/Time],"&lt;"&amp;SETUP!$B$7,tblPCSInput[Call Direction],"I",tblPCSInput[Agent ID],$A66)/COUNTIFS(tblPCSInput[Call Date/Time],"&gt;="&amp;(SETUP!$B$6),tblPCSInput[Call Date/Time],"&lt;"&amp;(SETUP!$B$7),tblPCSInput[Call Direction],"I",tblPCSInput[Agent ID],$A66,tblPCSInput[Valid Q1],"&gt;=1"),"")</f>
        <v/>
      </c>
      <c r="T66" s="11">
        <f>IF(S66="","",COUNTIFS(tblPCSInput[Call Date/Time],"&gt;="&amp;(SETUP!$B$6),tblPCSInput[Call Date/Time],"&lt;"&amp;(SETUP!$B$7),tblPCSInput[Call Direction],"I",tblPCSInput[Agent ID],$A66,tblPCSInput[Valid Q1],"&lt;=3",tblPCSInput[Valid Q1],"&gt;=1"))</f>
        <v/>
      </c>
      <c r="U66" s="11">
        <f>IF(S66="","",COUNTIFS(tblPCSInput[Call Date/Time],"&gt;="&amp;(SETUP!$B$6),tblPCSInput[Call Date/Time],"&lt;"&amp;(SETUP!$B$7),tblPCSInput[Call Direction],"I",tblPCSInput[Agent ID],$A66,tblPCSInput[Valid Q1],"&gt;3"))</f>
        <v/>
      </c>
      <c r="V66" s="13">
        <f>IFERROR(Q66/P66,"")</f>
        <v/>
      </c>
      <c r="W66" s="13">
        <f>IFERROR(R66/P66,"")</f>
        <v/>
      </c>
    </row>
    <row r="67" spans="1:23">
      <c r="A67" s="4">
        <f>IF(ROSTER!A67="","",ROSTER!A67)</f>
        <v>204035</v>
      </c>
      <c r="B67" s="4" t="str">
        <f>IF($A67="","",ROSTER!C67)</f>
        <v>Cetin Ali</v>
      </c>
      <c r="C67" s="4" t="str">
        <f>IF($A67="","",ROSTER!D67)</f>
        <v>Youssef El Ghazi</v>
      </c>
      <c r="D67" s="4" t="str">
        <f>IF($A67="","",ROSTER!E67)</f>
        <v>Anas OUAKKAD</v>
      </c>
      <c r="E67" s="4" t="str">
        <f>IF($A67="","",ROSTER!F67)</f>
        <v>Ford Dutch</v>
      </c>
      <c r="F67" s="11">
        <f>IF($A67="","",COUNTIFS(tblPCSInput[Call Date/Time],"&gt;="&amp;(SETUP!$B$5),tblPCSInput[Call Date/Time],"&lt;"&amp;(SETUP!$B$5+1),tblPCSInput[Call Direction],"I",tblPCSInput[Agent ID],$A67,tblPCSInput[PCSStatus],1))</f>
        <v/>
      </c>
      <c r="G67" s="11">
        <f>IF($A67="","",COUNTIFS(tblPCSInput[Call Date/Time],"&gt;="&amp;(SETUP!$B$5),tblPCSInput[Call Date/Time],"&lt;"&amp;(SETUP!$B$5+1),tblPCSInput[Call Direction],"I",tblPCSInput[Agent ID],$A67,tblPCSInput[Question 1],"&lt;&gt;"))</f>
        <v/>
      </c>
      <c r="H67" s="11">
        <f>IF($A67="","",COUNTIFS(tblPCSInput[Call Date/Time],"&gt;="&amp;(SETUP!$B$5),tblPCSInput[Call Date/Time],"&lt;"&amp;(SETUP!$B$5+1),tblPCSInput[Call Direction],"I",tblPCSInput[Agent ID],$A67,tblPCSInput[Valid Q1],"&gt;=1"))</f>
        <v/>
      </c>
      <c r="I67" s="12">
        <f>IFERROR(SUMIFS(tblPCSInput[Valid Q1],tblPCSInput[Call Date/Time],"&gt;="&amp;SETUP!$B$5,tblPCSInput[Call Date/Time],"&lt;"&amp;SETUP!$B$5+1,tblPCSInput[Call Direction],"I",tblPCSInput[Agent ID],$A67)/COUNTIFS(tblPCSInput[Call Date/Time],"&gt;="&amp;(SETUP!$B$5),tblPCSInput[Call Date/Time],"&lt;"&amp;(SETUP!$B$5+1),tblPCSInput[Call Direction],"I",tblPCSInput[Agent ID],$A67,tblPCSInput[Valid Q1],"&gt;=1"),"")</f>
        <v/>
      </c>
      <c r="J67" s="11">
        <f>IF(I67="","",COUNTIFS(tblPCSInput[Call Date/Time],"&gt;="&amp;(SETUP!$B$5),tblPCSInput[Call Date/Time],"&lt;"&amp;(SETUP!$B$5+1),tblPCSInput[Call Direction],"I",tblPCSInput[Agent ID],$A67,tblPCSInput[Valid Q1],"&lt;=3",tblPCSInput[Valid Q1],"&gt;=1"))</f>
        <v/>
      </c>
      <c r="K67" s="11">
        <f>IF(I67="","",COUNTIFS(tblPCSInput[Call Date/Time],"&gt;="&amp;(SETUP!$B$5),tblPCSInput[Call Date/Time],"&lt;"&amp;(SETUP!$B$5+1),tblPCSInput[Call Direction],"I",tblPCSInput[Agent ID],$A67,tblPCSInput[Valid Q1],"&gt;3"))</f>
        <v/>
      </c>
      <c r="L67" s="13">
        <f>IFERROR(G67/F67,"")</f>
        <v/>
      </c>
      <c r="M67" s="13">
        <f>IFERROR(H67/F67,"")</f>
        <v/>
      </c>
      <c r="N67" s="11">
        <f>IF($A67="","",MAX(0,G67-H67))</f>
        <v/>
      </c>
      <c r="O67" s="4">
        <f>IF($A67="","",IF(H67=0,"NO VALID SURVEY",IF(H67&lt;5,"LOW SAMPLE","OK")))</f>
        <v/>
      </c>
      <c r="P67" s="11">
        <f>IF($A67="","",COUNTIFS(tblPCSInput[Call Date/Time],"&gt;="&amp;(SETUP!$B$6),tblPCSInput[Call Date/Time],"&lt;"&amp;(SETUP!$B$7),tblPCSInput[Call Direction],"I",tblPCSInput[Agent ID],$A67,tblPCSInput[PCSStatus],1))</f>
        <v/>
      </c>
      <c r="Q67" s="11">
        <f>IF($A67="","",COUNTIFS(tblPCSInput[Call Date/Time],"&gt;="&amp;(SETUP!$B$6),tblPCSInput[Call Date/Time],"&lt;"&amp;(SETUP!$B$7),tblPCSInput[Call Direction],"I",tblPCSInput[Agent ID],$A67,tblPCSInput[Question 1],"&lt;&gt;"))</f>
        <v/>
      </c>
      <c r="R67" s="11">
        <f>IF($A67="","",COUNTIFS(tblPCSInput[Call Date/Time],"&gt;="&amp;(SETUP!$B$6),tblPCSInput[Call Date/Time],"&lt;"&amp;(SETUP!$B$7),tblPCSInput[Call Direction],"I",tblPCSInput[Agent ID],$A67,tblPCSInput[Valid Q1],"&gt;=1"))</f>
        <v/>
      </c>
      <c r="S67" s="12">
        <f>IFERROR(SUMIFS(tblPCSInput[Valid Q1],tblPCSInput[Call Date/Time],"&gt;="&amp;SETUP!$B$6,tblPCSInput[Call Date/Time],"&lt;"&amp;SETUP!$B$7,tblPCSInput[Call Direction],"I",tblPCSInput[Agent ID],$A67)/COUNTIFS(tblPCSInput[Call Date/Time],"&gt;="&amp;(SETUP!$B$6),tblPCSInput[Call Date/Time],"&lt;"&amp;(SETUP!$B$7),tblPCSInput[Call Direction],"I",tblPCSInput[Agent ID],$A67,tblPCSInput[Valid Q1],"&gt;=1"),"")</f>
        <v/>
      </c>
      <c r="T67" s="11">
        <f>IF(S67="","",COUNTIFS(tblPCSInput[Call Date/Time],"&gt;="&amp;(SETUP!$B$6),tblPCSInput[Call Date/Time],"&lt;"&amp;(SETUP!$B$7),tblPCSInput[Call Direction],"I",tblPCSInput[Agent ID],$A67,tblPCSInput[Valid Q1],"&lt;=3",tblPCSInput[Valid Q1],"&gt;=1"))</f>
        <v/>
      </c>
      <c r="U67" s="11">
        <f>IF(S67="","",COUNTIFS(tblPCSInput[Call Date/Time],"&gt;="&amp;(SETUP!$B$6),tblPCSInput[Call Date/Time],"&lt;"&amp;(SETUP!$B$7),tblPCSInput[Call Direction],"I",tblPCSInput[Agent ID],$A67,tblPCSInput[Valid Q1],"&gt;3"))</f>
        <v/>
      </c>
      <c r="V67" s="13">
        <f>IFERROR(Q67/P67,"")</f>
        <v/>
      </c>
      <c r="W67" s="13">
        <f>IFERROR(R67/P67,"")</f>
        <v/>
      </c>
    </row>
    <row r="68" spans="1:23">
      <c r="A68" s="4">
        <f>IF(ROSTER!A68="","",ROSTER!A68)</f>
        <v>203614</v>
      </c>
      <c r="B68" s="4" t="str">
        <f>IF($A68="","",ROSTER!C68)</f>
        <v>El Mekkaoui Yassir</v>
      </c>
      <c r="C68" s="4" t="str">
        <f>IF($A68="","",ROSTER!D68)</f>
        <v>Malak AZERKI</v>
      </c>
      <c r="D68" s="4" t="str">
        <f>IF($A68="","",ROSTER!E68)</f>
        <v>Anas OUAKKAD</v>
      </c>
      <c r="E68" s="4" t="str">
        <f>IF($A68="","",ROSTER!F68)</f>
        <v>OEM FR</v>
      </c>
      <c r="F68" s="11">
        <f>IF($A68="","",COUNTIFS(tblPCSInput[Call Date/Time],"&gt;="&amp;(SETUP!$B$5),tblPCSInput[Call Date/Time],"&lt;"&amp;(SETUP!$B$5+1),tblPCSInput[Call Direction],"I",tblPCSInput[Agent ID],$A68,tblPCSInput[PCSStatus],1))</f>
        <v/>
      </c>
      <c r="G68" s="11">
        <f>IF($A68="","",COUNTIFS(tblPCSInput[Call Date/Time],"&gt;="&amp;(SETUP!$B$5),tblPCSInput[Call Date/Time],"&lt;"&amp;(SETUP!$B$5+1),tblPCSInput[Call Direction],"I",tblPCSInput[Agent ID],$A68,tblPCSInput[Question 1],"&lt;&gt;"))</f>
        <v/>
      </c>
      <c r="H68" s="11">
        <f>IF($A68="","",COUNTIFS(tblPCSInput[Call Date/Time],"&gt;="&amp;(SETUP!$B$5),tblPCSInput[Call Date/Time],"&lt;"&amp;(SETUP!$B$5+1),tblPCSInput[Call Direction],"I",tblPCSInput[Agent ID],$A68,tblPCSInput[Valid Q1],"&gt;=1"))</f>
        <v/>
      </c>
      <c r="I68" s="12">
        <f>IFERROR(SUMIFS(tblPCSInput[Valid Q1],tblPCSInput[Call Date/Time],"&gt;="&amp;SETUP!$B$5,tblPCSInput[Call Date/Time],"&lt;"&amp;SETUP!$B$5+1,tblPCSInput[Call Direction],"I",tblPCSInput[Agent ID],$A68)/COUNTIFS(tblPCSInput[Call Date/Time],"&gt;="&amp;(SETUP!$B$5),tblPCSInput[Call Date/Time],"&lt;"&amp;(SETUP!$B$5+1),tblPCSInput[Call Direction],"I",tblPCSInput[Agent ID],$A68,tblPCSInput[Valid Q1],"&gt;=1"),"")</f>
        <v/>
      </c>
      <c r="J68" s="11">
        <f>IF(I68="","",COUNTIFS(tblPCSInput[Call Date/Time],"&gt;="&amp;(SETUP!$B$5),tblPCSInput[Call Date/Time],"&lt;"&amp;(SETUP!$B$5+1),tblPCSInput[Call Direction],"I",tblPCSInput[Agent ID],$A68,tblPCSInput[Valid Q1],"&lt;=3",tblPCSInput[Valid Q1],"&gt;=1"))</f>
        <v/>
      </c>
      <c r="K68" s="11">
        <f>IF(I68="","",COUNTIFS(tblPCSInput[Call Date/Time],"&gt;="&amp;(SETUP!$B$5),tblPCSInput[Call Date/Time],"&lt;"&amp;(SETUP!$B$5+1),tblPCSInput[Call Direction],"I",tblPCSInput[Agent ID],$A68,tblPCSInput[Valid Q1],"&gt;3"))</f>
        <v/>
      </c>
      <c r="L68" s="13">
        <f>IFERROR(G68/F68,"")</f>
        <v/>
      </c>
      <c r="M68" s="13">
        <f>IFERROR(H68/F68,"")</f>
        <v/>
      </c>
      <c r="N68" s="11">
        <f>IF($A68="","",MAX(0,G68-H68))</f>
        <v/>
      </c>
      <c r="O68" s="4">
        <f>IF($A68="","",IF(H68=0,"NO VALID SURVEY",IF(H68&lt;5,"LOW SAMPLE","OK")))</f>
        <v/>
      </c>
      <c r="P68" s="11">
        <f>IF($A68="","",COUNTIFS(tblPCSInput[Call Date/Time],"&gt;="&amp;(SETUP!$B$6),tblPCSInput[Call Date/Time],"&lt;"&amp;(SETUP!$B$7),tblPCSInput[Call Direction],"I",tblPCSInput[Agent ID],$A68,tblPCSInput[PCSStatus],1))</f>
        <v/>
      </c>
      <c r="Q68" s="11">
        <f>IF($A68="","",COUNTIFS(tblPCSInput[Call Date/Time],"&gt;="&amp;(SETUP!$B$6),tblPCSInput[Call Date/Time],"&lt;"&amp;(SETUP!$B$7),tblPCSInput[Call Direction],"I",tblPCSInput[Agent ID],$A68,tblPCSInput[Question 1],"&lt;&gt;"))</f>
        <v/>
      </c>
      <c r="R68" s="11">
        <f>IF($A68="","",COUNTIFS(tblPCSInput[Call Date/Time],"&gt;="&amp;(SETUP!$B$6),tblPCSInput[Call Date/Time],"&lt;"&amp;(SETUP!$B$7),tblPCSInput[Call Direction],"I",tblPCSInput[Agent ID],$A68,tblPCSInput[Valid Q1],"&gt;=1"))</f>
        <v/>
      </c>
      <c r="S68" s="12">
        <f>IFERROR(SUMIFS(tblPCSInput[Valid Q1],tblPCSInput[Call Date/Time],"&gt;="&amp;SETUP!$B$6,tblPCSInput[Call Date/Time],"&lt;"&amp;SETUP!$B$7,tblPCSInput[Call Direction],"I",tblPCSInput[Agent ID],$A68)/COUNTIFS(tblPCSInput[Call Date/Time],"&gt;="&amp;(SETUP!$B$6),tblPCSInput[Call Date/Time],"&lt;"&amp;(SETUP!$B$7),tblPCSInput[Call Direction],"I",tblPCSInput[Agent ID],$A68,tblPCSInput[Valid Q1],"&gt;=1"),"")</f>
        <v/>
      </c>
      <c r="T68" s="11">
        <f>IF(S68="","",COUNTIFS(tblPCSInput[Call Date/Time],"&gt;="&amp;(SETUP!$B$6),tblPCSInput[Call Date/Time],"&lt;"&amp;(SETUP!$B$7),tblPCSInput[Call Direction],"I",tblPCSInput[Agent ID],$A68,tblPCSInput[Valid Q1],"&lt;=3",tblPCSInput[Valid Q1],"&gt;=1"))</f>
        <v/>
      </c>
      <c r="U68" s="11">
        <f>IF(S68="","",COUNTIFS(tblPCSInput[Call Date/Time],"&gt;="&amp;(SETUP!$B$6),tblPCSInput[Call Date/Time],"&lt;"&amp;(SETUP!$B$7),tblPCSInput[Call Direction],"I",tblPCSInput[Agent ID],$A68,tblPCSInput[Valid Q1],"&gt;3"))</f>
        <v/>
      </c>
      <c r="V68" s="13">
        <f>IFERROR(Q68/P68,"")</f>
        <v/>
      </c>
      <c r="W68" s="13">
        <f>IFERROR(R68/P68,"")</f>
        <v/>
      </c>
    </row>
    <row r="69" spans="1:23">
      <c r="A69" s="4">
        <f>IF(ROSTER!A69="","",ROSTER!A69)</f>
        <v>203636</v>
      </c>
      <c r="B69" s="4" t="str">
        <f>IF($A69="","",ROSTER!C69)</f>
        <v>Dembah Cheikh</v>
      </c>
      <c r="C69" s="4" t="str">
        <f>IF($A69="","",ROSTER!D69)</f>
        <v>Malak AZERKI</v>
      </c>
      <c r="D69" s="4" t="str">
        <f>IF($A69="","",ROSTER!E69)</f>
        <v>Anas OUAKKAD</v>
      </c>
      <c r="E69" s="4" t="str">
        <f>IF($A69="","",ROSTER!F69)</f>
        <v>OEM FR</v>
      </c>
      <c r="F69" s="11">
        <f>IF($A69="","",COUNTIFS(tblPCSInput[Call Date/Time],"&gt;="&amp;(SETUP!$B$5),tblPCSInput[Call Date/Time],"&lt;"&amp;(SETUP!$B$5+1),tblPCSInput[Call Direction],"I",tblPCSInput[Agent ID],$A69,tblPCSInput[PCSStatus],1))</f>
        <v/>
      </c>
      <c r="G69" s="11">
        <f>IF($A69="","",COUNTIFS(tblPCSInput[Call Date/Time],"&gt;="&amp;(SETUP!$B$5),tblPCSInput[Call Date/Time],"&lt;"&amp;(SETUP!$B$5+1),tblPCSInput[Call Direction],"I",tblPCSInput[Agent ID],$A69,tblPCSInput[Question 1],"&lt;&gt;"))</f>
        <v/>
      </c>
      <c r="H69" s="11">
        <f>IF($A69="","",COUNTIFS(tblPCSInput[Call Date/Time],"&gt;="&amp;(SETUP!$B$5),tblPCSInput[Call Date/Time],"&lt;"&amp;(SETUP!$B$5+1),tblPCSInput[Call Direction],"I",tblPCSInput[Agent ID],$A69,tblPCSInput[Valid Q1],"&gt;=1"))</f>
        <v/>
      </c>
      <c r="I69" s="12">
        <f>IFERROR(SUMIFS(tblPCSInput[Valid Q1],tblPCSInput[Call Date/Time],"&gt;="&amp;SETUP!$B$5,tblPCSInput[Call Date/Time],"&lt;"&amp;SETUP!$B$5+1,tblPCSInput[Call Direction],"I",tblPCSInput[Agent ID],$A69)/COUNTIFS(tblPCSInput[Call Date/Time],"&gt;="&amp;(SETUP!$B$5),tblPCSInput[Call Date/Time],"&lt;"&amp;(SETUP!$B$5+1),tblPCSInput[Call Direction],"I",tblPCSInput[Agent ID],$A69,tblPCSInput[Valid Q1],"&gt;=1"),"")</f>
        <v/>
      </c>
      <c r="J69" s="11">
        <f>IF(I69="","",COUNTIFS(tblPCSInput[Call Date/Time],"&gt;="&amp;(SETUP!$B$5),tblPCSInput[Call Date/Time],"&lt;"&amp;(SETUP!$B$5+1),tblPCSInput[Call Direction],"I",tblPCSInput[Agent ID],$A69,tblPCSInput[Valid Q1],"&lt;=3",tblPCSInput[Valid Q1],"&gt;=1"))</f>
        <v/>
      </c>
      <c r="K69" s="11">
        <f>IF(I69="","",COUNTIFS(tblPCSInput[Call Date/Time],"&gt;="&amp;(SETUP!$B$5),tblPCSInput[Call Date/Time],"&lt;"&amp;(SETUP!$B$5+1),tblPCSInput[Call Direction],"I",tblPCSInput[Agent ID],$A69,tblPCSInput[Valid Q1],"&gt;3"))</f>
        <v/>
      </c>
      <c r="L69" s="13">
        <f>IFERROR(G69/F69,"")</f>
        <v/>
      </c>
      <c r="M69" s="13">
        <f>IFERROR(H69/F69,"")</f>
        <v/>
      </c>
      <c r="N69" s="11">
        <f>IF($A69="","",MAX(0,G69-H69))</f>
        <v/>
      </c>
      <c r="O69" s="4">
        <f>IF($A69="","",IF(H69=0,"NO VALID SURVEY",IF(H69&lt;5,"LOW SAMPLE","OK")))</f>
        <v/>
      </c>
      <c r="P69" s="11">
        <f>IF($A69="","",COUNTIFS(tblPCSInput[Call Date/Time],"&gt;="&amp;(SETUP!$B$6),tblPCSInput[Call Date/Time],"&lt;"&amp;(SETUP!$B$7),tblPCSInput[Call Direction],"I",tblPCSInput[Agent ID],$A69,tblPCSInput[PCSStatus],1))</f>
        <v/>
      </c>
      <c r="Q69" s="11">
        <f>IF($A69="","",COUNTIFS(tblPCSInput[Call Date/Time],"&gt;="&amp;(SETUP!$B$6),tblPCSInput[Call Date/Time],"&lt;"&amp;(SETUP!$B$7),tblPCSInput[Call Direction],"I",tblPCSInput[Agent ID],$A69,tblPCSInput[Question 1],"&lt;&gt;"))</f>
        <v/>
      </c>
      <c r="R69" s="11">
        <f>IF($A69="","",COUNTIFS(tblPCSInput[Call Date/Time],"&gt;="&amp;(SETUP!$B$6),tblPCSInput[Call Date/Time],"&lt;"&amp;(SETUP!$B$7),tblPCSInput[Call Direction],"I",tblPCSInput[Agent ID],$A69,tblPCSInput[Valid Q1],"&gt;=1"))</f>
        <v/>
      </c>
      <c r="S69" s="12">
        <f>IFERROR(SUMIFS(tblPCSInput[Valid Q1],tblPCSInput[Call Date/Time],"&gt;="&amp;SETUP!$B$6,tblPCSInput[Call Date/Time],"&lt;"&amp;SETUP!$B$7,tblPCSInput[Call Direction],"I",tblPCSInput[Agent ID],$A69)/COUNTIFS(tblPCSInput[Call Date/Time],"&gt;="&amp;(SETUP!$B$6),tblPCSInput[Call Date/Time],"&lt;"&amp;(SETUP!$B$7),tblPCSInput[Call Direction],"I",tblPCSInput[Agent ID],$A69,tblPCSInput[Valid Q1],"&gt;=1"),"")</f>
        <v/>
      </c>
      <c r="T69" s="11">
        <f>IF(S69="","",COUNTIFS(tblPCSInput[Call Date/Time],"&gt;="&amp;(SETUP!$B$6),tblPCSInput[Call Date/Time],"&lt;"&amp;(SETUP!$B$7),tblPCSInput[Call Direction],"I",tblPCSInput[Agent ID],$A69,tblPCSInput[Valid Q1],"&lt;=3",tblPCSInput[Valid Q1],"&gt;=1"))</f>
        <v/>
      </c>
      <c r="U69" s="11">
        <f>IF(S69="","",COUNTIFS(tblPCSInput[Call Date/Time],"&gt;="&amp;(SETUP!$B$6),tblPCSInput[Call Date/Time],"&lt;"&amp;(SETUP!$B$7),tblPCSInput[Call Direction],"I",tblPCSInput[Agent ID],$A69,tblPCSInput[Valid Q1],"&gt;3"))</f>
        <v/>
      </c>
      <c r="V69" s="13">
        <f>IFERROR(Q69/P69,"")</f>
        <v/>
      </c>
      <c r="W69" s="13">
        <f>IFERROR(R69/P69,"")</f>
        <v/>
      </c>
    </row>
    <row r="70" spans="1:23">
      <c r="A70" s="4">
        <f>IF(ROSTER!A70="","",ROSTER!A70)</f>
        <v>203592</v>
      </c>
      <c r="B70" s="4" t="str">
        <f>IF($A70="","",ROSTER!C70)</f>
        <v>Boujloud Ayoub</v>
      </c>
      <c r="C70" s="4" t="str">
        <f>IF($A70="","",ROSTER!D70)</f>
        <v>Zineb MOUFID</v>
      </c>
      <c r="D70" s="4" t="str">
        <f>IF($A70="","",ROSTER!E70)</f>
        <v>Anas OUAKKAD</v>
      </c>
      <c r="E70" s="4" t="str">
        <f>IF($A70="","",ROSTER!F70)</f>
        <v>OEM FR</v>
      </c>
      <c r="F70" s="11">
        <f>IF($A70="","",COUNTIFS(tblPCSInput[Call Date/Time],"&gt;="&amp;(SETUP!$B$5),tblPCSInput[Call Date/Time],"&lt;"&amp;(SETUP!$B$5+1),tblPCSInput[Call Direction],"I",tblPCSInput[Agent ID],$A70,tblPCSInput[PCSStatus],1))</f>
        <v/>
      </c>
      <c r="G70" s="11">
        <f>IF($A70="","",COUNTIFS(tblPCSInput[Call Date/Time],"&gt;="&amp;(SETUP!$B$5),tblPCSInput[Call Date/Time],"&lt;"&amp;(SETUP!$B$5+1),tblPCSInput[Call Direction],"I",tblPCSInput[Agent ID],$A70,tblPCSInput[Question 1],"&lt;&gt;"))</f>
        <v/>
      </c>
      <c r="H70" s="11">
        <f>IF($A70="","",COUNTIFS(tblPCSInput[Call Date/Time],"&gt;="&amp;(SETUP!$B$5),tblPCSInput[Call Date/Time],"&lt;"&amp;(SETUP!$B$5+1),tblPCSInput[Call Direction],"I",tblPCSInput[Agent ID],$A70,tblPCSInput[Valid Q1],"&gt;=1"))</f>
        <v/>
      </c>
      <c r="I70" s="12">
        <f>IFERROR(SUMIFS(tblPCSInput[Valid Q1],tblPCSInput[Call Date/Time],"&gt;="&amp;SETUP!$B$5,tblPCSInput[Call Date/Time],"&lt;"&amp;SETUP!$B$5+1,tblPCSInput[Call Direction],"I",tblPCSInput[Agent ID],$A70)/COUNTIFS(tblPCSInput[Call Date/Time],"&gt;="&amp;(SETUP!$B$5),tblPCSInput[Call Date/Time],"&lt;"&amp;(SETUP!$B$5+1),tblPCSInput[Call Direction],"I",tblPCSInput[Agent ID],$A70,tblPCSInput[Valid Q1],"&gt;=1"),"")</f>
        <v/>
      </c>
      <c r="J70" s="11">
        <f>IF(I70="","",COUNTIFS(tblPCSInput[Call Date/Time],"&gt;="&amp;(SETUP!$B$5),tblPCSInput[Call Date/Time],"&lt;"&amp;(SETUP!$B$5+1),tblPCSInput[Call Direction],"I",tblPCSInput[Agent ID],$A70,tblPCSInput[Valid Q1],"&lt;=3",tblPCSInput[Valid Q1],"&gt;=1"))</f>
        <v/>
      </c>
      <c r="K70" s="11">
        <f>IF(I70="","",COUNTIFS(tblPCSInput[Call Date/Time],"&gt;="&amp;(SETUP!$B$5),tblPCSInput[Call Date/Time],"&lt;"&amp;(SETUP!$B$5+1),tblPCSInput[Call Direction],"I",tblPCSInput[Agent ID],$A70,tblPCSInput[Valid Q1],"&gt;3"))</f>
        <v/>
      </c>
      <c r="L70" s="13">
        <f>IFERROR(G70/F70,"")</f>
        <v/>
      </c>
      <c r="M70" s="13">
        <f>IFERROR(H70/F70,"")</f>
        <v/>
      </c>
      <c r="N70" s="11">
        <f>IF($A70="","",MAX(0,G70-H70))</f>
        <v/>
      </c>
      <c r="O70" s="4">
        <f>IF($A70="","",IF(H70=0,"NO VALID SURVEY",IF(H70&lt;5,"LOW SAMPLE","OK")))</f>
        <v/>
      </c>
      <c r="P70" s="11">
        <f>IF($A70="","",COUNTIFS(tblPCSInput[Call Date/Time],"&gt;="&amp;(SETUP!$B$6),tblPCSInput[Call Date/Time],"&lt;"&amp;(SETUP!$B$7),tblPCSInput[Call Direction],"I",tblPCSInput[Agent ID],$A70,tblPCSInput[PCSStatus],1))</f>
        <v/>
      </c>
      <c r="Q70" s="11">
        <f>IF($A70="","",COUNTIFS(tblPCSInput[Call Date/Time],"&gt;="&amp;(SETUP!$B$6),tblPCSInput[Call Date/Time],"&lt;"&amp;(SETUP!$B$7),tblPCSInput[Call Direction],"I",tblPCSInput[Agent ID],$A70,tblPCSInput[Question 1],"&lt;&gt;"))</f>
        <v/>
      </c>
      <c r="R70" s="11">
        <f>IF($A70="","",COUNTIFS(tblPCSInput[Call Date/Time],"&gt;="&amp;(SETUP!$B$6),tblPCSInput[Call Date/Time],"&lt;"&amp;(SETUP!$B$7),tblPCSInput[Call Direction],"I",tblPCSInput[Agent ID],$A70,tblPCSInput[Valid Q1],"&gt;=1"))</f>
        <v/>
      </c>
      <c r="S70" s="12">
        <f>IFERROR(SUMIFS(tblPCSInput[Valid Q1],tblPCSInput[Call Date/Time],"&gt;="&amp;SETUP!$B$6,tblPCSInput[Call Date/Time],"&lt;"&amp;SETUP!$B$7,tblPCSInput[Call Direction],"I",tblPCSInput[Agent ID],$A70)/COUNTIFS(tblPCSInput[Call Date/Time],"&gt;="&amp;(SETUP!$B$6),tblPCSInput[Call Date/Time],"&lt;"&amp;(SETUP!$B$7),tblPCSInput[Call Direction],"I",tblPCSInput[Agent ID],$A70,tblPCSInput[Valid Q1],"&gt;=1"),"")</f>
        <v/>
      </c>
      <c r="T70" s="11">
        <f>IF(S70="","",COUNTIFS(tblPCSInput[Call Date/Time],"&gt;="&amp;(SETUP!$B$6),tblPCSInput[Call Date/Time],"&lt;"&amp;(SETUP!$B$7),tblPCSInput[Call Direction],"I",tblPCSInput[Agent ID],$A70,tblPCSInput[Valid Q1],"&lt;=3",tblPCSInput[Valid Q1],"&gt;=1"))</f>
        <v/>
      </c>
      <c r="U70" s="11">
        <f>IF(S70="","",COUNTIFS(tblPCSInput[Call Date/Time],"&gt;="&amp;(SETUP!$B$6),tblPCSInput[Call Date/Time],"&lt;"&amp;(SETUP!$B$7),tblPCSInput[Call Direction],"I",tblPCSInput[Agent ID],$A70,tblPCSInput[Valid Q1],"&gt;3"))</f>
        <v/>
      </c>
      <c r="V70" s="13">
        <f>IFERROR(Q70/P70,"")</f>
        <v/>
      </c>
      <c r="W70" s="13">
        <f>IFERROR(R70/P70,"")</f>
        <v/>
      </c>
    </row>
    <row r="71" spans="1:23">
      <c r="A71" s="4">
        <f>IF(ROSTER!A71="","",ROSTER!A71)</f>
        <v>204036</v>
      </c>
      <c r="B71" s="4" t="str">
        <f>IF($A71="","",ROSTER!C71)</f>
        <v>Hadouchi Ghizlaine</v>
      </c>
      <c r="C71" s="4" t="str">
        <f>IF($A71="","",ROSTER!D71)</f>
        <v>Chaima Amrani</v>
      </c>
      <c r="D71" s="4" t="str">
        <f>IF($A71="","",ROSTER!E71)</f>
        <v>Anas OUAKKAD</v>
      </c>
      <c r="E71" s="4" t="str">
        <f>IF($A71="","",ROSTER!F71)</f>
        <v>Ford Dutch</v>
      </c>
      <c r="F71" s="11">
        <f>IF($A71="","",COUNTIFS(tblPCSInput[Call Date/Time],"&gt;="&amp;(SETUP!$B$5),tblPCSInput[Call Date/Time],"&lt;"&amp;(SETUP!$B$5+1),tblPCSInput[Call Direction],"I",tblPCSInput[Agent ID],$A71,tblPCSInput[PCSStatus],1))</f>
        <v/>
      </c>
      <c r="G71" s="11">
        <f>IF($A71="","",COUNTIFS(tblPCSInput[Call Date/Time],"&gt;="&amp;(SETUP!$B$5),tblPCSInput[Call Date/Time],"&lt;"&amp;(SETUP!$B$5+1),tblPCSInput[Call Direction],"I",tblPCSInput[Agent ID],$A71,tblPCSInput[Question 1],"&lt;&gt;"))</f>
        <v/>
      </c>
      <c r="H71" s="11">
        <f>IF($A71="","",COUNTIFS(tblPCSInput[Call Date/Time],"&gt;="&amp;(SETUP!$B$5),tblPCSInput[Call Date/Time],"&lt;"&amp;(SETUP!$B$5+1),tblPCSInput[Call Direction],"I",tblPCSInput[Agent ID],$A71,tblPCSInput[Valid Q1],"&gt;=1"))</f>
        <v/>
      </c>
      <c r="I71" s="12">
        <f>IFERROR(SUMIFS(tblPCSInput[Valid Q1],tblPCSInput[Call Date/Time],"&gt;="&amp;SETUP!$B$5,tblPCSInput[Call Date/Time],"&lt;"&amp;SETUP!$B$5+1,tblPCSInput[Call Direction],"I",tblPCSInput[Agent ID],$A71)/COUNTIFS(tblPCSInput[Call Date/Time],"&gt;="&amp;(SETUP!$B$5),tblPCSInput[Call Date/Time],"&lt;"&amp;(SETUP!$B$5+1),tblPCSInput[Call Direction],"I",tblPCSInput[Agent ID],$A71,tblPCSInput[Valid Q1],"&gt;=1"),"")</f>
        <v/>
      </c>
      <c r="J71" s="11">
        <f>IF(I71="","",COUNTIFS(tblPCSInput[Call Date/Time],"&gt;="&amp;(SETUP!$B$5),tblPCSInput[Call Date/Time],"&lt;"&amp;(SETUP!$B$5+1),tblPCSInput[Call Direction],"I",tblPCSInput[Agent ID],$A71,tblPCSInput[Valid Q1],"&lt;=3",tblPCSInput[Valid Q1],"&gt;=1"))</f>
        <v/>
      </c>
      <c r="K71" s="11">
        <f>IF(I71="","",COUNTIFS(tblPCSInput[Call Date/Time],"&gt;="&amp;(SETUP!$B$5),tblPCSInput[Call Date/Time],"&lt;"&amp;(SETUP!$B$5+1),tblPCSInput[Call Direction],"I",tblPCSInput[Agent ID],$A71,tblPCSInput[Valid Q1],"&gt;3"))</f>
        <v/>
      </c>
      <c r="L71" s="13">
        <f>IFERROR(G71/F71,"")</f>
        <v/>
      </c>
      <c r="M71" s="13">
        <f>IFERROR(H71/F71,"")</f>
        <v/>
      </c>
      <c r="N71" s="11">
        <f>IF($A71="","",MAX(0,G71-H71))</f>
        <v/>
      </c>
      <c r="O71" s="4">
        <f>IF($A71="","",IF(H71=0,"NO VALID SURVEY",IF(H71&lt;5,"LOW SAMPLE","OK")))</f>
        <v/>
      </c>
      <c r="P71" s="11">
        <f>IF($A71="","",COUNTIFS(tblPCSInput[Call Date/Time],"&gt;="&amp;(SETUP!$B$6),tblPCSInput[Call Date/Time],"&lt;"&amp;(SETUP!$B$7),tblPCSInput[Call Direction],"I",tblPCSInput[Agent ID],$A71,tblPCSInput[PCSStatus],1))</f>
        <v/>
      </c>
      <c r="Q71" s="11">
        <f>IF($A71="","",COUNTIFS(tblPCSInput[Call Date/Time],"&gt;="&amp;(SETUP!$B$6),tblPCSInput[Call Date/Time],"&lt;"&amp;(SETUP!$B$7),tblPCSInput[Call Direction],"I",tblPCSInput[Agent ID],$A71,tblPCSInput[Question 1],"&lt;&gt;"))</f>
        <v/>
      </c>
      <c r="R71" s="11">
        <f>IF($A71="","",COUNTIFS(tblPCSInput[Call Date/Time],"&gt;="&amp;(SETUP!$B$6),tblPCSInput[Call Date/Time],"&lt;"&amp;(SETUP!$B$7),tblPCSInput[Call Direction],"I",tblPCSInput[Agent ID],$A71,tblPCSInput[Valid Q1],"&gt;=1"))</f>
        <v/>
      </c>
      <c r="S71" s="12">
        <f>IFERROR(SUMIFS(tblPCSInput[Valid Q1],tblPCSInput[Call Date/Time],"&gt;="&amp;SETUP!$B$6,tblPCSInput[Call Date/Time],"&lt;"&amp;SETUP!$B$7,tblPCSInput[Call Direction],"I",tblPCSInput[Agent ID],$A71)/COUNTIFS(tblPCSInput[Call Date/Time],"&gt;="&amp;(SETUP!$B$6),tblPCSInput[Call Date/Time],"&lt;"&amp;(SETUP!$B$7),tblPCSInput[Call Direction],"I",tblPCSInput[Agent ID],$A71,tblPCSInput[Valid Q1],"&gt;=1"),"")</f>
        <v/>
      </c>
      <c r="T71" s="11">
        <f>IF(S71="","",COUNTIFS(tblPCSInput[Call Date/Time],"&gt;="&amp;(SETUP!$B$6),tblPCSInput[Call Date/Time],"&lt;"&amp;(SETUP!$B$7),tblPCSInput[Call Direction],"I",tblPCSInput[Agent ID],$A71,tblPCSInput[Valid Q1],"&lt;=3",tblPCSInput[Valid Q1],"&gt;=1"))</f>
        <v/>
      </c>
      <c r="U71" s="11">
        <f>IF(S71="","",COUNTIFS(tblPCSInput[Call Date/Time],"&gt;="&amp;(SETUP!$B$6),tblPCSInput[Call Date/Time],"&lt;"&amp;(SETUP!$B$7),tblPCSInput[Call Direction],"I",tblPCSInput[Agent ID],$A71,tblPCSInput[Valid Q1],"&gt;3"))</f>
        <v/>
      </c>
      <c r="V71" s="13">
        <f>IFERROR(Q71/P71,"")</f>
        <v/>
      </c>
      <c r="W71" s="13">
        <f>IFERROR(R71/P71,"")</f>
        <v/>
      </c>
    </row>
    <row r="72" spans="1:23">
      <c r="A72" s="4">
        <f>IF(ROSTER!A72="","",ROSTER!A72)</f>
        <v>204016</v>
      </c>
      <c r="B72" s="4" t="str">
        <f>IF($A72="","",ROSTER!C72)</f>
        <v>Vermeire Linda</v>
      </c>
      <c r="C72" s="4" t="str">
        <f>IF($A72="","",ROSTER!D72)</f>
        <v>Ilyasse Derrazi</v>
      </c>
      <c r="D72" s="4" t="str">
        <f>IF($A72="","",ROSTER!E72)</f>
        <v>Anas OUAKKAD</v>
      </c>
      <c r="E72" s="4" t="str">
        <f>IF($A72="","",ROSTER!F72)</f>
        <v>Ford Dutch</v>
      </c>
      <c r="F72" s="11">
        <f>IF($A72="","",COUNTIFS(tblPCSInput[Call Date/Time],"&gt;="&amp;(SETUP!$B$5),tblPCSInput[Call Date/Time],"&lt;"&amp;(SETUP!$B$5+1),tblPCSInput[Call Direction],"I",tblPCSInput[Agent ID],$A72,tblPCSInput[PCSStatus],1))</f>
        <v/>
      </c>
      <c r="G72" s="11">
        <f>IF($A72="","",COUNTIFS(tblPCSInput[Call Date/Time],"&gt;="&amp;(SETUP!$B$5),tblPCSInput[Call Date/Time],"&lt;"&amp;(SETUP!$B$5+1),tblPCSInput[Call Direction],"I",tblPCSInput[Agent ID],$A72,tblPCSInput[Question 1],"&lt;&gt;"))</f>
        <v/>
      </c>
      <c r="H72" s="11">
        <f>IF($A72="","",COUNTIFS(tblPCSInput[Call Date/Time],"&gt;="&amp;(SETUP!$B$5),tblPCSInput[Call Date/Time],"&lt;"&amp;(SETUP!$B$5+1),tblPCSInput[Call Direction],"I",tblPCSInput[Agent ID],$A72,tblPCSInput[Valid Q1],"&gt;=1"))</f>
        <v/>
      </c>
      <c r="I72" s="12">
        <f>IFERROR(SUMIFS(tblPCSInput[Valid Q1],tblPCSInput[Call Date/Time],"&gt;="&amp;SETUP!$B$5,tblPCSInput[Call Date/Time],"&lt;"&amp;SETUP!$B$5+1,tblPCSInput[Call Direction],"I",tblPCSInput[Agent ID],$A72)/COUNTIFS(tblPCSInput[Call Date/Time],"&gt;="&amp;(SETUP!$B$5),tblPCSInput[Call Date/Time],"&lt;"&amp;(SETUP!$B$5+1),tblPCSInput[Call Direction],"I",tblPCSInput[Agent ID],$A72,tblPCSInput[Valid Q1],"&gt;=1"),"")</f>
        <v/>
      </c>
      <c r="J72" s="11">
        <f>IF(I72="","",COUNTIFS(tblPCSInput[Call Date/Time],"&gt;="&amp;(SETUP!$B$5),tblPCSInput[Call Date/Time],"&lt;"&amp;(SETUP!$B$5+1),tblPCSInput[Call Direction],"I",tblPCSInput[Agent ID],$A72,tblPCSInput[Valid Q1],"&lt;=3",tblPCSInput[Valid Q1],"&gt;=1"))</f>
        <v/>
      </c>
      <c r="K72" s="11">
        <f>IF(I72="","",COUNTIFS(tblPCSInput[Call Date/Time],"&gt;="&amp;(SETUP!$B$5),tblPCSInput[Call Date/Time],"&lt;"&amp;(SETUP!$B$5+1),tblPCSInput[Call Direction],"I",tblPCSInput[Agent ID],$A72,tblPCSInput[Valid Q1],"&gt;3"))</f>
        <v/>
      </c>
      <c r="L72" s="13">
        <f>IFERROR(G72/F72,"")</f>
        <v/>
      </c>
      <c r="M72" s="13">
        <f>IFERROR(H72/F72,"")</f>
        <v/>
      </c>
      <c r="N72" s="11">
        <f>IF($A72="","",MAX(0,G72-H72))</f>
        <v/>
      </c>
      <c r="O72" s="4">
        <f>IF($A72="","",IF(H72=0,"NO VALID SURVEY",IF(H72&lt;5,"LOW SAMPLE","OK")))</f>
        <v/>
      </c>
      <c r="P72" s="11">
        <f>IF($A72="","",COUNTIFS(tblPCSInput[Call Date/Time],"&gt;="&amp;(SETUP!$B$6),tblPCSInput[Call Date/Time],"&lt;"&amp;(SETUP!$B$7),tblPCSInput[Call Direction],"I",tblPCSInput[Agent ID],$A72,tblPCSInput[PCSStatus],1))</f>
        <v/>
      </c>
      <c r="Q72" s="11">
        <f>IF($A72="","",COUNTIFS(tblPCSInput[Call Date/Time],"&gt;="&amp;(SETUP!$B$6),tblPCSInput[Call Date/Time],"&lt;"&amp;(SETUP!$B$7),tblPCSInput[Call Direction],"I",tblPCSInput[Agent ID],$A72,tblPCSInput[Question 1],"&lt;&gt;"))</f>
        <v/>
      </c>
      <c r="R72" s="11">
        <f>IF($A72="","",COUNTIFS(tblPCSInput[Call Date/Time],"&gt;="&amp;(SETUP!$B$6),tblPCSInput[Call Date/Time],"&lt;"&amp;(SETUP!$B$7),tblPCSInput[Call Direction],"I",tblPCSInput[Agent ID],$A72,tblPCSInput[Valid Q1],"&gt;=1"))</f>
        <v/>
      </c>
      <c r="S72" s="12">
        <f>IFERROR(SUMIFS(tblPCSInput[Valid Q1],tblPCSInput[Call Date/Time],"&gt;="&amp;SETUP!$B$6,tblPCSInput[Call Date/Time],"&lt;"&amp;SETUP!$B$7,tblPCSInput[Call Direction],"I",tblPCSInput[Agent ID],$A72)/COUNTIFS(tblPCSInput[Call Date/Time],"&gt;="&amp;(SETUP!$B$6),tblPCSInput[Call Date/Time],"&lt;"&amp;(SETUP!$B$7),tblPCSInput[Call Direction],"I",tblPCSInput[Agent ID],$A72,tblPCSInput[Valid Q1],"&gt;=1"),"")</f>
        <v/>
      </c>
      <c r="T72" s="11">
        <f>IF(S72="","",COUNTIFS(tblPCSInput[Call Date/Time],"&gt;="&amp;(SETUP!$B$6),tblPCSInput[Call Date/Time],"&lt;"&amp;(SETUP!$B$7),tblPCSInput[Call Direction],"I",tblPCSInput[Agent ID],$A72,tblPCSInput[Valid Q1],"&lt;=3",tblPCSInput[Valid Q1],"&gt;=1"))</f>
        <v/>
      </c>
      <c r="U72" s="11">
        <f>IF(S72="","",COUNTIFS(tblPCSInput[Call Date/Time],"&gt;="&amp;(SETUP!$B$6),tblPCSInput[Call Date/Time],"&lt;"&amp;(SETUP!$B$7),tblPCSInput[Call Direction],"I",tblPCSInput[Agent ID],$A72,tblPCSInput[Valid Q1],"&gt;3"))</f>
        <v/>
      </c>
      <c r="V72" s="13">
        <f>IFERROR(Q72/P72,"")</f>
        <v/>
      </c>
      <c r="W72" s="13">
        <f>IFERROR(R72/P72,"")</f>
        <v/>
      </c>
    </row>
    <row r="73" spans="1:23">
      <c r="A73" s="4">
        <f>IF(ROSTER!A73="","",ROSTER!A73)</f>
        <v>204048</v>
      </c>
      <c r="B73" s="4" t="str">
        <f>IF($A73="","",ROSTER!C73)</f>
        <v>Van Driesche Freya</v>
      </c>
      <c r="C73" s="4" t="str">
        <f>IF($A73="","",ROSTER!D73)</f>
        <v>Chaima Amrani</v>
      </c>
      <c r="D73" s="4" t="str">
        <f>IF($A73="","",ROSTER!E73)</f>
        <v>Anas OUAKKAD</v>
      </c>
      <c r="E73" s="4" t="str">
        <f>IF($A73="","",ROSTER!F73)</f>
        <v>Ford Dutch</v>
      </c>
      <c r="F73" s="11">
        <f>IF($A73="","",COUNTIFS(tblPCSInput[Call Date/Time],"&gt;="&amp;(SETUP!$B$5),tblPCSInput[Call Date/Time],"&lt;"&amp;(SETUP!$B$5+1),tblPCSInput[Call Direction],"I",tblPCSInput[Agent ID],$A73,tblPCSInput[PCSStatus],1))</f>
        <v/>
      </c>
      <c r="G73" s="11">
        <f>IF($A73="","",COUNTIFS(tblPCSInput[Call Date/Time],"&gt;="&amp;(SETUP!$B$5),tblPCSInput[Call Date/Time],"&lt;"&amp;(SETUP!$B$5+1),tblPCSInput[Call Direction],"I",tblPCSInput[Agent ID],$A73,tblPCSInput[Question 1],"&lt;&gt;"))</f>
        <v/>
      </c>
      <c r="H73" s="11">
        <f>IF($A73="","",COUNTIFS(tblPCSInput[Call Date/Time],"&gt;="&amp;(SETUP!$B$5),tblPCSInput[Call Date/Time],"&lt;"&amp;(SETUP!$B$5+1),tblPCSInput[Call Direction],"I",tblPCSInput[Agent ID],$A73,tblPCSInput[Valid Q1],"&gt;=1"))</f>
        <v/>
      </c>
      <c r="I73" s="12">
        <f>IFERROR(SUMIFS(tblPCSInput[Valid Q1],tblPCSInput[Call Date/Time],"&gt;="&amp;SETUP!$B$5,tblPCSInput[Call Date/Time],"&lt;"&amp;SETUP!$B$5+1,tblPCSInput[Call Direction],"I",tblPCSInput[Agent ID],$A73)/COUNTIFS(tblPCSInput[Call Date/Time],"&gt;="&amp;(SETUP!$B$5),tblPCSInput[Call Date/Time],"&lt;"&amp;(SETUP!$B$5+1),tblPCSInput[Call Direction],"I",tblPCSInput[Agent ID],$A73,tblPCSInput[Valid Q1],"&gt;=1"),"")</f>
        <v/>
      </c>
      <c r="J73" s="11">
        <f>IF(I73="","",COUNTIFS(tblPCSInput[Call Date/Time],"&gt;="&amp;(SETUP!$B$5),tblPCSInput[Call Date/Time],"&lt;"&amp;(SETUP!$B$5+1),tblPCSInput[Call Direction],"I",tblPCSInput[Agent ID],$A73,tblPCSInput[Valid Q1],"&lt;=3",tblPCSInput[Valid Q1],"&gt;=1"))</f>
        <v/>
      </c>
      <c r="K73" s="11">
        <f>IF(I73="","",COUNTIFS(tblPCSInput[Call Date/Time],"&gt;="&amp;(SETUP!$B$5),tblPCSInput[Call Date/Time],"&lt;"&amp;(SETUP!$B$5+1),tblPCSInput[Call Direction],"I",tblPCSInput[Agent ID],$A73,tblPCSInput[Valid Q1],"&gt;3"))</f>
        <v/>
      </c>
      <c r="L73" s="13">
        <f>IFERROR(G73/F73,"")</f>
        <v/>
      </c>
      <c r="M73" s="13">
        <f>IFERROR(H73/F73,"")</f>
        <v/>
      </c>
      <c r="N73" s="11">
        <f>IF($A73="","",MAX(0,G73-H73))</f>
        <v/>
      </c>
      <c r="O73" s="4">
        <f>IF($A73="","",IF(H73=0,"NO VALID SURVEY",IF(H73&lt;5,"LOW SAMPLE","OK")))</f>
        <v/>
      </c>
      <c r="P73" s="11">
        <f>IF($A73="","",COUNTIFS(tblPCSInput[Call Date/Time],"&gt;="&amp;(SETUP!$B$6),tblPCSInput[Call Date/Time],"&lt;"&amp;(SETUP!$B$7),tblPCSInput[Call Direction],"I",tblPCSInput[Agent ID],$A73,tblPCSInput[PCSStatus],1))</f>
        <v/>
      </c>
      <c r="Q73" s="11">
        <f>IF($A73="","",COUNTIFS(tblPCSInput[Call Date/Time],"&gt;="&amp;(SETUP!$B$6),tblPCSInput[Call Date/Time],"&lt;"&amp;(SETUP!$B$7),tblPCSInput[Call Direction],"I",tblPCSInput[Agent ID],$A73,tblPCSInput[Question 1],"&lt;&gt;"))</f>
        <v/>
      </c>
      <c r="R73" s="11">
        <f>IF($A73="","",COUNTIFS(tblPCSInput[Call Date/Time],"&gt;="&amp;(SETUP!$B$6),tblPCSInput[Call Date/Time],"&lt;"&amp;(SETUP!$B$7),tblPCSInput[Call Direction],"I",tblPCSInput[Agent ID],$A73,tblPCSInput[Valid Q1],"&gt;=1"))</f>
        <v/>
      </c>
      <c r="S73" s="12">
        <f>IFERROR(SUMIFS(tblPCSInput[Valid Q1],tblPCSInput[Call Date/Time],"&gt;="&amp;SETUP!$B$6,tblPCSInput[Call Date/Time],"&lt;"&amp;SETUP!$B$7,tblPCSInput[Call Direction],"I",tblPCSInput[Agent ID],$A73)/COUNTIFS(tblPCSInput[Call Date/Time],"&gt;="&amp;(SETUP!$B$6),tblPCSInput[Call Date/Time],"&lt;"&amp;(SETUP!$B$7),tblPCSInput[Call Direction],"I",tblPCSInput[Agent ID],$A73,tblPCSInput[Valid Q1],"&gt;=1"),"")</f>
        <v/>
      </c>
      <c r="T73" s="11">
        <f>IF(S73="","",COUNTIFS(tblPCSInput[Call Date/Time],"&gt;="&amp;(SETUP!$B$6),tblPCSInput[Call Date/Time],"&lt;"&amp;(SETUP!$B$7),tblPCSInput[Call Direction],"I",tblPCSInput[Agent ID],$A73,tblPCSInput[Valid Q1],"&lt;=3",tblPCSInput[Valid Q1],"&gt;=1"))</f>
        <v/>
      </c>
      <c r="U73" s="11">
        <f>IF(S73="","",COUNTIFS(tblPCSInput[Call Date/Time],"&gt;="&amp;(SETUP!$B$6),tblPCSInput[Call Date/Time],"&lt;"&amp;(SETUP!$B$7),tblPCSInput[Call Direction],"I",tblPCSInput[Agent ID],$A73,tblPCSInput[Valid Q1],"&gt;3"))</f>
        <v/>
      </c>
      <c r="V73" s="13">
        <f>IFERROR(Q73/P73,"")</f>
        <v/>
      </c>
      <c r="W73" s="13">
        <f>IFERROR(R73/P73,"")</f>
        <v/>
      </c>
    </row>
    <row r="74" spans="1:23">
      <c r="A74" s="4">
        <f>IF(ROSTER!A74="","",ROSTER!A74)</f>
        <v>204015</v>
      </c>
      <c r="B74" s="4" t="str">
        <f>IF($A74="","",ROSTER!C74)</f>
        <v>Dekker Leila</v>
      </c>
      <c r="C74" s="4" t="str">
        <f>IF($A74="","",ROSTER!D74)</f>
        <v>Ilyasse Derrazi</v>
      </c>
      <c r="D74" s="4" t="str">
        <f>IF($A74="","",ROSTER!E74)</f>
        <v>Anas OUAKKAD</v>
      </c>
      <c r="E74" s="4" t="str">
        <f>IF($A74="","",ROSTER!F74)</f>
        <v>Ford Dutch</v>
      </c>
      <c r="F74" s="11">
        <f>IF($A74="","",COUNTIFS(tblPCSInput[Call Date/Time],"&gt;="&amp;(SETUP!$B$5),tblPCSInput[Call Date/Time],"&lt;"&amp;(SETUP!$B$5+1),tblPCSInput[Call Direction],"I",tblPCSInput[Agent ID],$A74,tblPCSInput[PCSStatus],1))</f>
        <v/>
      </c>
      <c r="G74" s="11">
        <f>IF($A74="","",COUNTIFS(tblPCSInput[Call Date/Time],"&gt;="&amp;(SETUP!$B$5),tblPCSInput[Call Date/Time],"&lt;"&amp;(SETUP!$B$5+1),tblPCSInput[Call Direction],"I",tblPCSInput[Agent ID],$A74,tblPCSInput[Question 1],"&lt;&gt;"))</f>
        <v/>
      </c>
      <c r="H74" s="11">
        <f>IF($A74="","",COUNTIFS(tblPCSInput[Call Date/Time],"&gt;="&amp;(SETUP!$B$5),tblPCSInput[Call Date/Time],"&lt;"&amp;(SETUP!$B$5+1),tblPCSInput[Call Direction],"I",tblPCSInput[Agent ID],$A74,tblPCSInput[Valid Q1],"&gt;=1"))</f>
        <v/>
      </c>
      <c r="I74" s="12">
        <f>IFERROR(SUMIFS(tblPCSInput[Valid Q1],tblPCSInput[Call Date/Time],"&gt;="&amp;SETUP!$B$5,tblPCSInput[Call Date/Time],"&lt;"&amp;SETUP!$B$5+1,tblPCSInput[Call Direction],"I",tblPCSInput[Agent ID],$A74)/COUNTIFS(tblPCSInput[Call Date/Time],"&gt;="&amp;(SETUP!$B$5),tblPCSInput[Call Date/Time],"&lt;"&amp;(SETUP!$B$5+1),tblPCSInput[Call Direction],"I",tblPCSInput[Agent ID],$A74,tblPCSInput[Valid Q1],"&gt;=1"),"")</f>
        <v/>
      </c>
      <c r="J74" s="11">
        <f>IF(I74="","",COUNTIFS(tblPCSInput[Call Date/Time],"&gt;="&amp;(SETUP!$B$5),tblPCSInput[Call Date/Time],"&lt;"&amp;(SETUP!$B$5+1),tblPCSInput[Call Direction],"I",tblPCSInput[Agent ID],$A74,tblPCSInput[Valid Q1],"&lt;=3",tblPCSInput[Valid Q1],"&gt;=1"))</f>
        <v/>
      </c>
      <c r="K74" s="11">
        <f>IF(I74="","",COUNTIFS(tblPCSInput[Call Date/Time],"&gt;="&amp;(SETUP!$B$5),tblPCSInput[Call Date/Time],"&lt;"&amp;(SETUP!$B$5+1),tblPCSInput[Call Direction],"I",tblPCSInput[Agent ID],$A74,tblPCSInput[Valid Q1],"&gt;3"))</f>
        <v/>
      </c>
      <c r="L74" s="13">
        <f>IFERROR(G74/F74,"")</f>
        <v/>
      </c>
      <c r="M74" s="13">
        <f>IFERROR(H74/F74,"")</f>
        <v/>
      </c>
      <c r="N74" s="11">
        <f>IF($A74="","",MAX(0,G74-H74))</f>
        <v/>
      </c>
      <c r="O74" s="4">
        <f>IF($A74="","",IF(H74=0,"NO VALID SURVEY",IF(H74&lt;5,"LOW SAMPLE","OK")))</f>
        <v/>
      </c>
      <c r="P74" s="11">
        <f>IF($A74="","",COUNTIFS(tblPCSInput[Call Date/Time],"&gt;="&amp;(SETUP!$B$6),tblPCSInput[Call Date/Time],"&lt;"&amp;(SETUP!$B$7),tblPCSInput[Call Direction],"I",tblPCSInput[Agent ID],$A74,tblPCSInput[PCSStatus],1))</f>
        <v/>
      </c>
      <c r="Q74" s="11">
        <f>IF($A74="","",COUNTIFS(tblPCSInput[Call Date/Time],"&gt;="&amp;(SETUP!$B$6),tblPCSInput[Call Date/Time],"&lt;"&amp;(SETUP!$B$7),tblPCSInput[Call Direction],"I",tblPCSInput[Agent ID],$A74,tblPCSInput[Question 1],"&lt;&gt;"))</f>
        <v/>
      </c>
      <c r="R74" s="11">
        <f>IF($A74="","",COUNTIFS(tblPCSInput[Call Date/Time],"&gt;="&amp;(SETUP!$B$6),tblPCSInput[Call Date/Time],"&lt;"&amp;(SETUP!$B$7),tblPCSInput[Call Direction],"I",tblPCSInput[Agent ID],$A74,tblPCSInput[Valid Q1],"&gt;=1"))</f>
        <v/>
      </c>
      <c r="S74" s="12">
        <f>IFERROR(SUMIFS(tblPCSInput[Valid Q1],tblPCSInput[Call Date/Time],"&gt;="&amp;SETUP!$B$6,tblPCSInput[Call Date/Time],"&lt;"&amp;SETUP!$B$7,tblPCSInput[Call Direction],"I",tblPCSInput[Agent ID],$A74)/COUNTIFS(tblPCSInput[Call Date/Time],"&gt;="&amp;(SETUP!$B$6),tblPCSInput[Call Date/Time],"&lt;"&amp;(SETUP!$B$7),tblPCSInput[Call Direction],"I",tblPCSInput[Agent ID],$A74,tblPCSInput[Valid Q1],"&gt;=1"),"")</f>
        <v/>
      </c>
      <c r="T74" s="11">
        <f>IF(S74="","",COUNTIFS(tblPCSInput[Call Date/Time],"&gt;="&amp;(SETUP!$B$6),tblPCSInput[Call Date/Time],"&lt;"&amp;(SETUP!$B$7),tblPCSInput[Call Direction],"I",tblPCSInput[Agent ID],$A74,tblPCSInput[Valid Q1],"&lt;=3",tblPCSInput[Valid Q1],"&gt;=1"))</f>
        <v/>
      </c>
      <c r="U74" s="11">
        <f>IF(S74="","",COUNTIFS(tblPCSInput[Call Date/Time],"&gt;="&amp;(SETUP!$B$6),tblPCSInput[Call Date/Time],"&lt;"&amp;(SETUP!$B$7),tblPCSInput[Call Direction],"I",tblPCSInput[Agent ID],$A74,tblPCSInput[Valid Q1],"&gt;3"))</f>
        <v/>
      </c>
      <c r="V74" s="13">
        <f>IFERROR(Q74/P74,"")</f>
        <v/>
      </c>
      <c r="W74" s="13">
        <f>IFERROR(R74/P74,"")</f>
        <v/>
      </c>
    </row>
    <row r="75" spans="1:23">
      <c r="A75" s="4">
        <f>IF(ROSTER!A75="","",ROSTER!A75)</f>
        <v>204014</v>
      </c>
      <c r="B75" s="4" t="str">
        <f>IF($A75="","",ROSTER!C75)</f>
        <v>El Batati   Brahim</v>
      </c>
      <c r="C75" s="4" t="str">
        <f>IF($A75="","",ROSTER!D75)</f>
        <v>Chaima Amrani</v>
      </c>
      <c r="D75" s="4" t="str">
        <f>IF($A75="","",ROSTER!E75)</f>
        <v>Anas OUAKKAD</v>
      </c>
      <c r="E75" s="4" t="str">
        <f>IF($A75="","",ROSTER!F75)</f>
        <v>Ford Dutch</v>
      </c>
      <c r="F75" s="11">
        <f>IF($A75="","",COUNTIFS(tblPCSInput[Call Date/Time],"&gt;="&amp;(SETUP!$B$5),tblPCSInput[Call Date/Time],"&lt;"&amp;(SETUP!$B$5+1),tblPCSInput[Call Direction],"I",tblPCSInput[Agent ID],$A75,tblPCSInput[PCSStatus],1))</f>
        <v/>
      </c>
      <c r="G75" s="11">
        <f>IF($A75="","",COUNTIFS(tblPCSInput[Call Date/Time],"&gt;="&amp;(SETUP!$B$5),tblPCSInput[Call Date/Time],"&lt;"&amp;(SETUP!$B$5+1),tblPCSInput[Call Direction],"I",tblPCSInput[Agent ID],$A75,tblPCSInput[Question 1],"&lt;&gt;"))</f>
        <v/>
      </c>
      <c r="H75" s="11">
        <f>IF($A75="","",COUNTIFS(tblPCSInput[Call Date/Time],"&gt;="&amp;(SETUP!$B$5),tblPCSInput[Call Date/Time],"&lt;"&amp;(SETUP!$B$5+1),tblPCSInput[Call Direction],"I",tblPCSInput[Agent ID],$A75,tblPCSInput[Valid Q1],"&gt;=1"))</f>
        <v/>
      </c>
      <c r="I75" s="12">
        <f>IFERROR(SUMIFS(tblPCSInput[Valid Q1],tblPCSInput[Call Date/Time],"&gt;="&amp;SETUP!$B$5,tblPCSInput[Call Date/Time],"&lt;"&amp;SETUP!$B$5+1,tblPCSInput[Call Direction],"I",tblPCSInput[Agent ID],$A75)/COUNTIFS(tblPCSInput[Call Date/Time],"&gt;="&amp;(SETUP!$B$5),tblPCSInput[Call Date/Time],"&lt;"&amp;(SETUP!$B$5+1),tblPCSInput[Call Direction],"I",tblPCSInput[Agent ID],$A75,tblPCSInput[Valid Q1],"&gt;=1"),"")</f>
        <v/>
      </c>
      <c r="J75" s="11">
        <f>IF(I75="","",COUNTIFS(tblPCSInput[Call Date/Time],"&gt;="&amp;(SETUP!$B$5),tblPCSInput[Call Date/Time],"&lt;"&amp;(SETUP!$B$5+1),tblPCSInput[Call Direction],"I",tblPCSInput[Agent ID],$A75,tblPCSInput[Valid Q1],"&lt;=3",tblPCSInput[Valid Q1],"&gt;=1"))</f>
        <v/>
      </c>
      <c r="K75" s="11">
        <f>IF(I75="","",COUNTIFS(tblPCSInput[Call Date/Time],"&gt;="&amp;(SETUP!$B$5),tblPCSInput[Call Date/Time],"&lt;"&amp;(SETUP!$B$5+1),tblPCSInput[Call Direction],"I",tblPCSInput[Agent ID],$A75,tblPCSInput[Valid Q1],"&gt;3"))</f>
        <v/>
      </c>
      <c r="L75" s="13">
        <f>IFERROR(G75/F75,"")</f>
        <v/>
      </c>
      <c r="M75" s="13">
        <f>IFERROR(H75/F75,"")</f>
        <v/>
      </c>
      <c r="N75" s="11">
        <f>IF($A75="","",MAX(0,G75-H75))</f>
        <v/>
      </c>
      <c r="O75" s="4">
        <f>IF($A75="","",IF(H75=0,"NO VALID SURVEY",IF(H75&lt;5,"LOW SAMPLE","OK")))</f>
        <v/>
      </c>
      <c r="P75" s="11">
        <f>IF($A75="","",COUNTIFS(tblPCSInput[Call Date/Time],"&gt;="&amp;(SETUP!$B$6),tblPCSInput[Call Date/Time],"&lt;"&amp;(SETUP!$B$7),tblPCSInput[Call Direction],"I",tblPCSInput[Agent ID],$A75,tblPCSInput[PCSStatus],1))</f>
        <v/>
      </c>
      <c r="Q75" s="11">
        <f>IF($A75="","",COUNTIFS(tblPCSInput[Call Date/Time],"&gt;="&amp;(SETUP!$B$6),tblPCSInput[Call Date/Time],"&lt;"&amp;(SETUP!$B$7),tblPCSInput[Call Direction],"I",tblPCSInput[Agent ID],$A75,tblPCSInput[Question 1],"&lt;&gt;"))</f>
        <v/>
      </c>
      <c r="R75" s="11">
        <f>IF($A75="","",COUNTIFS(tblPCSInput[Call Date/Time],"&gt;="&amp;(SETUP!$B$6),tblPCSInput[Call Date/Time],"&lt;"&amp;(SETUP!$B$7),tblPCSInput[Call Direction],"I",tblPCSInput[Agent ID],$A75,tblPCSInput[Valid Q1],"&gt;=1"))</f>
        <v/>
      </c>
      <c r="S75" s="12">
        <f>IFERROR(SUMIFS(tblPCSInput[Valid Q1],tblPCSInput[Call Date/Time],"&gt;="&amp;SETUP!$B$6,tblPCSInput[Call Date/Time],"&lt;"&amp;SETUP!$B$7,tblPCSInput[Call Direction],"I",tblPCSInput[Agent ID],$A75)/COUNTIFS(tblPCSInput[Call Date/Time],"&gt;="&amp;(SETUP!$B$6),tblPCSInput[Call Date/Time],"&lt;"&amp;(SETUP!$B$7),tblPCSInput[Call Direction],"I",tblPCSInput[Agent ID],$A75,tblPCSInput[Valid Q1],"&gt;=1"),"")</f>
        <v/>
      </c>
      <c r="T75" s="11">
        <f>IF(S75="","",COUNTIFS(tblPCSInput[Call Date/Time],"&gt;="&amp;(SETUP!$B$6),tblPCSInput[Call Date/Time],"&lt;"&amp;(SETUP!$B$7),tblPCSInput[Call Direction],"I",tblPCSInput[Agent ID],$A75,tblPCSInput[Valid Q1],"&lt;=3",tblPCSInput[Valid Q1],"&gt;=1"))</f>
        <v/>
      </c>
      <c r="U75" s="11">
        <f>IF(S75="","",COUNTIFS(tblPCSInput[Call Date/Time],"&gt;="&amp;(SETUP!$B$6),tblPCSInput[Call Date/Time],"&lt;"&amp;(SETUP!$B$7),tblPCSInput[Call Direction],"I",tblPCSInput[Agent ID],$A75,tblPCSInput[Valid Q1],"&gt;3"))</f>
        <v/>
      </c>
      <c r="V75" s="13">
        <f>IFERROR(Q75/P75,"")</f>
        <v/>
      </c>
      <c r="W75" s="13">
        <f>IFERROR(R75/P75,"")</f>
        <v/>
      </c>
    </row>
    <row r="76" spans="1:23">
      <c r="A76" s="4">
        <f>IF(ROSTER!A76="","",ROSTER!A76)</f>
        <v>204049</v>
      </c>
      <c r="B76" s="4" t="str">
        <f>IF($A76="","",ROSTER!C76)</f>
        <v>Chantoufi Said</v>
      </c>
      <c r="C76" s="4" t="str">
        <f>IF($A76="","",ROSTER!D76)</f>
        <v>Youssef El Ghazi</v>
      </c>
      <c r="D76" s="4" t="str">
        <f>IF($A76="","",ROSTER!E76)</f>
        <v>Anas OUAKKAD</v>
      </c>
      <c r="E76" s="4" t="str">
        <f>IF($A76="","",ROSTER!F76)</f>
        <v>Ford Dutch</v>
      </c>
      <c r="F76" s="11">
        <f>IF($A76="","",COUNTIFS(tblPCSInput[Call Date/Time],"&gt;="&amp;(SETUP!$B$5),tblPCSInput[Call Date/Time],"&lt;"&amp;(SETUP!$B$5+1),tblPCSInput[Call Direction],"I",tblPCSInput[Agent ID],$A76,tblPCSInput[PCSStatus],1))</f>
        <v/>
      </c>
      <c r="G76" s="11">
        <f>IF($A76="","",COUNTIFS(tblPCSInput[Call Date/Time],"&gt;="&amp;(SETUP!$B$5),tblPCSInput[Call Date/Time],"&lt;"&amp;(SETUP!$B$5+1),tblPCSInput[Call Direction],"I",tblPCSInput[Agent ID],$A76,tblPCSInput[Question 1],"&lt;&gt;"))</f>
        <v/>
      </c>
      <c r="H76" s="11">
        <f>IF($A76="","",COUNTIFS(tblPCSInput[Call Date/Time],"&gt;="&amp;(SETUP!$B$5),tblPCSInput[Call Date/Time],"&lt;"&amp;(SETUP!$B$5+1),tblPCSInput[Call Direction],"I",tblPCSInput[Agent ID],$A76,tblPCSInput[Valid Q1],"&gt;=1"))</f>
        <v/>
      </c>
      <c r="I76" s="12">
        <f>IFERROR(SUMIFS(tblPCSInput[Valid Q1],tblPCSInput[Call Date/Time],"&gt;="&amp;SETUP!$B$5,tblPCSInput[Call Date/Time],"&lt;"&amp;SETUP!$B$5+1,tblPCSInput[Call Direction],"I",tblPCSInput[Agent ID],$A76)/COUNTIFS(tblPCSInput[Call Date/Time],"&gt;="&amp;(SETUP!$B$5),tblPCSInput[Call Date/Time],"&lt;"&amp;(SETUP!$B$5+1),tblPCSInput[Call Direction],"I",tblPCSInput[Agent ID],$A76,tblPCSInput[Valid Q1],"&gt;=1"),"")</f>
        <v/>
      </c>
      <c r="J76" s="11">
        <f>IF(I76="","",COUNTIFS(tblPCSInput[Call Date/Time],"&gt;="&amp;(SETUP!$B$5),tblPCSInput[Call Date/Time],"&lt;"&amp;(SETUP!$B$5+1),tblPCSInput[Call Direction],"I",tblPCSInput[Agent ID],$A76,tblPCSInput[Valid Q1],"&lt;=3",tblPCSInput[Valid Q1],"&gt;=1"))</f>
        <v/>
      </c>
      <c r="K76" s="11">
        <f>IF(I76="","",COUNTIFS(tblPCSInput[Call Date/Time],"&gt;="&amp;(SETUP!$B$5),tblPCSInput[Call Date/Time],"&lt;"&amp;(SETUP!$B$5+1),tblPCSInput[Call Direction],"I",tblPCSInput[Agent ID],$A76,tblPCSInput[Valid Q1],"&gt;3"))</f>
        <v/>
      </c>
      <c r="L76" s="13">
        <f>IFERROR(G76/F76,"")</f>
        <v/>
      </c>
      <c r="M76" s="13">
        <f>IFERROR(H76/F76,"")</f>
        <v/>
      </c>
      <c r="N76" s="11">
        <f>IF($A76="","",MAX(0,G76-H76))</f>
        <v/>
      </c>
      <c r="O76" s="4">
        <f>IF($A76="","",IF(H76=0,"NO VALID SURVEY",IF(H76&lt;5,"LOW SAMPLE","OK")))</f>
        <v/>
      </c>
      <c r="P76" s="11">
        <f>IF($A76="","",COUNTIFS(tblPCSInput[Call Date/Time],"&gt;="&amp;(SETUP!$B$6),tblPCSInput[Call Date/Time],"&lt;"&amp;(SETUP!$B$7),tblPCSInput[Call Direction],"I",tblPCSInput[Agent ID],$A76,tblPCSInput[PCSStatus],1))</f>
        <v/>
      </c>
      <c r="Q76" s="11">
        <f>IF($A76="","",COUNTIFS(tblPCSInput[Call Date/Time],"&gt;="&amp;(SETUP!$B$6),tblPCSInput[Call Date/Time],"&lt;"&amp;(SETUP!$B$7),tblPCSInput[Call Direction],"I",tblPCSInput[Agent ID],$A76,tblPCSInput[Question 1],"&lt;&gt;"))</f>
        <v/>
      </c>
      <c r="R76" s="11">
        <f>IF($A76="","",COUNTIFS(tblPCSInput[Call Date/Time],"&gt;="&amp;(SETUP!$B$6),tblPCSInput[Call Date/Time],"&lt;"&amp;(SETUP!$B$7),tblPCSInput[Call Direction],"I",tblPCSInput[Agent ID],$A76,tblPCSInput[Valid Q1],"&gt;=1"))</f>
        <v/>
      </c>
      <c r="S76" s="12">
        <f>IFERROR(SUMIFS(tblPCSInput[Valid Q1],tblPCSInput[Call Date/Time],"&gt;="&amp;SETUP!$B$6,tblPCSInput[Call Date/Time],"&lt;"&amp;SETUP!$B$7,tblPCSInput[Call Direction],"I",tblPCSInput[Agent ID],$A76)/COUNTIFS(tblPCSInput[Call Date/Time],"&gt;="&amp;(SETUP!$B$6),tblPCSInput[Call Date/Time],"&lt;"&amp;(SETUP!$B$7),tblPCSInput[Call Direction],"I",tblPCSInput[Agent ID],$A76,tblPCSInput[Valid Q1],"&gt;=1"),"")</f>
        <v/>
      </c>
      <c r="T76" s="11">
        <f>IF(S76="","",COUNTIFS(tblPCSInput[Call Date/Time],"&gt;="&amp;(SETUP!$B$6),tblPCSInput[Call Date/Time],"&lt;"&amp;(SETUP!$B$7),tblPCSInput[Call Direction],"I",tblPCSInput[Agent ID],$A76,tblPCSInput[Valid Q1],"&lt;=3",tblPCSInput[Valid Q1],"&gt;=1"))</f>
        <v/>
      </c>
      <c r="U76" s="11">
        <f>IF(S76="","",COUNTIFS(tblPCSInput[Call Date/Time],"&gt;="&amp;(SETUP!$B$6),tblPCSInput[Call Date/Time],"&lt;"&amp;(SETUP!$B$7),tblPCSInput[Call Direction],"I",tblPCSInput[Agent ID],$A76,tblPCSInput[Valid Q1],"&gt;3"))</f>
        <v/>
      </c>
      <c r="V76" s="13">
        <f>IFERROR(Q76/P76,"")</f>
        <v/>
      </c>
      <c r="W76" s="13">
        <f>IFERROR(R76/P76,"")</f>
        <v/>
      </c>
    </row>
    <row r="77" spans="1:23">
      <c r="A77" s="4">
        <f>IF(ROSTER!A77="","",ROSTER!A77)</f>
        <v>96499</v>
      </c>
      <c r="B77" s="4" t="str">
        <f>IF($A77="","",ROSTER!C77)</f>
        <v>VERMEIRE Monique</v>
      </c>
      <c r="C77" s="4" t="str">
        <f>IF($A77="","",ROSTER!D77)</f>
        <v>Adil LAGRAOUI</v>
      </c>
      <c r="D77" s="4" t="str">
        <f>IF($A77="","",ROSTER!E77)</f>
        <v>Anas OUAKKAD</v>
      </c>
      <c r="E77" s="4" t="str">
        <f>IF($A77="","",ROSTER!F77)</f>
        <v>RSA NL</v>
      </c>
      <c r="F77" s="11">
        <f>IF($A77="","",COUNTIFS(tblPCSInput[Call Date/Time],"&gt;="&amp;(SETUP!$B$5),tblPCSInput[Call Date/Time],"&lt;"&amp;(SETUP!$B$5+1),tblPCSInput[Call Direction],"I",tblPCSInput[Agent ID],$A77,tblPCSInput[PCSStatus],1))</f>
        <v/>
      </c>
      <c r="G77" s="11">
        <f>IF($A77="","",COUNTIFS(tblPCSInput[Call Date/Time],"&gt;="&amp;(SETUP!$B$5),tblPCSInput[Call Date/Time],"&lt;"&amp;(SETUP!$B$5+1),tblPCSInput[Call Direction],"I",tblPCSInput[Agent ID],$A77,tblPCSInput[Question 1],"&lt;&gt;"))</f>
        <v/>
      </c>
      <c r="H77" s="11">
        <f>IF($A77="","",COUNTIFS(tblPCSInput[Call Date/Time],"&gt;="&amp;(SETUP!$B$5),tblPCSInput[Call Date/Time],"&lt;"&amp;(SETUP!$B$5+1),tblPCSInput[Call Direction],"I",tblPCSInput[Agent ID],$A77,tblPCSInput[Valid Q1],"&gt;=1"))</f>
        <v/>
      </c>
      <c r="I77" s="12">
        <f>IFERROR(SUMIFS(tblPCSInput[Valid Q1],tblPCSInput[Call Date/Time],"&gt;="&amp;SETUP!$B$5,tblPCSInput[Call Date/Time],"&lt;"&amp;SETUP!$B$5+1,tblPCSInput[Call Direction],"I",tblPCSInput[Agent ID],$A77)/COUNTIFS(tblPCSInput[Call Date/Time],"&gt;="&amp;(SETUP!$B$5),tblPCSInput[Call Date/Time],"&lt;"&amp;(SETUP!$B$5+1),tblPCSInput[Call Direction],"I",tblPCSInput[Agent ID],$A77,tblPCSInput[Valid Q1],"&gt;=1"),"")</f>
        <v/>
      </c>
      <c r="J77" s="11">
        <f>IF(I77="","",COUNTIFS(tblPCSInput[Call Date/Time],"&gt;="&amp;(SETUP!$B$5),tblPCSInput[Call Date/Time],"&lt;"&amp;(SETUP!$B$5+1),tblPCSInput[Call Direction],"I",tblPCSInput[Agent ID],$A77,tblPCSInput[Valid Q1],"&lt;=3",tblPCSInput[Valid Q1],"&gt;=1"))</f>
        <v/>
      </c>
      <c r="K77" s="11">
        <f>IF(I77="","",COUNTIFS(tblPCSInput[Call Date/Time],"&gt;="&amp;(SETUP!$B$5),tblPCSInput[Call Date/Time],"&lt;"&amp;(SETUP!$B$5+1),tblPCSInput[Call Direction],"I",tblPCSInput[Agent ID],$A77,tblPCSInput[Valid Q1],"&gt;3"))</f>
        <v/>
      </c>
      <c r="L77" s="13">
        <f>IFERROR(G77/F77,"")</f>
        <v/>
      </c>
      <c r="M77" s="13">
        <f>IFERROR(H77/F77,"")</f>
        <v/>
      </c>
      <c r="N77" s="11">
        <f>IF($A77="","",MAX(0,G77-H77))</f>
        <v/>
      </c>
      <c r="O77" s="4">
        <f>IF($A77="","",IF(H77=0,"NO VALID SURVEY",IF(H77&lt;5,"LOW SAMPLE","OK")))</f>
        <v/>
      </c>
      <c r="P77" s="11">
        <f>IF($A77="","",COUNTIFS(tblPCSInput[Call Date/Time],"&gt;="&amp;(SETUP!$B$6),tblPCSInput[Call Date/Time],"&lt;"&amp;(SETUP!$B$7),tblPCSInput[Call Direction],"I",tblPCSInput[Agent ID],$A77,tblPCSInput[PCSStatus],1))</f>
        <v/>
      </c>
      <c r="Q77" s="11">
        <f>IF($A77="","",COUNTIFS(tblPCSInput[Call Date/Time],"&gt;="&amp;(SETUP!$B$6),tblPCSInput[Call Date/Time],"&lt;"&amp;(SETUP!$B$7),tblPCSInput[Call Direction],"I",tblPCSInput[Agent ID],$A77,tblPCSInput[Question 1],"&lt;&gt;"))</f>
        <v/>
      </c>
      <c r="R77" s="11">
        <f>IF($A77="","",COUNTIFS(tblPCSInput[Call Date/Time],"&gt;="&amp;(SETUP!$B$6),tblPCSInput[Call Date/Time],"&lt;"&amp;(SETUP!$B$7),tblPCSInput[Call Direction],"I",tblPCSInput[Agent ID],$A77,tblPCSInput[Valid Q1],"&gt;=1"))</f>
        <v/>
      </c>
      <c r="S77" s="12">
        <f>IFERROR(SUMIFS(tblPCSInput[Valid Q1],tblPCSInput[Call Date/Time],"&gt;="&amp;SETUP!$B$6,tblPCSInput[Call Date/Time],"&lt;"&amp;SETUP!$B$7,tblPCSInput[Call Direction],"I",tblPCSInput[Agent ID],$A77)/COUNTIFS(tblPCSInput[Call Date/Time],"&gt;="&amp;(SETUP!$B$6),tblPCSInput[Call Date/Time],"&lt;"&amp;(SETUP!$B$7),tblPCSInput[Call Direction],"I",tblPCSInput[Agent ID],$A77,tblPCSInput[Valid Q1],"&gt;=1"),"")</f>
        <v/>
      </c>
      <c r="T77" s="11">
        <f>IF(S77="","",COUNTIFS(tblPCSInput[Call Date/Time],"&gt;="&amp;(SETUP!$B$6),tblPCSInput[Call Date/Time],"&lt;"&amp;(SETUP!$B$7),tblPCSInput[Call Direction],"I",tblPCSInput[Agent ID],$A77,tblPCSInput[Valid Q1],"&lt;=3",tblPCSInput[Valid Q1],"&gt;=1"))</f>
        <v/>
      </c>
      <c r="U77" s="11">
        <f>IF(S77="","",COUNTIFS(tblPCSInput[Call Date/Time],"&gt;="&amp;(SETUP!$B$6),tblPCSInput[Call Date/Time],"&lt;"&amp;(SETUP!$B$7),tblPCSInput[Call Direction],"I",tblPCSInput[Agent ID],$A77,tblPCSInput[Valid Q1],"&gt;3"))</f>
        <v/>
      </c>
      <c r="V77" s="13">
        <f>IFERROR(Q77/P77,"")</f>
        <v/>
      </c>
      <c r="W77" s="13">
        <f>IFERROR(R77/P77,"")</f>
        <v/>
      </c>
    </row>
    <row r="78" spans="1:23">
      <c r="A78" s="4">
        <f>IF(ROSTER!A78="","",ROSTER!A78)</f>
        <v>204019</v>
      </c>
      <c r="B78" s="4" t="str">
        <f>IF($A78="","",ROSTER!C78)</f>
        <v>Aharouach Hoesein</v>
      </c>
      <c r="C78" s="4" t="str">
        <f>IF($A78="","",ROSTER!D78)</f>
        <v>Chaima Amrani</v>
      </c>
      <c r="D78" s="4" t="str">
        <f>IF($A78="","",ROSTER!E78)</f>
        <v>Anas OUAKKAD</v>
      </c>
      <c r="E78" s="4" t="str">
        <f>IF($A78="","",ROSTER!F78)</f>
        <v>Ford Dutch</v>
      </c>
      <c r="F78" s="11">
        <f>IF($A78="","",COUNTIFS(tblPCSInput[Call Date/Time],"&gt;="&amp;(SETUP!$B$5),tblPCSInput[Call Date/Time],"&lt;"&amp;(SETUP!$B$5+1),tblPCSInput[Call Direction],"I",tblPCSInput[Agent ID],$A78,tblPCSInput[PCSStatus],1))</f>
        <v/>
      </c>
      <c r="G78" s="11">
        <f>IF($A78="","",COUNTIFS(tblPCSInput[Call Date/Time],"&gt;="&amp;(SETUP!$B$5),tblPCSInput[Call Date/Time],"&lt;"&amp;(SETUP!$B$5+1),tblPCSInput[Call Direction],"I",tblPCSInput[Agent ID],$A78,tblPCSInput[Question 1],"&lt;&gt;"))</f>
        <v/>
      </c>
      <c r="H78" s="11">
        <f>IF($A78="","",COUNTIFS(tblPCSInput[Call Date/Time],"&gt;="&amp;(SETUP!$B$5),tblPCSInput[Call Date/Time],"&lt;"&amp;(SETUP!$B$5+1),tblPCSInput[Call Direction],"I",tblPCSInput[Agent ID],$A78,tblPCSInput[Valid Q1],"&gt;=1"))</f>
        <v/>
      </c>
      <c r="I78" s="12">
        <f>IFERROR(SUMIFS(tblPCSInput[Valid Q1],tblPCSInput[Call Date/Time],"&gt;="&amp;SETUP!$B$5,tblPCSInput[Call Date/Time],"&lt;"&amp;SETUP!$B$5+1,tblPCSInput[Call Direction],"I",tblPCSInput[Agent ID],$A78)/COUNTIFS(tblPCSInput[Call Date/Time],"&gt;="&amp;(SETUP!$B$5),tblPCSInput[Call Date/Time],"&lt;"&amp;(SETUP!$B$5+1),tblPCSInput[Call Direction],"I",tblPCSInput[Agent ID],$A78,tblPCSInput[Valid Q1],"&gt;=1"),"")</f>
        <v/>
      </c>
      <c r="J78" s="11">
        <f>IF(I78="","",COUNTIFS(tblPCSInput[Call Date/Time],"&gt;="&amp;(SETUP!$B$5),tblPCSInput[Call Date/Time],"&lt;"&amp;(SETUP!$B$5+1),tblPCSInput[Call Direction],"I",tblPCSInput[Agent ID],$A78,tblPCSInput[Valid Q1],"&lt;=3",tblPCSInput[Valid Q1],"&gt;=1"))</f>
        <v/>
      </c>
      <c r="K78" s="11">
        <f>IF(I78="","",COUNTIFS(tblPCSInput[Call Date/Time],"&gt;="&amp;(SETUP!$B$5),tblPCSInput[Call Date/Time],"&lt;"&amp;(SETUP!$B$5+1),tblPCSInput[Call Direction],"I",tblPCSInput[Agent ID],$A78,tblPCSInput[Valid Q1],"&gt;3"))</f>
        <v/>
      </c>
      <c r="L78" s="13">
        <f>IFERROR(G78/F78,"")</f>
        <v/>
      </c>
      <c r="M78" s="13">
        <f>IFERROR(H78/F78,"")</f>
        <v/>
      </c>
      <c r="N78" s="11">
        <f>IF($A78="","",MAX(0,G78-H78))</f>
        <v/>
      </c>
      <c r="O78" s="4">
        <f>IF($A78="","",IF(H78=0,"NO VALID SURVEY",IF(H78&lt;5,"LOW SAMPLE","OK")))</f>
        <v/>
      </c>
      <c r="P78" s="11">
        <f>IF($A78="","",COUNTIFS(tblPCSInput[Call Date/Time],"&gt;="&amp;(SETUP!$B$6),tblPCSInput[Call Date/Time],"&lt;"&amp;(SETUP!$B$7),tblPCSInput[Call Direction],"I",tblPCSInput[Agent ID],$A78,tblPCSInput[PCSStatus],1))</f>
        <v/>
      </c>
      <c r="Q78" s="11">
        <f>IF($A78="","",COUNTIFS(tblPCSInput[Call Date/Time],"&gt;="&amp;(SETUP!$B$6),tblPCSInput[Call Date/Time],"&lt;"&amp;(SETUP!$B$7),tblPCSInput[Call Direction],"I",tblPCSInput[Agent ID],$A78,tblPCSInput[Question 1],"&lt;&gt;"))</f>
        <v/>
      </c>
      <c r="R78" s="11">
        <f>IF($A78="","",COUNTIFS(tblPCSInput[Call Date/Time],"&gt;="&amp;(SETUP!$B$6),tblPCSInput[Call Date/Time],"&lt;"&amp;(SETUP!$B$7),tblPCSInput[Call Direction],"I",tblPCSInput[Agent ID],$A78,tblPCSInput[Valid Q1],"&gt;=1"))</f>
        <v/>
      </c>
      <c r="S78" s="12">
        <f>IFERROR(SUMIFS(tblPCSInput[Valid Q1],tblPCSInput[Call Date/Time],"&gt;="&amp;SETUP!$B$6,tblPCSInput[Call Date/Time],"&lt;"&amp;SETUP!$B$7,tblPCSInput[Call Direction],"I",tblPCSInput[Agent ID],$A78)/COUNTIFS(tblPCSInput[Call Date/Time],"&gt;="&amp;(SETUP!$B$6),tblPCSInput[Call Date/Time],"&lt;"&amp;(SETUP!$B$7),tblPCSInput[Call Direction],"I",tblPCSInput[Agent ID],$A78,tblPCSInput[Valid Q1],"&gt;=1"),"")</f>
        <v/>
      </c>
      <c r="T78" s="11">
        <f>IF(S78="","",COUNTIFS(tblPCSInput[Call Date/Time],"&gt;="&amp;(SETUP!$B$6),tblPCSInput[Call Date/Time],"&lt;"&amp;(SETUP!$B$7),tblPCSInput[Call Direction],"I",tblPCSInput[Agent ID],$A78,tblPCSInput[Valid Q1],"&lt;=3",tblPCSInput[Valid Q1],"&gt;=1"))</f>
        <v/>
      </c>
      <c r="U78" s="11">
        <f>IF(S78="","",COUNTIFS(tblPCSInput[Call Date/Time],"&gt;="&amp;(SETUP!$B$6),tblPCSInput[Call Date/Time],"&lt;"&amp;(SETUP!$B$7),tblPCSInput[Call Direction],"I",tblPCSInput[Agent ID],$A78,tblPCSInput[Valid Q1],"&gt;3"))</f>
        <v/>
      </c>
      <c r="V78" s="13">
        <f>IFERROR(Q78/P78,"")</f>
        <v/>
      </c>
      <c r="W78" s="13">
        <f>IFERROR(R78/P78,"")</f>
        <v/>
      </c>
    </row>
    <row r="79" spans="1:23">
      <c r="A79" s="4">
        <f>IF(ROSTER!A79="","",ROSTER!A79)</f>
        <v>205262</v>
      </c>
      <c r="B79" s="4" t="str">
        <f>IF($A79="","",ROSTER!C79)</f>
        <v>El Jassifi Anas</v>
      </c>
      <c r="C79" s="4" t="str">
        <f>IF($A79="","",ROSTER!D79)</f>
        <v>Malak AZERKI</v>
      </c>
      <c r="D79" s="4" t="str">
        <f>IF($A79="","",ROSTER!E79)</f>
        <v>Anas OUAKKAD</v>
      </c>
      <c r="E79" s="4" t="str">
        <f>IF($A79="","",ROSTER!F79)</f>
        <v>OEM FR</v>
      </c>
      <c r="F79" s="11">
        <f>IF($A79="","",COUNTIFS(tblPCSInput[Call Date/Time],"&gt;="&amp;(SETUP!$B$5),tblPCSInput[Call Date/Time],"&lt;"&amp;(SETUP!$B$5+1),tblPCSInput[Call Direction],"I",tblPCSInput[Agent ID],$A79,tblPCSInput[PCSStatus],1))</f>
        <v/>
      </c>
      <c r="G79" s="11">
        <f>IF($A79="","",COUNTIFS(tblPCSInput[Call Date/Time],"&gt;="&amp;(SETUP!$B$5),tblPCSInput[Call Date/Time],"&lt;"&amp;(SETUP!$B$5+1),tblPCSInput[Call Direction],"I",tblPCSInput[Agent ID],$A79,tblPCSInput[Question 1],"&lt;&gt;"))</f>
        <v/>
      </c>
      <c r="H79" s="11">
        <f>IF($A79="","",COUNTIFS(tblPCSInput[Call Date/Time],"&gt;="&amp;(SETUP!$B$5),tblPCSInput[Call Date/Time],"&lt;"&amp;(SETUP!$B$5+1),tblPCSInput[Call Direction],"I",tblPCSInput[Agent ID],$A79,tblPCSInput[Valid Q1],"&gt;=1"))</f>
        <v/>
      </c>
      <c r="I79" s="12">
        <f>IFERROR(SUMIFS(tblPCSInput[Valid Q1],tblPCSInput[Call Date/Time],"&gt;="&amp;SETUP!$B$5,tblPCSInput[Call Date/Time],"&lt;"&amp;SETUP!$B$5+1,tblPCSInput[Call Direction],"I",tblPCSInput[Agent ID],$A79)/COUNTIFS(tblPCSInput[Call Date/Time],"&gt;="&amp;(SETUP!$B$5),tblPCSInput[Call Date/Time],"&lt;"&amp;(SETUP!$B$5+1),tblPCSInput[Call Direction],"I",tblPCSInput[Agent ID],$A79,tblPCSInput[Valid Q1],"&gt;=1"),"")</f>
        <v/>
      </c>
      <c r="J79" s="11">
        <f>IF(I79="","",COUNTIFS(tblPCSInput[Call Date/Time],"&gt;="&amp;(SETUP!$B$5),tblPCSInput[Call Date/Time],"&lt;"&amp;(SETUP!$B$5+1),tblPCSInput[Call Direction],"I",tblPCSInput[Agent ID],$A79,tblPCSInput[Valid Q1],"&lt;=3",tblPCSInput[Valid Q1],"&gt;=1"))</f>
        <v/>
      </c>
      <c r="K79" s="11">
        <f>IF(I79="","",COUNTIFS(tblPCSInput[Call Date/Time],"&gt;="&amp;(SETUP!$B$5),tblPCSInput[Call Date/Time],"&lt;"&amp;(SETUP!$B$5+1),tblPCSInput[Call Direction],"I",tblPCSInput[Agent ID],$A79,tblPCSInput[Valid Q1],"&gt;3"))</f>
        <v/>
      </c>
      <c r="L79" s="13">
        <f>IFERROR(G79/F79,"")</f>
        <v/>
      </c>
      <c r="M79" s="13">
        <f>IFERROR(H79/F79,"")</f>
        <v/>
      </c>
      <c r="N79" s="11">
        <f>IF($A79="","",MAX(0,G79-H79))</f>
        <v/>
      </c>
      <c r="O79" s="4">
        <f>IF($A79="","",IF(H79=0,"NO VALID SURVEY",IF(H79&lt;5,"LOW SAMPLE","OK")))</f>
        <v/>
      </c>
      <c r="P79" s="11">
        <f>IF($A79="","",COUNTIFS(tblPCSInput[Call Date/Time],"&gt;="&amp;(SETUP!$B$6),tblPCSInput[Call Date/Time],"&lt;"&amp;(SETUP!$B$7),tblPCSInput[Call Direction],"I",tblPCSInput[Agent ID],$A79,tblPCSInput[PCSStatus],1))</f>
        <v/>
      </c>
      <c r="Q79" s="11">
        <f>IF($A79="","",COUNTIFS(tblPCSInput[Call Date/Time],"&gt;="&amp;(SETUP!$B$6),tblPCSInput[Call Date/Time],"&lt;"&amp;(SETUP!$B$7),tblPCSInput[Call Direction],"I",tblPCSInput[Agent ID],$A79,tblPCSInput[Question 1],"&lt;&gt;"))</f>
        <v/>
      </c>
      <c r="R79" s="11">
        <f>IF($A79="","",COUNTIFS(tblPCSInput[Call Date/Time],"&gt;="&amp;(SETUP!$B$6),tblPCSInput[Call Date/Time],"&lt;"&amp;(SETUP!$B$7),tblPCSInput[Call Direction],"I",tblPCSInput[Agent ID],$A79,tblPCSInput[Valid Q1],"&gt;=1"))</f>
        <v/>
      </c>
      <c r="S79" s="12">
        <f>IFERROR(SUMIFS(tblPCSInput[Valid Q1],tblPCSInput[Call Date/Time],"&gt;="&amp;SETUP!$B$6,tblPCSInput[Call Date/Time],"&lt;"&amp;SETUP!$B$7,tblPCSInput[Call Direction],"I",tblPCSInput[Agent ID],$A79)/COUNTIFS(tblPCSInput[Call Date/Time],"&gt;="&amp;(SETUP!$B$6),tblPCSInput[Call Date/Time],"&lt;"&amp;(SETUP!$B$7),tblPCSInput[Call Direction],"I",tblPCSInput[Agent ID],$A79,tblPCSInput[Valid Q1],"&gt;=1"),"")</f>
        <v/>
      </c>
      <c r="T79" s="11">
        <f>IF(S79="","",COUNTIFS(tblPCSInput[Call Date/Time],"&gt;="&amp;(SETUP!$B$6),tblPCSInput[Call Date/Time],"&lt;"&amp;(SETUP!$B$7),tblPCSInput[Call Direction],"I",tblPCSInput[Agent ID],$A79,tblPCSInput[Valid Q1],"&lt;=3",tblPCSInput[Valid Q1],"&gt;=1"))</f>
        <v/>
      </c>
      <c r="U79" s="11">
        <f>IF(S79="","",COUNTIFS(tblPCSInput[Call Date/Time],"&gt;="&amp;(SETUP!$B$6),tblPCSInput[Call Date/Time],"&lt;"&amp;(SETUP!$B$7),tblPCSInput[Call Direction],"I",tblPCSInput[Agent ID],$A79,tblPCSInput[Valid Q1],"&gt;3"))</f>
        <v/>
      </c>
      <c r="V79" s="13">
        <f>IFERROR(Q79/P79,"")</f>
        <v/>
      </c>
      <c r="W79" s="13">
        <f>IFERROR(R79/P79,"")</f>
        <v/>
      </c>
    </row>
    <row r="80" spans="1:23">
      <c r="A80" s="4">
        <f>IF(ROSTER!A80="","",ROSTER!A80)</f>
        <v>205226</v>
      </c>
      <c r="B80" s="4" t="str">
        <f>IF($A80="","",ROSTER!C80)</f>
        <v>Farahi Abdelmalek</v>
      </c>
      <c r="C80" s="4" t="str">
        <f>IF($A80="","",ROSTER!D80)</f>
        <v>Ilyasse Derrazi</v>
      </c>
      <c r="D80" s="4" t="str">
        <f>IF($A80="","",ROSTER!E80)</f>
        <v>Anas OUAKKAD</v>
      </c>
      <c r="E80" s="4" t="str">
        <f>IF($A80="","",ROSTER!F80)</f>
        <v>Ford Dutch</v>
      </c>
      <c r="F80" s="11">
        <f>IF($A80="","",COUNTIFS(tblPCSInput[Call Date/Time],"&gt;="&amp;(SETUP!$B$5),tblPCSInput[Call Date/Time],"&lt;"&amp;(SETUP!$B$5+1),tblPCSInput[Call Direction],"I",tblPCSInput[Agent ID],$A80,tblPCSInput[PCSStatus],1))</f>
        <v/>
      </c>
      <c r="G80" s="11">
        <f>IF($A80="","",COUNTIFS(tblPCSInput[Call Date/Time],"&gt;="&amp;(SETUP!$B$5),tblPCSInput[Call Date/Time],"&lt;"&amp;(SETUP!$B$5+1),tblPCSInput[Call Direction],"I",tblPCSInput[Agent ID],$A80,tblPCSInput[Question 1],"&lt;&gt;"))</f>
        <v/>
      </c>
      <c r="H80" s="11">
        <f>IF($A80="","",COUNTIFS(tblPCSInput[Call Date/Time],"&gt;="&amp;(SETUP!$B$5),tblPCSInput[Call Date/Time],"&lt;"&amp;(SETUP!$B$5+1),tblPCSInput[Call Direction],"I",tblPCSInput[Agent ID],$A80,tblPCSInput[Valid Q1],"&gt;=1"))</f>
        <v/>
      </c>
      <c r="I80" s="12">
        <f>IFERROR(SUMIFS(tblPCSInput[Valid Q1],tblPCSInput[Call Date/Time],"&gt;="&amp;SETUP!$B$5,tblPCSInput[Call Date/Time],"&lt;"&amp;SETUP!$B$5+1,tblPCSInput[Call Direction],"I",tblPCSInput[Agent ID],$A80)/COUNTIFS(tblPCSInput[Call Date/Time],"&gt;="&amp;(SETUP!$B$5),tblPCSInput[Call Date/Time],"&lt;"&amp;(SETUP!$B$5+1),tblPCSInput[Call Direction],"I",tblPCSInput[Agent ID],$A80,tblPCSInput[Valid Q1],"&gt;=1"),"")</f>
        <v/>
      </c>
      <c r="J80" s="11">
        <f>IF(I80="","",COUNTIFS(tblPCSInput[Call Date/Time],"&gt;="&amp;(SETUP!$B$5),tblPCSInput[Call Date/Time],"&lt;"&amp;(SETUP!$B$5+1),tblPCSInput[Call Direction],"I",tblPCSInput[Agent ID],$A80,tblPCSInput[Valid Q1],"&lt;=3",tblPCSInput[Valid Q1],"&gt;=1"))</f>
        <v/>
      </c>
      <c r="K80" s="11">
        <f>IF(I80="","",COUNTIFS(tblPCSInput[Call Date/Time],"&gt;="&amp;(SETUP!$B$5),tblPCSInput[Call Date/Time],"&lt;"&amp;(SETUP!$B$5+1),tblPCSInput[Call Direction],"I",tblPCSInput[Agent ID],$A80,tblPCSInput[Valid Q1],"&gt;3"))</f>
        <v/>
      </c>
      <c r="L80" s="13">
        <f>IFERROR(G80/F80,"")</f>
        <v/>
      </c>
      <c r="M80" s="13">
        <f>IFERROR(H80/F80,"")</f>
        <v/>
      </c>
      <c r="N80" s="11">
        <f>IF($A80="","",MAX(0,G80-H80))</f>
        <v/>
      </c>
      <c r="O80" s="4">
        <f>IF($A80="","",IF(H80=0,"NO VALID SURVEY",IF(H80&lt;5,"LOW SAMPLE","OK")))</f>
        <v/>
      </c>
      <c r="P80" s="11">
        <f>IF($A80="","",COUNTIFS(tblPCSInput[Call Date/Time],"&gt;="&amp;(SETUP!$B$6),tblPCSInput[Call Date/Time],"&lt;"&amp;(SETUP!$B$7),tblPCSInput[Call Direction],"I",tblPCSInput[Agent ID],$A80,tblPCSInput[PCSStatus],1))</f>
        <v/>
      </c>
      <c r="Q80" s="11">
        <f>IF($A80="","",COUNTIFS(tblPCSInput[Call Date/Time],"&gt;="&amp;(SETUP!$B$6),tblPCSInput[Call Date/Time],"&lt;"&amp;(SETUP!$B$7),tblPCSInput[Call Direction],"I",tblPCSInput[Agent ID],$A80,tblPCSInput[Question 1],"&lt;&gt;"))</f>
        <v/>
      </c>
      <c r="R80" s="11">
        <f>IF($A80="","",COUNTIFS(tblPCSInput[Call Date/Time],"&gt;="&amp;(SETUP!$B$6),tblPCSInput[Call Date/Time],"&lt;"&amp;(SETUP!$B$7),tblPCSInput[Call Direction],"I",tblPCSInput[Agent ID],$A80,tblPCSInput[Valid Q1],"&gt;=1"))</f>
        <v/>
      </c>
      <c r="S80" s="12">
        <f>IFERROR(SUMIFS(tblPCSInput[Valid Q1],tblPCSInput[Call Date/Time],"&gt;="&amp;SETUP!$B$6,tblPCSInput[Call Date/Time],"&lt;"&amp;SETUP!$B$7,tblPCSInput[Call Direction],"I",tblPCSInput[Agent ID],$A80)/COUNTIFS(tblPCSInput[Call Date/Time],"&gt;="&amp;(SETUP!$B$6),tblPCSInput[Call Date/Time],"&lt;"&amp;(SETUP!$B$7),tblPCSInput[Call Direction],"I",tblPCSInput[Agent ID],$A80,tblPCSInput[Valid Q1],"&gt;=1"),"")</f>
        <v/>
      </c>
      <c r="T80" s="11">
        <f>IF(S80="","",COUNTIFS(tblPCSInput[Call Date/Time],"&gt;="&amp;(SETUP!$B$6),tblPCSInput[Call Date/Time],"&lt;"&amp;(SETUP!$B$7),tblPCSInput[Call Direction],"I",tblPCSInput[Agent ID],$A80,tblPCSInput[Valid Q1],"&lt;=3",tblPCSInput[Valid Q1],"&gt;=1"))</f>
        <v/>
      </c>
      <c r="U80" s="11">
        <f>IF(S80="","",COUNTIFS(tblPCSInput[Call Date/Time],"&gt;="&amp;(SETUP!$B$6),tblPCSInput[Call Date/Time],"&lt;"&amp;(SETUP!$B$7),tblPCSInput[Call Direction],"I",tblPCSInput[Agent ID],$A80,tblPCSInput[Valid Q1],"&gt;3"))</f>
        <v/>
      </c>
      <c r="V80" s="13">
        <f>IFERROR(Q80/P80,"")</f>
        <v/>
      </c>
      <c r="W80" s="13">
        <f>IFERROR(R80/P80,"")</f>
        <v/>
      </c>
    </row>
    <row r="81" spans="1:23">
      <c r="A81" s="4">
        <f>IF(ROSTER!A81="","",ROSTER!A81)</f>
        <v>203589</v>
      </c>
      <c r="B81" s="4" t="str">
        <f>IF($A81="","",ROSTER!C81)</f>
        <v>El Ayoubi Ichraf</v>
      </c>
      <c r="C81" s="4" t="str">
        <f>IF($A81="","",ROSTER!D81)</f>
        <v>Youssef El Ghazi</v>
      </c>
      <c r="D81" s="4" t="str">
        <f>IF($A81="","",ROSTER!E81)</f>
        <v>Anas OUAKKAD</v>
      </c>
      <c r="E81" s="4" t="str">
        <f>IF($A81="","",ROSTER!F81)</f>
        <v>Ford Dutch</v>
      </c>
      <c r="F81" s="11">
        <f>IF($A81="","",COUNTIFS(tblPCSInput[Call Date/Time],"&gt;="&amp;(SETUP!$B$5),tblPCSInput[Call Date/Time],"&lt;"&amp;(SETUP!$B$5+1),tblPCSInput[Call Direction],"I",tblPCSInput[Agent ID],$A81,tblPCSInput[PCSStatus],1))</f>
        <v/>
      </c>
      <c r="G81" s="11">
        <f>IF($A81="","",COUNTIFS(tblPCSInput[Call Date/Time],"&gt;="&amp;(SETUP!$B$5),tblPCSInput[Call Date/Time],"&lt;"&amp;(SETUP!$B$5+1),tblPCSInput[Call Direction],"I",tblPCSInput[Agent ID],$A81,tblPCSInput[Question 1],"&lt;&gt;"))</f>
        <v/>
      </c>
      <c r="H81" s="11">
        <f>IF($A81="","",COUNTIFS(tblPCSInput[Call Date/Time],"&gt;="&amp;(SETUP!$B$5),tblPCSInput[Call Date/Time],"&lt;"&amp;(SETUP!$B$5+1),tblPCSInput[Call Direction],"I",tblPCSInput[Agent ID],$A81,tblPCSInput[Valid Q1],"&gt;=1"))</f>
        <v/>
      </c>
      <c r="I81" s="12">
        <f>IFERROR(SUMIFS(tblPCSInput[Valid Q1],tblPCSInput[Call Date/Time],"&gt;="&amp;SETUP!$B$5,tblPCSInput[Call Date/Time],"&lt;"&amp;SETUP!$B$5+1,tblPCSInput[Call Direction],"I",tblPCSInput[Agent ID],$A81)/COUNTIFS(tblPCSInput[Call Date/Time],"&gt;="&amp;(SETUP!$B$5),tblPCSInput[Call Date/Time],"&lt;"&amp;(SETUP!$B$5+1),tblPCSInput[Call Direction],"I",tblPCSInput[Agent ID],$A81,tblPCSInput[Valid Q1],"&gt;=1"),"")</f>
        <v/>
      </c>
      <c r="J81" s="11">
        <f>IF(I81="","",COUNTIFS(tblPCSInput[Call Date/Time],"&gt;="&amp;(SETUP!$B$5),tblPCSInput[Call Date/Time],"&lt;"&amp;(SETUP!$B$5+1),tblPCSInput[Call Direction],"I",tblPCSInput[Agent ID],$A81,tblPCSInput[Valid Q1],"&lt;=3",tblPCSInput[Valid Q1],"&gt;=1"))</f>
        <v/>
      </c>
      <c r="K81" s="11">
        <f>IF(I81="","",COUNTIFS(tblPCSInput[Call Date/Time],"&gt;="&amp;(SETUP!$B$5),tblPCSInput[Call Date/Time],"&lt;"&amp;(SETUP!$B$5+1),tblPCSInput[Call Direction],"I",tblPCSInput[Agent ID],$A81,tblPCSInput[Valid Q1],"&gt;3"))</f>
        <v/>
      </c>
      <c r="L81" s="13">
        <f>IFERROR(G81/F81,"")</f>
        <v/>
      </c>
      <c r="M81" s="13">
        <f>IFERROR(H81/F81,"")</f>
        <v/>
      </c>
      <c r="N81" s="11">
        <f>IF($A81="","",MAX(0,G81-H81))</f>
        <v/>
      </c>
      <c r="O81" s="4">
        <f>IF($A81="","",IF(H81=0,"NO VALID SURVEY",IF(H81&lt;5,"LOW SAMPLE","OK")))</f>
        <v/>
      </c>
      <c r="P81" s="11">
        <f>IF($A81="","",COUNTIFS(tblPCSInput[Call Date/Time],"&gt;="&amp;(SETUP!$B$6),tblPCSInput[Call Date/Time],"&lt;"&amp;(SETUP!$B$7),tblPCSInput[Call Direction],"I",tblPCSInput[Agent ID],$A81,tblPCSInput[PCSStatus],1))</f>
        <v/>
      </c>
      <c r="Q81" s="11">
        <f>IF($A81="","",COUNTIFS(tblPCSInput[Call Date/Time],"&gt;="&amp;(SETUP!$B$6),tblPCSInput[Call Date/Time],"&lt;"&amp;(SETUP!$B$7),tblPCSInput[Call Direction],"I",tblPCSInput[Agent ID],$A81,tblPCSInput[Question 1],"&lt;&gt;"))</f>
        <v/>
      </c>
      <c r="R81" s="11">
        <f>IF($A81="","",COUNTIFS(tblPCSInput[Call Date/Time],"&gt;="&amp;(SETUP!$B$6),tblPCSInput[Call Date/Time],"&lt;"&amp;(SETUP!$B$7),tblPCSInput[Call Direction],"I",tblPCSInput[Agent ID],$A81,tblPCSInput[Valid Q1],"&gt;=1"))</f>
        <v/>
      </c>
      <c r="S81" s="12">
        <f>IFERROR(SUMIFS(tblPCSInput[Valid Q1],tblPCSInput[Call Date/Time],"&gt;="&amp;SETUP!$B$6,tblPCSInput[Call Date/Time],"&lt;"&amp;SETUP!$B$7,tblPCSInput[Call Direction],"I",tblPCSInput[Agent ID],$A81)/COUNTIFS(tblPCSInput[Call Date/Time],"&gt;="&amp;(SETUP!$B$6),tblPCSInput[Call Date/Time],"&lt;"&amp;(SETUP!$B$7),tblPCSInput[Call Direction],"I",tblPCSInput[Agent ID],$A81,tblPCSInput[Valid Q1],"&gt;=1"),"")</f>
        <v/>
      </c>
      <c r="T81" s="11">
        <f>IF(S81="","",COUNTIFS(tblPCSInput[Call Date/Time],"&gt;="&amp;(SETUP!$B$6),tblPCSInput[Call Date/Time],"&lt;"&amp;(SETUP!$B$7),tblPCSInput[Call Direction],"I",tblPCSInput[Agent ID],$A81,tblPCSInput[Valid Q1],"&lt;=3",tblPCSInput[Valid Q1],"&gt;=1"))</f>
        <v/>
      </c>
      <c r="U81" s="11">
        <f>IF(S81="","",COUNTIFS(tblPCSInput[Call Date/Time],"&gt;="&amp;(SETUP!$B$6),tblPCSInput[Call Date/Time],"&lt;"&amp;(SETUP!$B$7),tblPCSInput[Call Direction],"I",tblPCSInput[Agent ID],$A81,tblPCSInput[Valid Q1],"&gt;3"))</f>
        <v/>
      </c>
      <c r="V81" s="13">
        <f>IFERROR(Q81/P81,"")</f>
        <v/>
      </c>
      <c r="W81" s="13">
        <f>IFERROR(R81/P81,"")</f>
        <v/>
      </c>
    </row>
    <row r="82" spans="1:23">
      <c r="A82" s="4">
        <f>IF(ROSTER!A82="","",ROSTER!A82)</f>
        <v>204052</v>
      </c>
      <c r="B82" s="4" t="str">
        <f>IF($A82="","",ROSTER!C82)</f>
        <v>Ajaouaou Khalid</v>
      </c>
      <c r="C82" s="4" t="str">
        <f>IF($A82="","",ROSTER!D82)</f>
        <v>Youssef El Ghazi</v>
      </c>
      <c r="D82" s="4" t="str">
        <f>IF($A82="","",ROSTER!E82)</f>
        <v>Anas OUAKKAD</v>
      </c>
      <c r="E82" s="4" t="str">
        <f>IF($A82="","",ROSTER!F82)</f>
        <v>Ford Dutch</v>
      </c>
      <c r="F82" s="11">
        <f>IF($A82="","",COUNTIFS(tblPCSInput[Call Date/Time],"&gt;="&amp;(SETUP!$B$5),tblPCSInput[Call Date/Time],"&lt;"&amp;(SETUP!$B$5+1),tblPCSInput[Call Direction],"I",tblPCSInput[Agent ID],$A82,tblPCSInput[PCSStatus],1))</f>
        <v/>
      </c>
      <c r="G82" s="11">
        <f>IF($A82="","",COUNTIFS(tblPCSInput[Call Date/Time],"&gt;="&amp;(SETUP!$B$5),tblPCSInput[Call Date/Time],"&lt;"&amp;(SETUP!$B$5+1),tblPCSInput[Call Direction],"I",tblPCSInput[Agent ID],$A82,tblPCSInput[Question 1],"&lt;&gt;"))</f>
        <v/>
      </c>
      <c r="H82" s="11">
        <f>IF($A82="","",COUNTIFS(tblPCSInput[Call Date/Time],"&gt;="&amp;(SETUP!$B$5),tblPCSInput[Call Date/Time],"&lt;"&amp;(SETUP!$B$5+1),tblPCSInput[Call Direction],"I",tblPCSInput[Agent ID],$A82,tblPCSInput[Valid Q1],"&gt;=1"))</f>
        <v/>
      </c>
      <c r="I82" s="12">
        <f>IFERROR(SUMIFS(tblPCSInput[Valid Q1],tblPCSInput[Call Date/Time],"&gt;="&amp;SETUP!$B$5,tblPCSInput[Call Date/Time],"&lt;"&amp;SETUP!$B$5+1,tblPCSInput[Call Direction],"I",tblPCSInput[Agent ID],$A82)/COUNTIFS(tblPCSInput[Call Date/Time],"&gt;="&amp;(SETUP!$B$5),tblPCSInput[Call Date/Time],"&lt;"&amp;(SETUP!$B$5+1),tblPCSInput[Call Direction],"I",tblPCSInput[Agent ID],$A82,tblPCSInput[Valid Q1],"&gt;=1"),"")</f>
        <v/>
      </c>
      <c r="J82" s="11">
        <f>IF(I82="","",COUNTIFS(tblPCSInput[Call Date/Time],"&gt;="&amp;(SETUP!$B$5),tblPCSInput[Call Date/Time],"&lt;"&amp;(SETUP!$B$5+1),tblPCSInput[Call Direction],"I",tblPCSInput[Agent ID],$A82,tblPCSInput[Valid Q1],"&lt;=3",tblPCSInput[Valid Q1],"&gt;=1"))</f>
        <v/>
      </c>
      <c r="K82" s="11">
        <f>IF(I82="","",COUNTIFS(tblPCSInput[Call Date/Time],"&gt;="&amp;(SETUP!$B$5),tblPCSInput[Call Date/Time],"&lt;"&amp;(SETUP!$B$5+1),tblPCSInput[Call Direction],"I",tblPCSInput[Agent ID],$A82,tblPCSInput[Valid Q1],"&gt;3"))</f>
        <v/>
      </c>
      <c r="L82" s="13">
        <f>IFERROR(G82/F82,"")</f>
        <v/>
      </c>
      <c r="M82" s="13">
        <f>IFERROR(H82/F82,"")</f>
        <v/>
      </c>
      <c r="N82" s="11">
        <f>IF($A82="","",MAX(0,G82-H82))</f>
        <v/>
      </c>
      <c r="O82" s="4">
        <f>IF($A82="","",IF(H82=0,"NO VALID SURVEY",IF(H82&lt;5,"LOW SAMPLE","OK")))</f>
        <v/>
      </c>
      <c r="P82" s="11">
        <f>IF($A82="","",COUNTIFS(tblPCSInput[Call Date/Time],"&gt;="&amp;(SETUP!$B$6),tblPCSInput[Call Date/Time],"&lt;"&amp;(SETUP!$B$7),tblPCSInput[Call Direction],"I",tblPCSInput[Agent ID],$A82,tblPCSInput[PCSStatus],1))</f>
        <v/>
      </c>
      <c r="Q82" s="11">
        <f>IF($A82="","",COUNTIFS(tblPCSInput[Call Date/Time],"&gt;="&amp;(SETUP!$B$6),tblPCSInput[Call Date/Time],"&lt;"&amp;(SETUP!$B$7),tblPCSInput[Call Direction],"I",tblPCSInput[Agent ID],$A82,tblPCSInput[Question 1],"&lt;&gt;"))</f>
        <v/>
      </c>
      <c r="R82" s="11">
        <f>IF($A82="","",COUNTIFS(tblPCSInput[Call Date/Time],"&gt;="&amp;(SETUP!$B$6),tblPCSInput[Call Date/Time],"&lt;"&amp;(SETUP!$B$7),tblPCSInput[Call Direction],"I",tblPCSInput[Agent ID],$A82,tblPCSInput[Valid Q1],"&gt;=1"))</f>
        <v/>
      </c>
      <c r="S82" s="12">
        <f>IFERROR(SUMIFS(tblPCSInput[Valid Q1],tblPCSInput[Call Date/Time],"&gt;="&amp;SETUP!$B$6,tblPCSInput[Call Date/Time],"&lt;"&amp;SETUP!$B$7,tblPCSInput[Call Direction],"I",tblPCSInput[Agent ID],$A82)/COUNTIFS(tblPCSInput[Call Date/Time],"&gt;="&amp;(SETUP!$B$6),tblPCSInput[Call Date/Time],"&lt;"&amp;(SETUP!$B$7),tblPCSInput[Call Direction],"I",tblPCSInput[Agent ID],$A82,tblPCSInput[Valid Q1],"&gt;=1"),"")</f>
        <v/>
      </c>
      <c r="T82" s="11">
        <f>IF(S82="","",COUNTIFS(tblPCSInput[Call Date/Time],"&gt;="&amp;(SETUP!$B$6),tblPCSInput[Call Date/Time],"&lt;"&amp;(SETUP!$B$7),tblPCSInput[Call Direction],"I",tblPCSInput[Agent ID],$A82,tblPCSInput[Valid Q1],"&lt;=3",tblPCSInput[Valid Q1],"&gt;=1"))</f>
        <v/>
      </c>
      <c r="U82" s="11">
        <f>IF(S82="","",COUNTIFS(tblPCSInput[Call Date/Time],"&gt;="&amp;(SETUP!$B$6),tblPCSInput[Call Date/Time],"&lt;"&amp;(SETUP!$B$7),tblPCSInput[Call Direction],"I",tblPCSInput[Agent ID],$A82,tblPCSInput[Valid Q1],"&gt;3"))</f>
        <v/>
      </c>
      <c r="V82" s="13">
        <f>IFERROR(Q82/P82,"")</f>
        <v/>
      </c>
      <c r="W82" s="13">
        <f>IFERROR(R82/P82,"")</f>
        <v/>
      </c>
    </row>
    <row r="83" spans="1:23">
      <c r="A83" s="4">
        <f>IF(ROSTER!A83="","",ROSTER!A83)</f>
        <v>205242</v>
      </c>
      <c r="B83" s="4" t="str">
        <f>IF($A83="","",ROSTER!C83)</f>
        <v>El Mansouri Ajaoud</v>
      </c>
      <c r="C83" s="4" t="str">
        <f>IF($A83="","",ROSTER!D83)</f>
        <v>Chaima Amrani</v>
      </c>
      <c r="D83" s="4" t="str">
        <f>IF($A83="","",ROSTER!E83)</f>
        <v>Anas OUAKKAD</v>
      </c>
      <c r="E83" s="4" t="str">
        <f>IF($A83="","",ROSTER!F83)</f>
        <v>Ford Dutch</v>
      </c>
      <c r="F83" s="11">
        <f>IF($A83="","",COUNTIFS(tblPCSInput[Call Date/Time],"&gt;="&amp;(SETUP!$B$5),tblPCSInput[Call Date/Time],"&lt;"&amp;(SETUP!$B$5+1),tblPCSInput[Call Direction],"I",tblPCSInput[Agent ID],$A83,tblPCSInput[PCSStatus],1))</f>
        <v/>
      </c>
      <c r="G83" s="11">
        <f>IF($A83="","",COUNTIFS(tblPCSInput[Call Date/Time],"&gt;="&amp;(SETUP!$B$5),tblPCSInput[Call Date/Time],"&lt;"&amp;(SETUP!$B$5+1),tblPCSInput[Call Direction],"I",tblPCSInput[Agent ID],$A83,tblPCSInput[Question 1],"&lt;&gt;"))</f>
        <v/>
      </c>
      <c r="H83" s="11">
        <f>IF($A83="","",COUNTIFS(tblPCSInput[Call Date/Time],"&gt;="&amp;(SETUP!$B$5),tblPCSInput[Call Date/Time],"&lt;"&amp;(SETUP!$B$5+1),tblPCSInput[Call Direction],"I",tblPCSInput[Agent ID],$A83,tblPCSInput[Valid Q1],"&gt;=1"))</f>
        <v/>
      </c>
      <c r="I83" s="12">
        <f>IFERROR(SUMIFS(tblPCSInput[Valid Q1],tblPCSInput[Call Date/Time],"&gt;="&amp;SETUP!$B$5,tblPCSInput[Call Date/Time],"&lt;"&amp;SETUP!$B$5+1,tblPCSInput[Call Direction],"I",tblPCSInput[Agent ID],$A83)/COUNTIFS(tblPCSInput[Call Date/Time],"&gt;="&amp;(SETUP!$B$5),tblPCSInput[Call Date/Time],"&lt;"&amp;(SETUP!$B$5+1),tblPCSInput[Call Direction],"I",tblPCSInput[Agent ID],$A83,tblPCSInput[Valid Q1],"&gt;=1"),"")</f>
        <v/>
      </c>
      <c r="J83" s="11">
        <f>IF(I83="","",COUNTIFS(tblPCSInput[Call Date/Time],"&gt;="&amp;(SETUP!$B$5),tblPCSInput[Call Date/Time],"&lt;"&amp;(SETUP!$B$5+1),tblPCSInput[Call Direction],"I",tblPCSInput[Agent ID],$A83,tblPCSInput[Valid Q1],"&lt;=3",tblPCSInput[Valid Q1],"&gt;=1"))</f>
        <v/>
      </c>
      <c r="K83" s="11">
        <f>IF(I83="","",COUNTIFS(tblPCSInput[Call Date/Time],"&gt;="&amp;(SETUP!$B$5),tblPCSInput[Call Date/Time],"&lt;"&amp;(SETUP!$B$5+1),tblPCSInput[Call Direction],"I",tblPCSInput[Agent ID],$A83,tblPCSInput[Valid Q1],"&gt;3"))</f>
        <v/>
      </c>
      <c r="L83" s="13">
        <f>IFERROR(G83/F83,"")</f>
        <v/>
      </c>
      <c r="M83" s="13">
        <f>IFERROR(H83/F83,"")</f>
        <v/>
      </c>
      <c r="N83" s="11">
        <f>IF($A83="","",MAX(0,G83-H83))</f>
        <v/>
      </c>
      <c r="O83" s="4">
        <f>IF($A83="","",IF(H83=0,"NO VALID SURVEY",IF(H83&lt;5,"LOW SAMPLE","OK")))</f>
        <v/>
      </c>
      <c r="P83" s="11">
        <f>IF($A83="","",COUNTIFS(tblPCSInput[Call Date/Time],"&gt;="&amp;(SETUP!$B$6),tblPCSInput[Call Date/Time],"&lt;"&amp;(SETUP!$B$7),tblPCSInput[Call Direction],"I",tblPCSInput[Agent ID],$A83,tblPCSInput[PCSStatus],1))</f>
        <v/>
      </c>
      <c r="Q83" s="11">
        <f>IF($A83="","",COUNTIFS(tblPCSInput[Call Date/Time],"&gt;="&amp;(SETUP!$B$6),tblPCSInput[Call Date/Time],"&lt;"&amp;(SETUP!$B$7),tblPCSInput[Call Direction],"I",tblPCSInput[Agent ID],$A83,tblPCSInput[Question 1],"&lt;&gt;"))</f>
        <v/>
      </c>
      <c r="R83" s="11">
        <f>IF($A83="","",COUNTIFS(tblPCSInput[Call Date/Time],"&gt;="&amp;(SETUP!$B$6),tblPCSInput[Call Date/Time],"&lt;"&amp;(SETUP!$B$7),tblPCSInput[Call Direction],"I",tblPCSInput[Agent ID],$A83,tblPCSInput[Valid Q1],"&gt;=1"))</f>
        <v/>
      </c>
      <c r="S83" s="12">
        <f>IFERROR(SUMIFS(tblPCSInput[Valid Q1],tblPCSInput[Call Date/Time],"&gt;="&amp;SETUP!$B$6,tblPCSInput[Call Date/Time],"&lt;"&amp;SETUP!$B$7,tblPCSInput[Call Direction],"I",tblPCSInput[Agent ID],$A83)/COUNTIFS(tblPCSInput[Call Date/Time],"&gt;="&amp;(SETUP!$B$6),tblPCSInput[Call Date/Time],"&lt;"&amp;(SETUP!$B$7),tblPCSInput[Call Direction],"I",tblPCSInput[Agent ID],$A83,tblPCSInput[Valid Q1],"&gt;=1"),"")</f>
        <v/>
      </c>
      <c r="T83" s="11">
        <f>IF(S83="","",COUNTIFS(tblPCSInput[Call Date/Time],"&gt;="&amp;(SETUP!$B$6),tblPCSInput[Call Date/Time],"&lt;"&amp;(SETUP!$B$7),tblPCSInput[Call Direction],"I",tblPCSInput[Agent ID],$A83,tblPCSInput[Valid Q1],"&lt;=3",tblPCSInput[Valid Q1],"&gt;=1"))</f>
        <v/>
      </c>
      <c r="U83" s="11">
        <f>IF(S83="","",COUNTIFS(tblPCSInput[Call Date/Time],"&gt;="&amp;(SETUP!$B$6),tblPCSInput[Call Date/Time],"&lt;"&amp;(SETUP!$B$7),tblPCSInput[Call Direction],"I",tblPCSInput[Agent ID],$A83,tblPCSInput[Valid Q1],"&gt;3"))</f>
        <v/>
      </c>
      <c r="V83" s="13">
        <f>IFERROR(Q83/P83,"")</f>
        <v/>
      </c>
      <c r="W83" s="13">
        <f>IFERROR(R83/P83,"")</f>
        <v/>
      </c>
    </row>
    <row r="84" spans="1:23">
      <c r="A84" s="4">
        <f>IF(ROSTER!A84="","",ROSTER!A84)</f>
        <v>205224</v>
      </c>
      <c r="B84" s="4" t="str">
        <f>IF($A84="","",ROSTER!C84)</f>
        <v>Ghalbi Redouane</v>
      </c>
      <c r="C84" s="4" t="str">
        <f>IF($A84="","",ROSTER!D84)</f>
        <v>Youssef El Ghazi</v>
      </c>
      <c r="D84" s="4" t="str">
        <f>IF($A84="","",ROSTER!E84)</f>
        <v>Anas OUAKKAD</v>
      </c>
      <c r="E84" s="4" t="str">
        <f>IF($A84="","",ROSTER!F84)</f>
        <v>Ford Dutch</v>
      </c>
      <c r="F84" s="11">
        <f>IF($A84="","",COUNTIFS(tblPCSInput[Call Date/Time],"&gt;="&amp;(SETUP!$B$5),tblPCSInput[Call Date/Time],"&lt;"&amp;(SETUP!$B$5+1),tblPCSInput[Call Direction],"I",tblPCSInput[Agent ID],$A84,tblPCSInput[PCSStatus],1))</f>
        <v/>
      </c>
      <c r="G84" s="11">
        <f>IF($A84="","",COUNTIFS(tblPCSInput[Call Date/Time],"&gt;="&amp;(SETUP!$B$5),tblPCSInput[Call Date/Time],"&lt;"&amp;(SETUP!$B$5+1),tblPCSInput[Call Direction],"I",tblPCSInput[Agent ID],$A84,tblPCSInput[Question 1],"&lt;&gt;"))</f>
        <v/>
      </c>
      <c r="H84" s="11">
        <f>IF($A84="","",COUNTIFS(tblPCSInput[Call Date/Time],"&gt;="&amp;(SETUP!$B$5),tblPCSInput[Call Date/Time],"&lt;"&amp;(SETUP!$B$5+1),tblPCSInput[Call Direction],"I",tblPCSInput[Agent ID],$A84,tblPCSInput[Valid Q1],"&gt;=1"))</f>
        <v/>
      </c>
      <c r="I84" s="12">
        <f>IFERROR(SUMIFS(tblPCSInput[Valid Q1],tblPCSInput[Call Date/Time],"&gt;="&amp;SETUP!$B$5,tblPCSInput[Call Date/Time],"&lt;"&amp;SETUP!$B$5+1,tblPCSInput[Call Direction],"I",tblPCSInput[Agent ID],$A84)/COUNTIFS(tblPCSInput[Call Date/Time],"&gt;="&amp;(SETUP!$B$5),tblPCSInput[Call Date/Time],"&lt;"&amp;(SETUP!$B$5+1),tblPCSInput[Call Direction],"I",tblPCSInput[Agent ID],$A84,tblPCSInput[Valid Q1],"&gt;=1"),"")</f>
        <v/>
      </c>
      <c r="J84" s="11">
        <f>IF(I84="","",COUNTIFS(tblPCSInput[Call Date/Time],"&gt;="&amp;(SETUP!$B$5),tblPCSInput[Call Date/Time],"&lt;"&amp;(SETUP!$B$5+1),tblPCSInput[Call Direction],"I",tblPCSInput[Agent ID],$A84,tblPCSInput[Valid Q1],"&lt;=3",tblPCSInput[Valid Q1],"&gt;=1"))</f>
        <v/>
      </c>
      <c r="K84" s="11">
        <f>IF(I84="","",COUNTIFS(tblPCSInput[Call Date/Time],"&gt;="&amp;(SETUP!$B$5),tblPCSInput[Call Date/Time],"&lt;"&amp;(SETUP!$B$5+1),tblPCSInput[Call Direction],"I",tblPCSInput[Agent ID],$A84,tblPCSInput[Valid Q1],"&gt;3"))</f>
        <v/>
      </c>
      <c r="L84" s="13">
        <f>IFERROR(G84/F84,"")</f>
        <v/>
      </c>
      <c r="M84" s="13">
        <f>IFERROR(H84/F84,"")</f>
        <v/>
      </c>
      <c r="N84" s="11">
        <f>IF($A84="","",MAX(0,G84-H84))</f>
        <v/>
      </c>
      <c r="O84" s="4">
        <f>IF($A84="","",IF(H84=0,"NO VALID SURVEY",IF(H84&lt;5,"LOW SAMPLE","OK")))</f>
        <v/>
      </c>
      <c r="P84" s="11">
        <f>IF($A84="","",COUNTIFS(tblPCSInput[Call Date/Time],"&gt;="&amp;(SETUP!$B$6),tblPCSInput[Call Date/Time],"&lt;"&amp;(SETUP!$B$7),tblPCSInput[Call Direction],"I",tblPCSInput[Agent ID],$A84,tblPCSInput[PCSStatus],1))</f>
        <v/>
      </c>
      <c r="Q84" s="11">
        <f>IF($A84="","",COUNTIFS(tblPCSInput[Call Date/Time],"&gt;="&amp;(SETUP!$B$6),tblPCSInput[Call Date/Time],"&lt;"&amp;(SETUP!$B$7),tblPCSInput[Call Direction],"I",tblPCSInput[Agent ID],$A84,tblPCSInput[Question 1],"&lt;&gt;"))</f>
        <v/>
      </c>
      <c r="R84" s="11">
        <f>IF($A84="","",COUNTIFS(tblPCSInput[Call Date/Time],"&gt;="&amp;(SETUP!$B$6),tblPCSInput[Call Date/Time],"&lt;"&amp;(SETUP!$B$7),tblPCSInput[Call Direction],"I",tblPCSInput[Agent ID],$A84,tblPCSInput[Valid Q1],"&gt;=1"))</f>
        <v/>
      </c>
      <c r="S84" s="12">
        <f>IFERROR(SUMIFS(tblPCSInput[Valid Q1],tblPCSInput[Call Date/Time],"&gt;="&amp;SETUP!$B$6,tblPCSInput[Call Date/Time],"&lt;"&amp;SETUP!$B$7,tblPCSInput[Call Direction],"I",tblPCSInput[Agent ID],$A84)/COUNTIFS(tblPCSInput[Call Date/Time],"&gt;="&amp;(SETUP!$B$6),tblPCSInput[Call Date/Time],"&lt;"&amp;(SETUP!$B$7),tblPCSInput[Call Direction],"I",tblPCSInput[Agent ID],$A84,tblPCSInput[Valid Q1],"&gt;=1"),"")</f>
        <v/>
      </c>
      <c r="T84" s="11">
        <f>IF(S84="","",COUNTIFS(tblPCSInput[Call Date/Time],"&gt;="&amp;(SETUP!$B$6),tblPCSInput[Call Date/Time],"&lt;"&amp;(SETUP!$B$7),tblPCSInput[Call Direction],"I",tblPCSInput[Agent ID],$A84,tblPCSInput[Valid Q1],"&lt;=3",tblPCSInput[Valid Q1],"&gt;=1"))</f>
        <v/>
      </c>
      <c r="U84" s="11">
        <f>IF(S84="","",COUNTIFS(tblPCSInput[Call Date/Time],"&gt;="&amp;(SETUP!$B$6),tblPCSInput[Call Date/Time],"&lt;"&amp;(SETUP!$B$7),tblPCSInput[Call Direction],"I",tblPCSInput[Agent ID],$A84,tblPCSInput[Valid Q1],"&gt;3"))</f>
        <v/>
      </c>
      <c r="V84" s="13">
        <f>IFERROR(Q84/P84,"")</f>
        <v/>
      </c>
      <c r="W84" s="13">
        <f>IFERROR(R84/P84,"")</f>
        <v/>
      </c>
    </row>
    <row r="85" spans="1:23">
      <c r="A85" s="4">
        <f>IF(ROSTER!A85="","",ROSTER!A85)</f>
        <v>203638</v>
      </c>
      <c r="B85" s="4" t="str">
        <f>IF($A85="","",ROSTER!C85)</f>
        <v>Boeckx Lars</v>
      </c>
      <c r="C85" s="4" t="str">
        <f>IF($A85="","",ROSTER!D85)</f>
        <v>Ilyasse Derrazi</v>
      </c>
      <c r="D85" s="4" t="str">
        <f>IF($A85="","",ROSTER!E85)</f>
        <v>Anas OUAKKAD</v>
      </c>
      <c r="E85" s="4" t="str">
        <f>IF($A85="","",ROSTER!F85)</f>
        <v>Ford Dutch</v>
      </c>
      <c r="F85" s="11">
        <f>IF($A85="","",COUNTIFS(tblPCSInput[Call Date/Time],"&gt;="&amp;(SETUP!$B$5),tblPCSInput[Call Date/Time],"&lt;"&amp;(SETUP!$B$5+1),tblPCSInput[Call Direction],"I",tblPCSInput[Agent ID],$A85,tblPCSInput[PCSStatus],1))</f>
        <v/>
      </c>
      <c r="G85" s="11">
        <f>IF($A85="","",COUNTIFS(tblPCSInput[Call Date/Time],"&gt;="&amp;(SETUP!$B$5),tblPCSInput[Call Date/Time],"&lt;"&amp;(SETUP!$B$5+1),tblPCSInput[Call Direction],"I",tblPCSInput[Agent ID],$A85,tblPCSInput[Question 1],"&lt;&gt;"))</f>
        <v/>
      </c>
      <c r="H85" s="11">
        <f>IF($A85="","",COUNTIFS(tblPCSInput[Call Date/Time],"&gt;="&amp;(SETUP!$B$5),tblPCSInput[Call Date/Time],"&lt;"&amp;(SETUP!$B$5+1),tblPCSInput[Call Direction],"I",tblPCSInput[Agent ID],$A85,tblPCSInput[Valid Q1],"&gt;=1"))</f>
        <v/>
      </c>
      <c r="I85" s="12">
        <f>IFERROR(SUMIFS(tblPCSInput[Valid Q1],tblPCSInput[Call Date/Time],"&gt;="&amp;SETUP!$B$5,tblPCSInput[Call Date/Time],"&lt;"&amp;SETUP!$B$5+1,tblPCSInput[Call Direction],"I",tblPCSInput[Agent ID],$A85)/COUNTIFS(tblPCSInput[Call Date/Time],"&gt;="&amp;(SETUP!$B$5),tblPCSInput[Call Date/Time],"&lt;"&amp;(SETUP!$B$5+1),tblPCSInput[Call Direction],"I",tblPCSInput[Agent ID],$A85,tblPCSInput[Valid Q1],"&gt;=1"),"")</f>
        <v/>
      </c>
      <c r="J85" s="11">
        <f>IF(I85="","",COUNTIFS(tblPCSInput[Call Date/Time],"&gt;="&amp;(SETUP!$B$5),tblPCSInput[Call Date/Time],"&lt;"&amp;(SETUP!$B$5+1),tblPCSInput[Call Direction],"I",tblPCSInput[Agent ID],$A85,tblPCSInput[Valid Q1],"&lt;=3",tblPCSInput[Valid Q1],"&gt;=1"))</f>
        <v/>
      </c>
      <c r="K85" s="11">
        <f>IF(I85="","",COUNTIFS(tblPCSInput[Call Date/Time],"&gt;="&amp;(SETUP!$B$5),tblPCSInput[Call Date/Time],"&lt;"&amp;(SETUP!$B$5+1),tblPCSInput[Call Direction],"I",tblPCSInput[Agent ID],$A85,tblPCSInput[Valid Q1],"&gt;3"))</f>
        <v/>
      </c>
      <c r="L85" s="13">
        <f>IFERROR(G85/F85,"")</f>
        <v/>
      </c>
      <c r="M85" s="13">
        <f>IFERROR(H85/F85,"")</f>
        <v/>
      </c>
      <c r="N85" s="11">
        <f>IF($A85="","",MAX(0,G85-H85))</f>
        <v/>
      </c>
      <c r="O85" s="4">
        <f>IF($A85="","",IF(H85=0,"NO VALID SURVEY",IF(H85&lt;5,"LOW SAMPLE","OK")))</f>
        <v/>
      </c>
      <c r="P85" s="11">
        <f>IF($A85="","",COUNTIFS(tblPCSInput[Call Date/Time],"&gt;="&amp;(SETUP!$B$6),tblPCSInput[Call Date/Time],"&lt;"&amp;(SETUP!$B$7),tblPCSInput[Call Direction],"I",tblPCSInput[Agent ID],$A85,tblPCSInput[PCSStatus],1))</f>
        <v/>
      </c>
      <c r="Q85" s="11">
        <f>IF($A85="","",COUNTIFS(tblPCSInput[Call Date/Time],"&gt;="&amp;(SETUP!$B$6),tblPCSInput[Call Date/Time],"&lt;"&amp;(SETUP!$B$7),tblPCSInput[Call Direction],"I",tblPCSInput[Agent ID],$A85,tblPCSInput[Question 1],"&lt;&gt;"))</f>
        <v/>
      </c>
      <c r="R85" s="11">
        <f>IF($A85="","",COUNTIFS(tblPCSInput[Call Date/Time],"&gt;="&amp;(SETUP!$B$6),tblPCSInput[Call Date/Time],"&lt;"&amp;(SETUP!$B$7),tblPCSInput[Call Direction],"I",tblPCSInput[Agent ID],$A85,tblPCSInput[Valid Q1],"&gt;=1"))</f>
        <v/>
      </c>
      <c r="S85" s="12">
        <f>IFERROR(SUMIFS(tblPCSInput[Valid Q1],tblPCSInput[Call Date/Time],"&gt;="&amp;SETUP!$B$6,tblPCSInput[Call Date/Time],"&lt;"&amp;SETUP!$B$7,tblPCSInput[Call Direction],"I",tblPCSInput[Agent ID],$A85)/COUNTIFS(tblPCSInput[Call Date/Time],"&gt;="&amp;(SETUP!$B$6),tblPCSInput[Call Date/Time],"&lt;"&amp;(SETUP!$B$7),tblPCSInput[Call Direction],"I",tblPCSInput[Agent ID],$A85,tblPCSInput[Valid Q1],"&gt;=1"),"")</f>
        <v/>
      </c>
      <c r="T85" s="11">
        <f>IF(S85="","",COUNTIFS(tblPCSInput[Call Date/Time],"&gt;="&amp;(SETUP!$B$6),tblPCSInput[Call Date/Time],"&lt;"&amp;(SETUP!$B$7),tblPCSInput[Call Direction],"I",tblPCSInput[Agent ID],$A85,tblPCSInput[Valid Q1],"&lt;=3",tblPCSInput[Valid Q1],"&gt;=1"))</f>
        <v/>
      </c>
      <c r="U85" s="11">
        <f>IF(S85="","",COUNTIFS(tblPCSInput[Call Date/Time],"&gt;="&amp;(SETUP!$B$6),tblPCSInput[Call Date/Time],"&lt;"&amp;(SETUP!$B$7),tblPCSInput[Call Direction],"I",tblPCSInput[Agent ID],$A85,tblPCSInput[Valid Q1],"&gt;3"))</f>
        <v/>
      </c>
      <c r="V85" s="13">
        <f>IFERROR(Q85/P85,"")</f>
        <v/>
      </c>
      <c r="W85" s="13">
        <f>IFERROR(R85/P85,"")</f>
        <v/>
      </c>
    </row>
    <row r="86" spans="1:23">
      <c r="A86" s="4">
        <f>IF(ROSTER!A86="","",ROSTER!A86)</f>
        <v>96479</v>
      </c>
      <c r="B86" s="4" t="str">
        <f>IF($A86="","",ROSTER!C86)</f>
        <v>SBAI Abderrahim</v>
      </c>
      <c r="C86" s="4" t="str">
        <f>IF($A86="","",ROSTER!D86)</f>
        <v>Farouk BOUAZZAOUI</v>
      </c>
      <c r="D86" s="4" t="str">
        <f>IF($A86="","",ROSTER!E86)</f>
        <v>Anas OUAKKAD</v>
      </c>
      <c r="E86" s="4" t="str">
        <f>IF($A86="","",ROSTER!F86)</f>
        <v>RSA VL</v>
      </c>
      <c r="F86" s="11">
        <f>IF($A86="","",COUNTIFS(tblPCSInput[Call Date/Time],"&gt;="&amp;(SETUP!$B$5),tblPCSInput[Call Date/Time],"&lt;"&amp;(SETUP!$B$5+1),tblPCSInput[Call Direction],"I",tblPCSInput[Agent ID],$A86,tblPCSInput[PCSStatus],1))</f>
        <v/>
      </c>
      <c r="G86" s="11">
        <f>IF($A86="","",COUNTIFS(tblPCSInput[Call Date/Time],"&gt;="&amp;(SETUP!$B$5),tblPCSInput[Call Date/Time],"&lt;"&amp;(SETUP!$B$5+1),tblPCSInput[Call Direction],"I",tblPCSInput[Agent ID],$A86,tblPCSInput[Question 1],"&lt;&gt;"))</f>
        <v/>
      </c>
      <c r="H86" s="11">
        <f>IF($A86="","",COUNTIFS(tblPCSInput[Call Date/Time],"&gt;="&amp;(SETUP!$B$5),tblPCSInput[Call Date/Time],"&lt;"&amp;(SETUP!$B$5+1),tblPCSInput[Call Direction],"I",tblPCSInput[Agent ID],$A86,tblPCSInput[Valid Q1],"&gt;=1"))</f>
        <v/>
      </c>
      <c r="I86" s="12">
        <f>IFERROR(SUMIFS(tblPCSInput[Valid Q1],tblPCSInput[Call Date/Time],"&gt;="&amp;SETUP!$B$5,tblPCSInput[Call Date/Time],"&lt;"&amp;SETUP!$B$5+1,tblPCSInput[Call Direction],"I",tblPCSInput[Agent ID],$A86)/COUNTIFS(tblPCSInput[Call Date/Time],"&gt;="&amp;(SETUP!$B$5),tblPCSInput[Call Date/Time],"&lt;"&amp;(SETUP!$B$5+1),tblPCSInput[Call Direction],"I",tblPCSInput[Agent ID],$A86,tblPCSInput[Valid Q1],"&gt;=1"),"")</f>
        <v/>
      </c>
      <c r="J86" s="11">
        <f>IF(I86="","",COUNTIFS(tblPCSInput[Call Date/Time],"&gt;="&amp;(SETUP!$B$5),tblPCSInput[Call Date/Time],"&lt;"&amp;(SETUP!$B$5+1),tblPCSInput[Call Direction],"I",tblPCSInput[Agent ID],$A86,tblPCSInput[Valid Q1],"&lt;=3",tblPCSInput[Valid Q1],"&gt;=1"))</f>
        <v/>
      </c>
      <c r="K86" s="11">
        <f>IF(I86="","",COUNTIFS(tblPCSInput[Call Date/Time],"&gt;="&amp;(SETUP!$B$5),tblPCSInput[Call Date/Time],"&lt;"&amp;(SETUP!$B$5+1),tblPCSInput[Call Direction],"I",tblPCSInput[Agent ID],$A86,tblPCSInput[Valid Q1],"&gt;3"))</f>
        <v/>
      </c>
      <c r="L86" s="13">
        <f>IFERROR(G86/F86,"")</f>
        <v/>
      </c>
      <c r="M86" s="13">
        <f>IFERROR(H86/F86,"")</f>
        <v/>
      </c>
      <c r="N86" s="11">
        <f>IF($A86="","",MAX(0,G86-H86))</f>
        <v/>
      </c>
      <c r="O86" s="4">
        <f>IF($A86="","",IF(H86=0,"NO VALID SURVEY",IF(H86&lt;5,"LOW SAMPLE","OK")))</f>
        <v/>
      </c>
      <c r="P86" s="11">
        <f>IF($A86="","",COUNTIFS(tblPCSInput[Call Date/Time],"&gt;="&amp;(SETUP!$B$6),tblPCSInput[Call Date/Time],"&lt;"&amp;(SETUP!$B$7),tblPCSInput[Call Direction],"I",tblPCSInput[Agent ID],$A86,tblPCSInput[PCSStatus],1))</f>
        <v/>
      </c>
      <c r="Q86" s="11">
        <f>IF($A86="","",COUNTIFS(tblPCSInput[Call Date/Time],"&gt;="&amp;(SETUP!$B$6),tblPCSInput[Call Date/Time],"&lt;"&amp;(SETUP!$B$7),tblPCSInput[Call Direction],"I",tblPCSInput[Agent ID],$A86,tblPCSInput[Question 1],"&lt;&gt;"))</f>
        <v/>
      </c>
      <c r="R86" s="11">
        <f>IF($A86="","",COUNTIFS(tblPCSInput[Call Date/Time],"&gt;="&amp;(SETUP!$B$6),tblPCSInput[Call Date/Time],"&lt;"&amp;(SETUP!$B$7),tblPCSInput[Call Direction],"I",tblPCSInput[Agent ID],$A86,tblPCSInput[Valid Q1],"&gt;=1"))</f>
        <v/>
      </c>
      <c r="S86" s="12">
        <f>IFERROR(SUMIFS(tblPCSInput[Valid Q1],tblPCSInput[Call Date/Time],"&gt;="&amp;SETUP!$B$6,tblPCSInput[Call Date/Time],"&lt;"&amp;SETUP!$B$7,tblPCSInput[Call Direction],"I",tblPCSInput[Agent ID],$A86)/COUNTIFS(tblPCSInput[Call Date/Time],"&gt;="&amp;(SETUP!$B$6),tblPCSInput[Call Date/Time],"&lt;"&amp;(SETUP!$B$7),tblPCSInput[Call Direction],"I",tblPCSInput[Agent ID],$A86,tblPCSInput[Valid Q1],"&gt;=1"),"")</f>
        <v/>
      </c>
      <c r="T86" s="11">
        <f>IF(S86="","",COUNTIFS(tblPCSInput[Call Date/Time],"&gt;="&amp;(SETUP!$B$6),tblPCSInput[Call Date/Time],"&lt;"&amp;(SETUP!$B$7),tblPCSInput[Call Direction],"I",tblPCSInput[Agent ID],$A86,tblPCSInput[Valid Q1],"&lt;=3",tblPCSInput[Valid Q1],"&gt;=1"))</f>
        <v/>
      </c>
      <c r="U86" s="11">
        <f>IF(S86="","",COUNTIFS(tblPCSInput[Call Date/Time],"&gt;="&amp;(SETUP!$B$6),tblPCSInput[Call Date/Time],"&lt;"&amp;(SETUP!$B$7),tblPCSInput[Call Direction],"I",tblPCSInput[Agent ID],$A86,tblPCSInput[Valid Q1],"&gt;3"))</f>
        <v/>
      </c>
      <c r="V86" s="13">
        <f>IFERROR(Q86/P86,"")</f>
        <v/>
      </c>
      <c r="W86" s="13">
        <f>IFERROR(R86/P86,"")</f>
        <v/>
      </c>
    </row>
    <row r="87" spans="1:23">
      <c r="A87" s="4">
        <f>IF(ROSTER!A87="","",ROSTER!A87)</f>
        <v>207050</v>
      </c>
      <c r="B87" s="4" t="str">
        <f>IF($A87="","",ROSTER!C87)</f>
        <v>Cissokho Alioune</v>
      </c>
      <c r="C87" s="4" t="str">
        <f>IF($A87="","",ROSTER!D87)</f>
        <v>Zineb MOUFID</v>
      </c>
      <c r="D87" s="4" t="str">
        <f>IF($A87="","",ROSTER!E87)</f>
        <v>Anas OUAKKAD</v>
      </c>
      <c r="E87" s="4" t="str">
        <f>IF($A87="","",ROSTER!F87)</f>
        <v>OEM FR</v>
      </c>
      <c r="F87" s="11">
        <f>IF($A87="","",COUNTIFS(tblPCSInput[Call Date/Time],"&gt;="&amp;(SETUP!$B$5),tblPCSInput[Call Date/Time],"&lt;"&amp;(SETUP!$B$5+1),tblPCSInput[Call Direction],"I",tblPCSInput[Agent ID],$A87,tblPCSInput[PCSStatus],1))</f>
        <v/>
      </c>
      <c r="G87" s="11">
        <f>IF($A87="","",COUNTIFS(tblPCSInput[Call Date/Time],"&gt;="&amp;(SETUP!$B$5),tblPCSInput[Call Date/Time],"&lt;"&amp;(SETUP!$B$5+1),tblPCSInput[Call Direction],"I",tblPCSInput[Agent ID],$A87,tblPCSInput[Question 1],"&lt;&gt;"))</f>
        <v/>
      </c>
      <c r="H87" s="11">
        <f>IF($A87="","",COUNTIFS(tblPCSInput[Call Date/Time],"&gt;="&amp;(SETUP!$B$5),tblPCSInput[Call Date/Time],"&lt;"&amp;(SETUP!$B$5+1),tblPCSInput[Call Direction],"I",tblPCSInput[Agent ID],$A87,tblPCSInput[Valid Q1],"&gt;=1"))</f>
        <v/>
      </c>
      <c r="I87" s="12">
        <f>IFERROR(SUMIFS(tblPCSInput[Valid Q1],tblPCSInput[Call Date/Time],"&gt;="&amp;SETUP!$B$5,tblPCSInput[Call Date/Time],"&lt;"&amp;SETUP!$B$5+1,tblPCSInput[Call Direction],"I",tblPCSInput[Agent ID],$A87)/COUNTIFS(tblPCSInput[Call Date/Time],"&gt;="&amp;(SETUP!$B$5),tblPCSInput[Call Date/Time],"&lt;"&amp;(SETUP!$B$5+1),tblPCSInput[Call Direction],"I",tblPCSInput[Agent ID],$A87,tblPCSInput[Valid Q1],"&gt;=1"),"")</f>
        <v/>
      </c>
      <c r="J87" s="11">
        <f>IF(I87="","",COUNTIFS(tblPCSInput[Call Date/Time],"&gt;="&amp;(SETUP!$B$5),tblPCSInput[Call Date/Time],"&lt;"&amp;(SETUP!$B$5+1),tblPCSInput[Call Direction],"I",tblPCSInput[Agent ID],$A87,tblPCSInput[Valid Q1],"&lt;=3",tblPCSInput[Valid Q1],"&gt;=1"))</f>
        <v/>
      </c>
      <c r="K87" s="11">
        <f>IF(I87="","",COUNTIFS(tblPCSInput[Call Date/Time],"&gt;="&amp;(SETUP!$B$5),tblPCSInput[Call Date/Time],"&lt;"&amp;(SETUP!$B$5+1),tblPCSInput[Call Direction],"I",tblPCSInput[Agent ID],$A87,tblPCSInput[Valid Q1],"&gt;3"))</f>
        <v/>
      </c>
      <c r="L87" s="13">
        <f>IFERROR(G87/F87,"")</f>
        <v/>
      </c>
      <c r="M87" s="13">
        <f>IFERROR(H87/F87,"")</f>
        <v/>
      </c>
      <c r="N87" s="11">
        <f>IF($A87="","",MAX(0,G87-H87))</f>
        <v/>
      </c>
      <c r="O87" s="4">
        <f>IF($A87="","",IF(H87=0,"NO VALID SURVEY",IF(H87&lt;5,"LOW SAMPLE","OK")))</f>
        <v/>
      </c>
      <c r="P87" s="11">
        <f>IF($A87="","",COUNTIFS(tblPCSInput[Call Date/Time],"&gt;="&amp;(SETUP!$B$6),tblPCSInput[Call Date/Time],"&lt;"&amp;(SETUP!$B$7),tblPCSInput[Call Direction],"I",tblPCSInput[Agent ID],$A87,tblPCSInput[PCSStatus],1))</f>
        <v/>
      </c>
      <c r="Q87" s="11">
        <f>IF($A87="","",COUNTIFS(tblPCSInput[Call Date/Time],"&gt;="&amp;(SETUP!$B$6),tblPCSInput[Call Date/Time],"&lt;"&amp;(SETUP!$B$7),tblPCSInput[Call Direction],"I",tblPCSInput[Agent ID],$A87,tblPCSInput[Question 1],"&lt;&gt;"))</f>
        <v/>
      </c>
      <c r="R87" s="11">
        <f>IF($A87="","",COUNTIFS(tblPCSInput[Call Date/Time],"&gt;="&amp;(SETUP!$B$6),tblPCSInput[Call Date/Time],"&lt;"&amp;(SETUP!$B$7),tblPCSInput[Call Direction],"I",tblPCSInput[Agent ID],$A87,tblPCSInput[Valid Q1],"&gt;=1"))</f>
        <v/>
      </c>
      <c r="S87" s="12">
        <f>IFERROR(SUMIFS(tblPCSInput[Valid Q1],tblPCSInput[Call Date/Time],"&gt;="&amp;SETUP!$B$6,tblPCSInput[Call Date/Time],"&lt;"&amp;SETUP!$B$7,tblPCSInput[Call Direction],"I",tblPCSInput[Agent ID],$A87)/COUNTIFS(tblPCSInput[Call Date/Time],"&gt;="&amp;(SETUP!$B$6),tblPCSInput[Call Date/Time],"&lt;"&amp;(SETUP!$B$7),tblPCSInput[Call Direction],"I",tblPCSInput[Agent ID],$A87,tblPCSInput[Valid Q1],"&gt;=1"),"")</f>
        <v/>
      </c>
      <c r="T87" s="11">
        <f>IF(S87="","",COUNTIFS(tblPCSInput[Call Date/Time],"&gt;="&amp;(SETUP!$B$6),tblPCSInput[Call Date/Time],"&lt;"&amp;(SETUP!$B$7),tblPCSInput[Call Direction],"I",tblPCSInput[Agent ID],$A87,tblPCSInput[Valid Q1],"&lt;=3",tblPCSInput[Valid Q1],"&gt;=1"))</f>
        <v/>
      </c>
      <c r="U87" s="11">
        <f>IF(S87="","",COUNTIFS(tblPCSInput[Call Date/Time],"&gt;="&amp;(SETUP!$B$6),tblPCSInput[Call Date/Time],"&lt;"&amp;(SETUP!$B$7),tblPCSInput[Call Direction],"I",tblPCSInput[Agent ID],$A87,tblPCSInput[Valid Q1],"&gt;3"))</f>
        <v/>
      </c>
      <c r="V87" s="13">
        <f>IFERROR(Q87/P87,"")</f>
        <v/>
      </c>
      <c r="W87" s="13">
        <f>IFERROR(R87/P87,"")</f>
        <v/>
      </c>
    </row>
    <row r="88" spans="1:23">
      <c r="A88" s="4">
        <f>IF(ROSTER!A88="","",ROSTER!A88)</f>
        <v>207051</v>
      </c>
      <c r="B88" s="4" t="str">
        <f>IF($A88="","",ROSTER!C88)</f>
        <v>Fifadji Orphélia Yvelines</v>
      </c>
      <c r="C88" s="4" t="str">
        <f>IF($A88="","",ROSTER!D88)</f>
        <v>Zineb MOUFID</v>
      </c>
      <c r="D88" s="4" t="str">
        <f>IF($A88="","",ROSTER!E88)</f>
        <v>Anas OUAKKAD</v>
      </c>
      <c r="E88" s="4" t="str">
        <f>IF($A88="","",ROSTER!F88)</f>
        <v>OEM FR</v>
      </c>
      <c r="F88" s="11">
        <f>IF($A88="","",COUNTIFS(tblPCSInput[Call Date/Time],"&gt;="&amp;(SETUP!$B$5),tblPCSInput[Call Date/Time],"&lt;"&amp;(SETUP!$B$5+1),tblPCSInput[Call Direction],"I",tblPCSInput[Agent ID],$A88,tblPCSInput[PCSStatus],1))</f>
        <v/>
      </c>
      <c r="G88" s="11">
        <f>IF($A88="","",COUNTIFS(tblPCSInput[Call Date/Time],"&gt;="&amp;(SETUP!$B$5),tblPCSInput[Call Date/Time],"&lt;"&amp;(SETUP!$B$5+1),tblPCSInput[Call Direction],"I",tblPCSInput[Agent ID],$A88,tblPCSInput[Question 1],"&lt;&gt;"))</f>
        <v/>
      </c>
      <c r="H88" s="11">
        <f>IF($A88="","",COUNTIFS(tblPCSInput[Call Date/Time],"&gt;="&amp;(SETUP!$B$5),tblPCSInput[Call Date/Time],"&lt;"&amp;(SETUP!$B$5+1),tblPCSInput[Call Direction],"I",tblPCSInput[Agent ID],$A88,tblPCSInput[Valid Q1],"&gt;=1"))</f>
        <v/>
      </c>
      <c r="I88" s="12">
        <f>IFERROR(SUMIFS(tblPCSInput[Valid Q1],tblPCSInput[Call Date/Time],"&gt;="&amp;SETUP!$B$5,tblPCSInput[Call Date/Time],"&lt;"&amp;SETUP!$B$5+1,tblPCSInput[Call Direction],"I",tblPCSInput[Agent ID],$A88)/COUNTIFS(tblPCSInput[Call Date/Time],"&gt;="&amp;(SETUP!$B$5),tblPCSInput[Call Date/Time],"&lt;"&amp;(SETUP!$B$5+1),tblPCSInput[Call Direction],"I",tblPCSInput[Agent ID],$A88,tblPCSInput[Valid Q1],"&gt;=1"),"")</f>
        <v/>
      </c>
      <c r="J88" s="11">
        <f>IF(I88="","",COUNTIFS(tblPCSInput[Call Date/Time],"&gt;="&amp;(SETUP!$B$5),tblPCSInput[Call Date/Time],"&lt;"&amp;(SETUP!$B$5+1),tblPCSInput[Call Direction],"I",tblPCSInput[Agent ID],$A88,tblPCSInput[Valid Q1],"&lt;=3",tblPCSInput[Valid Q1],"&gt;=1"))</f>
        <v/>
      </c>
      <c r="K88" s="11">
        <f>IF(I88="","",COUNTIFS(tblPCSInput[Call Date/Time],"&gt;="&amp;(SETUP!$B$5),tblPCSInput[Call Date/Time],"&lt;"&amp;(SETUP!$B$5+1),tblPCSInput[Call Direction],"I",tblPCSInput[Agent ID],$A88,tblPCSInput[Valid Q1],"&gt;3"))</f>
        <v/>
      </c>
      <c r="L88" s="13">
        <f>IFERROR(G88/F88,"")</f>
        <v/>
      </c>
      <c r="M88" s="13">
        <f>IFERROR(H88/F88,"")</f>
        <v/>
      </c>
      <c r="N88" s="11">
        <f>IF($A88="","",MAX(0,G88-H88))</f>
        <v/>
      </c>
      <c r="O88" s="4">
        <f>IF($A88="","",IF(H88=0,"NO VALID SURVEY",IF(H88&lt;5,"LOW SAMPLE","OK")))</f>
        <v/>
      </c>
      <c r="P88" s="11">
        <f>IF($A88="","",COUNTIFS(tblPCSInput[Call Date/Time],"&gt;="&amp;(SETUP!$B$6),tblPCSInput[Call Date/Time],"&lt;"&amp;(SETUP!$B$7),tblPCSInput[Call Direction],"I",tblPCSInput[Agent ID],$A88,tblPCSInput[PCSStatus],1))</f>
        <v/>
      </c>
      <c r="Q88" s="11">
        <f>IF($A88="","",COUNTIFS(tblPCSInput[Call Date/Time],"&gt;="&amp;(SETUP!$B$6),tblPCSInput[Call Date/Time],"&lt;"&amp;(SETUP!$B$7),tblPCSInput[Call Direction],"I",tblPCSInput[Agent ID],$A88,tblPCSInput[Question 1],"&lt;&gt;"))</f>
        <v/>
      </c>
      <c r="R88" s="11">
        <f>IF($A88="","",COUNTIFS(tblPCSInput[Call Date/Time],"&gt;="&amp;(SETUP!$B$6),tblPCSInput[Call Date/Time],"&lt;"&amp;(SETUP!$B$7),tblPCSInput[Call Direction],"I",tblPCSInput[Agent ID],$A88,tblPCSInput[Valid Q1],"&gt;=1"))</f>
        <v/>
      </c>
      <c r="S88" s="12">
        <f>IFERROR(SUMIFS(tblPCSInput[Valid Q1],tblPCSInput[Call Date/Time],"&gt;="&amp;SETUP!$B$6,tblPCSInput[Call Date/Time],"&lt;"&amp;SETUP!$B$7,tblPCSInput[Call Direction],"I",tblPCSInput[Agent ID],$A88)/COUNTIFS(tblPCSInput[Call Date/Time],"&gt;="&amp;(SETUP!$B$6),tblPCSInput[Call Date/Time],"&lt;"&amp;(SETUP!$B$7),tblPCSInput[Call Direction],"I",tblPCSInput[Agent ID],$A88,tblPCSInput[Valid Q1],"&gt;=1"),"")</f>
        <v/>
      </c>
      <c r="T88" s="11">
        <f>IF(S88="","",COUNTIFS(tblPCSInput[Call Date/Time],"&gt;="&amp;(SETUP!$B$6),tblPCSInput[Call Date/Time],"&lt;"&amp;(SETUP!$B$7),tblPCSInput[Call Direction],"I",tblPCSInput[Agent ID],$A88,tblPCSInput[Valid Q1],"&lt;=3",tblPCSInput[Valid Q1],"&gt;=1"))</f>
        <v/>
      </c>
      <c r="U88" s="11">
        <f>IF(S88="","",COUNTIFS(tblPCSInput[Call Date/Time],"&gt;="&amp;(SETUP!$B$6),tblPCSInput[Call Date/Time],"&lt;"&amp;(SETUP!$B$7),tblPCSInput[Call Direction],"I",tblPCSInput[Agent ID],$A88,tblPCSInput[Valid Q1],"&gt;3"))</f>
        <v/>
      </c>
      <c r="V88" s="13">
        <f>IFERROR(Q88/P88,"")</f>
        <v/>
      </c>
      <c r="W88" s="13">
        <f>IFERROR(R88/P88,"")</f>
        <v/>
      </c>
    </row>
    <row r="89" spans="1:23">
      <c r="A89" s="4">
        <f>IF(ROSTER!A89="","",ROSTER!A89)</f>
        <v>96493</v>
      </c>
      <c r="B89" s="4" t="str">
        <f>IF($A89="","",ROSTER!C89)</f>
        <v>BENABDALLAH Karim</v>
      </c>
      <c r="C89" s="4" t="str">
        <f>IF($A89="","",ROSTER!D89)</f>
        <v>Farouk BOUAZZAOUI</v>
      </c>
      <c r="D89" s="4" t="str">
        <f>IF($A89="","",ROSTER!E89)</f>
        <v>Anas OUAKKAD</v>
      </c>
      <c r="E89" s="4" t="str">
        <f>IF($A89="","",ROSTER!F89)</f>
        <v>RSA VL</v>
      </c>
      <c r="F89" s="11">
        <f>IF($A89="","",COUNTIFS(tblPCSInput[Call Date/Time],"&gt;="&amp;(SETUP!$B$5),tblPCSInput[Call Date/Time],"&lt;"&amp;(SETUP!$B$5+1),tblPCSInput[Call Direction],"I",tblPCSInput[Agent ID],$A89,tblPCSInput[PCSStatus],1))</f>
        <v/>
      </c>
      <c r="G89" s="11">
        <f>IF($A89="","",COUNTIFS(tblPCSInput[Call Date/Time],"&gt;="&amp;(SETUP!$B$5),tblPCSInput[Call Date/Time],"&lt;"&amp;(SETUP!$B$5+1),tblPCSInput[Call Direction],"I",tblPCSInput[Agent ID],$A89,tblPCSInput[Question 1],"&lt;&gt;"))</f>
        <v/>
      </c>
      <c r="H89" s="11">
        <f>IF($A89="","",COUNTIFS(tblPCSInput[Call Date/Time],"&gt;="&amp;(SETUP!$B$5),tblPCSInput[Call Date/Time],"&lt;"&amp;(SETUP!$B$5+1),tblPCSInput[Call Direction],"I",tblPCSInput[Agent ID],$A89,tblPCSInput[Valid Q1],"&gt;=1"))</f>
        <v/>
      </c>
      <c r="I89" s="12">
        <f>IFERROR(SUMIFS(tblPCSInput[Valid Q1],tblPCSInput[Call Date/Time],"&gt;="&amp;SETUP!$B$5,tblPCSInput[Call Date/Time],"&lt;"&amp;SETUP!$B$5+1,tblPCSInput[Call Direction],"I",tblPCSInput[Agent ID],$A89)/COUNTIFS(tblPCSInput[Call Date/Time],"&gt;="&amp;(SETUP!$B$5),tblPCSInput[Call Date/Time],"&lt;"&amp;(SETUP!$B$5+1),tblPCSInput[Call Direction],"I",tblPCSInput[Agent ID],$A89,tblPCSInput[Valid Q1],"&gt;=1"),"")</f>
        <v/>
      </c>
      <c r="J89" s="11">
        <f>IF(I89="","",COUNTIFS(tblPCSInput[Call Date/Time],"&gt;="&amp;(SETUP!$B$5),tblPCSInput[Call Date/Time],"&lt;"&amp;(SETUP!$B$5+1),tblPCSInput[Call Direction],"I",tblPCSInput[Agent ID],$A89,tblPCSInput[Valid Q1],"&lt;=3",tblPCSInput[Valid Q1],"&gt;=1"))</f>
        <v/>
      </c>
      <c r="K89" s="11">
        <f>IF(I89="","",COUNTIFS(tblPCSInput[Call Date/Time],"&gt;="&amp;(SETUP!$B$5),tblPCSInput[Call Date/Time],"&lt;"&amp;(SETUP!$B$5+1),tblPCSInput[Call Direction],"I",tblPCSInput[Agent ID],$A89,tblPCSInput[Valid Q1],"&gt;3"))</f>
        <v/>
      </c>
      <c r="L89" s="13">
        <f>IFERROR(G89/F89,"")</f>
        <v/>
      </c>
      <c r="M89" s="13">
        <f>IFERROR(H89/F89,"")</f>
        <v/>
      </c>
      <c r="N89" s="11">
        <f>IF($A89="","",MAX(0,G89-H89))</f>
        <v/>
      </c>
      <c r="O89" s="4">
        <f>IF($A89="","",IF(H89=0,"NO VALID SURVEY",IF(H89&lt;5,"LOW SAMPLE","OK")))</f>
        <v/>
      </c>
      <c r="P89" s="11">
        <f>IF($A89="","",COUNTIFS(tblPCSInput[Call Date/Time],"&gt;="&amp;(SETUP!$B$6),tblPCSInput[Call Date/Time],"&lt;"&amp;(SETUP!$B$7),tblPCSInput[Call Direction],"I",tblPCSInput[Agent ID],$A89,tblPCSInput[PCSStatus],1))</f>
        <v/>
      </c>
      <c r="Q89" s="11">
        <f>IF($A89="","",COUNTIFS(tblPCSInput[Call Date/Time],"&gt;="&amp;(SETUP!$B$6),tblPCSInput[Call Date/Time],"&lt;"&amp;(SETUP!$B$7),tblPCSInput[Call Direction],"I",tblPCSInput[Agent ID],$A89,tblPCSInput[Question 1],"&lt;&gt;"))</f>
        <v/>
      </c>
      <c r="R89" s="11">
        <f>IF($A89="","",COUNTIFS(tblPCSInput[Call Date/Time],"&gt;="&amp;(SETUP!$B$6),tblPCSInput[Call Date/Time],"&lt;"&amp;(SETUP!$B$7),tblPCSInput[Call Direction],"I",tblPCSInput[Agent ID],$A89,tblPCSInput[Valid Q1],"&gt;=1"))</f>
        <v/>
      </c>
      <c r="S89" s="12">
        <f>IFERROR(SUMIFS(tblPCSInput[Valid Q1],tblPCSInput[Call Date/Time],"&gt;="&amp;SETUP!$B$6,tblPCSInput[Call Date/Time],"&lt;"&amp;SETUP!$B$7,tblPCSInput[Call Direction],"I",tblPCSInput[Agent ID],$A89)/COUNTIFS(tblPCSInput[Call Date/Time],"&gt;="&amp;(SETUP!$B$6),tblPCSInput[Call Date/Time],"&lt;"&amp;(SETUP!$B$7),tblPCSInput[Call Direction],"I",tblPCSInput[Agent ID],$A89,tblPCSInput[Valid Q1],"&gt;=1"),"")</f>
        <v/>
      </c>
      <c r="T89" s="11">
        <f>IF(S89="","",COUNTIFS(tblPCSInput[Call Date/Time],"&gt;="&amp;(SETUP!$B$6),tblPCSInput[Call Date/Time],"&lt;"&amp;(SETUP!$B$7),tblPCSInput[Call Direction],"I",tblPCSInput[Agent ID],$A89,tblPCSInput[Valid Q1],"&lt;=3",tblPCSInput[Valid Q1],"&gt;=1"))</f>
        <v/>
      </c>
      <c r="U89" s="11">
        <f>IF(S89="","",COUNTIFS(tblPCSInput[Call Date/Time],"&gt;="&amp;(SETUP!$B$6),tblPCSInput[Call Date/Time],"&lt;"&amp;(SETUP!$B$7),tblPCSInput[Call Direction],"I",tblPCSInput[Agent ID],$A89,tblPCSInput[Valid Q1],"&gt;3"))</f>
        <v/>
      </c>
      <c r="V89" s="13">
        <f>IFERROR(Q89/P89,"")</f>
        <v/>
      </c>
      <c r="W89" s="13">
        <f>IFERROR(R89/P89,"")</f>
        <v/>
      </c>
    </row>
    <row r="90" spans="1:23">
      <c r="A90" s="4">
        <f>IF(ROSTER!A90="","",ROSTER!A90)</f>
        <v>96520</v>
      </c>
      <c r="B90" s="4" t="str">
        <f>IF($A90="","",ROSTER!C90)</f>
        <v>TALEB Benyounes</v>
      </c>
      <c r="C90" s="4" t="str">
        <f>IF($A90="","",ROSTER!D90)</f>
        <v>Farouk BOUAZZAOUI</v>
      </c>
      <c r="D90" s="4" t="str">
        <f>IF($A90="","",ROSTER!E90)</f>
        <v>Anas OUAKKAD</v>
      </c>
      <c r="E90" s="4" t="str">
        <f>IF($A90="","",ROSTER!F90)</f>
        <v>RSA VL</v>
      </c>
      <c r="F90" s="11">
        <f>IF($A90="","",COUNTIFS(tblPCSInput[Call Date/Time],"&gt;="&amp;(SETUP!$B$5),tblPCSInput[Call Date/Time],"&lt;"&amp;(SETUP!$B$5+1),tblPCSInput[Call Direction],"I",tblPCSInput[Agent ID],$A90,tblPCSInput[PCSStatus],1))</f>
        <v/>
      </c>
      <c r="G90" s="11">
        <f>IF($A90="","",COUNTIFS(tblPCSInput[Call Date/Time],"&gt;="&amp;(SETUP!$B$5),tblPCSInput[Call Date/Time],"&lt;"&amp;(SETUP!$B$5+1),tblPCSInput[Call Direction],"I",tblPCSInput[Agent ID],$A90,tblPCSInput[Question 1],"&lt;&gt;"))</f>
        <v/>
      </c>
      <c r="H90" s="11">
        <f>IF($A90="","",COUNTIFS(tblPCSInput[Call Date/Time],"&gt;="&amp;(SETUP!$B$5),tblPCSInput[Call Date/Time],"&lt;"&amp;(SETUP!$B$5+1),tblPCSInput[Call Direction],"I",tblPCSInput[Agent ID],$A90,tblPCSInput[Valid Q1],"&gt;=1"))</f>
        <v/>
      </c>
      <c r="I90" s="12">
        <f>IFERROR(SUMIFS(tblPCSInput[Valid Q1],tblPCSInput[Call Date/Time],"&gt;="&amp;SETUP!$B$5,tblPCSInput[Call Date/Time],"&lt;"&amp;SETUP!$B$5+1,tblPCSInput[Call Direction],"I",tblPCSInput[Agent ID],$A90)/COUNTIFS(tblPCSInput[Call Date/Time],"&gt;="&amp;(SETUP!$B$5),tblPCSInput[Call Date/Time],"&lt;"&amp;(SETUP!$B$5+1),tblPCSInput[Call Direction],"I",tblPCSInput[Agent ID],$A90,tblPCSInput[Valid Q1],"&gt;=1"),"")</f>
        <v/>
      </c>
      <c r="J90" s="11">
        <f>IF(I90="","",COUNTIFS(tblPCSInput[Call Date/Time],"&gt;="&amp;(SETUP!$B$5),tblPCSInput[Call Date/Time],"&lt;"&amp;(SETUP!$B$5+1),tblPCSInput[Call Direction],"I",tblPCSInput[Agent ID],$A90,tblPCSInput[Valid Q1],"&lt;=3",tblPCSInput[Valid Q1],"&gt;=1"))</f>
        <v/>
      </c>
      <c r="K90" s="11">
        <f>IF(I90="","",COUNTIFS(tblPCSInput[Call Date/Time],"&gt;="&amp;(SETUP!$B$5),tblPCSInput[Call Date/Time],"&lt;"&amp;(SETUP!$B$5+1),tblPCSInput[Call Direction],"I",tblPCSInput[Agent ID],$A90,tblPCSInput[Valid Q1],"&gt;3"))</f>
        <v/>
      </c>
      <c r="L90" s="13">
        <f>IFERROR(G90/F90,"")</f>
        <v/>
      </c>
      <c r="M90" s="13">
        <f>IFERROR(H90/F90,"")</f>
        <v/>
      </c>
      <c r="N90" s="11">
        <f>IF($A90="","",MAX(0,G90-H90))</f>
        <v/>
      </c>
      <c r="O90" s="4">
        <f>IF($A90="","",IF(H90=0,"NO VALID SURVEY",IF(H90&lt;5,"LOW SAMPLE","OK")))</f>
        <v/>
      </c>
      <c r="P90" s="11">
        <f>IF($A90="","",COUNTIFS(tblPCSInput[Call Date/Time],"&gt;="&amp;(SETUP!$B$6),tblPCSInput[Call Date/Time],"&lt;"&amp;(SETUP!$B$7),tblPCSInput[Call Direction],"I",tblPCSInput[Agent ID],$A90,tblPCSInput[PCSStatus],1))</f>
        <v/>
      </c>
      <c r="Q90" s="11">
        <f>IF($A90="","",COUNTIFS(tblPCSInput[Call Date/Time],"&gt;="&amp;(SETUP!$B$6),tblPCSInput[Call Date/Time],"&lt;"&amp;(SETUP!$B$7),tblPCSInput[Call Direction],"I",tblPCSInput[Agent ID],$A90,tblPCSInput[Question 1],"&lt;&gt;"))</f>
        <v/>
      </c>
      <c r="R90" s="11">
        <f>IF($A90="","",COUNTIFS(tblPCSInput[Call Date/Time],"&gt;="&amp;(SETUP!$B$6),tblPCSInput[Call Date/Time],"&lt;"&amp;(SETUP!$B$7),tblPCSInput[Call Direction],"I",tblPCSInput[Agent ID],$A90,tblPCSInput[Valid Q1],"&gt;=1"))</f>
        <v/>
      </c>
      <c r="S90" s="12">
        <f>IFERROR(SUMIFS(tblPCSInput[Valid Q1],tblPCSInput[Call Date/Time],"&gt;="&amp;SETUP!$B$6,tblPCSInput[Call Date/Time],"&lt;"&amp;SETUP!$B$7,tblPCSInput[Call Direction],"I",tblPCSInput[Agent ID],$A90)/COUNTIFS(tblPCSInput[Call Date/Time],"&gt;="&amp;(SETUP!$B$6),tblPCSInput[Call Date/Time],"&lt;"&amp;(SETUP!$B$7),tblPCSInput[Call Direction],"I",tblPCSInput[Agent ID],$A90,tblPCSInput[Valid Q1],"&gt;=1"),"")</f>
        <v/>
      </c>
      <c r="T90" s="11">
        <f>IF(S90="","",COUNTIFS(tblPCSInput[Call Date/Time],"&gt;="&amp;(SETUP!$B$6),tblPCSInput[Call Date/Time],"&lt;"&amp;(SETUP!$B$7),tblPCSInput[Call Direction],"I",tblPCSInput[Agent ID],$A90,tblPCSInput[Valid Q1],"&lt;=3",tblPCSInput[Valid Q1],"&gt;=1"))</f>
        <v/>
      </c>
      <c r="U90" s="11">
        <f>IF(S90="","",COUNTIFS(tblPCSInput[Call Date/Time],"&gt;="&amp;(SETUP!$B$6),tblPCSInput[Call Date/Time],"&lt;"&amp;(SETUP!$B$7),tblPCSInput[Call Direction],"I",tblPCSInput[Agent ID],$A90,tblPCSInput[Valid Q1],"&gt;3"))</f>
        <v/>
      </c>
      <c r="V90" s="13">
        <f>IFERROR(Q90/P90,"")</f>
        <v/>
      </c>
      <c r="W90" s="13">
        <f>IFERROR(R90/P90,"")</f>
        <v/>
      </c>
    </row>
    <row r="91" spans="1:23">
      <c r="A91" s="4">
        <f>IF(ROSTER!A91="","",ROSTER!A91)</f>
        <v>96496</v>
      </c>
      <c r="B91" s="4" t="str">
        <f>IF($A91="","",ROSTER!C91)</f>
        <v>HADRI Younes</v>
      </c>
      <c r="C91" s="4" t="str">
        <f>IF($A91="","",ROSTER!D91)</f>
        <v>Farouk BOUAZZAOUI</v>
      </c>
      <c r="D91" s="4" t="str">
        <f>IF($A91="","",ROSTER!E91)</f>
        <v>Anas OUAKKAD</v>
      </c>
      <c r="E91" s="4" t="str">
        <f>IF($A91="","",ROSTER!F91)</f>
        <v>RSA VL</v>
      </c>
      <c r="F91" s="11">
        <f>IF($A91="","",COUNTIFS(tblPCSInput[Call Date/Time],"&gt;="&amp;(SETUP!$B$5),tblPCSInput[Call Date/Time],"&lt;"&amp;(SETUP!$B$5+1),tblPCSInput[Call Direction],"I",tblPCSInput[Agent ID],$A91,tblPCSInput[PCSStatus],1))</f>
        <v/>
      </c>
      <c r="G91" s="11">
        <f>IF($A91="","",COUNTIFS(tblPCSInput[Call Date/Time],"&gt;="&amp;(SETUP!$B$5),tblPCSInput[Call Date/Time],"&lt;"&amp;(SETUP!$B$5+1),tblPCSInput[Call Direction],"I",tblPCSInput[Agent ID],$A91,tblPCSInput[Question 1],"&lt;&gt;"))</f>
        <v/>
      </c>
      <c r="H91" s="11">
        <f>IF($A91="","",COUNTIFS(tblPCSInput[Call Date/Time],"&gt;="&amp;(SETUP!$B$5),tblPCSInput[Call Date/Time],"&lt;"&amp;(SETUP!$B$5+1),tblPCSInput[Call Direction],"I",tblPCSInput[Agent ID],$A91,tblPCSInput[Valid Q1],"&gt;=1"))</f>
        <v/>
      </c>
      <c r="I91" s="12">
        <f>IFERROR(SUMIFS(tblPCSInput[Valid Q1],tblPCSInput[Call Date/Time],"&gt;="&amp;SETUP!$B$5,tblPCSInput[Call Date/Time],"&lt;"&amp;SETUP!$B$5+1,tblPCSInput[Call Direction],"I",tblPCSInput[Agent ID],$A91)/COUNTIFS(tblPCSInput[Call Date/Time],"&gt;="&amp;(SETUP!$B$5),tblPCSInput[Call Date/Time],"&lt;"&amp;(SETUP!$B$5+1),tblPCSInput[Call Direction],"I",tblPCSInput[Agent ID],$A91,tblPCSInput[Valid Q1],"&gt;=1"),"")</f>
        <v/>
      </c>
      <c r="J91" s="11">
        <f>IF(I91="","",COUNTIFS(tblPCSInput[Call Date/Time],"&gt;="&amp;(SETUP!$B$5),tblPCSInput[Call Date/Time],"&lt;"&amp;(SETUP!$B$5+1),tblPCSInput[Call Direction],"I",tblPCSInput[Agent ID],$A91,tblPCSInput[Valid Q1],"&lt;=3",tblPCSInput[Valid Q1],"&gt;=1"))</f>
        <v/>
      </c>
      <c r="K91" s="11">
        <f>IF(I91="","",COUNTIFS(tblPCSInput[Call Date/Time],"&gt;="&amp;(SETUP!$B$5),tblPCSInput[Call Date/Time],"&lt;"&amp;(SETUP!$B$5+1),tblPCSInput[Call Direction],"I",tblPCSInput[Agent ID],$A91,tblPCSInput[Valid Q1],"&gt;3"))</f>
        <v/>
      </c>
      <c r="L91" s="13">
        <f>IFERROR(G91/F91,"")</f>
        <v/>
      </c>
      <c r="M91" s="13">
        <f>IFERROR(H91/F91,"")</f>
        <v/>
      </c>
      <c r="N91" s="11">
        <f>IF($A91="","",MAX(0,G91-H91))</f>
        <v/>
      </c>
      <c r="O91" s="4">
        <f>IF($A91="","",IF(H91=0,"NO VALID SURVEY",IF(H91&lt;5,"LOW SAMPLE","OK")))</f>
        <v/>
      </c>
      <c r="P91" s="11">
        <f>IF($A91="","",COUNTIFS(tblPCSInput[Call Date/Time],"&gt;="&amp;(SETUP!$B$6),tblPCSInput[Call Date/Time],"&lt;"&amp;(SETUP!$B$7),tblPCSInput[Call Direction],"I",tblPCSInput[Agent ID],$A91,tblPCSInput[PCSStatus],1))</f>
        <v/>
      </c>
      <c r="Q91" s="11">
        <f>IF($A91="","",COUNTIFS(tblPCSInput[Call Date/Time],"&gt;="&amp;(SETUP!$B$6),tblPCSInput[Call Date/Time],"&lt;"&amp;(SETUP!$B$7),tblPCSInput[Call Direction],"I",tblPCSInput[Agent ID],$A91,tblPCSInput[Question 1],"&lt;&gt;"))</f>
        <v/>
      </c>
      <c r="R91" s="11">
        <f>IF($A91="","",COUNTIFS(tblPCSInput[Call Date/Time],"&gt;="&amp;(SETUP!$B$6),tblPCSInput[Call Date/Time],"&lt;"&amp;(SETUP!$B$7),tblPCSInput[Call Direction],"I",tblPCSInput[Agent ID],$A91,tblPCSInput[Valid Q1],"&gt;=1"))</f>
        <v/>
      </c>
      <c r="S91" s="12">
        <f>IFERROR(SUMIFS(tblPCSInput[Valid Q1],tblPCSInput[Call Date/Time],"&gt;="&amp;SETUP!$B$6,tblPCSInput[Call Date/Time],"&lt;"&amp;SETUP!$B$7,tblPCSInput[Call Direction],"I",tblPCSInput[Agent ID],$A91)/COUNTIFS(tblPCSInput[Call Date/Time],"&gt;="&amp;(SETUP!$B$6),tblPCSInput[Call Date/Time],"&lt;"&amp;(SETUP!$B$7),tblPCSInput[Call Direction],"I",tblPCSInput[Agent ID],$A91,tblPCSInput[Valid Q1],"&gt;=1"),"")</f>
        <v/>
      </c>
      <c r="T91" s="11">
        <f>IF(S91="","",COUNTIFS(tblPCSInput[Call Date/Time],"&gt;="&amp;(SETUP!$B$6),tblPCSInput[Call Date/Time],"&lt;"&amp;(SETUP!$B$7),tblPCSInput[Call Direction],"I",tblPCSInput[Agent ID],$A91,tblPCSInput[Valid Q1],"&lt;=3",tblPCSInput[Valid Q1],"&gt;=1"))</f>
        <v/>
      </c>
      <c r="U91" s="11">
        <f>IF(S91="","",COUNTIFS(tblPCSInput[Call Date/Time],"&gt;="&amp;(SETUP!$B$6),tblPCSInput[Call Date/Time],"&lt;"&amp;(SETUP!$B$7),tblPCSInput[Call Direction],"I",tblPCSInput[Agent ID],$A91,tblPCSInput[Valid Q1],"&gt;3"))</f>
        <v/>
      </c>
      <c r="V91" s="13">
        <f>IFERROR(Q91/P91,"")</f>
        <v/>
      </c>
      <c r="W91" s="13">
        <f>IFERROR(R91/P91,"")</f>
        <v/>
      </c>
    </row>
    <row r="92" spans="1:23">
      <c r="A92" s="4">
        <f>IF(ROSTER!A92="","",ROSTER!A92)</f>
        <v>96161</v>
      </c>
      <c r="B92" s="4" t="str">
        <f>IF($A92="","",ROSTER!C92)</f>
        <v>Islah Aymane</v>
      </c>
      <c r="C92" s="4" t="str">
        <f>IF($A92="","",ROSTER!D92)</f>
        <v>Farouk BOUAZZAOUI</v>
      </c>
      <c r="D92" s="4" t="str">
        <f>IF($A92="","",ROSTER!E92)</f>
        <v>Anas OUAKKAD</v>
      </c>
      <c r="E92" s="4" t="str">
        <f>IF($A92="","",ROSTER!F92)</f>
        <v>RSA VL</v>
      </c>
      <c r="F92" s="11">
        <f>IF($A92="","",COUNTIFS(tblPCSInput[Call Date/Time],"&gt;="&amp;(SETUP!$B$5),tblPCSInput[Call Date/Time],"&lt;"&amp;(SETUP!$B$5+1),tblPCSInput[Call Direction],"I",tblPCSInput[Agent ID],$A92,tblPCSInput[PCSStatus],1))</f>
        <v/>
      </c>
      <c r="G92" s="11">
        <f>IF($A92="","",COUNTIFS(tblPCSInput[Call Date/Time],"&gt;="&amp;(SETUP!$B$5),tblPCSInput[Call Date/Time],"&lt;"&amp;(SETUP!$B$5+1),tblPCSInput[Call Direction],"I",tblPCSInput[Agent ID],$A92,tblPCSInput[Question 1],"&lt;&gt;"))</f>
        <v/>
      </c>
      <c r="H92" s="11">
        <f>IF($A92="","",COUNTIFS(tblPCSInput[Call Date/Time],"&gt;="&amp;(SETUP!$B$5),tblPCSInput[Call Date/Time],"&lt;"&amp;(SETUP!$B$5+1),tblPCSInput[Call Direction],"I",tblPCSInput[Agent ID],$A92,tblPCSInput[Valid Q1],"&gt;=1"))</f>
        <v/>
      </c>
      <c r="I92" s="12">
        <f>IFERROR(SUMIFS(tblPCSInput[Valid Q1],tblPCSInput[Call Date/Time],"&gt;="&amp;SETUP!$B$5,tblPCSInput[Call Date/Time],"&lt;"&amp;SETUP!$B$5+1,tblPCSInput[Call Direction],"I",tblPCSInput[Agent ID],$A92)/COUNTIFS(tblPCSInput[Call Date/Time],"&gt;="&amp;(SETUP!$B$5),tblPCSInput[Call Date/Time],"&lt;"&amp;(SETUP!$B$5+1),tblPCSInput[Call Direction],"I",tblPCSInput[Agent ID],$A92,tblPCSInput[Valid Q1],"&gt;=1"),"")</f>
        <v/>
      </c>
      <c r="J92" s="11">
        <f>IF(I92="","",COUNTIFS(tblPCSInput[Call Date/Time],"&gt;="&amp;(SETUP!$B$5),tblPCSInput[Call Date/Time],"&lt;"&amp;(SETUP!$B$5+1),tblPCSInput[Call Direction],"I",tblPCSInput[Agent ID],$A92,tblPCSInput[Valid Q1],"&lt;=3",tblPCSInput[Valid Q1],"&gt;=1"))</f>
        <v/>
      </c>
      <c r="K92" s="11">
        <f>IF(I92="","",COUNTIFS(tblPCSInput[Call Date/Time],"&gt;="&amp;(SETUP!$B$5),tblPCSInput[Call Date/Time],"&lt;"&amp;(SETUP!$B$5+1),tblPCSInput[Call Direction],"I",tblPCSInput[Agent ID],$A92,tblPCSInput[Valid Q1],"&gt;3"))</f>
        <v/>
      </c>
      <c r="L92" s="13">
        <f>IFERROR(G92/F92,"")</f>
        <v/>
      </c>
      <c r="M92" s="13">
        <f>IFERROR(H92/F92,"")</f>
        <v/>
      </c>
      <c r="N92" s="11">
        <f>IF($A92="","",MAX(0,G92-H92))</f>
        <v/>
      </c>
      <c r="O92" s="4">
        <f>IF($A92="","",IF(H92=0,"NO VALID SURVEY",IF(H92&lt;5,"LOW SAMPLE","OK")))</f>
        <v/>
      </c>
      <c r="P92" s="11">
        <f>IF($A92="","",COUNTIFS(tblPCSInput[Call Date/Time],"&gt;="&amp;(SETUP!$B$6),tblPCSInput[Call Date/Time],"&lt;"&amp;(SETUP!$B$7),tblPCSInput[Call Direction],"I",tblPCSInput[Agent ID],$A92,tblPCSInput[PCSStatus],1))</f>
        <v/>
      </c>
      <c r="Q92" s="11">
        <f>IF($A92="","",COUNTIFS(tblPCSInput[Call Date/Time],"&gt;="&amp;(SETUP!$B$6),tblPCSInput[Call Date/Time],"&lt;"&amp;(SETUP!$B$7),tblPCSInput[Call Direction],"I",tblPCSInput[Agent ID],$A92,tblPCSInput[Question 1],"&lt;&gt;"))</f>
        <v/>
      </c>
      <c r="R92" s="11">
        <f>IF($A92="","",COUNTIFS(tblPCSInput[Call Date/Time],"&gt;="&amp;(SETUP!$B$6),tblPCSInput[Call Date/Time],"&lt;"&amp;(SETUP!$B$7),tblPCSInput[Call Direction],"I",tblPCSInput[Agent ID],$A92,tblPCSInput[Valid Q1],"&gt;=1"))</f>
        <v/>
      </c>
      <c r="S92" s="12">
        <f>IFERROR(SUMIFS(tblPCSInput[Valid Q1],tblPCSInput[Call Date/Time],"&gt;="&amp;SETUP!$B$6,tblPCSInput[Call Date/Time],"&lt;"&amp;SETUP!$B$7,tblPCSInput[Call Direction],"I",tblPCSInput[Agent ID],$A92)/COUNTIFS(tblPCSInput[Call Date/Time],"&gt;="&amp;(SETUP!$B$6),tblPCSInput[Call Date/Time],"&lt;"&amp;(SETUP!$B$7),tblPCSInput[Call Direction],"I",tblPCSInput[Agent ID],$A92,tblPCSInput[Valid Q1],"&gt;=1"),"")</f>
        <v/>
      </c>
      <c r="T92" s="11">
        <f>IF(S92="","",COUNTIFS(tblPCSInput[Call Date/Time],"&gt;="&amp;(SETUP!$B$6),tblPCSInput[Call Date/Time],"&lt;"&amp;(SETUP!$B$7),tblPCSInput[Call Direction],"I",tblPCSInput[Agent ID],$A92,tblPCSInput[Valid Q1],"&lt;=3",tblPCSInput[Valid Q1],"&gt;=1"))</f>
        <v/>
      </c>
      <c r="U92" s="11">
        <f>IF(S92="","",COUNTIFS(tblPCSInput[Call Date/Time],"&gt;="&amp;(SETUP!$B$6),tblPCSInput[Call Date/Time],"&lt;"&amp;(SETUP!$B$7),tblPCSInput[Call Direction],"I",tblPCSInput[Agent ID],$A92,tblPCSInput[Valid Q1],"&gt;3"))</f>
        <v/>
      </c>
      <c r="V92" s="13">
        <f>IFERROR(Q92/P92,"")</f>
        <v/>
      </c>
      <c r="W92" s="13">
        <f>IFERROR(R92/P92,"")</f>
        <v/>
      </c>
    </row>
    <row r="93" spans="1:23">
      <c r="A93" s="4">
        <f>IF(ROSTER!A93="","",ROSTER!A93)</f>
        <v>96164</v>
      </c>
      <c r="B93" s="4" t="str">
        <f>IF($A93="","",ROSTER!C93)</f>
        <v>ERRAIT Najia</v>
      </c>
      <c r="C93" s="4" t="str">
        <f>IF($A93="","",ROSTER!D93)</f>
        <v>Farouk BOUAZZAOUI</v>
      </c>
      <c r="D93" s="4" t="str">
        <f>IF($A93="","",ROSTER!E93)</f>
        <v>Anas OUAKKAD</v>
      </c>
      <c r="E93" s="4" t="str">
        <f>IF($A93="","",ROSTER!F93)</f>
        <v>RSA VL</v>
      </c>
      <c r="F93" s="11">
        <f>IF($A93="","",COUNTIFS(tblPCSInput[Call Date/Time],"&gt;="&amp;(SETUP!$B$5),tblPCSInput[Call Date/Time],"&lt;"&amp;(SETUP!$B$5+1),tblPCSInput[Call Direction],"I",tblPCSInput[Agent ID],$A93,tblPCSInput[PCSStatus],1))</f>
        <v/>
      </c>
      <c r="G93" s="11">
        <f>IF($A93="","",COUNTIFS(tblPCSInput[Call Date/Time],"&gt;="&amp;(SETUP!$B$5),tblPCSInput[Call Date/Time],"&lt;"&amp;(SETUP!$B$5+1),tblPCSInput[Call Direction],"I",tblPCSInput[Agent ID],$A93,tblPCSInput[Question 1],"&lt;&gt;"))</f>
        <v/>
      </c>
      <c r="H93" s="11">
        <f>IF($A93="","",COUNTIFS(tblPCSInput[Call Date/Time],"&gt;="&amp;(SETUP!$B$5),tblPCSInput[Call Date/Time],"&lt;"&amp;(SETUP!$B$5+1),tblPCSInput[Call Direction],"I",tblPCSInput[Agent ID],$A93,tblPCSInput[Valid Q1],"&gt;=1"))</f>
        <v/>
      </c>
      <c r="I93" s="12">
        <f>IFERROR(SUMIFS(tblPCSInput[Valid Q1],tblPCSInput[Call Date/Time],"&gt;="&amp;SETUP!$B$5,tblPCSInput[Call Date/Time],"&lt;"&amp;SETUP!$B$5+1,tblPCSInput[Call Direction],"I",tblPCSInput[Agent ID],$A93)/COUNTIFS(tblPCSInput[Call Date/Time],"&gt;="&amp;(SETUP!$B$5),tblPCSInput[Call Date/Time],"&lt;"&amp;(SETUP!$B$5+1),tblPCSInput[Call Direction],"I",tblPCSInput[Agent ID],$A93,tblPCSInput[Valid Q1],"&gt;=1"),"")</f>
        <v/>
      </c>
      <c r="J93" s="11">
        <f>IF(I93="","",COUNTIFS(tblPCSInput[Call Date/Time],"&gt;="&amp;(SETUP!$B$5),tblPCSInput[Call Date/Time],"&lt;"&amp;(SETUP!$B$5+1),tblPCSInput[Call Direction],"I",tblPCSInput[Agent ID],$A93,tblPCSInput[Valid Q1],"&lt;=3",tblPCSInput[Valid Q1],"&gt;=1"))</f>
        <v/>
      </c>
      <c r="K93" s="11">
        <f>IF(I93="","",COUNTIFS(tblPCSInput[Call Date/Time],"&gt;="&amp;(SETUP!$B$5),tblPCSInput[Call Date/Time],"&lt;"&amp;(SETUP!$B$5+1),tblPCSInput[Call Direction],"I",tblPCSInput[Agent ID],$A93,tblPCSInput[Valid Q1],"&gt;3"))</f>
        <v/>
      </c>
      <c r="L93" s="13">
        <f>IFERROR(G93/F93,"")</f>
        <v/>
      </c>
      <c r="M93" s="13">
        <f>IFERROR(H93/F93,"")</f>
        <v/>
      </c>
      <c r="N93" s="11">
        <f>IF($A93="","",MAX(0,G93-H93))</f>
        <v/>
      </c>
      <c r="O93" s="4">
        <f>IF($A93="","",IF(H93=0,"NO VALID SURVEY",IF(H93&lt;5,"LOW SAMPLE","OK")))</f>
        <v/>
      </c>
      <c r="P93" s="11">
        <f>IF($A93="","",COUNTIFS(tblPCSInput[Call Date/Time],"&gt;="&amp;(SETUP!$B$6),tblPCSInput[Call Date/Time],"&lt;"&amp;(SETUP!$B$7),tblPCSInput[Call Direction],"I",tblPCSInput[Agent ID],$A93,tblPCSInput[PCSStatus],1))</f>
        <v/>
      </c>
      <c r="Q93" s="11">
        <f>IF($A93="","",COUNTIFS(tblPCSInput[Call Date/Time],"&gt;="&amp;(SETUP!$B$6),tblPCSInput[Call Date/Time],"&lt;"&amp;(SETUP!$B$7),tblPCSInput[Call Direction],"I",tblPCSInput[Agent ID],$A93,tblPCSInput[Question 1],"&lt;&gt;"))</f>
        <v/>
      </c>
      <c r="R93" s="11">
        <f>IF($A93="","",COUNTIFS(tblPCSInput[Call Date/Time],"&gt;="&amp;(SETUP!$B$6),tblPCSInput[Call Date/Time],"&lt;"&amp;(SETUP!$B$7),tblPCSInput[Call Direction],"I",tblPCSInput[Agent ID],$A93,tblPCSInput[Valid Q1],"&gt;=1"))</f>
        <v/>
      </c>
      <c r="S93" s="12">
        <f>IFERROR(SUMIFS(tblPCSInput[Valid Q1],tblPCSInput[Call Date/Time],"&gt;="&amp;SETUP!$B$6,tblPCSInput[Call Date/Time],"&lt;"&amp;SETUP!$B$7,tblPCSInput[Call Direction],"I",tblPCSInput[Agent ID],$A93)/COUNTIFS(tblPCSInput[Call Date/Time],"&gt;="&amp;(SETUP!$B$6),tblPCSInput[Call Date/Time],"&lt;"&amp;(SETUP!$B$7),tblPCSInput[Call Direction],"I",tblPCSInput[Agent ID],$A93,tblPCSInput[Valid Q1],"&gt;=1"),"")</f>
        <v/>
      </c>
      <c r="T93" s="11">
        <f>IF(S93="","",COUNTIFS(tblPCSInput[Call Date/Time],"&gt;="&amp;(SETUP!$B$6),tblPCSInput[Call Date/Time],"&lt;"&amp;(SETUP!$B$7),tblPCSInput[Call Direction],"I",tblPCSInput[Agent ID],$A93,tblPCSInput[Valid Q1],"&lt;=3",tblPCSInput[Valid Q1],"&gt;=1"))</f>
        <v/>
      </c>
      <c r="U93" s="11">
        <f>IF(S93="","",COUNTIFS(tblPCSInput[Call Date/Time],"&gt;="&amp;(SETUP!$B$6),tblPCSInput[Call Date/Time],"&lt;"&amp;(SETUP!$B$7),tblPCSInput[Call Direction],"I",tblPCSInput[Agent ID],$A93,tblPCSInput[Valid Q1],"&gt;3"))</f>
        <v/>
      </c>
      <c r="V93" s="13">
        <f>IFERROR(Q93/P93,"")</f>
        <v/>
      </c>
      <c r="W93" s="13">
        <f>IFERROR(R93/P93,"")</f>
        <v/>
      </c>
    </row>
    <row r="94" spans="1:23">
      <c r="A94" s="4">
        <f>IF(ROSTER!A94="","",ROSTER!A94)</f>
        <v>224093</v>
      </c>
      <c r="B94" s="4" t="str">
        <f>IF($A94="","",ROSTER!C94)</f>
        <v>YEKHLEFAnouar</v>
      </c>
      <c r="C94" s="4" t="str">
        <f>IF($A94="","",ROSTER!D94)</f>
        <v>Adil LAGRAOUI</v>
      </c>
      <c r="D94" s="4" t="str">
        <f>IF($A94="","",ROSTER!E94)</f>
        <v>Anas OUAKKAD</v>
      </c>
      <c r="E94" s="4" t="str">
        <f>IF($A94="","",ROSTER!F94)</f>
        <v>RSA NL</v>
      </c>
      <c r="F94" s="11">
        <f>IF($A94="","",COUNTIFS(tblPCSInput[Call Date/Time],"&gt;="&amp;(SETUP!$B$5),tblPCSInput[Call Date/Time],"&lt;"&amp;(SETUP!$B$5+1),tblPCSInput[Call Direction],"I",tblPCSInput[Agent ID],$A94,tblPCSInput[PCSStatus],1))</f>
        <v/>
      </c>
      <c r="G94" s="11">
        <f>IF($A94="","",COUNTIFS(tblPCSInput[Call Date/Time],"&gt;="&amp;(SETUP!$B$5),tblPCSInput[Call Date/Time],"&lt;"&amp;(SETUP!$B$5+1),tblPCSInput[Call Direction],"I",tblPCSInput[Agent ID],$A94,tblPCSInput[Question 1],"&lt;&gt;"))</f>
        <v/>
      </c>
      <c r="H94" s="11">
        <f>IF($A94="","",COUNTIFS(tblPCSInput[Call Date/Time],"&gt;="&amp;(SETUP!$B$5),tblPCSInput[Call Date/Time],"&lt;"&amp;(SETUP!$B$5+1),tblPCSInput[Call Direction],"I",tblPCSInput[Agent ID],$A94,tblPCSInput[Valid Q1],"&gt;=1"))</f>
        <v/>
      </c>
      <c r="I94" s="12">
        <f>IFERROR(SUMIFS(tblPCSInput[Valid Q1],tblPCSInput[Call Date/Time],"&gt;="&amp;SETUP!$B$5,tblPCSInput[Call Date/Time],"&lt;"&amp;SETUP!$B$5+1,tblPCSInput[Call Direction],"I",tblPCSInput[Agent ID],$A94)/COUNTIFS(tblPCSInput[Call Date/Time],"&gt;="&amp;(SETUP!$B$5),tblPCSInput[Call Date/Time],"&lt;"&amp;(SETUP!$B$5+1),tblPCSInput[Call Direction],"I",tblPCSInput[Agent ID],$A94,tblPCSInput[Valid Q1],"&gt;=1"),"")</f>
        <v/>
      </c>
      <c r="J94" s="11">
        <f>IF(I94="","",COUNTIFS(tblPCSInput[Call Date/Time],"&gt;="&amp;(SETUP!$B$5),tblPCSInput[Call Date/Time],"&lt;"&amp;(SETUP!$B$5+1),tblPCSInput[Call Direction],"I",tblPCSInput[Agent ID],$A94,tblPCSInput[Valid Q1],"&lt;=3",tblPCSInput[Valid Q1],"&gt;=1"))</f>
        <v/>
      </c>
      <c r="K94" s="11">
        <f>IF(I94="","",COUNTIFS(tblPCSInput[Call Date/Time],"&gt;="&amp;(SETUP!$B$5),tblPCSInput[Call Date/Time],"&lt;"&amp;(SETUP!$B$5+1),tblPCSInput[Call Direction],"I",tblPCSInput[Agent ID],$A94,tblPCSInput[Valid Q1],"&gt;3"))</f>
        <v/>
      </c>
      <c r="L94" s="13">
        <f>IFERROR(G94/F94,"")</f>
        <v/>
      </c>
      <c r="M94" s="13">
        <f>IFERROR(H94/F94,"")</f>
        <v/>
      </c>
      <c r="N94" s="11">
        <f>IF($A94="","",MAX(0,G94-H94))</f>
        <v/>
      </c>
      <c r="O94" s="4">
        <f>IF($A94="","",IF(H94=0,"NO VALID SURVEY",IF(H94&lt;5,"LOW SAMPLE","OK")))</f>
        <v/>
      </c>
      <c r="P94" s="11">
        <f>IF($A94="","",COUNTIFS(tblPCSInput[Call Date/Time],"&gt;="&amp;(SETUP!$B$6),tblPCSInput[Call Date/Time],"&lt;"&amp;(SETUP!$B$7),tblPCSInput[Call Direction],"I",tblPCSInput[Agent ID],$A94,tblPCSInput[PCSStatus],1))</f>
        <v/>
      </c>
      <c r="Q94" s="11">
        <f>IF($A94="","",COUNTIFS(tblPCSInput[Call Date/Time],"&gt;="&amp;(SETUP!$B$6),tblPCSInput[Call Date/Time],"&lt;"&amp;(SETUP!$B$7),tblPCSInput[Call Direction],"I",tblPCSInput[Agent ID],$A94,tblPCSInput[Question 1],"&lt;&gt;"))</f>
        <v/>
      </c>
      <c r="R94" s="11">
        <f>IF($A94="","",COUNTIFS(tblPCSInput[Call Date/Time],"&gt;="&amp;(SETUP!$B$6),tblPCSInput[Call Date/Time],"&lt;"&amp;(SETUP!$B$7),tblPCSInput[Call Direction],"I",tblPCSInput[Agent ID],$A94,tblPCSInput[Valid Q1],"&gt;=1"))</f>
        <v/>
      </c>
      <c r="S94" s="12">
        <f>IFERROR(SUMIFS(tblPCSInput[Valid Q1],tblPCSInput[Call Date/Time],"&gt;="&amp;SETUP!$B$6,tblPCSInput[Call Date/Time],"&lt;"&amp;SETUP!$B$7,tblPCSInput[Call Direction],"I",tblPCSInput[Agent ID],$A94)/COUNTIFS(tblPCSInput[Call Date/Time],"&gt;="&amp;(SETUP!$B$6),tblPCSInput[Call Date/Time],"&lt;"&amp;(SETUP!$B$7),tblPCSInput[Call Direction],"I",tblPCSInput[Agent ID],$A94,tblPCSInput[Valid Q1],"&gt;=1"),"")</f>
        <v/>
      </c>
      <c r="T94" s="11">
        <f>IF(S94="","",COUNTIFS(tblPCSInput[Call Date/Time],"&gt;="&amp;(SETUP!$B$6),tblPCSInput[Call Date/Time],"&lt;"&amp;(SETUP!$B$7),tblPCSInput[Call Direction],"I",tblPCSInput[Agent ID],$A94,tblPCSInput[Valid Q1],"&lt;=3",tblPCSInput[Valid Q1],"&gt;=1"))</f>
        <v/>
      </c>
      <c r="U94" s="11">
        <f>IF(S94="","",COUNTIFS(tblPCSInput[Call Date/Time],"&gt;="&amp;(SETUP!$B$6),tblPCSInput[Call Date/Time],"&lt;"&amp;(SETUP!$B$7),tblPCSInput[Call Direction],"I",tblPCSInput[Agent ID],$A94,tblPCSInput[Valid Q1],"&gt;3"))</f>
        <v/>
      </c>
      <c r="V94" s="13">
        <f>IFERROR(Q94/P94,"")</f>
        <v/>
      </c>
      <c r="W94" s="13">
        <f>IFERROR(R94/P94,"")</f>
        <v/>
      </c>
    </row>
    <row r="95" spans="1:23">
      <c r="A95" s="4">
        <f>IF(ROSTER!A95="","",ROSTER!A95)</f>
        <v>223881</v>
      </c>
      <c r="B95" s="4" t="str">
        <f>IF($A95="","",ROSTER!C95)</f>
        <v>DICKMANNS Arno</v>
      </c>
      <c r="C95" s="4" t="str">
        <f>IF($A95="","",ROSTER!D95)</f>
        <v>Farouk BOUAZZAOUI</v>
      </c>
      <c r="D95" s="4" t="str">
        <f>IF($A95="","",ROSTER!E95)</f>
        <v>Anas OUAKKAD</v>
      </c>
      <c r="E95" s="4" t="str">
        <f>IF($A95="","",ROSTER!F95)</f>
        <v>RSA VL</v>
      </c>
      <c r="F95" s="11">
        <f>IF($A95="","",COUNTIFS(tblPCSInput[Call Date/Time],"&gt;="&amp;(SETUP!$B$5),tblPCSInput[Call Date/Time],"&lt;"&amp;(SETUP!$B$5+1),tblPCSInput[Call Direction],"I",tblPCSInput[Agent ID],$A95,tblPCSInput[PCSStatus],1))</f>
        <v/>
      </c>
      <c r="G95" s="11">
        <f>IF($A95="","",COUNTIFS(tblPCSInput[Call Date/Time],"&gt;="&amp;(SETUP!$B$5),tblPCSInput[Call Date/Time],"&lt;"&amp;(SETUP!$B$5+1),tblPCSInput[Call Direction],"I",tblPCSInput[Agent ID],$A95,tblPCSInput[Question 1],"&lt;&gt;"))</f>
        <v/>
      </c>
      <c r="H95" s="11">
        <f>IF($A95="","",COUNTIFS(tblPCSInput[Call Date/Time],"&gt;="&amp;(SETUP!$B$5),tblPCSInput[Call Date/Time],"&lt;"&amp;(SETUP!$B$5+1),tblPCSInput[Call Direction],"I",tblPCSInput[Agent ID],$A95,tblPCSInput[Valid Q1],"&gt;=1"))</f>
        <v/>
      </c>
      <c r="I95" s="12">
        <f>IFERROR(SUMIFS(tblPCSInput[Valid Q1],tblPCSInput[Call Date/Time],"&gt;="&amp;SETUP!$B$5,tblPCSInput[Call Date/Time],"&lt;"&amp;SETUP!$B$5+1,tblPCSInput[Call Direction],"I",tblPCSInput[Agent ID],$A95)/COUNTIFS(tblPCSInput[Call Date/Time],"&gt;="&amp;(SETUP!$B$5),tblPCSInput[Call Date/Time],"&lt;"&amp;(SETUP!$B$5+1),tblPCSInput[Call Direction],"I",tblPCSInput[Agent ID],$A95,tblPCSInput[Valid Q1],"&gt;=1"),"")</f>
        <v/>
      </c>
      <c r="J95" s="11">
        <f>IF(I95="","",COUNTIFS(tblPCSInput[Call Date/Time],"&gt;="&amp;(SETUP!$B$5),tblPCSInput[Call Date/Time],"&lt;"&amp;(SETUP!$B$5+1),tblPCSInput[Call Direction],"I",tblPCSInput[Agent ID],$A95,tblPCSInput[Valid Q1],"&lt;=3",tblPCSInput[Valid Q1],"&gt;=1"))</f>
        <v/>
      </c>
      <c r="K95" s="11">
        <f>IF(I95="","",COUNTIFS(tblPCSInput[Call Date/Time],"&gt;="&amp;(SETUP!$B$5),tblPCSInput[Call Date/Time],"&lt;"&amp;(SETUP!$B$5+1),tblPCSInput[Call Direction],"I",tblPCSInput[Agent ID],$A95,tblPCSInput[Valid Q1],"&gt;3"))</f>
        <v/>
      </c>
      <c r="L95" s="13">
        <f>IFERROR(G95/F95,"")</f>
        <v/>
      </c>
      <c r="M95" s="13">
        <f>IFERROR(H95/F95,"")</f>
        <v/>
      </c>
      <c r="N95" s="11">
        <f>IF($A95="","",MAX(0,G95-H95))</f>
        <v/>
      </c>
      <c r="O95" s="4">
        <f>IF($A95="","",IF(H95=0,"NO VALID SURVEY",IF(H95&lt;5,"LOW SAMPLE","OK")))</f>
        <v/>
      </c>
      <c r="P95" s="11">
        <f>IF($A95="","",COUNTIFS(tblPCSInput[Call Date/Time],"&gt;="&amp;(SETUP!$B$6),tblPCSInput[Call Date/Time],"&lt;"&amp;(SETUP!$B$7),tblPCSInput[Call Direction],"I",tblPCSInput[Agent ID],$A95,tblPCSInput[PCSStatus],1))</f>
        <v/>
      </c>
      <c r="Q95" s="11">
        <f>IF($A95="","",COUNTIFS(tblPCSInput[Call Date/Time],"&gt;="&amp;(SETUP!$B$6),tblPCSInput[Call Date/Time],"&lt;"&amp;(SETUP!$B$7),tblPCSInput[Call Direction],"I",tblPCSInput[Agent ID],$A95,tblPCSInput[Question 1],"&lt;&gt;"))</f>
        <v/>
      </c>
      <c r="R95" s="11">
        <f>IF($A95="","",COUNTIFS(tblPCSInput[Call Date/Time],"&gt;="&amp;(SETUP!$B$6),tblPCSInput[Call Date/Time],"&lt;"&amp;(SETUP!$B$7),tblPCSInput[Call Direction],"I",tblPCSInput[Agent ID],$A95,tblPCSInput[Valid Q1],"&gt;=1"))</f>
        <v/>
      </c>
      <c r="S95" s="12">
        <f>IFERROR(SUMIFS(tblPCSInput[Valid Q1],tblPCSInput[Call Date/Time],"&gt;="&amp;SETUP!$B$6,tblPCSInput[Call Date/Time],"&lt;"&amp;SETUP!$B$7,tblPCSInput[Call Direction],"I",tblPCSInput[Agent ID],$A95)/COUNTIFS(tblPCSInput[Call Date/Time],"&gt;="&amp;(SETUP!$B$6),tblPCSInput[Call Date/Time],"&lt;"&amp;(SETUP!$B$7),tblPCSInput[Call Direction],"I",tblPCSInput[Agent ID],$A95,tblPCSInput[Valid Q1],"&gt;=1"),"")</f>
        <v/>
      </c>
      <c r="T95" s="11">
        <f>IF(S95="","",COUNTIFS(tblPCSInput[Call Date/Time],"&gt;="&amp;(SETUP!$B$6),tblPCSInput[Call Date/Time],"&lt;"&amp;(SETUP!$B$7),tblPCSInput[Call Direction],"I",tblPCSInput[Agent ID],$A95,tblPCSInput[Valid Q1],"&lt;=3",tblPCSInput[Valid Q1],"&gt;=1"))</f>
        <v/>
      </c>
      <c r="U95" s="11">
        <f>IF(S95="","",COUNTIFS(tblPCSInput[Call Date/Time],"&gt;="&amp;(SETUP!$B$6),tblPCSInput[Call Date/Time],"&lt;"&amp;(SETUP!$B$7),tblPCSInput[Call Direction],"I",tblPCSInput[Agent ID],$A95,tblPCSInput[Valid Q1],"&gt;3"))</f>
        <v/>
      </c>
      <c r="V95" s="13">
        <f>IFERROR(Q95/P95,"")</f>
        <v/>
      </c>
      <c r="W95" s="13">
        <f>IFERROR(R95/P95,"")</f>
        <v/>
      </c>
    </row>
    <row r="96" spans="1:23">
      <c r="A96" s="4">
        <f>IF(ROSTER!A96="","",ROSTER!A96)</f>
        <v>223879</v>
      </c>
      <c r="B96" s="4" t="str">
        <f>IF($A96="","",ROSTER!C96)</f>
        <v>Meftaha Elfahry-Elfassi</v>
      </c>
      <c r="C96" s="4" t="str">
        <f>IF($A96="","",ROSTER!D96)</f>
        <v>Farouk BOUAZZAOUI</v>
      </c>
      <c r="D96" s="4" t="str">
        <f>IF($A96="","",ROSTER!E96)</f>
        <v>Anas OUAKKAD</v>
      </c>
      <c r="E96" s="4" t="str">
        <f>IF($A96="","",ROSTER!F96)</f>
        <v>RSA FR</v>
      </c>
      <c r="F96" s="11">
        <f>IF($A96="","",COUNTIFS(tblPCSInput[Call Date/Time],"&gt;="&amp;(SETUP!$B$5),tblPCSInput[Call Date/Time],"&lt;"&amp;(SETUP!$B$5+1),tblPCSInput[Call Direction],"I",tblPCSInput[Agent ID],$A96,tblPCSInput[PCSStatus],1))</f>
        <v/>
      </c>
      <c r="G96" s="11">
        <f>IF($A96="","",COUNTIFS(tblPCSInput[Call Date/Time],"&gt;="&amp;(SETUP!$B$5),tblPCSInput[Call Date/Time],"&lt;"&amp;(SETUP!$B$5+1),tblPCSInput[Call Direction],"I",tblPCSInput[Agent ID],$A96,tblPCSInput[Question 1],"&lt;&gt;"))</f>
        <v/>
      </c>
      <c r="H96" s="11">
        <f>IF($A96="","",COUNTIFS(tblPCSInput[Call Date/Time],"&gt;="&amp;(SETUP!$B$5),tblPCSInput[Call Date/Time],"&lt;"&amp;(SETUP!$B$5+1),tblPCSInput[Call Direction],"I",tblPCSInput[Agent ID],$A96,tblPCSInput[Valid Q1],"&gt;=1"))</f>
        <v/>
      </c>
      <c r="I96" s="12">
        <f>IFERROR(SUMIFS(tblPCSInput[Valid Q1],tblPCSInput[Call Date/Time],"&gt;="&amp;SETUP!$B$5,tblPCSInput[Call Date/Time],"&lt;"&amp;SETUP!$B$5+1,tblPCSInput[Call Direction],"I",tblPCSInput[Agent ID],$A96)/COUNTIFS(tblPCSInput[Call Date/Time],"&gt;="&amp;(SETUP!$B$5),tblPCSInput[Call Date/Time],"&lt;"&amp;(SETUP!$B$5+1),tblPCSInput[Call Direction],"I",tblPCSInput[Agent ID],$A96,tblPCSInput[Valid Q1],"&gt;=1"),"")</f>
        <v/>
      </c>
      <c r="J96" s="11">
        <f>IF(I96="","",COUNTIFS(tblPCSInput[Call Date/Time],"&gt;="&amp;(SETUP!$B$5),tblPCSInput[Call Date/Time],"&lt;"&amp;(SETUP!$B$5+1),tblPCSInput[Call Direction],"I",tblPCSInput[Agent ID],$A96,tblPCSInput[Valid Q1],"&lt;=3",tblPCSInput[Valid Q1],"&gt;=1"))</f>
        <v/>
      </c>
      <c r="K96" s="11">
        <f>IF(I96="","",COUNTIFS(tblPCSInput[Call Date/Time],"&gt;="&amp;(SETUP!$B$5),tblPCSInput[Call Date/Time],"&lt;"&amp;(SETUP!$B$5+1),tblPCSInput[Call Direction],"I",tblPCSInput[Agent ID],$A96,tblPCSInput[Valid Q1],"&gt;3"))</f>
        <v/>
      </c>
      <c r="L96" s="13">
        <f>IFERROR(G96/F96,"")</f>
        <v/>
      </c>
      <c r="M96" s="13">
        <f>IFERROR(H96/F96,"")</f>
        <v/>
      </c>
      <c r="N96" s="11">
        <f>IF($A96="","",MAX(0,G96-H96))</f>
        <v/>
      </c>
      <c r="O96" s="4">
        <f>IF($A96="","",IF(H96=0,"NO VALID SURVEY",IF(H96&lt;5,"LOW SAMPLE","OK")))</f>
        <v/>
      </c>
      <c r="P96" s="11">
        <f>IF($A96="","",COUNTIFS(tblPCSInput[Call Date/Time],"&gt;="&amp;(SETUP!$B$6),tblPCSInput[Call Date/Time],"&lt;"&amp;(SETUP!$B$7),tblPCSInput[Call Direction],"I",tblPCSInput[Agent ID],$A96,tblPCSInput[PCSStatus],1))</f>
        <v/>
      </c>
      <c r="Q96" s="11">
        <f>IF($A96="","",COUNTIFS(tblPCSInput[Call Date/Time],"&gt;="&amp;(SETUP!$B$6),tblPCSInput[Call Date/Time],"&lt;"&amp;(SETUP!$B$7),tblPCSInput[Call Direction],"I",tblPCSInput[Agent ID],$A96,tblPCSInput[Question 1],"&lt;&gt;"))</f>
        <v/>
      </c>
      <c r="R96" s="11">
        <f>IF($A96="","",COUNTIFS(tblPCSInput[Call Date/Time],"&gt;="&amp;(SETUP!$B$6),tblPCSInput[Call Date/Time],"&lt;"&amp;(SETUP!$B$7),tblPCSInput[Call Direction],"I",tblPCSInput[Agent ID],$A96,tblPCSInput[Valid Q1],"&gt;=1"))</f>
        <v/>
      </c>
      <c r="S96" s="12">
        <f>IFERROR(SUMIFS(tblPCSInput[Valid Q1],tblPCSInput[Call Date/Time],"&gt;="&amp;SETUP!$B$6,tblPCSInput[Call Date/Time],"&lt;"&amp;SETUP!$B$7,tblPCSInput[Call Direction],"I",tblPCSInput[Agent ID],$A96)/COUNTIFS(tblPCSInput[Call Date/Time],"&gt;="&amp;(SETUP!$B$6),tblPCSInput[Call Date/Time],"&lt;"&amp;(SETUP!$B$7),tblPCSInput[Call Direction],"I",tblPCSInput[Agent ID],$A96,tblPCSInput[Valid Q1],"&gt;=1"),"")</f>
        <v/>
      </c>
      <c r="T96" s="11">
        <f>IF(S96="","",COUNTIFS(tblPCSInput[Call Date/Time],"&gt;="&amp;(SETUP!$B$6),tblPCSInput[Call Date/Time],"&lt;"&amp;(SETUP!$B$7),tblPCSInput[Call Direction],"I",tblPCSInput[Agent ID],$A96,tblPCSInput[Valid Q1],"&lt;=3",tblPCSInput[Valid Q1],"&gt;=1"))</f>
        <v/>
      </c>
      <c r="U96" s="11">
        <f>IF(S96="","",COUNTIFS(tblPCSInput[Call Date/Time],"&gt;="&amp;(SETUP!$B$6),tblPCSInput[Call Date/Time],"&lt;"&amp;(SETUP!$B$7),tblPCSInput[Call Direction],"I",tblPCSInput[Agent ID],$A96,tblPCSInput[Valid Q1],"&gt;3"))</f>
        <v/>
      </c>
      <c r="V96" s="13">
        <f>IFERROR(Q96/P96,"")</f>
        <v/>
      </c>
      <c r="W96" s="13">
        <f>IFERROR(R96/P96,"")</f>
        <v/>
      </c>
    </row>
    <row r="97" spans="1:23">
      <c r="A97" s="4">
        <f>IF(ROSTER!A97="","",ROSTER!A97)</f>
        <v>224100</v>
      </c>
      <c r="B97" s="4" t="str">
        <f>IF($A97="","",ROSTER!C97)</f>
        <v>Rachid KARMIMMECH</v>
      </c>
      <c r="C97" s="4" t="str">
        <f>IF($A97="","",ROSTER!D97)</f>
        <v>Adil LAGRAOUI</v>
      </c>
      <c r="D97" s="4" t="str">
        <f>IF($A97="","",ROSTER!E97)</f>
        <v>Anas OUAKKAD</v>
      </c>
      <c r="E97" s="4" t="str">
        <f>IF($A97="","",ROSTER!F97)</f>
        <v>RSA NL</v>
      </c>
      <c r="F97" s="11">
        <f>IF($A97="","",COUNTIFS(tblPCSInput[Call Date/Time],"&gt;="&amp;(SETUP!$B$5),tblPCSInput[Call Date/Time],"&lt;"&amp;(SETUP!$B$5+1),tblPCSInput[Call Direction],"I",tblPCSInput[Agent ID],$A97,tblPCSInput[PCSStatus],1))</f>
        <v/>
      </c>
      <c r="G97" s="11">
        <f>IF($A97="","",COUNTIFS(tblPCSInput[Call Date/Time],"&gt;="&amp;(SETUP!$B$5),tblPCSInput[Call Date/Time],"&lt;"&amp;(SETUP!$B$5+1),tblPCSInput[Call Direction],"I",tblPCSInput[Agent ID],$A97,tblPCSInput[Question 1],"&lt;&gt;"))</f>
        <v/>
      </c>
      <c r="H97" s="11">
        <f>IF($A97="","",COUNTIFS(tblPCSInput[Call Date/Time],"&gt;="&amp;(SETUP!$B$5),tblPCSInput[Call Date/Time],"&lt;"&amp;(SETUP!$B$5+1),tblPCSInput[Call Direction],"I",tblPCSInput[Agent ID],$A97,tblPCSInput[Valid Q1],"&gt;=1"))</f>
        <v/>
      </c>
      <c r="I97" s="12">
        <f>IFERROR(SUMIFS(tblPCSInput[Valid Q1],tblPCSInput[Call Date/Time],"&gt;="&amp;SETUP!$B$5,tblPCSInput[Call Date/Time],"&lt;"&amp;SETUP!$B$5+1,tblPCSInput[Call Direction],"I",tblPCSInput[Agent ID],$A97)/COUNTIFS(tblPCSInput[Call Date/Time],"&gt;="&amp;(SETUP!$B$5),tblPCSInput[Call Date/Time],"&lt;"&amp;(SETUP!$B$5+1),tblPCSInput[Call Direction],"I",tblPCSInput[Agent ID],$A97,tblPCSInput[Valid Q1],"&gt;=1"),"")</f>
        <v/>
      </c>
      <c r="J97" s="11">
        <f>IF(I97="","",COUNTIFS(tblPCSInput[Call Date/Time],"&gt;="&amp;(SETUP!$B$5),tblPCSInput[Call Date/Time],"&lt;"&amp;(SETUP!$B$5+1),tblPCSInput[Call Direction],"I",tblPCSInput[Agent ID],$A97,tblPCSInput[Valid Q1],"&lt;=3",tblPCSInput[Valid Q1],"&gt;=1"))</f>
        <v/>
      </c>
      <c r="K97" s="11">
        <f>IF(I97="","",COUNTIFS(tblPCSInput[Call Date/Time],"&gt;="&amp;(SETUP!$B$5),tblPCSInput[Call Date/Time],"&lt;"&amp;(SETUP!$B$5+1),tblPCSInput[Call Direction],"I",tblPCSInput[Agent ID],$A97,tblPCSInput[Valid Q1],"&gt;3"))</f>
        <v/>
      </c>
      <c r="L97" s="13">
        <f>IFERROR(G97/F97,"")</f>
        <v/>
      </c>
      <c r="M97" s="13">
        <f>IFERROR(H97/F97,"")</f>
        <v/>
      </c>
      <c r="N97" s="11">
        <f>IF($A97="","",MAX(0,G97-H97))</f>
        <v/>
      </c>
      <c r="O97" s="4">
        <f>IF($A97="","",IF(H97=0,"NO VALID SURVEY",IF(H97&lt;5,"LOW SAMPLE","OK")))</f>
        <v/>
      </c>
      <c r="P97" s="11">
        <f>IF($A97="","",COUNTIFS(tblPCSInput[Call Date/Time],"&gt;="&amp;(SETUP!$B$6),tblPCSInput[Call Date/Time],"&lt;"&amp;(SETUP!$B$7),tblPCSInput[Call Direction],"I",tblPCSInput[Agent ID],$A97,tblPCSInput[PCSStatus],1))</f>
        <v/>
      </c>
      <c r="Q97" s="11">
        <f>IF($A97="","",COUNTIFS(tblPCSInput[Call Date/Time],"&gt;="&amp;(SETUP!$B$6),tblPCSInput[Call Date/Time],"&lt;"&amp;(SETUP!$B$7),tblPCSInput[Call Direction],"I",tblPCSInput[Agent ID],$A97,tblPCSInput[Question 1],"&lt;&gt;"))</f>
        <v/>
      </c>
      <c r="R97" s="11">
        <f>IF($A97="","",COUNTIFS(tblPCSInput[Call Date/Time],"&gt;="&amp;(SETUP!$B$6),tblPCSInput[Call Date/Time],"&lt;"&amp;(SETUP!$B$7),tblPCSInput[Call Direction],"I",tblPCSInput[Agent ID],$A97,tblPCSInput[Valid Q1],"&gt;=1"))</f>
        <v/>
      </c>
      <c r="S97" s="12">
        <f>IFERROR(SUMIFS(tblPCSInput[Valid Q1],tblPCSInput[Call Date/Time],"&gt;="&amp;SETUP!$B$6,tblPCSInput[Call Date/Time],"&lt;"&amp;SETUP!$B$7,tblPCSInput[Call Direction],"I",tblPCSInput[Agent ID],$A97)/COUNTIFS(tblPCSInput[Call Date/Time],"&gt;="&amp;(SETUP!$B$6),tblPCSInput[Call Date/Time],"&lt;"&amp;(SETUP!$B$7),tblPCSInput[Call Direction],"I",tblPCSInput[Agent ID],$A97,tblPCSInput[Valid Q1],"&gt;=1"),"")</f>
        <v/>
      </c>
      <c r="T97" s="11">
        <f>IF(S97="","",COUNTIFS(tblPCSInput[Call Date/Time],"&gt;="&amp;(SETUP!$B$6),tblPCSInput[Call Date/Time],"&lt;"&amp;(SETUP!$B$7),tblPCSInput[Call Direction],"I",tblPCSInput[Agent ID],$A97,tblPCSInput[Valid Q1],"&lt;=3",tblPCSInput[Valid Q1],"&gt;=1"))</f>
        <v/>
      </c>
      <c r="U97" s="11">
        <f>IF(S97="","",COUNTIFS(tblPCSInput[Call Date/Time],"&gt;="&amp;(SETUP!$B$6),tblPCSInput[Call Date/Time],"&lt;"&amp;(SETUP!$B$7),tblPCSInput[Call Direction],"I",tblPCSInput[Agent ID],$A97,tblPCSInput[Valid Q1],"&gt;3"))</f>
        <v/>
      </c>
      <c r="V97" s="13">
        <f>IFERROR(Q97/P97,"")</f>
        <v/>
      </c>
      <c r="W97" s="13">
        <f>IFERROR(R97/P97,"")</f>
        <v/>
      </c>
    </row>
    <row r="98" spans="1:23">
      <c r="A98" s="4">
        <f>IF(ROSTER!A98="","",ROSTER!A98)</f>
        <v>224099</v>
      </c>
      <c r="B98" s="4" t="str">
        <f>IF($A98="","",ROSTER!C98)</f>
        <v>Hakim Mohamed Harhour</v>
      </c>
      <c r="C98" s="4" t="str">
        <f>IF($A98="","",ROSTER!D98)</f>
        <v>Adil LAGRAOUI</v>
      </c>
      <c r="D98" s="4" t="str">
        <f>IF($A98="","",ROSTER!E98)</f>
        <v>Anas OUAKKAD</v>
      </c>
      <c r="E98" s="4" t="str">
        <f>IF($A98="","",ROSTER!F98)</f>
        <v>RSA NL</v>
      </c>
      <c r="F98" s="11">
        <f>IF($A98="","",COUNTIFS(tblPCSInput[Call Date/Time],"&gt;="&amp;(SETUP!$B$5),tblPCSInput[Call Date/Time],"&lt;"&amp;(SETUP!$B$5+1),tblPCSInput[Call Direction],"I",tblPCSInput[Agent ID],$A98,tblPCSInput[PCSStatus],1))</f>
        <v/>
      </c>
      <c r="G98" s="11">
        <f>IF($A98="","",COUNTIFS(tblPCSInput[Call Date/Time],"&gt;="&amp;(SETUP!$B$5),tblPCSInput[Call Date/Time],"&lt;"&amp;(SETUP!$B$5+1),tblPCSInput[Call Direction],"I",tblPCSInput[Agent ID],$A98,tblPCSInput[Question 1],"&lt;&gt;"))</f>
        <v/>
      </c>
      <c r="H98" s="11">
        <f>IF($A98="","",COUNTIFS(tblPCSInput[Call Date/Time],"&gt;="&amp;(SETUP!$B$5),tblPCSInput[Call Date/Time],"&lt;"&amp;(SETUP!$B$5+1),tblPCSInput[Call Direction],"I",tblPCSInput[Agent ID],$A98,tblPCSInput[Valid Q1],"&gt;=1"))</f>
        <v/>
      </c>
      <c r="I98" s="12">
        <f>IFERROR(SUMIFS(tblPCSInput[Valid Q1],tblPCSInput[Call Date/Time],"&gt;="&amp;SETUP!$B$5,tblPCSInput[Call Date/Time],"&lt;"&amp;SETUP!$B$5+1,tblPCSInput[Call Direction],"I",tblPCSInput[Agent ID],$A98)/COUNTIFS(tblPCSInput[Call Date/Time],"&gt;="&amp;(SETUP!$B$5),tblPCSInput[Call Date/Time],"&lt;"&amp;(SETUP!$B$5+1),tblPCSInput[Call Direction],"I",tblPCSInput[Agent ID],$A98,tblPCSInput[Valid Q1],"&gt;=1"),"")</f>
        <v/>
      </c>
      <c r="J98" s="11">
        <f>IF(I98="","",COUNTIFS(tblPCSInput[Call Date/Time],"&gt;="&amp;(SETUP!$B$5),tblPCSInput[Call Date/Time],"&lt;"&amp;(SETUP!$B$5+1),tblPCSInput[Call Direction],"I",tblPCSInput[Agent ID],$A98,tblPCSInput[Valid Q1],"&lt;=3",tblPCSInput[Valid Q1],"&gt;=1"))</f>
        <v/>
      </c>
      <c r="K98" s="11">
        <f>IF(I98="","",COUNTIFS(tblPCSInput[Call Date/Time],"&gt;="&amp;(SETUP!$B$5),tblPCSInput[Call Date/Time],"&lt;"&amp;(SETUP!$B$5+1),tblPCSInput[Call Direction],"I",tblPCSInput[Agent ID],$A98,tblPCSInput[Valid Q1],"&gt;3"))</f>
        <v/>
      </c>
      <c r="L98" s="13">
        <f>IFERROR(G98/F98,"")</f>
        <v/>
      </c>
      <c r="M98" s="13">
        <f>IFERROR(H98/F98,"")</f>
        <v/>
      </c>
      <c r="N98" s="11">
        <f>IF($A98="","",MAX(0,G98-H98))</f>
        <v/>
      </c>
      <c r="O98" s="4">
        <f>IF($A98="","",IF(H98=0,"NO VALID SURVEY",IF(H98&lt;5,"LOW SAMPLE","OK")))</f>
        <v/>
      </c>
      <c r="P98" s="11">
        <f>IF($A98="","",COUNTIFS(tblPCSInput[Call Date/Time],"&gt;="&amp;(SETUP!$B$6),tblPCSInput[Call Date/Time],"&lt;"&amp;(SETUP!$B$7),tblPCSInput[Call Direction],"I",tblPCSInput[Agent ID],$A98,tblPCSInput[PCSStatus],1))</f>
        <v/>
      </c>
      <c r="Q98" s="11">
        <f>IF($A98="","",COUNTIFS(tblPCSInput[Call Date/Time],"&gt;="&amp;(SETUP!$B$6),tblPCSInput[Call Date/Time],"&lt;"&amp;(SETUP!$B$7),tblPCSInput[Call Direction],"I",tblPCSInput[Agent ID],$A98,tblPCSInput[Question 1],"&lt;&gt;"))</f>
        <v/>
      </c>
      <c r="R98" s="11">
        <f>IF($A98="","",COUNTIFS(tblPCSInput[Call Date/Time],"&gt;="&amp;(SETUP!$B$6),tblPCSInput[Call Date/Time],"&lt;"&amp;(SETUP!$B$7),tblPCSInput[Call Direction],"I",tblPCSInput[Agent ID],$A98,tblPCSInput[Valid Q1],"&gt;=1"))</f>
        <v/>
      </c>
      <c r="S98" s="12">
        <f>IFERROR(SUMIFS(tblPCSInput[Valid Q1],tblPCSInput[Call Date/Time],"&gt;="&amp;SETUP!$B$6,tblPCSInput[Call Date/Time],"&lt;"&amp;SETUP!$B$7,tblPCSInput[Call Direction],"I",tblPCSInput[Agent ID],$A98)/COUNTIFS(tblPCSInput[Call Date/Time],"&gt;="&amp;(SETUP!$B$6),tblPCSInput[Call Date/Time],"&lt;"&amp;(SETUP!$B$7),tblPCSInput[Call Direction],"I",tblPCSInput[Agent ID],$A98,tblPCSInput[Valid Q1],"&gt;=1"),"")</f>
        <v/>
      </c>
      <c r="T98" s="11">
        <f>IF(S98="","",COUNTIFS(tblPCSInput[Call Date/Time],"&gt;="&amp;(SETUP!$B$6),tblPCSInput[Call Date/Time],"&lt;"&amp;(SETUP!$B$7),tblPCSInput[Call Direction],"I",tblPCSInput[Agent ID],$A98,tblPCSInput[Valid Q1],"&lt;=3",tblPCSInput[Valid Q1],"&gt;=1"))</f>
        <v/>
      </c>
      <c r="U98" s="11">
        <f>IF(S98="","",COUNTIFS(tblPCSInput[Call Date/Time],"&gt;="&amp;(SETUP!$B$6),tblPCSInput[Call Date/Time],"&lt;"&amp;(SETUP!$B$7),tblPCSInput[Call Direction],"I",tblPCSInput[Agent ID],$A98,tblPCSInput[Valid Q1],"&gt;3"))</f>
        <v/>
      </c>
      <c r="V98" s="13">
        <f>IFERROR(Q98/P98,"")</f>
        <v/>
      </c>
      <c r="W98" s="13">
        <f>IFERROR(R98/P98,"")</f>
        <v/>
      </c>
    </row>
    <row r="99" spans="1:23">
      <c r="A99" s="4">
        <f>IF(ROSTER!A99="","",ROSTER!A99)</f>
        <v>224101</v>
      </c>
      <c r="B99" s="4" t="str">
        <f>IF($A99="","",ROSTER!C99)</f>
        <v>Monir Chouhaibi</v>
      </c>
      <c r="C99" s="4" t="str">
        <f>IF($A99="","",ROSTER!D99)</f>
        <v>Adil LAGRAOUI</v>
      </c>
      <c r="D99" s="4" t="str">
        <f>IF($A99="","",ROSTER!E99)</f>
        <v>Anas OUAKKAD</v>
      </c>
      <c r="E99" s="4" t="str">
        <f>IF($A99="","",ROSTER!F99)</f>
        <v>RSA NL</v>
      </c>
      <c r="F99" s="11">
        <f>IF($A99="","",COUNTIFS(tblPCSInput[Call Date/Time],"&gt;="&amp;(SETUP!$B$5),tblPCSInput[Call Date/Time],"&lt;"&amp;(SETUP!$B$5+1),tblPCSInput[Call Direction],"I",tblPCSInput[Agent ID],$A99,tblPCSInput[PCSStatus],1))</f>
        <v/>
      </c>
      <c r="G99" s="11">
        <f>IF($A99="","",COUNTIFS(tblPCSInput[Call Date/Time],"&gt;="&amp;(SETUP!$B$5),tblPCSInput[Call Date/Time],"&lt;"&amp;(SETUP!$B$5+1),tblPCSInput[Call Direction],"I",tblPCSInput[Agent ID],$A99,tblPCSInput[Question 1],"&lt;&gt;"))</f>
        <v/>
      </c>
      <c r="H99" s="11">
        <f>IF($A99="","",COUNTIFS(tblPCSInput[Call Date/Time],"&gt;="&amp;(SETUP!$B$5),tblPCSInput[Call Date/Time],"&lt;"&amp;(SETUP!$B$5+1),tblPCSInput[Call Direction],"I",tblPCSInput[Agent ID],$A99,tblPCSInput[Valid Q1],"&gt;=1"))</f>
        <v/>
      </c>
      <c r="I99" s="12">
        <f>IFERROR(SUMIFS(tblPCSInput[Valid Q1],tblPCSInput[Call Date/Time],"&gt;="&amp;SETUP!$B$5,tblPCSInput[Call Date/Time],"&lt;"&amp;SETUP!$B$5+1,tblPCSInput[Call Direction],"I",tblPCSInput[Agent ID],$A99)/COUNTIFS(tblPCSInput[Call Date/Time],"&gt;="&amp;(SETUP!$B$5),tblPCSInput[Call Date/Time],"&lt;"&amp;(SETUP!$B$5+1),tblPCSInput[Call Direction],"I",tblPCSInput[Agent ID],$A99,tblPCSInput[Valid Q1],"&gt;=1"),"")</f>
        <v/>
      </c>
      <c r="J99" s="11">
        <f>IF(I99="","",COUNTIFS(tblPCSInput[Call Date/Time],"&gt;="&amp;(SETUP!$B$5),tblPCSInput[Call Date/Time],"&lt;"&amp;(SETUP!$B$5+1),tblPCSInput[Call Direction],"I",tblPCSInput[Agent ID],$A99,tblPCSInput[Valid Q1],"&lt;=3",tblPCSInput[Valid Q1],"&gt;=1"))</f>
        <v/>
      </c>
      <c r="K99" s="11">
        <f>IF(I99="","",COUNTIFS(tblPCSInput[Call Date/Time],"&gt;="&amp;(SETUP!$B$5),tblPCSInput[Call Date/Time],"&lt;"&amp;(SETUP!$B$5+1),tblPCSInput[Call Direction],"I",tblPCSInput[Agent ID],$A99,tblPCSInput[Valid Q1],"&gt;3"))</f>
        <v/>
      </c>
      <c r="L99" s="13">
        <f>IFERROR(G99/F99,"")</f>
        <v/>
      </c>
      <c r="M99" s="13">
        <f>IFERROR(H99/F99,"")</f>
        <v/>
      </c>
      <c r="N99" s="11">
        <f>IF($A99="","",MAX(0,G99-H99))</f>
        <v/>
      </c>
      <c r="O99" s="4">
        <f>IF($A99="","",IF(H99=0,"NO VALID SURVEY",IF(H99&lt;5,"LOW SAMPLE","OK")))</f>
        <v/>
      </c>
      <c r="P99" s="11">
        <f>IF($A99="","",COUNTIFS(tblPCSInput[Call Date/Time],"&gt;="&amp;(SETUP!$B$6),tblPCSInput[Call Date/Time],"&lt;"&amp;(SETUP!$B$7),tblPCSInput[Call Direction],"I",tblPCSInput[Agent ID],$A99,tblPCSInput[PCSStatus],1))</f>
        <v/>
      </c>
      <c r="Q99" s="11">
        <f>IF($A99="","",COUNTIFS(tblPCSInput[Call Date/Time],"&gt;="&amp;(SETUP!$B$6),tblPCSInput[Call Date/Time],"&lt;"&amp;(SETUP!$B$7),tblPCSInput[Call Direction],"I",tblPCSInput[Agent ID],$A99,tblPCSInput[Question 1],"&lt;&gt;"))</f>
        <v/>
      </c>
      <c r="R99" s="11">
        <f>IF($A99="","",COUNTIFS(tblPCSInput[Call Date/Time],"&gt;="&amp;(SETUP!$B$6),tblPCSInput[Call Date/Time],"&lt;"&amp;(SETUP!$B$7),tblPCSInput[Call Direction],"I",tblPCSInput[Agent ID],$A99,tblPCSInput[Valid Q1],"&gt;=1"))</f>
        <v/>
      </c>
      <c r="S99" s="12">
        <f>IFERROR(SUMIFS(tblPCSInput[Valid Q1],tblPCSInput[Call Date/Time],"&gt;="&amp;SETUP!$B$6,tblPCSInput[Call Date/Time],"&lt;"&amp;SETUP!$B$7,tblPCSInput[Call Direction],"I",tblPCSInput[Agent ID],$A99)/COUNTIFS(tblPCSInput[Call Date/Time],"&gt;="&amp;(SETUP!$B$6),tblPCSInput[Call Date/Time],"&lt;"&amp;(SETUP!$B$7),tblPCSInput[Call Direction],"I",tblPCSInput[Agent ID],$A99,tblPCSInput[Valid Q1],"&gt;=1"),"")</f>
        <v/>
      </c>
      <c r="T99" s="11">
        <f>IF(S99="","",COUNTIFS(tblPCSInput[Call Date/Time],"&gt;="&amp;(SETUP!$B$6),tblPCSInput[Call Date/Time],"&lt;"&amp;(SETUP!$B$7),tblPCSInput[Call Direction],"I",tblPCSInput[Agent ID],$A99,tblPCSInput[Valid Q1],"&lt;=3",tblPCSInput[Valid Q1],"&gt;=1"))</f>
        <v/>
      </c>
      <c r="U99" s="11">
        <f>IF(S99="","",COUNTIFS(tblPCSInput[Call Date/Time],"&gt;="&amp;(SETUP!$B$6),tblPCSInput[Call Date/Time],"&lt;"&amp;(SETUP!$B$7),tblPCSInput[Call Direction],"I",tblPCSInput[Agent ID],$A99,tblPCSInput[Valid Q1],"&gt;3"))</f>
        <v/>
      </c>
      <c r="V99" s="13">
        <f>IFERROR(Q99/P99,"")</f>
        <v/>
      </c>
      <c r="W99" s="13">
        <f>IFERROR(R99/P99,"")</f>
        <v/>
      </c>
    </row>
    <row r="100" spans="1:23">
      <c r="A100" s="4">
        <f>IF(ROSTER!A100="","",ROSTER!A100)</f>
        <v>223882</v>
      </c>
      <c r="B100" s="4" t="str">
        <f>IF($A100="","",ROSTER!C100)</f>
        <v>Nassim Abdelrzak STITOU</v>
      </c>
      <c r="C100" s="4" t="str">
        <f>IF($A100="","",ROSTER!D100)</f>
        <v>Adil LAGRAOUI</v>
      </c>
      <c r="D100" s="4" t="str">
        <f>IF($A100="","",ROSTER!E100)</f>
        <v>Anas OUAKKAD</v>
      </c>
      <c r="E100" s="4" t="str">
        <f>IF($A100="","",ROSTER!F100)</f>
        <v>RSA VL</v>
      </c>
      <c r="F100" s="11">
        <f>IF($A100="","",COUNTIFS(tblPCSInput[Call Date/Time],"&gt;="&amp;(SETUP!$B$5),tblPCSInput[Call Date/Time],"&lt;"&amp;(SETUP!$B$5+1),tblPCSInput[Call Direction],"I",tblPCSInput[Agent ID],$A100,tblPCSInput[PCSStatus],1))</f>
        <v/>
      </c>
      <c r="G100" s="11">
        <f>IF($A100="","",COUNTIFS(tblPCSInput[Call Date/Time],"&gt;="&amp;(SETUP!$B$5),tblPCSInput[Call Date/Time],"&lt;"&amp;(SETUP!$B$5+1),tblPCSInput[Call Direction],"I",tblPCSInput[Agent ID],$A100,tblPCSInput[Question 1],"&lt;&gt;"))</f>
        <v/>
      </c>
      <c r="H100" s="11">
        <f>IF($A100="","",COUNTIFS(tblPCSInput[Call Date/Time],"&gt;="&amp;(SETUP!$B$5),tblPCSInput[Call Date/Time],"&lt;"&amp;(SETUP!$B$5+1),tblPCSInput[Call Direction],"I",tblPCSInput[Agent ID],$A100,tblPCSInput[Valid Q1],"&gt;=1"))</f>
        <v/>
      </c>
      <c r="I100" s="12">
        <f>IFERROR(SUMIFS(tblPCSInput[Valid Q1],tblPCSInput[Call Date/Time],"&gt;="&amp;SETUP!$B$5,tblPCSInput[Call Date/Time],"&lt;"&amp;SETUP!$B$5+1,tblPCSInput[Call Direction],"I",tblPCSInput[Agent ID],$A100)/COUNTIFS(tblPCSInput[Call Date/Time],"&gt;="&amp;(SETUP!$B$5),tblPCSInput[Call Date/Time],"&lt;"&amp;(SETUP!$B$5+1),tblPCSInput[Call Direction],"I",tblPCSInput[Agent ID],$A100,tblPCSInput[Valid Q1],"&gt;=1"),"")</f>
        <v/>
      </c>
      <c r="J100" s="11">
        <f>IF(I100="","",COUNTIFS(tblPCSInput[Call Date/Time],"&gt;="&amp;(SETUP!$B$5),tblPCSInput[Call Date/Time],"&lt;"&amp;(SETUP!$B$5+1),tblPCSInput[Call Direction],"I",tblPCSInput[Agent ID],$A100,tblPCSInput[Valid Q1],"&lt;=3",tblPCSInput[Valid Q1],"&gt;=1"))</f>
        <v/>
      </c>
      <c r="K100" s="11">
        <f>IF(I100="","",COUNTIFS(tblPCSInput[Call Date/Time],"&gt;="&amp;(SETUP!$B$5),tblPCSInput[Call Date/Time],"&lt;"&amp;(SETUP!$B$5+1),tblPCSInput[Call Direction],"I",tblPCSInput[Agent ID],$A100,tblPCSInput[Valid Q1],"&gt;3"))</f>
        <v/>
      </c>
      <c r="L100" s="13">
        <f>IFERROR(G100/F100,"")</f>
        <v/>
      </c>
      <c r="M100" s="13">
        <f>IFERROR(H100/F100,"")</f>
        <v/>
      </c>
      <c r="N100" s="11">
        <f>IF($A100="","",MAX(0,G100-H100))</f>
        <v/>
      </c>
      <c r="O100" s="4">
        <f>IF($A100="","",IF(H100=0,"NO VALID SURVEY",IF(H100&lt;5,"LOW SAMPLE","OK")))</f>
        <v/>
      </c>
      <c r="P100" s="11">
        <f>IF($A100="","",COUNTIFS(tblPCSInput[Call Date/Time],"&gt;="&amp;(SETUP!$B$6),tblPCSInput[Call Date/Time],"&lt;"&amp;(SETUP!$B$7),tblPCSInput[Call Direction],"I",tblPCSInput[Agent ID],$A100,tblPCSInput[PCSStatus],1))</f>
        <v/>
      </c>
      <c r="Q100" s="11">
        <f>IF($A100="","",COUNTIFS(tblPCSInput[Call Date/Time],"&gt;="&amp;(SETUP!$B$6),tblPCSInput[Call Date/Time],"&lt;"&amp;(SETUP!$B$7),tblPCSInput[Call Direction],"I",tblPCSInput[Agent ID],$A100,tblPCSInput[Question 1],"&lt;&gt;"))</f>
        <v/>
      </c>
      <c r="R100" s="11">
        <f>IF($A100="","",COUNTIFS(tblPCSInput[Call Date/Time],"&gt;="&amp;(SETUP!$B$6),tblPCSInput[Call Date/Time],"&lt;"&amp;(SETUP!$B$7),tblPCSInput[Call Direction],"I",tblPCSInput[Agent ID],$A100,tblPCSInput[Valid Q1],"&gt;=1"))</f>
        <v/>
      </c>
      <c r="S100" s="12">
        <f>IFERROR(SUMIFS(tblPCSInput[Valid Q1],tblPCSInput[Call Date/Time],"&gt;="&amp;SETUP!$B$6,tblPCSInput[Call Date/Time],"&lt;"&amp;SETUP!$B$7,tblPCSInput[Call Direction],"I",tblPCSInput[Agent ID],$A100)/COUNTIFS(tblPCSInput[Call Date/Time],"&gt;="&amp;(SETUP!$B$6),tblPCSInput[Call Date/Time],"&lt;"&amp;(SETUP!$B$7),tblPCSInput[Call Direction],"I",tblPCSInput[Agent ID],$A100,tblPCSInput[Valid Q1],"&gt;=1"),"")</f>
        <v/>
      </c>
      <c r="T100" s="11">
        <f>IF(S100="","",COUNTIFS(tblPCSInput[Call Date/Time],"&gt;="&amp;(SETUP!$B$6),tblPCSInput[Call Date/Time],"&lt;"&amp;(SETUP!$B$7),tblPCSInput[Call Direction],"I",tblPCSInput[Agent ID],$A100,tblPCSInput[Valid Q1],"&lt;=3",tblPCSInput[Valid Q1],"&gt;=1"))</f>
        <v/>
      </c>
      <c r="U100" s="11">
        <f>IF(S100="","",COUNTIFS(tblPCSInput[Call Date/Time],"&gt;="&amp;(SETUP!$B$6),tblPCSInput[Call Date/Time],"&lt;"&amp;(SETUP!$B$7),tblPCSInput[Call Direction],"I",tblPCSInput[Agent ID],$A100,tblPCSInput[Valid Q1],"&gt;3"))</f>
        <v/>
      </c>
      <c r="V100" s="13">
        <f>IFERROR(Q100/P100,"")</f>
        <v/>
      </c>
      <c r="W100" s="13">
        <f>IFERROR(R100/P100,"")</f>
        <v/>
      </c>
    </row>
    <row r="101" spans="1:23">
      <c r="A101" s="4">
        <f>IF(ROSTER!A101="","",ROSTER!A101)</f>
        <v>224102</v>
      </c>
      <c r="B101" s="4" t="str">
        <f>IF($A101="","",ROSTER!C101)</f>
        <v>Tasnim NAJI</v>
      </c>
      <c r="C101" s="4" t="str">
        <f>IF($A101="","",ROSTER!D101)</f>
        <v>Adil LAGRAOUI</v>
      </c>
      <c r="D101" s="4" t="str">
        <f>IF($A101="","",ROSTER!E101)</f>
        <v>Anas OUAKKAD</v>
      </c>
      <c r="E101" s="4" t="str">
        <f>IF($A101="","",ROSTER!F101)</f>
        <v>RSA NL</v>
      </c>
      <c r="F101" s="11">
        <f>IF($A101="","",COUNTIFS(tblPCSInput[Call Date/Time],"&gt;="&amp;(SETUP!$B$5),tblPCSInput[Call Date/Time],"&lt;"&amp;(SETUP!$B$5+1),tblPCSInput[Call Direction],"I",tblPCSInput[Agent ID],$A101,tblPCSInput[PCSStatus],1))</f>
        <v/>
      </c>
      <c r="G101" s="11">
        <f>IF($A101="","",COUNTIFS(tblPCSInput[Call Date/Time],"&gt;="&amp;(SETUP!$B$5),tblPCSInput[Call Date/Time],"&lt;"&amp;(SETUP!$B$5+1),tblPCSInput[Call Direction],"I",tblPCSInput[Agent ID],$A101,tblPCSInput[Question 1],"&lt;&gt;"))</f>
        <v/>
      </c>
      <c r="H101" s="11">
        <f>IF($A101="","",COUNTIFS(tblPCSInput[Call Date/Time],"&gt;="&amp;(SETUP!$B$5),tblPCSInput[Call Date/Time],"&lt;"&amp;(SETUP!$B$5+1),tblPCSInput[Call Direction],"I",tblPCSInput[Agent ID],$A101,tblPCSInput[Valid Q1],"&gt;=1"))</f>
        <v/>
      </c>
      <c r="I101" s="12">
        <f>IFERROR(SUMIFS(tblPCSInput[Valid Q1],tblPCSInput[Call Date/Time],"&gt;="&amp;SETUP!$B$5,tblPCSInput[Call Date/Time],"&lt;"&amp;SETUP!$B$5+1,tblPCSInput[Call Direction],"I",tblPCSInput[Agent ID],$A101)/COUNTIFS(tblPCSInput[Call Date/Time],"&gt;="&amp;(SETUP!$B$5),tblPCSInput[Call Date/Time],"&lt;"&amp;(SETUP!$B$5+1),tblPCSInput[Call Direction],"I",tblPCSInput[Agent ID],$A101,tblPCSInput[Valid Q1],"&gt;=1"),"")</f>
        <v/>
      </c>
      <c r="J101" s="11">
        <f>IF(I101="","",COUNTIFS(tblPCSInput[Call Date/Time],"&gt;="&amp;(SETUP!$B$5),tblPCSInput[Call Date/Time],"&lt;"&amp;(SETUP!$B$5+1),tblPCSInput[Call Direction],"I",tblPCSInput[Agent ID],$A101,tblPCSInput[Valid Q1],"&lt;=3",tblPCSInput[Valid Q1],"&gt;=1"))</f>
        <v/>
      </c>
      <c r="K101" s="11">
        <f>IF(I101="","",COUNTIFS(tblPCSInput[Call Date/Time],"&gt;="&amp;(SETUP!$B$5),tblPCSInput[Call Date/Time],"&lt;"&amp;(SETUP!$B$5+1),tblPCSInput[Call Direction],"I",tblPCSInput[Agent ID],$A101,tblPCSInput[Valid Q1],"&gt;3"))</f>
        <v/>
      </c>
      <c r="L101" s="13">
        <f>IFERROR(G101/F101,"")</f>
        <v/>
      </c>
      <c r="M101" s="13">
        <f>IFERROR(H101/F101,"")</f>
        <v/>
      </c>
      <c r="N101" s="11">
        <f>IF($A101="","",MAX(0,G101-H101))</f>
        <v/>
      </c>
      <c r="O101" s="4">
        <f>IF($A101="","",IF(H101=0,"NO VALID SURVEY",IF(H101&lt;5,"LOW SAMPLE","OK")))</f>
        <v/>
      </c>
      <c r="P101" s="11">
        <f>IF($A101="","",COUNTIFS(tblPCSInput[Call Date/Time],"&gt;="&amp;(SETUP!$B$6),tblPCSInput[Call Date/Time],"&lt;"&amp;(SETUP!$B$7),tblPCSInput[Call Direction],"I",tblPCSInput[Agent ID],$A101,tblPCSInput[PCSStatus],1))</f>
        <v/>
      </c>
      <c r="Q101" s="11">
        <f>IF($A101="","",COUNTIFS(tblPCSInput[Call Date/Time],"&gt;="&amp;(SETUP!$B$6),tblPCSInput[Call Date/Time],"&lt;"&amp;(SETUP!$B$7),tblPCSInput[Call Direction],"I",tblPCSInput[Agent ID],$A101,tblPCSInput[Question 1],"&lt;&gt;"))</f>
        <v/>
      </c>
      <c r="R101" s="11">
        <f>IF($A101="","",COUNTIFS(tblPCSInput[Call Date/Time],"&gt;="&amp;(SETUP!$B$6),tblPCSInput[Call Date/Time],"&lt;"&amp;(SETUP!$B$7),tblPCSInput[Call Direction],"I",tblPCSInput[Agent ID],$A101,tblPCSInput[Valid Q1],"&gt;=1"))</f>
        <v/>
      </c>
      <c r="S101" s="12">
        <f>IFERROR(SUMIFS(tblPCSInput[Valid Q1],tblPCSInput[Call Date/Time],"&gt;="&amp;SETUP!$B$6,tblPCSInput[Call Date/Time],"&lt;"&amp;SETUP!$B$7,tblPCSInput[Call Direction],"I",tblPCSInput[Agent ID],$A101)/COUNTIFS(tblPCSInput[Call Date/Time],"&gt;="&amp;(SETUP!$B$6),tblPCSInput[Call Date/Time],"&lt;"&amp;(SETUP!$B$7),tblPCSInput[Call Direction],"I",tblPCSInput[Agent ID],$A101,tblPCSInput[Valid Q1],"&gt;=1"),"")</f>
        <v/>
      </c>
      <c r="T101" s="11">
        <f>IF(S101="","",COUNTIFS(tblPCSInput[Call Date/Time],"&gt;="&amp;(SETUP!$B$6),tblPCSInput[Call Date/Time],"&lt;"&amp;(SETUP!$B$7),tblPCSInput[Call Direction],"I",tblPCSInput[Agent ID],$A101,tblPCSInput[Valid Q1],"&lt;=3",tblPCSInput[Valid Q1],"&gt;=1"))</f>
        <v/>
      </c>
      <c r="U101" s="11">
        <f>IF(S101="","",COUNTIFS(tblPCSInput[Call Date/Time],"&gt;="&amp;(SETUP!$B$6),tblPCSInput[Call Date/Time],"&lt;"&amp;(SETUP!$B$7),tblPCSInput[Call Direction],"I",tblPCSInput[Agent ID],$A101,tblPCSInput[Valid Q1],"&gt;3"))</f>
        <v/>
      </c>
      <c r="V101" s="13">
        <f>IFERROR(Q101/P101,"")</f>
        <v/>
      </c>
      <c r="W101" s="13">
        <f>IFERROR(R101/P101,"")</f>
        <v/>
      </c>
    </row>
    <row r="102" spans="1:23">
      <c r="A102" s="4">
        <f>IF(ROSTER!A102="","",ROSTER!A102)</f>
        <v>224096</v>
      </c>
      <c r="B102" s="4" t="str">
        <f>IF($A102="","",ROSTER!C102)</f>
        <v>Nahid TALLIH</v>
      </c>
      <c r="C102" s="4" t="str">
        <f>IF($A102="","",ROSTER!D102)</f>
        <v>Adil LAGRAOUI</v>
      </c>
      <c r="D102" s="4" t="str">
        <f>IF($A102="","",ROSTER!E102)</f>
        <v>Anas OUAKKAD</v>
      </c>
      <c r="E102" s="4" t="str">
        <f>IF($A102="","",ROSTER!F102)</f>
        <v>RSA NL</v>
      </c>
      <c r="F102" s="11">
        <f>IF($A102="","",COUNTIFS(tblPCSInput[Call Date/Time],"&gt;="&amp;(SETUP!$B$5),tblPCSInput[Call Date/Time],"&lt;"&amp;(SETUP!$B$5+1),tblPCSInput[Call Direction],"I",tblPCSInput[Agent ID],$A102,tblPCSInput[PCSStatus],1))</f>
        <v/>
      </c>
      <c r="G102" s="11">
        <f>IF($A102="","",COUNTIFS(tblPCSInput[Call Date/Time],"&gt;="&amp;(SETUP!$B$5),tblPCSInput[Call Date/Time],"&lt;"&amp;(SETUP!$B$5+1),tblPCSInput[Call Direction],"I",tblPCSInput[Agent ID],$A102,tblPCSInput[Question 1],"&lt;&gt;"))</f>
        <v/>
      </c>
      <c r="H102" s="11">
        <f>IF($A102="","",COUNTIFS(tblPCSInput[Call Date/Time],"&gt;="&amp;(SETUP!$B$5),tblPCSInput[Call Date/Time],"&lt;"&amp;(SETUP!$B$5+1),tblPCSInput[Call Direction],"I",tblPCSInput[Agent ID],$A102,tblPCSInput[Valid Q1],"&gt;=1"))</f>
        <v/>
      </c>
      <c r="I102" s="12">
        <f>IFERROR(SUMIFS(tblPCSInput[Valid Q1],tblPCSInput[Call Date/Time],"&gt;="&amp;SETUP!$B$5,tblPCSInput[Call Date/Time],"&lt;"&amp;SETUP!$B$5+1,tblPCSInput[Call Direction],"I",tblPCSInput[Agent ID],$A102)/COUNTIFS(tblPCSInput[Call Date/Time],"&gt;="&amp;(SETUP!$B$5),tblPCSInput[Call Date/Time],"&lt;"&amp;(SETUP!$B$5+1),tblPCSInput[Call Direction],"I",tblPCSInput[Agent ID],$A102,tblPCSInput[Valid Q1],"&gt;=1"),"")</f>
        <v/>
      </c>
      <c r="J102" s="11">
        <f>IF(I102="","",COUNTIFS(tblPCSInput[Call Date/Time],"&gt;="&amp;(SETUP!$B$5),tblPCSInput[Call Date/Time],"&lt;"&amp;(SETUP!$B$5+1),tblPCSInput[Call Direction],"I",tblPCSInput[Agent ID],$A102,tblPCSInput[Valid Q1],"&lt;=3",tblPCSInput[Valid Q1],"&gt;=1"))</f>
        <v/>
      </c>
      <c r="K102" s="11">
        <f>IF(I102="","",COUNTIFS(tblPCSInput[Call Date/Time],"&gt;="&amp;(SETUP!$B$5),tblPCSInput[Call Date/Time],"&lt;"&amp;(SETUP!$B$5+1),tblPCSInput[Call Direction],"I",tblPCSInput[Agent ID],$A102,tblPCSInput[Valid Q1],"&gt;3"))</f>
        <v/>
      </c>
      <c r="L102" s="13">
        <f>IFERROR(G102/F102,"")</f>
        <v/>
      </c>
      <c r="M102" s="13">
        <f>IFERROR(H102/F102,"")</f>
        <v/>
      </c>
      <c r="N102" s="11">
        <f>IF($A102="","",MAX(0,G102-H102))</f>
        <v/>
      </c>
      <c r="O102" s="4">
        <f>IF($A102="","",IF(H102=0,"NO VALID SURVEY",IF(H102&lt;5,"LOW SAMPLE","OK")))</f>
        <v/>
      </c>
      <c r="P102" s="11">
        <f>IF($A102="","",COUNTIFS(tblPCSInput[Call Date/Time],"&gt;="&amp;(SETUP!$B$6),tblPCSInput[Call Date/Time],"&lt;"&amp;(SETUP!$B$7),tblPCSInput[Call Direction],"I",tblPCSInput[Agent ID],$A102,tblPCSInput[PCSStatus],1))</f>
        <v/>
      </c>
      <c r="Q102" s="11">
        <f>IF($A102="","",COUNTIFS(tblPCSInput[Call Date/Time],"&gt;="&amp;(SETUP!$B$6),tblPCSInput[Call Date/Time],"&lt;"&amp;(SETUP!$B$7),tblPCSInput[Call Direction],"I",tblPCSInput[Agent ID],$A102,tblPCSInput[Question 1],"&lt;&gt;"))</f>
        <v/>
      </c>
      <c r="R102" s="11">
        <f>IF($A102="","",COUNTIFS(tblPCSInput[Call Date/Time],"&gt;="&amp;(SETUP!$B$6),tblPCSInput[Call Date/Time],"&lt;"&amp;(SETUP!$B$7),tblPCSInput[Call Direction],"I",tblPCSInput[Agent ID],$A102,tblPCSInput[Valid Q1],"&gt;=1"))</f>
        <v/>
      </c>
      <c r="S102" s="12">
        <f>IFERROR(SUMIFS(tblPCSInput[Valid Q1],tblPCSInput[Call Date/Time],"&gt;="&amp;SETUP!$B$6,tblPCSInput[Call Date/Time],"&lt;"&amp;SETUP!$B$7,tblPCSInput[Call Direction],"I",tblPCSInput[Agent ID],$A102)/COUNTIFS(tblPCSInput[Call Date/Time],"&gt;="&amp;(SETUP!$B$6),tblPCSInput[Call Date/Time],"&lt;"&amp;(SETUP!$B$7),tblPCSInput[Call Direction],"I",tblPCSInput[Agent ID],$A102,tblPCSInput[Valid Q1],"&gt;=1"),"")</f>
        <v/>
      </c>
      <c r="T102" s="11">
        <f>IF(S102="","",COUNTIFS(tblPCSInput[Call Date/Time],"&gt;="&amp;(SETUP!$B$6),tblPCSInput[Call Date/Time],"&lt;"&amp;(SETUP!$B$7),tblPCSInput[Call Direction],"I",tblPCSInput[Agent ID],$A102,tblPCSInput[Valid Q1],"&lt;=3",tblPCSInput[Valid Q1],"&gt;=1"))</f>
        <v/>
      </c>
      <c r="U102" s="11">
        <f>IF(S102="","",COUNTIFS(tblPCSInput[Call Date/Time],"&gt;="&amp;(SETUP!$B$6),tblPCSInput[Call Date/Time],"&lt;"&amp;(SETUP!$B$7),tblPCSInput[Call Direction],"I",tblPCSInput[Agent ID],$A102,tblPCSInput[Valid Q1],"&gt;3"))</f>
        <v/>
      </c>
      <c r="V102" s="13">
        <f>IFERROR(Q102/P102,"")</f>
        <v/>
      </c>
      <c r="W102" s="13">
        <f>IFERROR(R102/P102,"")</f>
        <v/>
      </c>
    </row>
    <row r="103" spans="1:23">
      <c r="A103" s="4">
        <f>IF(ROSTER!A103="","",ROSTER!A103)</f>
        <v>224097</v>
      </c>
      <c r="B103" s="4" t="str">
        <f>IF($A103="","",ROSTER!C103)</f>
        <v>LOUKMAN CHAARA</v>
      </c>
      <c r="C103" s="4" t="str">
        <f>IF($A103="","",ROSTER!D103)</f>
        <v>Adil LAGRAOUI</v>
      </c>
      <c r="D103" s="4" t="str">
        <f>IF($A103="","",ROSTER!E103)</f>
        <v>Anas OUAKKAD</v>
      </c>
      <c r="E103" s="4" t="str">
        <f>IF($A103="","",ROSTER!F103)</f>
        <v>RSA NL</v>
      </c>
      <c r="F103" s="11">
        <f>IF($A103="","",COUNTIFS(tblPCSInput[Call Date/Time],"&gt;="&amp;(SETUP!$B$5),tblPCSInput[Call Date/Time],"&lt;"&amp;(SETUP!$B$5+1),tblPCSInput[Call Direction],"I",tblPCSInput[Agent ID],$A103,tblPCSInput[PCSStatus],1))</f>
        <v/>
      </c>
      <c r="G103" s="11">
        <f>IF($A103="","",COUNTIFS(tblPCSInput[Call Date/Time],"&gt;="&amp;(SETUP!$B$5),tblPCSInput[Call Date/Time],"&lt;"&amp;(SETUP!$B$5+1),tblPCSInput[Call Direction],"I",tblPCSInput[Agent ID],$A103,tblPCSInput[Question 1],"&lt;&gt;"))</f>
        <v/>
      </c>
      <c r="H103" s="11">
        <f>IF($A103="","",COUNTIFS(tblPCSInput[Call Date/Time],"&gt;="&amp;(SETUP!$B$5),tblPCSInput[Call Date/Time],"&lt;"&amp;(SETUP!$B$5+1),tblPCSInput[Call Direction],"I",tblPCSInput[Agent ID],$A103,tblPCSInput[Valid Q1],"&gt;=1"))</f>
        <v/>
      </c>
      <c r="I103" s="12">
        <f>IFERROR(SUMIFS(tblPCSInput[Valid Q1],tblPCSInput[Call Date/Time],"&gt;="&amp;SETUP!$B$5,tblPCSInput[Call Date/Time],"&lt;"&amp;SETUP!$B$5+1,tblPCSInput[Call Direction],"I",tblPCSInput[Agent ID],$A103)/COUNTIFS(tblPCSInput[Call Date/Time],"&gt;="&amp;(SETUP!$B$5),tblPCSInput[Call Date/Time],"&lt;"&amp;(SETUP!$B$5+1),tblPCSInput[Call Direction],"I",tblPCSInput[Agent ID],$A103,tblPCSInput[Valid Q1],"&gt;=1"),"")</f>
        <v/>
      </c>
      <c r="J103" s="11">
        <f>IF(I103="","",COUNTIFS(tblPCSInput[Call Date/Time],"&gt;="&amp;(SETUP!$B$5),tblPCSInput[Call Date/Time],"&lt;"&amp;(SETUP!$B$5+1),tblPCSInput[Call Direction],"I",tblPCSInput[Agent ID],$A103,tblPCSInput[Valid Q1],"&lt;=3",tblPCSInput[Valid Q1],"&gt;=1"))</f>
        <v/>
      </c>
      <c r="K103" s="11">
        <f>IF(I103="","",COUNTIFS(tblPCSInput[Call Date/Time],"&gt;="&amp;(SETUP!$B$5),tblPCSInput[Call Date/Time],"&lt;"&amp;(SETUP!$B$5+1),tblPCSInput[Call Direction],"I",tblPCSInput[Agent ID],$A103,tblPCSInput[Valid Q1],"&gt;3"))</f>
        <v/>
      </c>
      <c r="L103" s="13">
        <f>IFERROR(G103/F103,"")</f>
        <v/>
      </c>
      <c r="M103" s="13">
        <f>IFERROR(H103/F103,"")</f>
        <v/>
      </c>
      <c r="N103" s="11">
        <f>IF($A103="","",MAX(0,G103-H103))</f>
        <v/>
      </c>
      <c r="O103" s="4">
        <f>IF($A103="","",IF(H103=0,"NO VALID SURVEY",IF(H103&lt;5,"LOW SAMPLE","OK")))</f>
        <v/>
      </c>
      <c r="P103" s="11">
        <f>IF($A103="","",COUNTIFS(tblPCSInput[Call Date/Time],"&gt;="&amp;(SETUP!$B$6),tblPCSInput[Call Date/Time],"&lt;"&amp;(SETUP!$B$7),tblPCSInput[Call Direction],"I",tblPCSInput[Agent ID],$A103,tblPCSInput[PCSStatus],1))</f>
        <v/>
      </c>
      <c r="Q103" s="11">
        <f>IF($A103="","",COUNTIFS(tblPCSInput[Call Date/Time],"&gt;="&amp;(SETUP!$B$6),tblPCSInput[Call Date/Time],"&lt;"&amp;(SETUP!$B$7),tblPCSInput[Call Direction],"I",tblPCSInput[Agent ID],$A103,tblPCSInput[Question 1],"&lt;&gt;"))</f>
        <v/>
      </c>
      <c r="R103" s="11">
        <f>IF($A103="","",COUNTIFS(tblPCSInput[Call Date/Time],"&gt;="&amp;(SETUP!$B$6),tblPCSInput[Call Date/Time],"&lt;"&amp;(SETUP!$B$7),tblPCSInput[Call Direction],"I",tblPCSInput[Agent ID],$A103,tblPCSInput[Valid Q1],"&gt;=1"))</f>
        <v/>
      </c>
      <c r="S103" s="12">
        <f>IFERROR(SUMIFS(tblPCSInput[Valid Q1],tblPCSInput[Call Date/Time],"&gt;="&amp;SETUP!$B$6,tblPCSInput[Call Date/Time],"&lt;"&amp;SETUP!$B$7,tblPCSInput[Call Direction],"I",tblPCSInput[Agent ID],$A103)/COUNTIFS(tblPCSInput[Call Date/Time],"&gt;="&amp;(SETUP!$B$6),tblPCSInput[Call Date/Time],"&lt;"&amp;(SETUP!$B$7),tblPCSInput[Call Direction],"I",tblPCSInput[Agent ID],$A103,tblPCSInput[Valid Q1],"&gt;=1"),"")</f>
        <v/>
      </c>
      <c r="T103" s="11">
        <f>IF(S103="","",COUNTIFS(tblPCSInput[Call Date/Time],"&gt;="&amp;(SETUP!$B$6),tblPCSInput[Call Date/Time],"&lt;"&amp;(SETUP!$B$7),tblPCSInput[Call Direction],"I",tblPCSInput[Agent ID],$A103,tblPCSInput[Valid Q1],"&lt;=3",tblPCSInput[Valid Q1],"&gt;=1"))</f>
        <v/>
      </c>
      <c r="U103" s="11">
        <f>IF(S103="","",COUNTIFS(tblPCSInput[Call Date/Time],"&gt;="&amp;(SETUP!$B$6),tblPCSInput[Call Date/Time],"&lt;"&amp;(SETUP!$B$7),tblPCSInput[Call Direction],"I",tblPCSInput[Agent ID],$A103,tblPCSInput[Valid Q1],"&gt;3"))</f>
        <v/>
      </c>
      <c r="V103" s="13">
        <f>IFERROR(Q103/P103,"")</f>
        <v/>
      </c>
      <c r="W103" s="13">
        <f>IFERROR(R103/P103,"")</f>
        <v/>
      </c>
    </row>
    <row r="104" spans="1:23">
      <c r="A104" s="4">
        <f>IF(ROSTER!A104="","",ROSTER!A104)</f>
        <v>224098</v>
      </c>
      <c r="B104" s="4" t="str">
        <f>IF($A104="","",ROSTER!C104)</f>
        <v>Ahmed KARMIMMECH</v>
      </c>
      <c r="C104" s="4" t="str">
        <f>IF($A104="","",ROSTER!D104)</f>
        <v>Adil LAGRAOUI</v>
      </c>
      <c r="D104" s="4" t="str">
        <f>IF($A104="","",ROSTER!E104)</f>
        <v>Anas OUAKKAD</v>
      </c>
      <c r="E104" s="4" t="str">
        <f>IF($A104="","",ROSTER!F104)</f>
        <v>RSA NL</v>
      </c>
      <c r="F104" s="11">
        <f>IF($A104="","",COUNTIFS(tblPCSInput[Call Date/Time],"&gt;="&amp;(SETUP!$B$5),tblPCSInput[Call Date/Time],"&lt;"&amp;(SETUP!$B$5+1),tblPCSInput[Call Direction],"I",tblPCSInput[Agent ID],$A104,tblPCSInput[PCSStatus],1))</f>
        <v/>
      </c>
      <c r="G104" s="11">
        <f>IF($A104="","",COUNTIFS(tblPCSInput[Call Date/Time],"&gt;="&amp;(SETUP!$B$5),tblPCSInput[Call Date/Time],"&lt;"&amp;(SETUP!$B$5+1),tblPCSInput[Call Direction],"I",tblPCSInput[Agent ID],$A104,tblPCSInput[Question 1],"&lt;&gt;"))</f>
        <v/>
      </c>
      <c r="H104" s="11">
        <f>IF($A104="","",COUNTIFS(tblPCSInput[Call Date/Time],"&gt;="&amp;(SETUP!$B$5),tblPCSInput[Call Date/Time],"&lt;"&amp;(SETUP!$B$5+1),tblPCSInput[Call Direction],"I",tblPCSInput[Agent ID],$A104,tblPCSInput[Valid Q1],"&gt;=1"))</f>
        <v/>
      </c>
      <c r="I104" s="12">
        <f>IFERROR(SUMIFS(tblPCSInput[Valid Q1],tblPCSInput[Call Date/Time],"&gt;="&amp;SETUP!$B$5,tblPCSInput[Call Date/Time],"&lt;"&amp;SETUP!$B$5+1,tblPCSInput[Call Direction],"I",tblPCSInput[Agent ID],$A104)/COUNTIFS(tblPCSInput[Call Date/Time],"&gt;="&amp;(SETUP!$B$5),tblPCSInput[Call Date/Time],"&lt;"&amp;(SETUP!$B$5+1),tblPCSInput[Call Direction],"I",tblPCSInput[Agent ID],$A104,tblPCSInput[Valid Q1],"&gt;=1"),"")</f>
        <v/>
      </c>
      <c r="J104" s="11">
        <f>IF(I104="","",COUNTIFS(tblPCSInput[Call Date/Time],"&gt;="&amp;(SETUP!$B$5),tblPCSInput[Call Date/Time],"&lt;"&amp;(SETUP!$B$5+1),tblPCSInput[Call Direction],"I",tblPCSInput[Agent ID],$A104,tblPCSInput[Valid Q1],"&lt;=3",tblPCSInput[Valid Q1],"&gt;=1"))</f>
        <v/>
      </c>
      <c r="K104" s="11">
        <f>IF(I104="","",COUNTIFS(tblPCSInput[Call Date/Time],"&gt;="&amp;(SETUP!$B$5),tblPCSInput[Call Date/Time],"&lt;"&amp;(SETUP!$B$5+1),tblPCSInput[Call Direction],"I",tblPCSInput[Agent ID],$A104,tblPCSInput[Valid Q1],"&gt;3"))</f>
        <v/>
      </c>
      <c r="L104" s="13">
        <f>IFERROR(G104/F104,"")</f>
        <v/>
      </c>
      <c r="M104" s="13">
        <f>IFERROR(H104/F104,"")</f>
        <v/>
      </c>
      <c r="N104" s="11">
        <f>IF($A104="","",MAX(0,G104-H104))</f>
        <v/>
      </c>
      <c r="O104" s="4">
        <f>IF($A104="","",IF(H104=0,"NO VALID SURVEY",IF(H104&lt;5,"LOW SAMPLE","OK")))</f>
        <v/>
      </c>
      <c r="P104" s="11">
        <f>IF($A104="","",COUNTIFS(tblPCSInput[Call Date/Time],"&gt;="&amp;(SETUP!$B$6),tblPCSInput[Call Date/Time],"&lt;"&amp;(SETUP!$B$7),tblPCSInput[Call Direction],"I",tblPCSInput[Agent ID],$A104,tblPCSInput[PCSStatus],1))</f>
        <v/>
      </c>
      <c r="Q104" s="11">
        <f>IF($A104="","",COUNTIFS(tblPCSInput[Call Date/Time],"&gt;="&amp;(SETUP!$B$6),tblPCSInput[Call Date/Time],"&lt;"&amp;(SETUP!$B$7),tblPCSInput[Call Direction],"I",tblPCSInput[Agent ID],$A104,tblPCSInput[Question 1],"&lt;&gt;"))</f>
        <v/>
      </c>
      <c r="R104" s="11">
        <f>IF($A104="","",COUNTIFS(tblPCSInput[Call Date/Time],"&gt;="&amp;(SETUP!$B$6),tblPCSInput[Call Date/Time],"&lt;"&amp;(SETUP!$B$7),tblPCSInput[Call Direction],"I",tblPCSInput[Agent ID],$A104,tblPCSInput[Valid Q1],"&gt;=1"))</f>
        <v/>
      </c>
      <c r="S104" s="12">
        <f>IFERROR(SUMIFS(tblPCSInput[Valid Q1],tblPCSInput[Call Date/Time],"&gt;="&amp;SETUP!$B$6,tblPCSInput[Call Date/Time],"&lt;"&amp;SETUP!$B$7,tblPCSInput[Call Direction],"I",tblPCSInput[Agent ID],$A104)/COUNTIFS(tblPCSInput[Call Date/Time],"&gt;="&amp;(SETUP!$B$6),tblPCSInput[Call Date/Time],"&lt;"&amp;(SETUP!$B$7),tblPCSInput[Call Direction],"I",tblPCSInput[Agent ID],$A104,tblPCSInput[Valid Q1],"&gt;=1"),"")</f>
        <v/>
      </c>
      <c r="T104" s="11">
        <f>IF(S104="","",COUNTIFS(tblPCSInput[Call Date/Time],"&gt;="&amp;(SETUP!$B$6),tblPCSInput[Call Date/Time],"&lt;"&amp;(SETUP!$B$7),tblPCSInput[Call Direction],"I",tblPCSInput[Agent ID],$A104,tblPCSInput[Valid Q1],"&lt;=3",tblPCSInput[Valid Q1],"&gt;=1"))</f>
        <v/>
      </c>
      <c r="U104" s="11">
        <f>IF(S104="","",COUNTIFS(tblPCSInput[Call Date/Time],"&gt;="&amp;(SETUP!$B$6),tblPCSInput[Call Date/Time],"&lt;"&amp;(SETUP!$B$7),tblPCSInput[Call Direction],"I",tblPCSInput[Agent ID],$A104,tblPCSInput[Valid Q1],"&gt;3"))</f>
        <v/>
      </c>
      <c r="V104" s="13">
        <f>IFERROR(Q104/P104,"")</f>
        <v/>
      </c>
      <c r="W104" s="13">
        <f>IFERROR(R104/P104,"")</f>
        <v/>
      </c>
    </row>
    <row r="105" spans="1:23">
      <c r="A105" s="4">
        <f>IF(ROSTER!A105="","",ROSTER!A105)</f>
        <v>224299</v>
      </c>
      <c r="B105" s="4" t="str">
        <f>IF($A105="","",ROSTER!C105)</f>
        <v>Jacqueline SINT</v>
      </c>
      <c r="C105" s="4" t="str">
        <f>IF($A105="","",ROSTER!D105)</f>
        <v>Adil LAGRAOUI</v>
      </c>
      <c r="D105" s="4" t="str">
        <f>IF($A105="","",ROSTER!E105)</f>
        <v>Anas OUAKKAD</v>
      </c>
      <c r="E105" s="4" t="str">
        <f>IF($A105="","",ROSTER!F105)</f>
        <v>RSA NL</v>
      </c>
      <c r="F105" s="11">
        <f>IF($A105="","",COUNTIFS(tblPCSInput[Call Date/Time],"&gt;="&amp;(SETUP!$B$5),tblPCSInput[Call Date/Time],"&lt;"&amp;(SETUP!$B$5+1),tblPCSInput[Call Direction],"I",tblPCSInput[Agent ID],$A105,tblPCSInput[PCSStatus],1))</f>
        <v/>
      </c>
      <c r="G105" s="11">
        <f>IF($A105="","",COUNTIFS(tblPCSInput[Call Date/Time],"&gt;="&amp;(SETUP!$B$5),tblPCSInput[Call Date/Time],"&lt;"&amp;(SETUP!$B$5+1),tblPCSInput[Call Direction],"I",tblPCSInput[Agent ID],$A105,tblPCSInput[Question 1],"&lt;&gt;"))</f>
        <v/>
      </c>
      <c r="H105" s="11">
        <f>IF($A105="","",COUNTIFS(tblPCSInput[Call Date/Time],"&gt;="&amp;(SETUP!$B$5),tblPCSInput[Call Date/Time],"&lt;"&amp;(SETUP!$B$5+1),tblPCSInput[Call Direction],"I",tblPCSInput[Agent ID],$A105,tblPCSInput[Valid Q1],"&gt;=1"))</f>
        <v/>
      </c>
      <c r="I105" s="12">
        <f>IFERROR(SUMIFS(tblPCSInput[Valid Q1],tblPCSInput[Call Date/Time],"&gt;="&amp;SETUP!$B$5,tblPCSInput[Call Date/Time],"&lt;"&amp;SETUP!$B$5+1,tblPCSInput[Call Direction],"I",tblPCSInput[Agent ID],$A105)/COUNTIFS(tblPCSInput[Call Date/Time],"&gt;="&amp;(SETUP!$B$5),tblPCSInput[Call Date/Time],"&lt;"&amp;(SETUP!$B$5+1),tblPCSInput[Call Direction],"I",tblPCSInput[Agent ID],$A105,tblPCSInput[Valid Q1],"&gt;=1"),"")</f>
        <v/>
      </c>
      <c r="J105" s="11">
        <f>IF(I105="","",COUNTIFS(tblPCSInput[Call Date/Time],"&gt;="&amp;(SETUP!$B$5),tblPCSInput[Call Date/Time],"&lt;"&amp;(SETUP!$B$5+1),tblPCSInput[Call Direction],"I",tblPCSInput[Agent ID],$A105,tblPCSInput[Valid Q1],"&lt;=3",tblPCSInput[Valid Q1],"&gt;=1"))</f>
        <v/>
      </c>
      <c r="K105" s="11">
        <f>IF(I105="","",COUNTIFS(tblPCSInput[Call Date/Time],"&gt;="&amp;(SETUP!$B$5),tblPCSInput[Call Date/Time],"&lt;"&amp;(SETUP!$B$5+1),tblPCSInput[Call Direction],"I",tblPCSInput[Agent ID],$A105,tblPCSInput[Valid Q1],"&gt;3"))</f>
        <v/>
      </c>
      <c r="L105" s="13">
        <f>IFERROR(G105/F105,"")</f>
        <v/>
      </c>
      <c r="M105" s="13">
        <f>IFERROR(H105/F105,"")</f>
        <v/>
      </c>
      <c r="N105" s="11">
        <f>IF($A105="","",MAX(0,G105-H105))</f>
        <v/>
      </c>
      <c r="O105" s="4">
        <f>IF($A105="","",IF(H105=0,"NO VALID SURVEY",IF(H105&lt;5,"LOW SAMPLE","OK")))</f>
        <v/>
      </c>
      <c r="P105" s="11">
        <f>IF($A105="","",COUNTIFS(tblPCSInput[Call Date/Time],"&gt;="&amp;(SETUP!$B$6),tblPCSInput[Call Date/Time],"&lt;"&amp;(SETUP!$B$7),tblPCSInput[Call Direction],"I",tblPCSInput[Agent ID],$A105,tblPCSInput[PCSStatus],1))</f>
        <v/>
      </c>
      <c r="Q105" s="11">
        <f>IF($A105="","",COUNTIFS(tblPCSInput[Call Date/Time],"&gt;="&amp;(SETUP!$B$6),tblPCSInput[Call Date/Time],"&lt;"&amp;(SETUP!$B$7),tblPCSInput[Call Direction],"I",tblPCSInput[Agent ID],$A105,tblPCSInput[Question 1],"&lt;&gt;"))</f>
        <v/>
      </c>
      <c r="R105" s="11">
        <f>IF($A105="","",COUNTIFS(tblPCSInput[Call Date/Time],"&gt;="&amp;(SETUP!$B$6),tblPCSInput[Call Date/Time],"&lt;"&amp;(SETUP!$B$7),tblPCSInput[Call Direction],"I",tblPCSInput[Agent ID],$A105,tblPCSInput[Valid Q1],"&gt;=1"))</f>
        <v/>
      </c>
      <c r="S105" s="12">
        <f>IFERROR(SUMIFS(tblPCSInput[Valid Q1],tblPCSInput[Call Date/Time],"&gt;="&amp;SETUP!$B$6,tblPCSInput[Call Date/Time],"&lt;"&amp;SETUP!$B$7,tblPCSInput[Call Direction],"I",tblPCSInput[Agent ID],$A105)/COUNTIFS(tblPCSInput[Call Date/Time],"&gt;="&amp;(SETUP!$B$6),tblPCSInput[Call Date/Time],"&lt;"&amp;(SETUP!$B$7),tblPCSInput[Call Direction],"I",tblPCSInput[Agent ID],$A105,tblPCSInput[Valid Q1],"&gt;=1"),"")</f>
        <v/>
      </c>
      <c r="T105" s="11">
        <f>IF(S105="","",COUNTIFS(tblPCSInput[Call Date/Time],"&gt;="&amp;(SETUP!$B$6),tblPCSInput[Call Date/Time],"&lt;"&amp;(SETUP!$B$7),tblPCSInput[Call Direction],"I",tblPCSInput[Agent ID],$A105,tblPCSInput[Valid Q1],"&lt;=3",tblPCSInput[Valid Q1],"&gt;=1"))</f>
        <v/>
      </c>
      <c r="U105" s="11">
        <f>IF(S105="","",COUNTIFS(tblPCSInput[Call Date/Time],"&gt;="&amp;(SETUP!$B$6),tblPCSInput[Call Date/Time],"&lt;"&amp;(SETUP!$B$7),tblPCSInput[Call Direction],"I",tblPCSInput[Agent ID],$A105,tblPCSInput[Valid Q1],"&gt;3"))</f>
        <v/>
      </c>
      <c r="V105" s="13">
        <f>IFERROR(Q105/P105,"")</f>
        <v/>
      </c>
      <c r="W105" s="13">
        <f>IFERROR(R105/P105,"")</f>
        <v/>
      </c>
    </row>
    <row r="106" spans="1:23">
      <c r="A106" s="4">
        <f>IF(ROSTER!A106="","",ROSTER!A106)</f>
        <v>228209</v>
      </c>
      <c r="B106" s="4" t="str">
        <f>IF($A106="","",ROSTER!C106)</f>
        <v>Hamza TALBY</v>
      </c>
      <c r="C106" s="4" t="str">
        <f>IF($A106="","",ROSTER!D106)</f>
        <v>Kenza EL MOUMNI</v>
      </c>
      <c r="D106" s="4" t="str">
        <f>IF($A106="","",ROSTER!E106)</f>
        <v>Anas OUAKKAD</v>
      </c>
      <c r="E106" s="4" t="str">
        <f>IF($A106="","",ROSTER!F106)</f>
        <v>OEM FR</v>
      </c>
      <c r="F106" s="11">
        <f>IF($A106="","",COUNTIFS(tblPCSInput[Call Date/Time],"&gt;="&amp;(SETUP!$B$5),tblPCSInput[Call Date/Time],"&lt;"&amp;(SETUP!$B$5+1),tblPCSInput[Call Direction],"I",tblPCSInput[Agent ID],$A106,tblPCSInput[PCSStatus],1))</f>
        <v/>
      </c>
      <c r="G106" s="11">
        <f>IF($A106="","",COUNTIFS(tblPCSInput[Call Date/Time],"&gt;="&amp;(SETUP!$B$5),tblPCSInput[Call Date/Time],"&lt;"&amp;(SETUP!$B$5+1),tblPCSInput[Call Direction],"I",tblPCSInput[Agent ID],$A106,tblPCSInput[Question 1],"&lt;&gt;"))</f>
        <v/>
      </c>
      <c r="H106" s="11">
        <f>IF($A106="","",COUNTIFS(tblPCSInput[Call Date/Time],"&gt;="&amp;(SETUP!$B$5),tblPCSInput[Call Date/Time],"&lt;"&amp;(SETUP!$B$5+1),tblPCSInput[Call Direction],"I",tblPCSInput[Agent ID],$A106,tblPCSInput[Valid Q1],"&gt;=1"))</f>
        <v/>
      </c>
      <c r="I106" s="12">
        <f>IFERROR(SUMIFS(tblPCSInput[Valid Q1],tblPCSInput[Call Date/Time],"&gt;="&amp;SETUP!$B$5,tblPCSInput[Call Date/Time],"&lt;"&amp;SETUP!$B$5+1,tblPCSInput[Call Direction],"I",tblPCSInput[Agent ID],$A106)/COUNTIFS(tblPCSInput[Call Date/Time],"&gt;="&amp;(SETUP!$B$5),tblPCSInput[Call Date/Time],"&lt;"&amp;(SETUP!$B$5+1),tblPCSInput[Call Direction],"I",tblPCSInput[Agent ID],$A106,tblPCSInput[Valid Q1],"&gt;=1"),"")</f>
        <v/>
      </c>
      <c r="J106" s="11">
        <f>IF(I106="","",COUNTIFS(tblPCSInput[Call Date/Time],"&gt;="&amp;(SETUP!$B$5),tblPCSInput[Call Date/Time],"&lt;"&amp;(SETUP!$B$5+1),tblPCSInput[Call Direction],"I",tblPCSInput[Agent ID],$A106,tblPCSInput[Valid Q1],"&lt;=3",tblPCSInput[Valid Q1],"&gt;=1"))</f>
        <v/>
      </c>
      <c r="K106" s="11">
        <f>IF(I106="","",COUNTIFS(tblPCSInput[Call Date/Time],"&gt;="&amp;(SETUP!$B$5),tblPCSInput[Call Date/Time],"&lt;"&amp;(SETUP!$B$5+1),tblPCSInput[Call Direction],"I",tblPCSInput[Agent ID],$A106,tblPCSInput[Valid Q1],"&gt;3"))</f>
        <v/>
      </c>
      <c r="L106" s="13">
        <f>IFERROR(G106/F106,"")</f>
        <v/>
      </c>
      <c r="M106" s="13">
        <f>IFERROR(H106/F106,"")</f>
        <v/>
      </c>
      <c r="N106" s="11">
        <f>IF($A106="","",MAX(0,G106-H106))</f>
        <v/>
      </c>
      <c r="O106" s="4">
        <f>IF($A106="","",IF(H106=0,"NO VALID SURVEY",IF(H106&lt;5,"LOW SAMPLE","OK")))</f>
        <v/>
      </c>
      <c r="P106" s="11">
        <f>IF($A106="","",COUNTIFS(tblPCSInput[Call Date/Time],"&gt;="&amp;(SETUP!$B$6),tblPCSInput[Call Date/Time],"&lt;"&amp;(SETUP!$B$7),tblPCSInput[Call Direction],"I",tblPCSInput[Agent ID],$A106,tblPCSInput[PCSStatus],1))</f>
        <v/>
      </c>
      <c r="Q106" s="11">
        <f>IF($A106="","",COUNTIFS(tblPCSInput[Call Date/Time],"&gt;="&amp;(SETUP!$B$6),tblPCSInput[Call Date/Time],"&lt;"&amp;(SETUP!$B$7),tblPCSInput[Call Direction],"I",tblPCSInput[Agent ID],$A106,tblPCSInput[Question 1],"&lt;&gt;"))</f>
        <v/>
      </c>
      <c r="R106" s="11">
        <f>IF($A106="","",COUNTIFS(tblPCSInput[Call Date/Time],"&gt;="&amp;(SETUP!$B$6),tblPCSInput[Call Date/Time],"&lt;"&amp;(SETUP!$B$7),tblPCSInput[Call Direction],"I",tblPCSInput[Agent ID],$A106,tblPCSInput[Valid Q1],"&gt;=1"))</f>
        <v/>
      </c>
      <c r="S106" s="12">
        <f>IFERROR(SUMIFS(tblPCSInput[Valid Q1],tblPCSInput[Call Date/Time],"&gt;="&amp;SETUP!$B$6,tblPCSInput[Call Date/Time],"&lt;"&amp;SETUP!$B$7,tblPCSInput[Call Direction],"I",tblPCSInput[Agent ID],$A106)/COUNTIFS(tblPCSInput[Call Date/Time],"&gt;="&amp;(SETUP!$B$6),tblPCSInput[Call Date/Time],"&lt;"&amp;(SETUP!$B$7),tblPCSInput[Call Direction],"I",tblPCSInput[Agent ID],$A106,tblPCSInput[Valid Q1],"&gt;=1"),"")</f>
        <v/>
      </c>
      <c r="T106" s="11">
        <f>IF(S106="","",COUNTIFS(tblPCSInput[Call Date/Time],"&gt;="&amp;(SETUP!$B$6),tblPCSInput[Call Date/Time],"&lt;"&amp;(SETUP!$B$7),tblPCSInput[Call Direction],"I",tblPCSInput[Agent ID],$A106,tblPCSInput[Valid Q1],"&lt;=3",tblPCSInput[Valid Q1],"&gt;=1"))</f>
        <v/>
      </c>
      <c r="U106" s="11">
        <f>IF(S106="","",COUNTIFS(tblPCSInput[Call Date/Time],"&gt;="&amp;(SETUP!$B$6),tblPCSInput[Call Date/Time],"&lt;"&amp;(SETUP!$B$7),tblPCSInput[Call Direction],"I",tblPCSInput[Agent ID],$A106,tblPCSInput[Valid Q1],"&gt;3"))</f>
        <v/>
      </c>
      <c r="V106" s="13">
        <f>IFERROR(Q106/P106,"")</f>
        <v/>
      </c>
      <c r="W106" s="13">
        <f>IFERROR(R106/P106,"")</f>
        <v/>
      </c>
    </row>
    <row r="107" spans="1:23">
      <c r="A107" s="4">
        <f>IF(ROSTER!A107="","",ROSTER!A107)</f>
        <v>228210</v>
      </c>
      <c r="B107" s="4" t="str">
        <f>IF($A107="","",ROSTER!C107)</f>
        <v>Fatima SOUALA</v>
      </c>
      <c r="C107" s="4" t="str">
        <f>IF($A107="","",ROSTER!D107)</f>
        <v>Kenza EL MOUMNI</v>
      </c>
      <c r="D107" s="4" t="str">
        <f>IF($A107="","",ROSTER!E107)</f>
        <v>Anas OUAKKAD</v>
      </c>
      <c r="E107" s="4" t="str">
        <f>IF($A107="","",ROSTER!F107)</f>
        <v>OEM FR</v>
      </c>
      <c r="F107" s="11">
        <f>IF($A107="","",COUNTIFS(tblPCSInput[Call Date/Time],"&gt;="&amp;(SETUP!$B$5),tblPCSInput[Call Date/Time],"&lt;"&amp;(SETUP!$B$5+1),tblPCSInput[Call Direction],"I",tblPCSInput[Agent ID],$A107,tblPCSInput[PCSStatus],1))</f>
        <v/>
      </c>
      <c r="G107" s="11">
        <f>IF($A107="","",COUNTIFS(tblPCSInput[Call Date/Time],"&gt;="&amp;(SETUP!$B$5),tblPCSInput[Call Date/Time],"&lt;"&amp;(SETUP!$B$5+1),tblPCSInput[Call Direction],"I",tblPCSInput[Agent ID],$A107,tblPCSInput[Question 1],"&lt;&gt;"))</f>
        <v/>
      </c>
      <c r="H107" s="11">
        <f>IF($A107="","",COUNTIFS(tblPCSInput[Call Date/Time],"&gt;="&amp;(SETUP!$B$5),tblPCSInput[Call Date/Time],"&lt;"&amp;(SETUP!$B$5+1),tblPCSInput[Call Direction],"I",tblPCSInput[Agent ID],$A107,tblPCSInput[Valid Q1],"&gt;=1"))</f>
        <v/>
      </c>
      <c r="I107" s="12">
        <f>IFERROR(SUMIFS(tblPCSInput[Valid Q1],tblPCSInput[Call Date/Time],"&gt;="&amp;SETUP!$B$5,tblPCSInput[Call Date/Time],"&lt;"&amp;SETUP!$B$5+1,tblPCSInput[Call Direction],"I",tblPCSInput[Agent ID],$A107)/COUNTIFS(tblPCSInput[Call Date/Time],"&gt;="&amp;(SETUP!$B$5),tblPCSInput[Call Date/Time],"&lt;"&amp;(SETUP!$B$5+1),tblPCSInput[Call Direction],"I",tblPCSInput[Agent ID],$A107,tblPCSInput[Valid Q1],"&gt;=1"),"")</f>
        <v/>
      </c>
      <c r="J107" s="11">
        <f>IF(I107="","",COUNTIFS(tblPCSInput[Call Date/Time],"&gt;="&amp;(SETUP!$B$5),tblPCSInput[Call Date/Time],"&lt;"&amp;(SETUP!$B$5+1),tblPCSInput[Call Direction],"I",tblPCSInput[Agent ID],$A107,tblPCSInput[Valid Q1],"&lt;=3",tblPCSInput[Valid Q1],"&gt;=1"))</f>
        <v/>
      </c>
      <c r="K107" s="11">
        <f>IF(I107="","",COUNTIFS(tblPCSInput[Call Date/Time],"&gt;="&amp;(SETUP!$B$5),tblPCSInput[Call Date/Time],"&lt;"&amp;(SETUP!$B$5+1),tblPCSInput[Call Direction],"I",tblPCSInput[Agent ID],$A107,tblPCSInput[Valid Q1],"&gt;3"))</f>
        <v/>
      </c>
      <c r="L107" s="13">
        <f>IFERROR(G107/F107,"")</f>
        <v/>
      </c>
      <c r="M107" s="13">
        <f>IFERROR(H107/F107,"")</f>
        <v/>
      </c>
      <c r="N107" s="11">
        <f>IF($A107="","",MAX(0,G107-H107))</f>
        <v/>
      </c>
      <c r="O107" s="4">
        <f>IF($A107="","",IF(H107=0,"NO VALID SURVEY",IF(H107&lt;5,"LOW SAMPLE","OK")))</f>
        <v/>
      </c>
      <c r="P107" s="11">
        <f>IF($A107="","",COUNTIFS(tblPCSInput[Call Date/Time],"&gt;="&amp;(SETUP!$B$6),tblPCSInput[Call Date/Time],"&lt;"&amp;(SETUP!$B$7),tblPCSInput[Call Direction],"I",tblPCSInput[Agent ID],$A107,tblPCSInput[PCSStatus],1))</f>
        <v/>
      </c>
      <c r="Q107" s="11">
        <f>IF($A107="","",COUNTIFS(tblPCSInput[Call Date/Time],"&gt;="&amp;(SETUP!$B$6),tblPCSInput[Call Date/Time],"&lt;"&amp;(SETUP!$B$7),tblPCSInput[Call Direction],"I",tblPCSInput[Agent ID],$A107,tblPCSInput[Question 1],"&lt;&gt;"))</f>
        <v/>
      </c>
      <c r="R107" s="11">
        <f>IF($A107="","",COUNTIFS(tblPCSInput[Call Date/Time],"&gt;="&amp;(SETUP!$B$6),tblPCSInput[Call Date/Time],"&lt;"&amp;(SETUP!$B$7),tblPCSInput[Call Direction],"I",tblPCSInput[Agent ID],$A107,tblPCSInput[Valid Q1],"&gt;=1"))</f>
        <v/>
      </c>
      <c r="S107" s="12">
        <f>IFERROR(SUMIFS(tblPCSInput[Valid Q1],tblPCSInput[Call Date/Time],"&gt;="&amp;SETUP!$B$6,tblPCSInput[Call Date/Time],"&lt;"&amp;SETUP!$B$7,tblPCSInput[Call Direction],"I",tblPCSInput[Agent ID],$A107)/COUNTIFS(tblPCSInput[Call Date/Time],"&gt;="&amp;(SETUP!$B$6),tblPCSInput[Call Date/Time],"&lt;"&amp;(SETUP!$B$7),tblPCSInput[Call Direction],"I",tblPCSInput[Agent ID],$A107,tblPCSInput[Valid Q1],"&gt;=1"),"")</f>
        <v/>
      </c>
      <c r="T107" s="11">
        <f>IF(S107="","",COUNTIFS(tblPCSInput[Call Date/Time],"&gt;="&amp;(SETUP!$B$6),tblPCSInput[Call Date/Time],"&lt;"&amp;(SETUP!$B$7),tblPCSInput[Call Direction],"I",tblPCSInput[Agent ID],$A107,tblPCSInput[Valid Q1],"&lt;=3",tblPCSInput[Valid Q1],"&gt;=1"))</f>
        <v/>
      </c>
      <c r="U107" s="11">
        <f>IF(S107="","",COUNTIFS(tblPCSInput[Call Date/Time],"&gt;="&amp;(SETUP!$B$6),tblPCSInput[Call Date/Time],"&lt;"&amp;(SETUP!$B$7),tblPCSInput[Call Direction],"I",tblPCSInput[Agent ID],$A107,tblPCSInput[Valid Q1],"&gt;3"))</f>
        <v/>
      </c>
      <c r="V107" s="13">
        <f>IFERROR(Q107/P107,"")</f>
        <v/>
      </c>
      <c r="W107" s="13">
        <f>IFERROR(R107/P107,"")</f>
        <v/>
      </c>
    </row>
    <row r="108" spans="1:23">
      <c r="A108" s="4">
        <f>IF(ROSTER!A108="","",ROSTER!A108)</f>
        <v>228211</v>
      </c>
      <c r="B108" s="4" t="str">
        <f>IF($A108="","",ROSTER!C108)</f>
        <v>Yazid LAGDEM</v>
      </c>
      <c r="C108" s="4" t="str">
        <f>IF($A108="","",ROSTER!D108)</f>
        <v>Kenza EL MOUMNI</v>
      </c>
      <c r="D108" s="4" t="str">
        <f>IF($A108="","",ROSTER!E108)</f>
        <v>Anas OUAKKAD</v>
      </c>
      <c r="E108" s="4" t="str">
        <f>IF($A108="","",ROSTER!F108)</f>
        <v>OEM FR</v>
      </c>
      <c r="F108" s="11">
        <f>IF($A108="","",COUNTIFS(tblPCSInput[Call Date/Time],"&gt;="&amp;(SETUP!$B$5),tblPCSInput[Call Date/Time],"&lt;"&amp;(SETUP!$B$5+1),tblPCSInput[Call Direction],"I",tblPCSInput[Agent ID],$A108,tblPCSInput[PCSStatus],1))</f>
        <v/>
      </c>
      <c r="G108" s="11">
        <f>IF($A108="","",COUNTIFS(tblPCSInput[Call Date/Time],"&gt;="&amp;(SETUP!$B$5),tblPCSInput[Call Date/Time],"&lt;"&amp;(SETUP!$B$5+1),tblPCSInput[Call Direction],"I",tblPCSInput[Agent ID],$A108,tblPCSInput[Question 1],"&lt;&gt;"))</f>
        <v/>
      </c>
      <c r="H108" s="11">
        <f>IF($A108="","",COUNTIFS(tblPCSInput[Call Date/Time],"&gt;="&amp;(SETUP!$B$5),tblPCSInput[Call Date/Time],"&lt;"&amp;(SETUP!$B$5+1),tblPCSInput[Call Direction],"I",tblPCSInput[Agent ID],$A108,tblPCSInput[Valid Q1],"&gt;=1"))</f>
        <v/>
      </c>
      <c r="I108" s="12">
        <f>IFERROR(SUMIFS(tblPCSInput[Valid Q1],tblPCSInput[Call Date/Time],"&gt;="&amp;SETUP!$B$5,tblPCSInput[Call Date/Time],"&lt;"&amp;SETUP!$B$5+1,tblPCSInput[Call Direction],"I",tblPCSInput[Agent ID],$A108)/COUNTIFS(tblPCSInput[Call Date/Time],"&gt;="&amp;(SETUP!$B$5),tblPCSInput[Call Date/Time],"&lt;"&amp;(SETUP!$B$5+1),tblPCSInput[Call Direction],"I",tblPCSInput[Agent ID],$A108,tblPCSInput[Valid Q1],"&gt;=1"),"")</f>
        <v/>
      </c>
      <c r="J108" s="11">
        <f>IF(I108="","",COUNTIFS(tblPCSInput[Call Date/Time],"&gt;="&amp;(SETUP!$B$5),tblPCSInput[Call Date/Time],"&lt;"&amp;(SETUP!$B$5+1),tblPCSInput[Call Direction],"I",tblPCSInput[Agent ID],$A108,tblPCSInput[Valid Q1],"&lt;=3",tblPCSInput[Valid Q1],"&gt;=1"))</f>
        <v/>
      </c>
      <c r="K108" s="11">
        <f>IF(I108="","",COUNTIFS(tblPCSInput[Call Date/Time],"&gt;="&amp;(SETUP!$B$5),tblPCSInput[Call Date/Time],"&lt;"&amp;(SETUP!$B$5+1),tblPCSInput[Call Direction],"I",tblPCSInput[Agent ID],$A108,tblPCSInput[Valid Q1],"&gt;3"))</f>
        <v/>
      </c>
      <c r="L108" s="13">
        <f>IFERROR(G108/F108,"")</f>
        <v/>
      </c>
      <c r="M108" s="13">
        <f>IFERROR(H108/F108,"")</f>
        <v/>
      </c>
      <c r="N108" s="11">
        <f>IF($A108="","",MAX(0,G108-H108))</f>
        <v/>
      </c>
      <c r="O108" s="4">
        <f>IF($A108="","",IF(H108=0,"NO VALID SURVEY",IF(H108&lt;5,"LOW SAMPLE","OK")))</f>
        <v/>
      </c>
      <c r="P108" s="11">
        <f>IF($A108="","",COUNTIFS(tblPCSInput[Call Date/Time],"&gt;="&amp;(SETUP!$B$6),tblPCSInput[Call Date/Time],"&lt;"&amp;(SETUP!$B$7),tblPCSInput[Call Direction],"I",tblPCSInput[Agent ID],$A108,tblPCSInput[PCSStatus],1))</f>
        <v/>
      </c>
      <c r="Q108" s="11">
        <f>IF($A108="","",COUNTIFS(tblPCSInput[Call Date/Time],"&gt;="&amp;(SETUP!$B$6),tblPCSInput[Call Date/Time],"&lt;"&amp;(SETUP!$B$7),tblPCSInput[Call Direction],"I",tblPCSInput[Agent ID],$A108,tblPCSInput[Question 1],"&lt;&gt;"))</f>
        <v/>
      </c>
      <c r="R108" s="11">
        <f>IF($A108="","",COUNTIFS(tblPCSInput[Call Date/Time],"&gt;="&amp;(SETUP!$B$6),tblPCSInput[Call Date/Time],"&lt;"&amp;(SETUP!$B$7),tblPCSInput[Call Direction],"I",tblPCSInput[Agent ID],$A108,tblPCSInput[Valid Q1],"&gt;=1"))</f>
        <v/>
      </c>
      <c r="S108" s="12">
        <f>IFERROR(SUMIFS(tblPCSInput[Valid Q1],tblPCSInput[Call Date/Time],"&gt;="&amp;SETUP!$B$6,tblPCSInput[Call Date/Time],"&lt;"&amp;SETUP!$B$7,tblPCSInput[Call Direction],"I",tblPCSInput[Agent ID],$A108)/COUNTIFS(tblPCSInput[Call Date/Time],"&gt;="&amp;(SETUP!$B$6),tblPCSInput[Call Date/Time],"&lt;"&amp;(SETUP!$B$7),tblPCSInput[Call Direction],"I",tblPCSInput[Agent ID],$A108,tblPCSInput[Valid Q1],"&gt;=1"),"")</f>
        <v/>
      </c>
      <c r="T108" s="11">
        <f>IF(S108="","",COUNTIFS(tblPCSInput[Call Date/Time],"&gt;="&amp;(SETUP!$B$6),tblPCSInput[Call Date/Time],"&lt;"&amp;(SETUP!$B$7),tblPCSInput[Call Direction],"I",tblPCSInput[Agent ID],$A108,tblPCSInput[Valid Q1],"&lt;=3",tblPCSInput[Valid Q1],"&gt;=1"))</f>
        <v/>
      </c>
      <c r="U108" s="11">
        <f>IF(S108="","",COUNTIFS(tblPCSInput[Call Date/Time],"&gt;="&amp;(SETUP!$B$6),tblPCSInput[Call Date/Time],"&lt;"&amp;(SETUP!$B$7),tblPCSInput[Call Direction],"I",tblPCSInput[Agent ID],$A108,tblPCSInput[Valid Q1],"&gt;3"))</f>
        <v/>
      </c>
      <c r="V108" s="13">
        <f>IFERROR(Q108/P108,"")</f>
        <v/>
      </c>
      <c r="W108" s="13">
        <f>IFERROR(R108/P108,"")</f>
        <v/>
      </c>
    </row>
    <row r="109" spans="1:23">
      <c r="A109" s="4">
        <f>IF(ROSTER!A109="","",ROSTER!A109)</f>
        <v>228212</v>
      </c>
      <c r="B109" s="4" t="str">
        <f>IF($A109="","",ROSTER!C109)</f>
        <v>Siham ET TAOUIL</v>
      </c>
      <c r="C109" s="4" t="str">
        <f>IF($A109="","",ROSTER!D109)</f>
        <v>Malak AZERKI</v>
      </c>
      <c r="D109" s="4" t="str">
        <f>IF($A109="","",ROSTER!E109)</f>
        <v>Anas OUAKKAD</v>
      </c>
      <c r="E109" s="4" t="str">
        <f>IF($A109="","",ROSTER!F109)</f>
        <v>OEM FR</v>
      </c>
      <c r="F109" s="11">
        <f>IF($A109="","",COUNTIFS(tblPCSInput[Call Date/Time],"&gt;="&amp;(SETUP!$B$5),tblPCSInput[Call Date/Time],"&lt;"&amp;(SETUP!$B$5+1),tblPCSInput[Call Direction],"I",tblPCSInput[Agent ID],$A109,tblPCSInput[PCSStatus],1))</f>
        <v/>
      </c>
      <c r="G109" s="11">
        <f>IF($A109="","",COUNTIFS(tblPCSInput[Call Date/Time],"&gt;="&amp;(SETUP!$B$5),tblPCSInput[Call Date/Time],"&lt;"&amp;(SETUP!$B$5+1),tblPCSInput[Call Direction],"I",tblPCSInput[Agent ID],$A109,tblPCSInput[Question 1],"&lt;&gt;"))</f>
        <v/>
      </c>
      <c r="H109" s="11">
        <f>IF($A109="","",COUNTIFS(tblPCSInput[Call Date/Time],"&gt;="&amp;(SETUP!$B$5),tblPCSInput[Call Date/Time],"&lt;"&amp;(SETUP!$B$5+1),tblPCSInput[Call Direction],"I",tblPCSInput[Agent ID],$A109,tblPCSInput[Valid Q1],"&gt;=1"))</f>
        <v/>
      </c>
      <c r="I109" s="12">
        <f>IFERROR(SUMIFS(tblPCSInput[Valid Q1],tblPCSInput[Call Date/Time],"&gt;="&amp;SETUP!$B$5,tblPCSInput[Call Date/Time],"&lt;"&amp;SETUP!$B$5+1,tblPCSInput[Call Direction],"I",tblPCSInput[Agent ID],$A109)/COUNTIFS(tblPCSInput[Call Date/Time],"&gt;="&amp;(SETUP!$B$5),tblPCSInput[Call Date/Time],"&lt;"&amp;(SETUP!$B$5+1),tblPCSInput[Call Direction],"I",tblPCSInput[Agent ID],$A109,tblPCSInput[Valid Q1],"&gt;=1"),"")</f>
        <v/>
      </c>
      <c r="J109" s="11">
        <f>IF(I109="","",COUNTIFS(tblPCSInput[Call Date/Time],"&gt;="&amp;(SETUP!$B$5),tblPCSInput[Call Date/Time],"&lt;"&amp;(SETUP!$B$5+1),tblPCSInput[Call Direction],"I",tblPCSInput[Agent ID],$A109,tblPCSInput[Valid Q1],"&lt;=3",tblPCSInput[Valid Q1],"&gt;=1"))</f>
        <v/>
      </c>
      <c r="K109" s="11">
        <f>IF(I109="","",COUNTIFS(tblPCSInput[Call Date/Time],"&gt;="&amp;(SETUP!$B$5),tblPCSInput[Call Date/Time],"&lt;"&amp;(SETUP!$B$5+1),tblPCSInput[Call Direction],"I",tblPCSInput[Agent ID],$A109,tblPCSInput[Valid Q1],"&gt;3"))</f>
        <v/>
      </c>
      <c r="L109" s="13">
        <f>IFERROR(G109/F109,"")</f>
        <v/>
      </c>
      <c r="M109" s="13">
        <f>IFERROR(H109/F109,"")</f>
        <v/>
      </c>
      <c r="N109" s="11">
        <f>IF($A109="","",MAX(0,G109-H109))</f>
        <v/>
      </c>
      <c r="O109" s="4">
        <f>IF($A109="","",IF(H109=0,"NO VALID SURVEY",IF(H109&lt;5,"LOW SAMPLE","OK")))</f>
        <v/>
      </c>
      <c r="P109" s="11">
        <f>IF($A109="","",COUNTIFS(tblPCSInput[Call Date/Time],"&gt;="&amp;(SETUP!$B$6),tblPCSInput[Call Date/Time],"&lt;"&amp;(SETUP!$B$7),tblPCSInput[Call Direction],"I",tblPCSInput[Agent ID],$A109,tblPCSInput[PCSStatus],1))</f>
        <v/>
      </c>
      <c r="Q109" s="11">
        <f>IF($A109="","",COUNTIFS(tblPCSInput[Call Date/Time],"&gt;="&amp;(SETUP!$B$6),tblPCSInput[Call Date/Time],"&lt;"&amp;(SETUP!$B$7),tblPCSInput[Call Direction],"I",tblPCSInput[Agent ID],$A109,tblPCSInput[Question 1],"&lt;&gt;"))</f>
        <v/>
      </c>
      <c r="R109" s="11">
        <f>IF($A109="","",COUNTIFS(tblPCSInput[Call Date/Time],"&gt;="&amp;(SETUP!$B$6),tblPCSInput[Call Date/Time],"&lt;"&amp;(SETUP!$B$7),tblPCSInput[Call Direction],"I",tblPCSInput[Agent ID],$A109,tblPCSInput[Valid Q1],"&gt;=1"))</f>
        <v/>
      </c>
      <c r="S109" s="12">
        <f>IFERROR(SUMIFS(tblPCSInput[Valid Q1],tblPCSInput[Call Date/Time],"&gt;="&amp;SETUP!$B$6,tblPCSInput[Call Date/Time],"&lt;"&amp;SETUP!$B$7,tblPCSInput[Call Direction],"I",tblPCSInput[Agent ID],$A109)/COUNTIFS(tblPCSInput[Call Date/Time],"&gt;="&amp;(SETUP!$B$6),tblPCSInput[Call Date/Time],"&lt;"&amp;(SETUP!$B$7),tblPCSInput[Call Direction],"I",tblPCSInput[Agent ID],$A109,tblPCSInput[Valid Q1],"&gt;=1"),"")</f>
        <v/>
      </c>
      <c r="T109" s="11">
        <f>IF(S109="","",COUNTIFS(tblPCSInput[Call Date/Time],"&gt;="&amp;(SETUP!$B$6),tblPCSInput[Call Date/Time],"&lt;"&amp;(SETUP!$B$7),tblPCSInput[Call Direction],"I",tblPCSInput[Agent ID],$A109,tblPCSInput[Valid Q1],"&lt;=3",tblPCSInput[Valid Q1],"&gt;=1"))</f>
        <v/>
      </c>
      <c r="U109" s="11">
        <f>IF(S109="","",COUNTIFS(tblPCSInput[Call Date/Time],"&gt;="&amp;(SETUP!$B$6),tblPCSInput[Call Date/Time],"&lt;"&amp;(SETUP!$B$7),tblPCSInput[Call Direction],"I",tblPCSInput[Agent ID],$A109,tblPCSInput[Valid Q1],"&gt;3"))</f>
        <v/>
      </c>
      <c r="V109" s="13">
        <f>IFERROR(Q109/P109,"")</f>
        <v/>
      </c>
      <c r="W109" s="13">
        <f>IFERROR(R109/P109,"")</f>
        <v/>
      </c>
    </row>
    <row r="110" spans="1:23">
      <c r="A110" s="4">
        <f>IF(ROSTER!A110="","",ROSTER!A110)</f>
        <v>228213</v>
      </c>
      <c r="B110" s="4" t="str">
        <f>IF($A110="","",ROSTER!C110)</f>
        <v>Taoufik MANOUNI</v>
      </c>
      <c r="C110" s="4" t="str">
        <f>IF($A110="","",ROSTER!D110)</f>
        <v>Kenza EL MOUMNI</v>
      </c>
      <c r="D110" s="4" t="str">
        <f>IF($A110="","",ROSTER!E110)</f>
        <v>Anas OUAKKAD</v>
      </c>
      <c r="E110" s="4" t="str">
        <f>IF($A110="","",ROSTER!F110)</f>
        <v>OEM FR</v>
      </c>
      <c r="F110" s="11">
        <f>IF($A110="","",COUNTIFS(tblPCSInput[Call Date/Time],"&gt;="&amp;(SETUP!$B$5),tblPCSInput[Call Date/Time],"&lt;"&amp;(SETUP!$B$5+1),tblPCSInput[Call Direction],"I",tblPCSInput[Agent ID],$A110,tblPCSInput[PCSStatus],1))</f>
        <v/>
      </c>
      <c r="G110" s="11">
        <f>IF($A110="","",COUNTIFS(tblPCSInput[Call Date/Time],"&gt;="&amp;(SETUP!$B$5),tblPCSInput[Call Date/Time],"&lt;"&amp;(SETUP!$B$5+1),tblPCSInput[Call Direction],"I",tblPCSInput[Agent ID],$A110,tblPCSInput[Question 1],"&lt;&gt;"))</f>
        <v/>
      </c>
      <c r="H110" s="11">
        <f>IF($A110="","",COUNTIFS(tblPCSInput[Call Date/Time],"&gt;="&amp;(SETUP!$B$5),tblPCSInput[Call Date/Time],"&lt;"&amp;(SETUP!$B$5+1),tblPCSInput[Call Direction],"I",tblPCSInput[Agent ID],$A110,tblPCSInput[Valid Q1],"&gt;=1"))</f>
        <v/>
      </c>
      <c r="I110" s="12">
        <f>IFERROR(SUMIFS(tblPCSInput[Valid Q1],tblPCSInput[Call Date/Time],"&gt;="&amp;SETUP!$B$5,tblPCSInput[Call Date/Time],"&lt;"&amp;SETUP!$B$5+1,tblPCSInput[Call Direction],"I",tblPCSInput[Agent ID],$A110)/COUNTIFS(tblPCSInput[Call Date/Time],"&gt;="&amp;(SETUP!$B$5),tblPCSInput[Call Date/Time],"&lt;"&amp;(SETUP!$B$5+1),tblPCSInput[Call Direction],"I",tblPCSInput[Agent ID],$A110,tblPCSInput[Valid Q1],"&gt;=1"),"")</f>
        <v/>
      </c>
      <c r="J110" s="11">
        <f>IF(I110="","",COUNTIFS(tblPCSInput[Call Date/Time],"&gt;="&amp;(SETUP!$B$5),tblPCSInput[Call Date/Time],"&lt;"&amp;(SETUP!$B$5+1),tblPCSInput[Call Direction],"I",tblPCSInput[Agent ID],$A110,tblPCSInput[Valid Q1],"&lt;=3",tblPCSInput[Valid Q1],"&gt;=1"))</f>
        <v/>
      </c>
      <c r="K110" s="11">
        <f>IF(I110="","",COUNTIFS(tblPCSInput[Call Date/Time],"&gt;="&amp;(SETUP!$B$5),tblPCSInput[Call Date/Time],"&lt;"&amp;(SETUP!$B$5+1),tblPCSInput[Call Direction],"I",tblPCSInput[Agent ID],$A110,tblPCSInput[Valid Q1],"&gt;3"))</f>
        <v/>
      </c>
      <c r="L110" s="13">
        <f>IFERROR(G110/F110,"")</f>
        <v/>
      </c>
      <c r="M110" s="13">
        <f>IFERROR(H110/F110,"")</f>
        <v/>
      </c>
      <c r="N110" s="11">
        <f>IF($A110="","",MAX(0,G110-H110))</f>
        <v/>
      </c>
      <c r="O110" s="4">
        <f>IF($A110="","",IF(H110=0,"NO VALID SURVEY",IF(H110&lt;5,"LOW SAMPLE","OK")))</f>
        <v/>
      </c>
      <c r="P110" s="11">
        <f>IF($A110="","",COUNTIFS(tblPCSInput[Call Date/Time],"&gt;="&amp;(SETUP!$B$6),tblPCSInput[Call Date/Time],"&lt;"&amp;(SETUP!$B$7),tblPCSInput[Call Direction],"I",tblPCSInput[Agent ID],$A110,tblPCSInput[PCSStatus],1))</f>
        <v/>
      </c>
      <c r="Q110" s="11">
        <f>IF($A110="","",COUNTIFS(tblPCSInput[Call Date/Time],"&gt;="&amp;(SETUP!$B$6),tblPCSInput[Call Date/Time],"&lt;"&amp;(SETUP!$B$7),tblPCSInput[Call Direction],"I",tblPCSInput[Agent ID],$A110,tblPCSInput[Question 1],"&lt;&gt;"))</f>
        <v/>
      </c>
      <c r="R110" s="11">
        <f>IF($A110="","",COUNTIFS(tblPCSInput[Call Date/Time],"&gt;="&amp;(SETUP!$B$6),tblPCSInput[Call Date/Time],"&lt;"&amp;(SETUP!$B$7),tblPCSInput[Call Direction],"I",tblPCSInput[Agent ID],$A110,tblPCSInput[Valid Q1],"&gt;=1"))</f>
        <v/>
      </c>
      <c r="S110" s="12">
        <f>IFERROR(SUMIFS(tblPCSInput[Valid Q1],tblPCSInput[Call Date/Time],"&gt;="&amp;SETUP!$B$6,tblPCSInput[Call Date/Time],"&lt;"&amp;SETUP!$B$7,tblPCSInput[Call Direction],"I",tblPCSInput[Agent ID],$A110)/COUNTIFS(tblPCSInput[Call Date/Time],"&gt;="&amp;(SETUP!$B$6),tblPCSInput[Call Date/Time],"&lt;"&amp;(SETUP!$B$7),tblPCSInput[Call Direction],"I",tblPCSInput[Agent ID],$A110,tblPCSInput[Valid Q1],"&gt;=1"),"")</f>
        <v/>
      </c>
      <c r="T110" s="11">
        <f>IF(S110="","",COUNTIFS(tblPCSInput[Call Date/Time],"&gt;="&amp;(SETUP!$B$6),tblPCSInput[Call Date/Time],"&lt;"&amp;(SETUP!$B$7),tblPCSInput[Call Direction],"I",tblPCSInput[Agent ID],$A110,tblPCSInput[Valid Q1],"&lt;=3",tblPCSInput[Valid Q1],"&gt;=1"))</f>
        <v/>
      </c>
      <c r="U110" s="11">
        <f>IF(S110="","",COUNTIFS(tblPCSInput[Call Date/Time],"&gt;="&amp;(SETUP!$B$6),tblPCSInput[Call Date/Time],"&lt;"&amp;(SETUP!$B$7),tblPCSInput[Call Direction],"I",tblPCSInput[Agent ID],$A110,tblPCSInput[Valid Q1],"&gt;3"))</f>
        <v/>
      </c>
      <c r="V110" s="13">
        <f>IFERROR(Q110/P110,"")</f>
        <v/>
      </c>
      <c r="W110" s="13">
        <f>IFERROR(R110/P110,"")</f>
        <v/>
      </c>
    </row>
    <row r="111" spans="1:23">
      <c r="A111" s="4">
        <f>IF(ROSTER!A111="","",ROSTER!A111)</f>
        <v>228663</v>
      </c>
      <c r="B111" s="4" t="str">
        <f>IF($A111="","",ROSTER!C111)</f>
        <v>M’hammed BELLOUARAK</v>
      </c>
      <c r="C111" s="4" t="str">
        <f>IF($A111="","",ROSTER!D111)</f>
        <v>Kenza EL MOUMNI</v>
      </c>
      <c r="D111" s="4" t="str">
        <f>IF($A111="","",ROSTER!E111)</f>
        <v>Anas OUAKKAD</v>
      </c>
      <c r="E111" s="4" t="str">
        <f>IF($A111="","",ROSTER!F111)</f>
        <v>OEM FR</v>
      </c>
      <c r="F111" s="11">
        <f>IF($A111="","",COUNTIFS(tblPCSInput[Call Date/Time],"&gt;="&amp;(SETUP!$B$5),tblPCSInput[Call Date/Time],"&lt;"&amp;(SETUP!$B$5+1),tblPCSInput[Call Direction],"I",tblPCSInput[Agent ID],$A111,tblPCSInput[PCSStatus],1))</f>
        <v/>
      </c>
      <c r="G111" s="11">
        <f>IF($A111="","",COUNTIFS(tblPCSInput[Call Date/Time],"&gt;="&amp;(SETUP!$B$5),tblPCSInput[Call Date/Time],"&lt;"&amp;(SETUP!$B$5+1),tblPCSInput[Call Direction],"I",tblPCSInput[Agent ID],$A111,tblPCSInput[Question 1],"&lt;&gt;"))</f>
        <v/>
      </c>
      <c r="H111" s="11">
        <f>IF($A111="","",COUNTIFS(tblPCSInput[Call Date/Time],"&gt;="&amp;(SETUP!$B$5),tblPCSInput[Call Date/Time],"&lt;"&amp;(SETUP!$B$5+1),tblPCSInput[Call Direction],"I",tblPCSInput[Agent ID],$A111,tblPCSInput[Valid Q1],"&gt;=1"))</f>
        <v/>
      </c>
      <c r="I111" s="12">
        <f>IFERROR(SUMIFS(tblPCSInput[Valid Q1],tblPCSInput[Call Date/Time],"&gt;="&amp;SETUP!$B$5,tblPCSInput[Call Date/Time],"&lt;"&amp;SETUP!$B$5+1,tblPCSInput[Call Direction],"I",tblPCSInput[Agent ID],$A111)/COUNTIFS(tblPCSInput[Call Date/Time],"&gt;="&amp;(SETUP!$B$5),tblPCSInput[Call Date/Time],"&lt;"&amp;(SETUP!$B$5+1),tblPCSInput[Call Direction],"I",tblPCSInput[Agent ID],$A111,tblPCSInput[Valid Q1],"&gt;=1"),"")</f>
        <v/>
      </c>
      <c r="J111" s="11">
        <f>IF(I111="","",COUNTIFS(tblPCSInput[Call Date/Time],"&gt;="&amp;(SETUP!$B$5),tblPCSInput[Call Date/Time],"&lt;"&amp;(SETUP!$B$5+1),tblPCSInput[Call Direction],"I",tblPCSInput[Agent ID],$A111,tblPCSInput[Valid Q1],"&lt;=3",tblPCSInput[Valid Q1],"&gt;=1"))</f>
        <v/>
      </c>
      <c r="K111" s="11">
        <f>IF(I111="","",COUNTIFS(tblPCSInput[Call Date/Time],"&gt;="&amp;(SETUP!$B$5),tblPCSInput[Call Date/Time],"&lt;"&amp;(SETUP!$B$5+1),tblPCSInput[Call Direction],"I",tblPCSInput[Agent ID],$A111,tblPCSInput[Valid Q1],"&gt;3"))</f>
        <v/>
      </c>
      <c r="L111" s="13">
        <f>IFERROR(G111/F111,"")</f>
        <v/>
      </c>
      <c r="M111" s="13">
        <f>IFERROR(H111/F111,"")</f>
        <v/>
      </c>
      <c r="N111" s="11">
        <f>IF($A111="","",MAX(0,G111-H111))</f>
        <v/>
      </c>
      <c r="O111" s="4">
        <f>IF($A111="","",IF(H111=0,"NO VALID SURVEY",IF(H111&lt;5,"LOW SAMPLE","OK")))</f>
        <v/>
      </c>
      <c r="P111" s="11">
        <f>IF($A111="","",COUNTIFS(tblPCSInput[Call Date/Time],"&gt;="&amp;(SETUP!$B$6),tblPCSInput[Call Date/Time],"&lt;"&amp;(SETUP!$B$7),tblPCSInput[Call Direction],"I",tblPCSInput[Agent ID],$A111,tblPCSInput[PCSStatus],1))</f>
        <v/>
      </c>
      <c r="Q111" s="11">
        <f>IF($A111="","",COUNTIFS(tblPCSInput[Call Date/Time],"&gt;="&amp;(SETUP!$B$6),tblPCSInput[Call Date/Time],"&lt;"&amp;(SETUP!$B$7),tblPCSInput[Call Direction],"I",tblPCSInput[Agent ID],$A111,tblPCSInput[Question 1],"&lt;&gt;"))</f>
        <v/>
      </c>
      <c r="R111" s="11">
        <f>IF($A111="","",COUNTIFS(tblPCSInput[Call Date/Time],"&gt;="&amp;(SETUP!$B$6),tblPCSInput[Call Date/Time],"&lt;"&amp;(SETUP!$B$7),tblPCSInput[Call Direction],"I",tblPCSInput[Agent ID],$A111,tblPCSInput[Valid Q1],"&gt;=1"))</f>
        <v/>
      </c>
      <c r="S111" s="12">
        <f>IFERROR(SUMIFS(tblPCSInput[Valid Q1],tblPCSInput[Call Date/Time],"&gt;="&amp;SETUP!$B$6,tblPCSInput[Call Date/Time],"&lt;"&amp;SETUP!$B$7,tblPCSInput[Call Direction],"I",tblPCSInput[Agent ID],$A111)/COUNTIFS(tblPCSInput[Call Date/Time],"&gt;="&amp;(SETUP!$B$6),tblPCSInput[Call Date/Time],"&lt;"&amp;(SETUP!$B$7),tblPCSInput[Call Direction],"I",tblPCSInput[Agent ID],$A111,tblPCSInput[Valid Q1],"&gt;=1"),"")</f>
        <v/>
      </c>
      <c r="T111" s="11">
        <f>IF(S111="","",COUNTIFS(tblPCSInput[Call Date/Time],"&gt;="&amp;(SETUP!$B$6),tblPCSInput[Call Date/Time],"&lt;"&amp;(SETUP!$B$7),tblPCSInput[Call Direction],"I",tblPCSInput[Agent ID],$A111,tblPCSInput[Valid Q1],"&lt;=3",tblPCSInput[Valid Q1],"&gt;=1"))</f>
        <v/>
      </c>
      <c r="U111" s="11">
        <f>IF(S111="","",COUNTIFS(tblPCSInput[Call Date/Time],"&gt;="&amp;(SETUP!$B$6),tblPCSInput[Call Date/Time],"&lt;"&amp;(SETUP!$B$7),tblPCSInput[Call Direction],"I",tblPCSInput[Agent ID],$A111,tblPCSInput[Valid Q1],"&gt;3"))</f>
        <v/>
      </c>
      <c r="V111" s="13">
        <f>IFERROR(Q111/P111,"")</f>
        <v/>
      </c>
      <c r="W111" s="13">
        <f>IFERROR(R111/P111,"")</f>
        <v/>
      </c>
    </row>
    <row r="112" spans="1:23">
      <c r="A112" s="4">
        <f>IF(ROSTER!A112="","",ROSTER!A112)</f>
        <v>228214</v>
      </c>
      <c r="B112" s="4" t="str">
        <f>IF($A112="","",ROSTER!C112)</f>
        <v>Hanane BADIR</v>
      </c>
      <c r="C112" s="4" t="str">
        <f>IF($A112="","",ROSTER!D112)</f>
        <v>Kenza EL MOUMNI</v>
      </c>
      <c r="D112" s="4" t="str">
        <f>IF($A112="","",ROSTER!E112)</f>
        <v>Anas OUAKKAD</v>
      </c>
      <c r="E112" s="4" t="str">
        <f>IF($A112="","",ROSTER!F112)</f>
        <v>OEM FR</v>
      </c>
      <c r="F112" s="11">
        <f>IF($A112="","",COUNTIFS(tblPCSInput[Call Date/Time],"&gt;="&amp;(SETUP!$B$5),tblPCSInput[Call Date/Time],"&lt;"&amp;(SETUP!$B$5+1),tblPCSInput[Call Direction],"I",tblPCSInput[Agent ID],$A112,tblPCSInput[PCSStatus],1))</f>
        <v/>
      </c>
      <c r="G112" s="11">
        <f>IF($A112="","",COUNTIFS(tblPCSInput[Call Date/Time],"&gt;="&amp;(SETUP!$B$5),tblPCSInput[Call Date/Time],"&lt;"&amp;(SETUP!$B$5+1),tblPCSInput[Call Direction],"I",tblPCSInput[Agent ID],$A112,tblPCSInput[Question 1],"&lt;&gt;"))</f>
        <v/>
      </c>
      <c r="H112" s="11">
        <f>IF($A112="","",COUNTIFS(tblPCSInput[Call Date/Time],"&gt;="&amp;(SETUP!$B$5),tblPCSInput[Call Date/Time],"&lt;"&amp;(SETUP!$B$5+1),tblPCSInput[Call Direction],"I",tblPCSInput[Agent ID],$A112,tblPCSInput[Valid Q1],"&gt;=1"))</f>
        <v/>
      </c>
      <c r="I112" s="12">
        <f>IFERROR(SUMIFS(tblPCSInput[Valid Q1],tblPCSInput[Call Date/Time],"&gt;="&amp;SETUP!$B$5,tblPCSInput[Call Date/Time],"&lt;"&amp;SETUP!$B$5+1,tblPCSInput[Call Direction],"I",tblPCSInput[Agent ID],$A112)/COUNTIFS(tblPCSInput[Call Date/Time],"&gt;="&amp;(SETUP!$B$5),tblPCSInput[Call Date/Time],"&lt;"&amp;(SETUP!$B$5+1),tblPCSInput[Call Direction],"I",tblPCSInput[Agent ID],$A112,tblPCSInput[Valid Q1],"&gt;=1"),"")</f>
        <v/>
      </c>
      <c r="J112" s="11">
        <f>IF(I112="","",COUNTIFS(tblPCSInput[Call Date/Time],"&gt;="&amp;(SETUP!$B$5),tblPCSInput[Call Date/Time],"&lt;"&amp;(SETUP!$B$5+1),tblPCSInput[Call Direction],"I",tblPCSInput[Agent ID],$A112,tblPCSInput[Valid Q1],"&lt;=3",tblPCSInput[Valid Q1],"&gt;=1"))</f>
        <v/>
      </c>
      <c r="K112" s="11">
        <f>IF(I112="","",COUNTIFS(tblPCSInput[Call Date/Time],"&gt;="&amp;(SETUP!$B$5),tblPCSInput[Call Date/Time],"&lt;"&amp;(SETUP!$B$5+1),tblPCSInput[Call Direction],"I",tblPCSInput[Agent ID],$A112,tblPCSInput[Valid Q1],"&gt;3"))</f>
        <v/>
      </c>
      <c r="L112" s="13">
        <f>IFERROR(G112/F112,"")</f>
        <v/>
      </c>
      <c r="M112" s="13">
        <f>IFERROR(H112/F112,"")</f>
        <v/>
      </c>
      <c r="N112" s="11">
        <f>IF($A112="","",MAX(0,G112-H112))</f>
        <v/>
      </c>
      <c r="O112" s="4">
        <f>IF($A112="","",IF(H112=0,"NO VALID SURVEY",IF(H112&lt;5,"LOW SAMPLE","OK")))</f>
        <v/>
      </c>
      <c r="P112" s="11">
        <f>IF($A112="","",COUNTIFS(tblPCSInput[Call Date/Time],"&gt;="&amp;(SETUP!$B$6),tblPCSInput[Call Date/Time],"&lt;"&amp;(SETUP!$B$7),tblPCSInput[Call Direction],"I",tblPCSInput[Agent ID],$A112,tblPCSInput[PCSStatus],1))</f>
        <v/>
      </c>
      <c r="Q112" s="11">
        <f>IF($A112="","",COUNTIFS(tblPCSInput[Call Date/Time],"&gt;="&amp;(SETUP!$B$6),tblPCSInput[Call Date/Time],"&lt;"&amp;(SETUP!$B$7),tblPCSInput[Call Direction],"I",tblPCSInput[Agent ID],$A112,tblPCSInput[Question 1],"&lt;&gt;"))</f>
        <v/>
      </c>
      <c r="R112" s="11">
        <f>IF($A112="","",COUNTIFS(tblPCSInput[Call Date/Time],"&gt;="&amp;(SETUP!$B$6),tblPCSInput[Call Date/Time],"&lt;"&amp;(SETUP!$B$7),tblPCSInput[Call Direction],"I",tblPCSInput[Agent ID],$A112,tblPCSInput[Valid Q1],"&gt;=1"))</f>
        <v/>
      </c>
      <c r="S112" s="12">
        <f>IFERROR(SUMIFS(tblPCSInput[Valid Q1],tblPCSInput[Call Date/Time],"&gt;="&amp;SETUP!$B$6,tblPCSInput[Call Date/Time],"&lt;"&amp;SETUP!$B$7,tblPCSInput[Call Direction],"I",tblPCSInput[Agent ID],$A112)/COUNTIFS(tblPCSInput[Call Date/Time],"&gt;="&amp;(SETUP!$B$6),tblPCSInput[Call Date/Time],"&lt;"&amp;(SETUP!$B$7),tblPCSInput[Call Direction],"I",tblPCSInput[Agent ID],$A112,tblPCSInput[Valid Q1],"&gt;=1"),"")</f>
        <v/>
      </c>
      <c r="T112" s="11">
        <f>IF(S112="","",COUNTIFS(tblPCSInput[Call Date/Time],"&gt;="&amp;(SETUP!$B$6),tblPCSInput[Call Date/Time],"&lt;"&amp;(SETUP!$B$7),tblPCSInput[Call Direction],"I",tblPCSInput[Agent ID],$A112,tblPCSInput[Valid Q1],"&lt;=3",tblPCSInput[Valid Q1],"&gt;=1"))</f>
        <v/>
      </c>
      <c r="U112" s="11">
        <f>IF(S112="","",COUNTIFS(tblPCSInput[Call Date/Time],"&gt;="&amp;(SETUP!$B$6),tblPCSInput[Call Date/Time],"&lt;"&amp;(SETUP!$B$7),tblPCSInput[Call Direction],"I",tblPCSInput[Agent ID],$A112,tblPCSInput[Valid Q1],"&gt;3"))</f>
        <v/>
      </c>
      <c r="V112" s="13">
        <f>IFERROR(Q112/P112,"")</f>
        <v/>
      </c>
      <c r="W112" s="13">
        <f>IFERROR(R112/P112,"")</f>
        <v/>
      </c>
    </row>
    <row r="113" spans="1:23">
      <c r="A113" s="4">
        <f>IF(ROSTER!A113="","",ROSTER!A113)</f>
        <v>228215</v>
      </c>
      <c r="B113" s="4" t="str">
        <f>IF($A113="","",ROSTER!C113)</f>
        <v>Younes EL FELLAH EL OUAZZANI</v>
      </c>
      <c r="C113" s="4" t="str">
        <f>IF($A113="","",ROSTER!D113)</f>
        <v>Kenza EL MOUMNI</v>
      </c>
      <c r="D113" s="4" t="str">
        <f>IF($A113="","",ROSTER!E113)</f>
        <v>Anas OUAKKAD</v>
      </c>
      <c r="E113" s="4" t="str">
        <f>IF($A113="","",ROSTER!F113)</f>
        <v>OEM FR</v>
      </c>
      <c r="F113" s="11">
        <f>IF($A113="","",COUNTIFS(tblPCSInput[Call Date/Time],"&gt;="&amp;(SETUP!$B$5),tblPCSInput[Call Date/Time],"&lt;"&amp;(SETUP!$B$5+1),tblPCSInput[Call Direction],"I",tblPCSInput[Agent ID],$A113,tblPCSInput[PCSStatus],1))</f>
        <v/>
      </c>
      <c r="G113" s="11">
        <f>IF($A113="","",COUNTIFS(tblPCSInput[Call Date/Time],"&gt;="&amp;(SETUP!$B$5),tblPCSInput[Call Date/Time],"&lt;"&amp;(SETUP!$B$5+1),tblPCSInput[Call Direction],"I",tblPCSInput[Agent ID],$A113,tblPCSInput[Question 1],"&lt;&gt;"))</f>
        <v/>
      </c>
      <c r="H113" s="11">
        <f>IF($A113="","",COUNTIFS(tblPCSInput[Call Date/Time],"&gt;="&amp;(SETUP!$B$5),tblPCSInput[Call Date/Time],"&lt;"&amp;(SETUP!$B$5+1),tblPCSInput[Call Direction],"I",tblPCSInput[Agent ID],$A113,tblPCSInput[Valid Q1],"&gt;=1"))</f>
        <v/>
      </c>
      <c r="I113" s="12">
        <f>IFERROR(SUMIFS(tblPCSInput[Valid Q1],tblPCSInput[Call Date/Time],"&gt;="&amp;SETUP!$B$5,tblPCSInput[Call Date/Time],"&lt;"&amp;SETUP!$B$5+1,tblPCSInput[Call Direction],"I",tblPCSInput[Agent ID],$A113)/COUNTIFS(tblPCSInput[Call Date/Time],"&gt;="&amp;(SETUP!$B$5),tblPCSInput[Call Date/Time],"&lt;"&amp;(SETUP!$B$5+1),tblPCSInput[Call Direction],"I",tblPCSInput[Agent ID],$A113,tblPCSInput[Valid Q1],"&gt;=1"),"")</f>
        <v/>
      </c>
      <c r="J113" s="11">
        <f>IF(I113="","",COUNTIFS(tblPCSInput[Call Date/Time],"&gt;="&amp;(SETUP!$B$5),tblPCSInput[Call Date/Time],"&lt;"&amp;(SETUP!$B$5+1),tblPCSInput[Call Direction],"I",tblPCSInput[Agent ID],$A113,tblPCSInput[Valid Q1],"&lt;=3",tblPCSInput[Valid Q1],"&gt;=1"))</f>
        <v/>
      </c>
      <c r="K113" s="11">
        <f>IF(I113="","",COUNTIFS(tblPCSInput[Call Date/Time],"&gt;="&amp;(SETUP!$B$5),tblPCSInput[Call Date/Time],"&lt;"&amp;(SETUP!$B$5+1),tblPCSInput[Call Direction],"I",tblPCSInput[Agent ID],$A113,tblPCSInput[Valid Q1],"&gt;3"))</f>
        <v/>
      </c>
      <c r="L113" s="13">
        <f>IFERROR(G113/F113,"")</f>
        <v/>
      </c>
      <c r="M113" s="13">
        <f>IFERROR(H113/F113,"")</f>
        <v/>
      </c>
      <c r="N113" s="11">
        <f>IF($A113="","",MAX(0,G113-H113))</f>
        <v/>
      </c>
      <c r="O113" s="4">
        <f>IF($A113="","",IF(H113=0,"NO VALID SURVEY",IF(H113&lt;5,"LOW SAMPLE","OK")))</f>
        <v/>
      </c>
      <c r="P113" s="11">
        <f>IF($A113="","",COUNTIFS(tblPCSInput[Call Date/Time],"&gt;="&amp;(SETUP!$B$6),tblPCSInput[Call Date/Time],"&lt;"&amp;(SETUP!$B$7),tblPCSInput[Call Direction],"I",tblPCSInput[Agent ID],$A113,tblPCSInput[PCSStatus],1))</f>
        <v/>
      </c>
      <c r="Q113" s="11">
        <f>IF($A113="","",COUNTIFS(tblPCSInput[Call Date/Time],"&gt;="&amp;(SETUP!$B$6),tblPCSInput[Call Date/Time],"&lt;"&amp;(SETUP!$B$7),tblPCSInput[Call Direction],"I",tblPCSInput[Agent ID],$A113,tblPCSInput[Question 1],"&lt;&gt;"))</f>
        <v/>
      </c>
      <c r="R113" s="11">
        <f>IF($A113="","",COUNTIFS(tblPCSInput[Call Date/Time],"&gt;="&amp;(SETUP!$B$6),tblPCSInput[Call Date/Time],"&lt;"&amp;(SETUP!$B$7),tblPCSInput[Call Direction],"I",tblPCSInput[Agent ID],$A113,tblPCSInput[Valid Q1],"&gt;=1"))</f>
        <v/>
      </c>
      <c r="S113" s="12">
        <f>IFERROR(SUMIFS(tblPCSInput[Valid Q1],tblPCSInput[Call Date/Time],"&gt;="&amp;SETUP!$B$6,tblPCSInput[Call Date/Time],"&lt;"&amp;SETUP!$B$7,tblPCSInput[Call Direction],"I",tblPCSInput[Agent ID],$A113)/COUNTIFS(tblPCSInput[Call Date/Time],"&gt;="&amp;(SETUP!$B$6),tblPCSInput[Call Date/Time],"&lt;"&amp;(SETUP!$B$7),tblPCSInput[Call Direction],"I",tblPCSInput[Agent ID],$A113,tblPCSInput[Valid Q1],"&gt;=1"),"")</f>
        <v/>
      </c>
      <c r="T113" s="11">
        <f>IF(S113="","",COUNTIFS(tblPCSInput[Call Date/Time],"&gt;="&amp;(SETUP!$B$6),tblPCSInput[Call Date/Time],"&lt;"&amp;(SETUP!$B$7),tblPCSInput[Call Direction],"I",tblPCSInput[Agent ID],$A113,tblPCSInput[Valid Q1],"&lt;=3",tblPCSInput[Valid Q1],"&gt;=1"))</f>
        <v/>
      </c>
      <c r="U113" s="11">
        <f>IF(S113="","",COUNTIFS(tblPCSInput[Call Date/Time],"&gt;="&amp;(SETUP!$B$6),tblPCSInput[Call Date/Time],"&lt;"&amp;(SETUP!$B$7),tblPCSInput[Call Direction],"I",tblPCSInput[Agent ID],$A113,tblPCSInput[Valid Q1],"&gt;3"))</f>
        <v/>
      </c>
      <c r="V113" s="13">
        <f>IFERROR(Q113/P113,"")</f>
        <v/>
      </c>
      <c r="W113" s="13">
        <f>IFERROR(R113/P113,"")</f>
        <v/>
      </c>
    </row>
    <row r="114" spans="1:23">
      <c r="A114" s="4">
        <f>IF(ROSTER!A114="","",ROSTER!A114)</f>
        <v>228216</v>
      </c>
      <c r="B114" s="4" t="str">
        <f>IF($A114="","",ROSTER!C114)</f>
        <v>Insafe OUAJAL</v>
      </c>
      <c r="C114" s="4" t="str">
        <f>IF($A114="","",ROSTER!D114)</f>
        <v>Kenza EL MOUMNI</v>
      </c>
      <c r="D114" s="4" t="str">
        <f>IF($A114="","",ROSTER!E114)</f>
        <v>Anas OUAKKAD</v>
      </c>
      <c r="E114" s="4" t="str">
        <f>IF($A114="","",ROSTER!F114)</f>
        <v>OEM FR</v>
      </c>
      <c r="F114" s="11">
        <f>IF($A114="","",COUNTIFS(tblPCSInput[Call Date/Time],"&gt;="&amp;(SETUP!$B$5),tblPCSInput[Call Date/Time],"&lt;"&amp;(SETUP!$B$5+1),tblPCSInput[Call Direction],"I",tblPCSInput[Agent ID],$A114,tblPCSInput[PCSStatus],1))</f>
        <v/>
      </c>
      <c r="G114" s="11">
        <f>IF($A114="","",COUNTIFS(tblPCSInput[Call Date/Time],"&gt;="&amp;(SETUP!$B$5),tblPCSInput[Call Date/Time],"&lt;"&amp;(SETUP!$B$5+1),tblPCSInput[Call Direction],"I",tblPCSInput[Agent ID],$A114,tblPCSInput[Question 1],"&lt;&gt;"))</f>
        <v/>
      </c>
      <c r="H114" s="11">
        <f>IF($A114="","",COUNTIFS(tblPCSInput[Call Date/Time],"&gt;="&amp;(SETUP!$B$5),tblPCSInput[Call Date/Time],"&lt;"&amp;(SETUP!$B$5+1),tblPCSInput[Call Direction],"I",tblPCSInput[Agent ID],$A114,tblPCSInput[Valid Q1],"&gt;=1"))</f>
        <v/>
      </c>
      <c r="I114" s="12">
        <f>IFERROR(SUMIFS(tblPCSInput[Valid Q1],tblPCSInput[Call Date/Time],"&gt;="&amp;SETUP!$B$5,tblPCSInput[Call Date/Time],"&lt;"&amp;SETUP!$B$5+1,tblPCSInput[Call Direction],"I",tblPCSInput[Agent ID],$A114)/COUNTIFS(tblPCSInput[Call Date/Time],"&gt;="&amp;(SETUP!$B$5),tblPCSInput[Call Date/Time],"&lt;"&amp;(SETUP!$B$5+1),tblPCSInput[Call Direction],"I",tblPCSInput[Agent ID],$A114,tblPCSInput[Valid Q1],"&gt;=1"),"")</f>
        <v/>
      </c>
      <c r="J114" s="11">
        <f>IF(I114="","",COUNTIFS(tblPCSInput[Call Date/Time],"&gt;="&amp;(SETUP!$B$5),tblPCSInput[Call Date/Time],"&lt;"&amp;(SETUP!$B$5+1),tblPCSInput[Call Direction],"I",tblPCSInput[Agent ID],$A114,tblPCSInput[Valid Q1],"&lt;=3",tblPCSInput[Valid Q1],"&gt;=1"))</f>
        <v/>
      </c>
      <c r="K114" s="11">
        <f>IF(I114="","",COUNTIFS(tblPCSInput[Call Date/Time],"&gt;="&amp;(SETUP!$B$5),tblPCSInput[Call Date/Time],"&lt;"&amp;(SETUP!$B$5+1),tblPCSInput[Call Direction],"I",tblPCSInput[Agent ID],$A114,tblPCSInput[Valid Q1],"&gt;3"))</f>
        <v/>
      </c>
      <c r="L114" s="13">
        <f>IFERROR(G114/F114,"")</f>
        <v/>
      </c>
      <c r="M114" s="13">
        <f>IFERROR(H114/F114,"")</f>
        <v/>
      </c>
      <c r="N114" s="11">
        <f>IF($A114="","",MAX(0,G114-H114))</f>
        <v/>
      </c>
      <c r="O114" s="4">
        <f>IF($A114="","",IF(H114=0,"NO VALID SURVEY",IF(H114&lt;5,"LOW SAMPLE","OK")))</f>
        <v/>
      </c>
      <c r="P114" s="11">
        <f>IF($A114="","",COUNTIFS(tblPCSInput[Call Date/Time],"&gt;="&amp;(SETUP!$B$6),tblPCSInput[Call Date/Time],"&lt;"&amp;(SETUP!$B$7),tblPCSInput[Call Direction],"I",tblPCSInput[Agent ID],$A114,tblPCSInput[PCSStatus],1))</f>
        <v/>
      </c>
      <c r="Q114" s="11">
        <f>IF($A114="","",COUNTIFS(tblPCSInput[Call Date/Time],"&gt;="&amp;(SETUP!$B$6),tblPCSInput[Call Date/Time],"&lt;"&amp;(SETUP!$B$7),tblPCSInput[Call Direction],"I",tblPCSInput[Agent ID],$A114,tblPCSInput[Question 1],"&lt;&gt;"))</f>
        <v/>
      </c>
      <c r="R114" s="11">
        <f>IF($A114="","",COUNTIFS(tblPCSInput[Call Date/Time],"&gt;="&amp;(SETUP!$B$6),tblPCSInput[Call Date/Time],"&lt;"&amp;(SETUP!$B$7),tblPCSInput[Call Direction],"I",tblPCSInput[Agent ID],$A114,tblPCSInput[Valid Q1],"&gt;=1"))</f>
        <v/>
      </c>
      <c r="S114" s="12">
        <f>IFERROR(SUMIFS(tblPCSInput[Valid Q1],tblPCSInput[Call Date/Time],"&gt;="&amp;SETUP!$B$6,tblPCSInput[Call Date/Time],"&lt;"&amp;SETUP!$B$7,tblPCSInput[Call Direction],"I",tblPCSInput[Agent ID],$A114)/COUNTIFS(tblPCSInput[Call Date/Time],"&gt;="&amp;(SETUP!$B$6),tblPCSInput[Call Date/Time],"&lt;"&amp;(SETUP!$B$7),tblPCSInput[Call Direction],"I",tblPCSInput[Agent ID],$A114,tblPCSInput[Valid Q1],"&gt;=1"),"")</f>
        <v/>
      </c>
      <c r="T114" s="11">
        <f>IF(S114="","",COUNTIFS(tblPCSInput[Call Date/Time],"&gt;="&amp;(SETUP!$B$6),tblPCSInput[Call Date/Time],"&lt;"&amp;(SETUP!$B$7),tblPCSInput[Call Direction],"I",tblPCSInput[Agent ID],$A114,tblPCSInput[Valid Q1],"&lt;=3",tblPCSInput[Valid Q1],"&gt;=1"))</f>
        <v/>
      </c>
      <c r="U114" s="11">
        <f>IF(S114="","",COUNTIFS(tblPCSInput[Call Date/Time],"&gt;="&amp;(SETUP!$B$6),tblPCSInput[Call Date/Time],"&lt;"&amp;(SETUP!$B$7),tblPCSInput[Call Direction],"I",tblPCSInput[Agent ID],$A114,tblPCSInput[Valid Q1],"&gt;3"))</f>
        <v/>
      </c>
      <c r="V114" s="13">
        <f>IFERROR(Q114/P114,"")</f>
        <v/>
      </c>
      <c r="W114" s="13">
        <f>IFERROR(R114/P114,"")</f>
        <v/>
      </c>
    </row>
    <row r="115" spans="1:23">
      <c r="A115" s="4">
        <f>IF(ROSTER!A115="","",ROSTER!A115)</f>
        <v>228217</v>
      </c>
      <c r="B115" s="4" t="str">
        <f>IF($A115="","",ROSTER!C115)</f>
        <v>Zineb ZAAROURI</v>
      </c>
      <c r="C115" s="4" t="str">
        <f>IF($A115="","",ROSTER!D115)</f>
        <v>Kenza EL MOUMNI</v>
      </c>
      <c r="D115" s="4" t="str">
        <f>IF($A115="","",ROSTER!E115)</f>
        <v>Anas OUAKKAD</v>
      </c>
      <c r="E115" s="4" t="str">
        <f>IF($A115="","",ROSTER!F115)</f>
        <v>OEM FR</v>
      </c>
      <c r="F115" s="11">
        <f>IF($A115="","",COUNTIFS(tblPCSInput[Call Date/Time],"&gt;="&amp;(SETUP!$B$5),tblPCSInput[Call Date/Time],"&lt;"&amp;(SETUP!$B$5+1),tblPCSInput[Call Direction],"I",tblPCSInput[Agent ID],$A115,tblPCSInput[PCSStatus],1))</f>
        <v/>
      </c>
      <c r="G115" s="11">
        <f>IF($A115="","",COUNTIFS(tblPCSInput[Call Date/Time],"&gt;="&amp;(SETUP!$B$5),tblPCSInput[Call Date/Time],"&lt;"&amp;(SETUP!$B$5+1),tblPCSInput[Call Direction],"I",tblPCSInput[Agent ID],$A115,tblPCSInput[Question 1],"&lt;&gt;"))</f>
        <v/>
      </c>
      <c r="H115" s="11">
        <f>IF($A115="","",COUNTIFS(tblPCSInput[Call Date/Time],"&gt;="&amp;(SETUP!$B$5),tblPCSInput[Call Date/Time],"&lt;"&amp;(SETUP!$B$5+1),tblPCSInput[Call Direction],"I",tblPCSInput[Agent ID],$A115,tblPCSInput[Valid Q1],"&gt;=1"))</f>
        <v/>
      </c>
      <c r="I115" s="12">
        <f>IFERROR(SUMIFS(tblPCSInput[Valid Q1],tblPCSInput[Call Date/Time],"&gt;="&amp;SETUP!$B$5,tblPCSInput[Call Date/Time],"&lt;"&amp;SETUP!$B$5+1,tblPCSInput[Call Direction],"I",tblPCSInput[Agent ID],$A115)/COUNTIFS(tblPCSInput[Call Date/Time],"&gt;="&amp;(SETUP!$B$5),tblPCSInput[Call Date/Time],"&lt;"&amp;(SETUP!$B$5+1),tblPCSInput[Call Direction],"I",tblPCSInput[Agent ID],$A115,tblPCSInput[Valid Q1],"&gt;=1"),"")</f>
        <v/>
      </c>
      <c r="J115" s="11">
        <f>IF(I115="","",COUNTIFS(tblPCSInput[Call Date/Time],"&gt;="&amp;(SETUP!$B$5),tblPCSInput[Call Date/Time],"&lt;"&amp;(SETUP!$B$5+1),tblPCSInput[Call Direction],"I",tblPCSInput[Agent ID],$A115,tblPCSInput[Valid Q1],"&lt;=3",tblPCSInput[Valid Q1],"&gt;=1"))</f>
        <v/>
      </c>
      <c r="K115" s="11">
        <f>IF(I115="","",COUNTIFS(tblPCSInput[Call Date/Time],"&gt;="&amp;(SETUP!$B$5),tblPCSInput[Call Date/Time],"&lt;"&amp;(SETUP!$B$5+1),tblPCSInput[Call Direction],"I",tblPCSInput[Agent ID],$A115,tblPCSInput[Valid Q1],"&gt;3"))</f>
        <v/>
      </c>
      <c r="L115" s="13">
        <f>IFERROR(G115/F115,"")</f>
        <v/>
      </c>
      <c r="M115" s="13">
        <f>IFERROR(H115/F115,"")</f>
        <v/>
      </c>
      <c r="N115" s="11">
        <f>IF($A115="","",MAX(0,G115-H115))</f>
        <v/>
      </c>
      <c r="O115" s="4">
        <f>IF($A115="","",IF(H115=0,"NO VALID SURVEY",IF(H115&lt;5,"LOW SAMPLE","OK")))</f>
        <v/>
      </c>
      <c r="P115" s="11">
        <f>IF($A115="","",COUNTIFS(tblPCSInput[Call Date/Time],"&gt;="&amp;(SETUP!$B$6),tblPCSInput[Call Date/Time],"&lt;"&amp;(SETUP!$B$7),tblPCSInput[Call Direction],"I",tblPCSInput[Agent ID],$A115,tblPCSInput[PCSStatus],1))</f>
        <v/>
      </c>
      <c r="Q115" s="11">
        <f>IF($A115="","",COUNTIFS(tblPCSInput[Call Date/Time],"&gt;="&amp;(SETUP!$B$6),tblPCSInput[Call Date/Time],"&lt;"&amp;(SETUP!$B$7),tblPCSInput[Call Direction],"I",tblPCSInput[Agent ID],$A115,tblPCSInput[Question 1],"&lt;&gt;"))</f>
        <v/>
      </c>
      <c r="R115" s="11">
        <f>IF($A115="","",COUNTIFS(tblPCSInput[Call Date/Time],"&gt;="&amp;(SETUP!$B$6),tblPCSInput[Call Date/Time],"&lt;"&amp;(SETUP!$B$7),tblPCSInput[Call Direction],"I",tblPCSInput[Agent ID],$A115,tblPCSInput[Valid Q1],"&gt;=1"))</f>
        <v/>
      </c>
      <c r="S115" s="12">
        <f>IFERROR(SUMIFS(tblPCSInput[Valid Q1],tblPCSInput[Call Date/Time],"&gt;="&amp;SETUP!$B$6,tblPCSInput[Call Date/Time],"&lt;"&amp;SETUP!$B$7,tblPCSInput[Call Direction],"I",tblPCSInput[Agent ID],$A115)/COUNTIFS(tblPCSInput[Call Date/Time],"&gt;="&amp;(SETUP!$B$6),tblPCSInput[Call Date/Time],"&lt;"&amp;(SETUP!$B$7),tblPCSInput[Call Direction],"I",tblPCSInput[Agent ID],$A115,tblPCSInput[Valid Q1],"&gt;=1"),"")</f>
        <v/>
      </c>
      <c r="T115" s="11">
        <f>IF(S115="","",COUNTIFS(tblPCSInput[Call Date/Time],"&gt;="&amp;(SETUP!$B$6),tblPCSInput[Call Date/Time],"&lt;"&amp;(SETUP!$B$7),tblPCSInput[Call Direction],"I",tblPCSInput[Agent ID],$A115,tblPCSInput[Valid Q1],"&lt;=3",tblPCSInput[Valid Q1],"&gt;=1"))</f>
        <v/>
      </c>
      <c r="U115" s="11">
        <f>IF(S115="","",COUNTIFS(tblPCSInput[Call Date/Time],"&gt;="&amp;(SETUP!$B$6),tblPCSInput[Call Date/Time],"&lt;"&amp;(SETUP!$B$7),tblPCSInput[Call Direction],"I",tblPCSInput[Agent ID],$A115,tblPCSInput[Valid Q1],"&gt;3"))</f>
        <v/>
      </c>
      <c r="V115" s="13">
        <f>IFERROR(Q115/P115,"")</f>
        <v/>
      </c>
      <c r="W115" s="13">
        <f>IFERROR(R115/P115,"")</f>
        <v/>
      </c>
    </row>
    <row r="116" spans="1:23">
      <c r="A116" s="4">
        <f>IF(ROSTER!A116="","",ROSTER!A116)</f>
        <v>228200</v>
      </c>
      <c r="B116" s="4" t="str">
        <f>IF($A116="","",ROSTER!C116)</f>
        <v>Mohamed ABOURHAZAOUAT</v>
      </c>
      <c r="C116" s="4" t="str">
        <f>IF($A116="","",ROSTER!D116)</f>
        <v>Malak AZERKI</v>
      </c>
      <c r="D116" s="4" t="str">
        <f>IF($A116="","",ROSTER!E116)</f>
        <v>Anas OUAKKAD</v>
      </c>
      <c r="E116" s="4" t="str">
        <f>IF($A116="","",ROSTER!F116)</f>
        <v>OEM FR</v>
      </c>
      <c r="F116" s="11">
        <f>IF($A116="","",COUNTIFS(tblPCSInput[Call Date/Time],"&gt;="&amp;(SETUP!$B$5),tblPCSInput[Call Date/Time],"&lt;"&amp;(SETUP!$B$5+1),tblPCSInput[Call Direction],"I",tblPCSInput[Agent ID],$A116,tblPCSInput[PCSStatus],1))</f>
        <v/>
      </c>
      <c r="G116" s="11">
        <f>IF($A116="","",COUNTIFS(tblPCSInput[Call Date/Time],"&gt;="&amp;(SETUP!$B$5),tblPCSInput[Call Date/Time],"&lt;"&amp;(SETUP!$B$5+1),tblPCSInput[Call Direction],"I",tblPCSInput[Agent ID],$A116,tblPCSInput[Question 1],"&lt;&gt;"))</f>
        <v/>
      </c>
      <c r="H116" s="11">
        <f>IF($A116="","",COUNTIFS(tblPCSInput[Call Date/Time],"&gt;="&amp;(SETUP!$B$5),tblPCSInput[Call Date/Time],"&lt;"&amp;(SETUP!$B$5+1),tblPCSInput[Call Direction],"I",tblPCSInput[Agent ID],$A116,tblPCSInput[Valid Q1],"&gt;=1"))</f>
        <v/>
      </c>
      <c r="I116" s="12">
        <f>IFERROR(SUMIFS(tblPCSInput[Valid Q1],tblPCSInput[Call Date/Time],"&gt;="&amp;SETUP!$B$5,tblPCSInput[Call Date/Time],"&lt;"&amp;SETUP!$B$5+1,tblPCSInput[Call Direction],"I",tblPCSInput[Agent ID],$A116)/COUNTIFS(tblPCSInput[Call Date/Time],"&gt;="&amp;(SETUP!$B$5),tblPCSInput[Call Date/Time],"&lt;"&amp;(SETUP!$B$5+1),tblPCSInput[Call Direction],"I",tblPCSInput[Agent ID],$A116,tblPCSInput[Valid Q1],"&gt;=1"),"")</f>
        <v/>
      </c>
      <c r="J116" s="11">
        <f>IF(I116="","",COUNTIFS(tblPCSInput[Call Date/Time],"&gt;="&amp;(SETUP!$B$5),tblPCSInput[Call Date/Time],"&lt;"&amp;(SETUP!$B$5+1),tblPCSInput[Call Direction],"I",tblPCSInput[Agent ID],$A116,tblPCSInput[Valid Q1],"&lt;=3",tblPCSInput[Valid Q1],"&gt;=1"))</f>
        <v/>
      </c>
      <c r="K116" s="11">
        <f>IF(I116="","",COUNTIFS(tblPCSInput[Call Date/Time],"&gt;="&amp;(SETUP!$B$5),tblPCSInput[Call Date/Time],"&lt;"&amp;(SETUP!$B$5+1),tblPCSInput[Call Direction],"I",tblPCSInput[Agent ID],$A116,tblPCSInput[Valid Q1],"&gt;3"))</f>
        <v/>
      </c>
      <c r="L116" s="13">
        <f>IFERROR(G116/F116,"")</f>
        <v/>
      </c>
      <c r="M116" s="13">
        <f>IFERROR(H116/F116,"")</f>
        <v/>
      </c>
      <c r="N116" s="11">
        <f>IF($A116="","",MAX(0,G116-H116))</f>
        <v/>
      </c>
      <c r="O116" s="4">
        <f>IF($A116="","",IF(H116=0,"NO VALID SURVEY",IF(H116&lt;5,"LOW SAMPLE","OK")))</f>
        <v/>
      </c>
      <c r="P116" s="11">
        <f>IF($A116="","",COUNTIFS(tblPCSInput[Call Date/Time],"&gt;="&amp;(SETUP!$B$6),tblPCSInput[Call Date/Time],"&lt;"&amp;(SETUP!$B$7),tblPCSInput[Call Direction],"I",tblPCSInput[Agent ID],$A116,tblPCSInput[PCSStatus],1))</f>
        <v/>
      </c>
      <c r="Q116" s="11">
        <f>IF($A116="","",COUNTIFS(tblPCSInput[Call Date/Time],"&gt;="&amp;(SETUP!$B$6),tblPCSInput[Call Date/Time],"&lt;"&amp;(SETUP!$B$7),tblPCSInput[Call Direction],"I",tblPCSInput[Agent ID],$A116,tblPCSInput[Question 1],"&lt;&gt;"))</f>
        <v/>
      </c>
      <c r="R116" s="11">
        <f>IF($A116="","",COUNTIFS(tblPCSInput[Call Date/Time],"&gt;="&amp;(SETUP!$B$6),tblPCSInput[Call Date/Time],"&lt;"&amp;(SETUP!$B$7),tblPCSInput[Call Direction],"I",tblPCSInput[Agent ID],$A116,tblPCSInput[Valid Q1],"&gt;=1"))</f>
        <v/>
      </c>
      <c r="S116" s="12">
        <f>IFERROR(SUMIFS(tblPCSInput[Valid Q1],tblPCSInput[Call Date/Time],"&gt;="&amp;SETUP!$B$6,tblPCSInput[Call Date/Time],"&lt;"&amp;SETUP!$B$7,tblPCSInput[Call Direction],"I",tblPCSInput[Agent ID],$A116)/COUNTIFS(tblPCSInput[Call Date/Time],"&gt;="&amp;(SETUP!$B$6),tblPCSInput[Call Date/Time],"&lt;"&amp;(SETUP!$B$7),tblPCSInput[Call Direction],"I",tblPCSInput[Agent ID],$A116,tblPCSInput[Valid Q1],"&gt;=1"),"")</f>
        <v/>
      </c>
      <c r="T116" s="11">
        <f>IF(S116="","",COUNTIFS(tblPCSInput[Call Date/Time],"&gt;="&amp;(SETUP!$B$6),tblPCSInput[Call Date/Time],"&lt;"&amp;(SETUP!$B$7),tblPCSInput[Call Direction],"I",tblPCSInput[Agent ID],$A116,tblPCSInput[Valid Q1],"&lt;=3",tblPCSInput[Valid Q1],"&gt;=1"))</f>
        <v/>
      </c>
      <c r="U116" s="11">
        <f>IF(S116="","",COUNTIFS(tblPCSInput[Call Date/Time],"&gt;="&amp;(SETUP!$B$6),tblPCSInput[Call Date/Time],"&lt;"&amp;(SETUP!$B$7),tblPCSInput[Call Direction],"I",tblPCSInput[Agent ID],$A116,tblPCSInput[Valid Q1],"&gt;3"))</f>
        <v/>
      </c>
      <c r="V116" s="13">
        <f>IFERROR(Q116/P116,"")</f>
        <v/>
      </c>
      <c r="W116" s="13">
        <f>IFERROR(R116/P116,"")</f>
        <v/>
      </c>
    </row>
    <row r="117" spans="1:23">
      <c r="A117" s="4">
        <f>IF(ROSTER!A117="","",ROSTER!A117)</f>
        <v>228201</v>
      </c>
      <c r="B117" s="4" t="str">
        <f>IF($A117="","",ROSTER!C117)</f>
        <v>Youssef AMNAD</v>
      </c>
      <c r="C117" s="4" t="str">
        <f>IF($A117="","",ROSTER!D117)</f>
        <v>Kenza EL MOUMNI</v>
      </c>
      <c r="D117" s="4" t="str">
        <f>IF($A117="","",ROSTER!E117)</f>
        <v>Anas OUAKKAD</v>
      </c>
      <c r="E117" s="4" t="str">
        <f>IF($A117="","",ROSTER!F117)</f>
        <v>OEM FR</v>
      </c>
      <c r="F117" s="11">
        <f>IF($A117="","",COUNTIFS(tblPCSInput[Call Date/Time],"&gt;="&amp;(SETUP!$B$5),tblPCSInput[Call Date/Time],"&lt;"&amp;(SETUP!$B$5+1),tblPCSInput[Call Direction],"I",tblPCSInput[Agent ID],$A117,tblPCSInput[PCSStatus],1))</f>
        <v/>
      </c>
      <c r="G117" s="11">
        <f>IF($A117="","",COUNTIFS(tblPCSInput[Call Date/Time],"&gt;="&amp;(SETUP!$B$5),tblPCSInput[Call Date/Time],"&lt;"&amp;(SETUP!$B$5+1),tblPCSInput[Call Direction],"I",tblPCSInput[Agent ID],$A117,tblPCSInput[Question 1],"&lt;&gt;"))</f>
        <v/>
      </c>
      <c r="H117" s="11">
        <f>IF($A117="","",COUNTIFS(tblPCSInput[Call Date/Time],"&gt;="&amp;(SETUP!$B$5),tblPCSInput[Call Date/Time],"&lt;"&amp;(SETUP!$B$5+1),tblPCSInput[Call Direction],"I",tblPCSInput[Agent ID],$A117,tblPCSInput[Valid Q1],"&gt;=1"))</f>
        <v/>
      </c>
      <c r="I117" s="12">
        <f>IFERROR(SUMIFS(tblPCSInput[Valid Q1],tblPCSInput[Call Date/Time],"&gt;="&amp;SETUP!$B$5,tblPCSInput[Call Date/Time],"&lt;"&amp;SETUP!$B$5+1,tblPCSInput[Call Direction],"I",tblPCSInput[Agent ID],$A117)/COUNTIFS(tblPCSInput[Call Date/Time],"&gt;="&amp;(SETUP!$B$5),tblPCSInput[Call Date/Time],"&lt;"&amp;(SETUP!$B$5+1),tblPCSInput[Call Direction],"I",tblPCSInput[Agent ID],$A117,tblPCSInput[Valid Q1],"&gt;=1"),"")</f>
        <v/>
      </c>
      <c r="J117" s="11">
        <f>IF(I117="","",COUNTIFS(tblPCSInput[Call Date/Time],"&gt;="&amp;(SETUP!$B$5),tblPCSInput[Call Date/Time],"&lt;"&amp;(SETUP!$B$5+1),tblPCSInput[Call Direction],"I",tblPCSInput[Agent ID],$A117,tblPCSInput[Valid Q1],"&lt;=3",tblPCSInput[Valid Q1],"&gt;=1"))</f>
        <v/>
      </c>
      <c r="K117" s="11">
        <f>IF(I117="","",COUNTIFS(tblPCSInput[Call Date/Time],"&gt;="&amp;(SETUP!$B$5),tblPCSInput[Call Date/Time],"&lt;"&amp;(SETUP!$B$5+1),tblPCSInput[Call Direction],"I",tblPCSInput[Agent ID],$A117,tblPCSInput[Valid Q1],"&gt;3"))</f>
        <v/>
      </c>
      <c r="L117" s="13">
        <f>IFERROR(G117/F117,"")</f>
        <v/>
      </c>
      <c r="M117" s="13">
        <f>IFERROR(H117/F117,"")</f>
        <v/>
      </c>
      <c r="N117" s="11">
        <f>IF($A117="","",MAX(0,G117-H117))</f>
        <v/>
      </c>
      <c r="O117" s="4">
        <f>IF($A117="","",IF(H117=0,"NO VALID SURVEY",IF(H117&lt;5,"LOW SAMPLE","OK")))</f>
        <v/>
      </c>
      <c r="P117" s="11">
        <f>IF($A117="","",COUNTIFS(tblPCSInput[Call Date/Time],"&gt;="&amp;(SETUP!$B$6),tblPCSInput[Call Date/Time],"&lt;"&amp;(SETUP!$B$7),tblPCSInput[Call Direction],"I",tblPCSInput[Agent ID],$A117,tblPCSInput[PCSStatus],1))</f>
        <v/>
      </c>
      <c r="Q117" s="11">
        <f>IF($A117="","",COUNTIFS(tblPCSInput[Call Date/Time],"&gt;="&amp;(SETUP!$B$6),tblPCSInput[Call Date/Time],"&lt;"&amp;(SETUP!$B$7),tblPCSInput[Call Direction],"I",tblPCSInput[Agent ID],$A117,tblPCSInput[Question 1],"&lt;&gt;"))</f>
        <v/>
      </c>
      <c r="R117" s="11">
        <f>IF($A117="","",COUNTIFS(tblPCSInput[Call Date/Time],"&gt;="&amp;(SETUP!$B$6),tblPCSInput[Call Date/Time],"&lt;"&amp;(SETUP!$B$7),tblPCSInput[Call Direction],"I",tblPCSInput[Agent ID],$A117,tblPCSInput[Valid Q1],"&gt;=1"))</f>
        <v/>
      </c>
      <c r="S117" s="12">
        <f>IFERROR(SUMIFS(tblPCSInput[Valid Q1],tblPCSInput[Call Date/Time],"&gt;="&amp;SETUP!$B$6,tblPCSInput[Call Date/Time],"&lt;"&amp;SETUP!$B$7,tblPCSInput[Call Direction],"I",tblPCSInput[Agent ID],$A117)/COUNTIFS(tblPCSInput[Call Date/Time],"&gt;="&amp;(SETUP!$B$6),tblPCSInput[Call Date/Time],"&lt;"&amp;(SETUP!$B$7),tblPCSInput[Call Direction],"I",tblPCSInput[Agent ID],$A117,tblPCSInput[Valid Q1],"&gt;=1"),"")</f>
        <v/>
      </c>
      <c r="T117" s="11">
        <f>IF(S117="","",COUNTIFS(tblPCSInput[Call Date/Time],"&gt;="&amp;(SETUP!$B$6),tblPCSInput[Call Date/Time],"&lt;"&amp;(SETUP!$B$7),tblPCSInput[Call Direction],"I",tblPCSInput[Agent ID],$A117,tblPCSInput[Valid Q1],"&lt;=3",tblPCSInput[Valid Q1],"&gt;=1"))</f>
        <v/>
      </c>
      <c r="U117" s="11">
        <f>IF(S117="","",COUNTIFS(tblPCSInput[Call Date/Time],"&gt;="&amp;(SETUP!$B$6),tblPCSInput[Call Date/Time],"&lt;"&amp;(SETUP!$B$7),tblPCSInput[Call Direction],"I",tblPCSInput[Agent ID],$A117,tblPCSInput[Valid Q1],"&gt;3"))</f>
        <v/>
      </c>
      <c r="V117" s="13">
        <f>IFERROR(Q117/P117,"")</f>
        <v/>
      </c>
      <c r="W117" s="13">
        <f>IFERROR(R117/P117,"")</f>
        <v/>
      </c>
    </row>
    <row r="118" spans="1:23">
      <c r="A118" s="4">
        <f>IF(ROSTER!A118="","",ROSTER!A118)</f>
        <v>228202</v>
      </c>
      <c r="B118" s="4" t="str">
        <f>IF($A118="","",ROSTER!C118)</f>
        <v>Youssef AZIZ</v>
      </c>
      <c r="C118" s="4" t="str">
        <f>IF($A118="","",ROSTER!D118)</f>
        <v>Kenza EL MOUMNI</v>
      </c>
      <c r="D118" s="4" t="str">
        <f>IF($A118="","",ROSTER!E118)</f>
        <v>Anas OUAKKAD</v>
      </c>
      <c r="E118" s="4" t="str">
        <f>IF($A118="","",ROSTER!F118)</f>
        <v>OEM FR</v>
      </c>
      <c r="F118" s="11">
        <f>IF($A118="","",COUNTIFS(tblPCSInput[Call Date/Time],"&gt;="&amp;(SETUP!$B$5),tblPCSInput[Call Date/Time],"&lt;"&amp;(SETUP!$B$5+1),tblPCSInput[Call Direction],"I",tblPCSInput[Agent ID],$A118,tblPCSInput[PCSStatus],1))</f>
        <v/>
      </c>
      <c r="G118" s="11">
        <f>IF($A118="","",COUNTIFS(tblPCSInput[Call Date/Time],"&gt;="&amp;(SETUP!$B$5),tblPCSInput[Call Date/Time],"&lt;"&amp;(SETUP!$B$5+1),tblPCSInput[Call Direction],"I",tblPCSInput[Agent ID],$A118,tblPCSInput[Question 1],"&lt;&gt;"))</f>
        <v/>
      </c>
      <c r="H118" s="11">
        <f>IF($A118="","",COUNTIFS(tblPCSInput[Call Date/Time],"&gt;="&amp;(SETUP!$B$5),tblPCSInput[Call Date/Time],"&lt;"&amp;(SETUP!$B$5+1),tblPCSInput[Call Direction],"I",tblPCSInput[Agent ID],$A118,tblPCSInput[Valid Q1],"&gt;=1"))</f>
        <v/>
      </c>
      <c r="I118" s="12">
        <f>IFERROR(SUMIFS(tblPCSInput[Valid Q1],tblPCSInput[Call Date/Time],"&gt;="&amp;SETUP!$B$5,tblPCSInput[Call Date/Time],"&lt;"&amp;SETUP!$B$5+1,tblPCSInput[Call Direction],"I",tblPCSInput[Agent ID],$A118)/COUNTIFS(tblPCSInput[Call Date/Time],"&gt;="&amp;(SETUP!$B$5),tblPCSInput[Call Date/Time],"&lt;"&amp;(SETUP!$B$5+1),tblPCSInput[Call Direction],"I",tblPCSInput[Agent ID],$A118,tblPCSInput[Valid Q1],"&gt;=1"),"")</f>
        <v/>
      </c>
      <c r="J118" s="11">
        <f>IF(I118="","",COUNTIFS(tblPCSInput[Call Date/Time],"&gt;="&amp;(SETUP!$B$5),tblPCSInput[Call Date/Time],"&lt;"&amp;(SETUP!$B$5+1),tblPCSInput[Call Direction],"I",tblPCSInput[Agent ID],$A118,tblPCSInput[Valid Q1],"&lt;=3",tblPCSInput[Valid Q1],"&gt;=1"))</f>
        <v/>
      </c>
      <c r="K118" s="11">
        <f>IF(I118="","",COUNTIFS(tblPCSInput[Call Date/Time],"&gt;="&amp;(SETUP!$B$5),tblPCSInput[Call Date/Time],"&lt;"&amp;(SETUP!$B$5+1),tblPCSInput[Call Direction],"I",tblPCSInput[Agent ID],$A118,tblPCSInput[Valid Q1],"&gt;3"))</f>
        <v/>
      </c>
      <c r="L118" s="13">
        <f>IFERROR(G118/F118,"")</f>
        <v/>
      </c>
      <c r="M118" s="13">
        <f>IFERROR(H118/F118,"")</f>
        <v/>
      </c>
      <c r="N118" s="11">
        <f>IF($A118="","",MAX(0,G118-H118))</f>
        <v/>
      </c>
      <c r="O118" s="4">
        <f>IF($A118="","",IF(H118=0,"NO VALID SURVEY",IF(H118&lt;5,"LOW SAMPLE","OK")))</f>
        <v/>
      </c>
      <c r="P118" s="11">
        <f>IF($A118="","",COUNTIFS(tblPCSInput[Call Date/Time],"&gt;="&amp;(SETUP!$B$6),tblPCSInput[Call Date/Time],"&lt;"&amp;(SETUP!$B$7),tblPCSInput[Call Direction],"I",tblPCSInput[Agent ID],$A118,tblPCSInput[PCSStatus],1))</f>
        <v/>
      </c>
      <c r="Q118" s="11">
        <f>IF($A118="","",COUNTIFS(tblPCSInput[Call Date/Time],"&gt;="&amp;(SETUP!$B$6),tblPCSInput[Call Date/Time],"&lt;"&amp;(SETUP!$B$7),tblPCSInput[Call Direction],"I",tblPCSInput[Agent ID],$A118,tblPCSInput[Question 1],"&lt;&gt;"))</f>
        <v/>
      </c>
      <c r="R118" s="11">
        <f>IF($A118="","",COUNTIFS(tblPCSInput[Call Date/Time],"&gt;="&amp;(SETUP!$B$6),tblPCSInput[Call Date/Time],"&lt;"&amp;(SETUP!$B$7),tblPCSInput[Call Direction],"I",tblPCSInput[Agent ID],$A118,tblPCSInput[Valid Q1],"&gt;=1"))</f>
        <v/>
      </c>
      <c r="S118" s="12">
        <f>IFERROR(SUMIFS(tblPCSInput[Valid Q1],tblPCSInput[Call Date/Time],"&gt;="&amp;SETUP!$B$6,tblPCSInput[Call Date/Time],"&lt;"&amp;SETUP!$B$7,tblPCSInput[Call Direction],"I",tblPCSInput[Agent ID],$A118)/COUNTIFS(tblPCSInput[Call Date/Time],"&gt;="&amp;(SETUP!$B$6),tblPCSInput[Call Date/Time],"&lt;"&amp;(SETUP!$B$7),tblPCSInput[Call Direction],"I",tblPCSInput[Agent ID],$A118,tblPCSInput[Valid Q1],"&gt;=1"),"")</f>
        <v/>
      </c>
      <c r="T118" s="11">
        <f>IF(S118="","",COUNTIFS(tblPCSInput[Call Date/Time],"&gt;="&amp;(SETUP!$B$6),tblPCSInput[Call Date/Time],"&lt;"&amp;(SETUP!$B$7),tblPCSInput[Call Direction],"I",tblPCSInput[Agent ID],$A118,tblPCSInput[Valid Q1],"&lt;=3",tblPCSInput[Valid Q1],"&gt;=1"))</f>
        <v/>
      </c>
      <c r="U118" s="11">
        <f>IF(S118="","",COUNTIFS(tblPCSInput[Call Date/Time],"&gt;="&amp;(SETUP!$B$6),tblPCSInput[Call Date/Time],"&lt;"&amp;(SETUP!$B$7),tblPCSInput[Call Direction],"I",tblPCSInput[Agent ID],$A118,tblPCSInput[Valid Q1],"&gt;3"))</f>
        <v/>
      </c>
      <c r="V118" s="13">
        <f>IFERROR(Q118/P118,"")</f>
        <v/>
      </c>
      <c r="W118" s="13">
        <f>IFERROR(R118/P118,"")</f>
        <v/>
      </c>
    </row>
    <row r="119" spans="1:23">
      <c r="A119" s="4">
        <f>IF(ROSTER!A119="","",ROSTER!A119)</f>
        <v>228204</v>
      </c>
      <c r="B119" s="4" t="str">
        <f>IF($A119="","",ROSTER!C119)</f>
        <v>Amine HAMDAOUI</v>
      </c>
      <c r="C119" s="4" t="str">
        <f>IF($A119="","",ROSTER!D119)</f>
        <v>Kenza EL MOUMNI</v>
      </c>
      <c r="D119" s="4" t="str">
        <f>IF($A119="","",ROSTER!E119)</f>
        <v>Anas OUAKKAD</v>
      </c>
      <c r="E119" s="4" t="str">
        <f>IF($A119="","",ROSTER!F119)</f>
        <v>OEM FR</v>
      </c>
      <c r="F119" s="11">
        <f>IF($A119="","",COUNTIFS(tblPCSInput[Call Date/Time],"&gt;="&amp;(SETUP!$B$5),tblPCSInput[Call Date/Time],"&lt;"&amp;(SETUP!$B$5+1),tblPCSInput[Call Direction],"I",tblPCSInput[Agent ID],$A119,tblPCSInput[PCSStatus],1))</f>
        <v/>
      </c>
      <c r="G119" s="11">
        <f>IF($A119="","",COUNTIFS(tblPCSInput[Call Date/Time],"&gt;="&amp;(SETUP!$B$5),tblPCSInput[Call Date/Time],"&lt;"&amp;(SETUP!$B$5+1),tblPCSInput[Call Direction],"I",tblPCSInput[Agent ID],$A119,tblPCSInput[Question 1],"&lt;&gt;"))</f>
        <v/>
      </c>
      <c r="H119" s="11">
        <f>IF($A119="","",COUNTIFS(tblPCSInput[Call Date/Time],"&gt;="&amp;(SETUP!$B$5),tblPCSInput[Call Date/Time],"&lt;"&amp;(SETUP!$B$5+1),tblPCSInput[Call Direction],"I",tblPCSInput[Agent ID],$A119,tblPCSInput[Valid Q1],"&gt;=1"))</f>
        <v/>
      </c>
      <c r="I119" s="12">
        <f>IFERROR(SUMIFS(tblPCSInput[Valid Q1],tblPCSInput[Call Date/Time],"&gt;="&amp;SETUP!$B$5,tblPCSInput[Call Date/Time],"&lt;"&amp;SETUP!$B$5+1,tblPCSInput[Call Direction],"I",tblPCSInput[Agent ID],$A119)/COUNTIFS(tblPCSInput[Call Date/Time],"&gt;="&amp;(SETUP!$B$5),tblPCSInput[Call Date/Time],"&lt;"&amp;(SETUP!$B$5+1),tblPCSInput[Call Direction],"I",tblPCSInput[Agent ID],$A119,tblPCSInput[Valid Q1],"&gt;=1"),"")</f>
        <v/>
      </c>
      <c r="J119" s="11">
        <f>IF(I119="","",COUNTIFS(tblPCSInput[Call Date/Time],"&gt;="&amp;(SETUP!$B$5),tblPCSInput[Call Date/Time],"&lt;"&amp;(SETUP!$B$5+1),tblPCSInput[Call Direction],"I",tblPCSInput[Agent ID],$A119,tblPCSInput[Valid Q1],"&lt;=3",tblPCSInput[Valid Q1],"&gt;=1"))</f>
        <v/>
      </c>
      <c r="K119" s="11">
        <f>IF(I119="","",COUNTIFS(tblPCSInput[Call Date/Time],"&gt;="&amp;(SETUP!$B$5),tblPCSInput[Call Date/Time],"&lt;"&amp;(SETUP!$B$5+1),tblPCSInput[Call Direction],"I",tblPCSInput[Agent ID],$A119,tblPCSInput[Valid Q1],"&gt;3"))</f>
        <v/>
      </c>
      <c r="L119" s="13">
        <f>IFERROR(G119/F119,"")</f>
        <v/>
      </c>
      <c r="M119" s="13">
        <f>IFERROR(H119/F119,"")</f>
        <v/>
      </c>
      <c r="N119" s="11">
        <f>IF($A119="","",MAX(0,G119-H119))</f>
        <v/>
      </c>
      <c r="O119" s="4">
        <f>IF($A119="","",IF(H119=0,"NO VALID SURVEY",IF(H119&lt;5,"LOW SAMPLE","OK")))</f>
        <v/>
      </c>
      <c r="P119" s="11">
        <f>IF($A119="","",COUNTIFS(tblPCSInput[Call Date/Time],"&gt;="&amp;(SETUP!$B$6),tblPCSInput[Call Date/Time],"&lt;"&amp;(SETUP!$B$7),tblPCSInput[Call Direction],"I",tblPCSInput[Agent ID],$A119,tblPCSInput[PCSStatus],1))</f>
        <v/>
      </c>
      <c r="Q119" s="11">
        <f>IF($A119="","",COUNTIFS(tblPCSInput[Call Date/Time],"&gt;="&amp;(SETUP!$B$6),tblPCSInput[Call Date/Time],"&lt;"&amp;(SETUP!$B$7),tblPCSInput[Call Direction],"I",tblPCSInput[Agent ID],$A119,tblPCSInput[Question 1],"&lt;&gt;"))</f>
        <v/>
      </c>
      <c r="R119" s="11">
        <f>IF($A119="","",COUNTIFS(tblPCSInput[Call Date/Time],"&gt;="&amp;(SETUP!$B$6),tblPCSInput[Call Date/Time],"&lt;"&amp;(SETUP!$B$7),tblPCSInput[Call Direction],"I",tblPCSInput[Agent ID],$A119,tblPCSInput[Valid Q1],"&gt;=1"))</f>
        <v/>
      </c>
      <c r="S119" s="12">
        <f>IFERROR(SUMIFS(tblPCSInput[Valid Q1],tblPCSInput[Call Date/Time],"&gt;="&amp;SETUP!$B$6,tblPCSInput[Call Date/Time],"&lt;"&amp;SETUP!$B$7,tblPCSInput[Call Direction],"I",tblPCSInput[Agent ID],$A119)/COUNTIFS(tblPCSInput[Call Date/Time],"&gt;="&amp;(SETUP!$B$6),tblPCSInput[Call Date/Time],"&lt;"&amp;(SETUP!$B$7),tblPCSInput[Call Direction],"I",tblPCSInput[Agent ID],$A119,tblPCSInput[Valid Q1],"&gt;=1"),"")</f>
        <v/>
      </c>
      <c r="T119" s="11">
        <f>IF(S119="","",COUNTIFS(tblPCSInput[Call Date/Time],"&gt;="&amp;(SETUP!$B$6),tblPCSInput[Call Date/Time],"&lt;"&amp;(SETUP!$B$7),tblPCSInput[Call Direction],"I",tblPCSInput[Agent ID],$A119,tblPCSInput[Valid Q1],"&lt;=3",tblPCSInput[Valid Q1],"&gt;=1"))</f>
        <v/>
      </c>
      <c r="U119" s="11">
        <f>IF(S119="","",COUNTIFS(tblPCSInput[Call Date/Time],"&gt;="&amp;(SETUP!$B$6),tblPCSInput[Call Date/Time],"&lt;"&amp;(SETUP!$B$7),tblPCSInput[Call Direction],"I",tblPCSInput[Agent ID],$A119,tblPCSInput[Valid Q1],"&gt;3"))</f>
        <v/>
      </c>
      <c r="V119" s="13">
        <f>IFERROR(Q119/P119,"")</f>
        <v/>
      </c>
      <c r="W119" s="13">
        <f>IFERROR(R119/P119,"")</f>
        <v/>
      </c>
    </row>
    <row r="120" spans="1:23">
      <c r="A120" s="4">
        <f>IF(ROSTER!A120="","",ROSTER!A120)</f>
        <v>228205</v>
      </c>
      <c r="B120" s="4" t="str">
        <f>IF($A120="","",ROSTER!C120)</f>
        <v>Mohamed Amine MERSAK</v>
      </c>
      <c r="C120" s="4" t="str">
        <f>IF($A120="","",ROSTER!D120)</f>
        <v>Malak AZERKI</v>
      </c>
      <c r="D120" s="4" t="str">
        <f>IF($A120="","",ROSTER!E120)</f>
        <v>Anas OUAKKAD</v>
      </c>
      <c r="E120" s="4" t="str">
        <f>IF($A120="","",ROSTER!F120)</f>
        <v>OEM FR</v>
      </c>
      <c r="F120" s="11">
        <f>IF($A120="","",COUNTIFS(tblPCSInput[Call Date/Time],"&gt;="&amp;(SETUP!$B$5),tblPCSInput[Call Date/Time],"&lt;"&amp;(SETUP!$B$5+1),tblPCSInput[Call Direction],"I",tblPCSInput[Agent ID],$A120,tblPCSInput[PCSStatus],1))</f>
        <v/>
      </c>
      <c r="G120" s="11">
        <f>IF($A120="","",COUNTIFS(tblPCSInput[Call Date/Time],"&gt;="&amp;(SETUP!$B$5),tblPCSInput[Call Date/Time],"&lt;"&amp;(SETUP!$B$5+1),tblPCSInput[Call Direction],"I",tblPCSInput[Agent ID],$A120,tblPCSInput[Question 1],"&lt;&gt;"))</f>
        <v/>
      </c>
      <c r="H120" s="11">
        <f>IF($A120="","",COUNTIFS(tblPCSInput[Call Date/Time],"&gt;="&amp;(SETUP!$B$5),tblPCSInput[Call Date/Time],"&lt;"&amp;(SETUP!$B$5+1),tblPCSInput[Call Direction],"I",tblPCSInput[Agent ID],$A120,tblPCSInput[Valid Q1],"&gt;=1"))</f>
        <v/>
      </c>
      <c r="I120" s="12">
        <f>IFERROR(SUMIFS(tblPCSInput[Valid Q1],tblPCSInput[Call Date/Time],"&gt;="&amp;SETUP!$B$5,tblPCSInput[Call Date/Time],"&lt;"&amp;SETUP!$B$5+1,tblPCSInput[Call Direction],"I",tblPCSInput[Agent ID],$A120)/COUNTIFS(tblPCSInput[Call Date/Time],"&gt;="&amp;(SETUP!$B$5),tblPCSInput[Call Date/Time],"&lt;"&amp;(SETUP!$B$5+1),tblPCSInput[Call Direction],"I",tblPCSInput[Agent ID],$A120,tblPCSInput[Valid Q1],"&gt;=1"),"")</f>
        <v/>
      </c>
      <c r="J120" s="11">
        <f>IF(I120="","",COUNTIFS(tblPCSInput[Call Date/Time],"&gt;="&amp;(SETUP!$B$5),tblPCSInput[Call Date/Time],"&lt;"&amp;(SETUP!$B$5+1),tblPCSInput[Call Direction],"I",tblPCSInput[Agent ID],$A120,tblPCSInput[Valid Q1],"&lt;=3",tblPCSInput[Valid Q1],"&gt;=1"))</f>
        <v/>
      </c>
      <c r="K120" s="11">
        <f>IF(I120="","",COUNTIFS(tblPCSInput[Call Date/Time],"&gt;="&amp;(SETUP!$B$5),tblPCSInput[Call Date/Time],"&lt;"&amp;(SETUP!$B$5+1),tblPCSInput[Call Direction],"I",tblPCSInput[Agent ID],$A120,tblPCSInput[Valid Q1],"&gt;3"))</f>
        <v/>
      </c>
      <c r="L120" s="13">
        <f>IFERROR(G120/F120,"")</f>
        <v/>
      </c>
      <c r="M120" s="13">
        <f>IFERROR(H120/F120,"")</f>
        <v/>
      </c>
      <c r="N120" s="11">
        <f>IF($A120="","",MAX(0,G120-H120))</f>
        <v/>
      </c>
      <c r="O120" s="4">
        <f>IF($A120="","",IF(H120=0,"NO VALID SURVEY",IF(H120&lt;5,"LOW SAMPLE","OK")))</f>
        <v/>
      </c>
      <c r="P120" s="11">
        <f>IF($A120="","",COUNTIFS(tblPCSInput[Call Date/Time],"&gt;="&amp;(SETUP!$B$6),tblPCSInput[Call Date/Time],"&lt;"&amp;(SETUP!$B$7),tblPCSInput[Call Direction],"I",tblPCSInput[Agent ID],$A120,tblPCSInput[PCSStatus],1))</f>
        <v/>
      </c>
      <c r="Q120" s="11">
        <f>IF($A120="","",COUNTIFS(tblPCSInput[Call Date/Time],"&gt;="&amp;(SETUP!$B$6),tblPCSInput[Call Date/Time],"&lt;"&amp;(SETUP!$B$7),tblPCSInput[Call Direction],"I",tblPCSInput[Agent ID],$A120,tblPCSInput[Question 1],"&lt;&gt;"))</f>
        <v/>
      </c>
      <c r="R120" s="11">
        <f>IF($A120="","",COUNTIFS(tblPCSInput[Call Date/Time],"&gt;="&amp;(SETUP!$B$6),tblPCSInput[Call Date/Time],"&lt;"&amp;(SETUP!$B$7),tblPCSInput[Call Direction],"I",tblPCSInput[Agent ID],$A120,tblPCSInput[Valid Q1],"&gt;=1"))</f>
        <v/>
      </c>
      <c r="S120" s="12">
        <f>IFERROR(SUMIFS(tblPCSInput[Valid Q1],tblPCSInput[Call Date/Time],"&gt;="&amp;SETUP!$B$6,tblPCSInput[Call Date/Time],"&lt;"&amp;SETUP!$B$7,tblPCSInput[Call Direction],"I",tblPCSInput[Agent ID],$A120)/COUNTIFS(tblPCSInput[Call Date/Time],"&gt;="&amp;(SETUP!$B$6),tblPCSInput[Call Date/Time],"&lt;"&amp;(SETUP!$B$7),tblPCSInput[Call Direction],"I",tblPCSInput[Agent ID],$A120,tblPCSInput[Valid Q1],"&gt;=1"),"")</f>
        <v/>
      </c>
      <c r="T120" s="11">
        <f>IF(S120="","",COUNTIFS(tblPCSInput[Call Date/Time],"&gt;="&amp;(SETUP!$B$6),tblPCSInput[Call Date/Time],"&lt;"&amp;(SETUP!$B$7),tblPCSInput[Call Direction],"I",tblPCSInput[Agent ID],$A120,tblPCSInput[Valid Q1],"&lt;=3",tblPCSInput[Valid Q1],"&gt;=1"))</f>
        <v/>
      </c>
      <c r="U120" s="11">
        <f>IF(S120="","",COUNTIFS(tblPCSInput[Call Date/Time],"&gt;="&amp;(SETUP!$B$6),tblPCSInput[Call Date/Time],"&lt;"&amp;(SETUP!$B$7),tblPCSInput[Call Direction],"I",tblPCSInput[Agent ID],$A120,tblPCSInput[Valid Q1],"&gt;3"))</f>
        <v/>
      </c>
      <c r="V120" s="13">
        <f>IFERROR(Q120/P120,"")</f>
        <v/>
      </c>
      <c r="W120" s="13">
        <f>IFERROR(R120/P120,"")</f>
        <v/>
      </c>
    </row>
    <row r="121" spans="1:23">
      <c r="A121" s="4">
        <f>IF(ROSTER!A121="","",ROSTER!A121)</f>
        <v>228207</v>
      </c>
      <c r="B121" s="4" t="str">
        <f>IF($A121="","",ROSTER!C121)</f>
        <v>Imane LAHOUCINE</v>
      </c>
      <c r="C121" s="4" t="str">
        <f>IF($A121="","",ROSTER!D121)</f>
        <v>Kenza EL MOUMNI</v>
      </c>
      <c r="D121" s="4" t="str">
        <f>IF($A121="","",ROSTER!E121)</f>
        <v>Anas OUAKKAD</v>
      </c>
      <c r="E121" s="4" t="str">
        <f>IF($A121="","",ROSTER!F121)</f>
        <v>OEM FR</v>
      </c>
      <c r="F121" s="11">
        <f>IF($A121="","",COUNTIFS(tblPCSInput[Call Date/Time],"&gt;="&amp;(SETUP!$B$5),tblPCSInput[Call Date/Time],"&lt;"&amp;(SETUP!$B$5+1),tblPCSInput[Call Direction],"I",tblPCSInput[Agent ID],$A121,tblPCSInput[PCSStatus],1))</f>
        <v/>
      </c>
      <c r="G121" s="11">
        <f>IF($A121="","",COUNTIFS(tblPCSInput[Call Date/Time],"&gt;="&amp;(SETUP!$B$5),tblPCSInput[Call Date/Time],"&lt;"&amp;(SETUP!$B$5+1),tblPCSInput[Call Direction],"I",tblPCSInput[Agent ID],$A121,tblPCSInput[Question 1],"&lt;&gt;"))</f>
        <v/>
      </c>
      <c r="H121" s="11">
        <f>IF($A121="","",COUNTIFS(tblPCSInput[Call Date/Time],"&gt;="&amp;(SETUP!$B$5),tblPCSInput[Call Date/Time],"&lt;"&amp;(SETUP!$B$5+1),tblPCSInput[Call Direction],"I",tblPCSInput[Agent ID],$A121,tblPCSInput[Valid Q1],"&gt;=1"))</f>
        <v/>
      </c>
      <c r="I121" s="12">
        <f>IFERROR(SUMIFS(tblPCSInput[Valid Q1],tblPCSInput[Call Date/Time],"&gt;="&amp;SETUP!$B$5,tblPCSInput[Call Date/Time],"&lt;"&amp;SETUP!$B$5+1,tblPCSInput[Call Direction],"I",tblPCSInput[Agent ID],$A121)/COUNTIFS(tblPCSInput[Call Date/Time],"&gt;="&amp;(SETUP!$B$5),tblPCSInput[Call Date/Time],"&lt;"&amp;(SETUP!$B$5+1),tblPCSInput[Call Direction],"I",tblPCSInput[Agent ID],$A121,tblPCSInput[Valid Q1],"&gt;=1"),"")</f>
        <v/>
      </c>
      <c r="J121" s="11">
        <f>IF(I121="","",COUNTIFS(tblPCSInput[Call Date/Time],"&gt;="&amp;(SETUP!$B$5),tblPCSInput[Call Date/Time],"&lt;"&amp;(SETUP!$B$5+1),tblPCSInput[Call Direction],"I",tblPCSInput[Agent ID],$A121,tblPCSInput[Valid Q1],"&lt;=3",tblPCSInput[Valid Q1],"&gt;=1"))</f>
        <v/>
      </c>
      <c r="K121" s="11">
        <f>IF(I121="","",COUNTIFS(tblPCSInput[Call Date/Time],"&gt;="&amp;(SETUP!$B$5),tblPCSInput[Call Date/Time],"&lt;"&amp;(SETUP!$B$5+1),tblPCSInput[Call Direction],"I",tblPCSInput[Agent ID],$A121,tblPCSInput[Valid Q1],"&gt;3"))</f>
        <v/>
      </c>
      <c r="L121" s="13">
        <f>IFERROR(G121/F121,"")</f>
        <v/>
      </c>
      <c r="M121" s="13">
        <f>IFERROR(H121/F121,"")</f>
        <v/>
      </c>
      <c r="N121" s="11">
        <f>IF($A121="","",MAX(0,G121-H121))</f>
        <v/>
      </c>
      <c r="O121" s="4">
        <f>IF($A121="","",IF(H121=0,"NO VALID SURVEY",IF(H121&lt;5,"LOW SAMPLE","OK")))</f>
        <v/>
      </c>
      <c r="P121" s="11">
        <f>IF($A121="","",COUNTIFS(tblPCSInput[Call Date/Time],"&gt;="&amp;(SETUP!$B$6),tblPCSInput[Call Date/Time],"&lt;"&amp;(SETUP!$B$7),tblPCSInput[Call Direction],"I",tblPCSInput[Agent ID],$A121,tblPCSInput[PCSStatus],1))</f>
        <v/>
      </c>
      <c r="Q121" s="11">
        <f>IF($A121="","",COUNTIFS(tblPCSInput[Call Date/Time],"&gt;="&amp;(SETUP!$B$6),tblPCSInput[Call Date/Time],"&lt;"&amp;(SETUP!$B$7),tblPCSInput[Call Direction],"I",tblPCSInput[Agent ID],$A121,tblPCSInput[Question 1],"&lt;&gt;"))</f>
        <v/>
      </c>
      <c r="R121" s="11">
        <f>IF($A121="","",COUNTIFS(tblPCSInput[Call Date/Time],"&gt;="&amp;(SETUP!$B$6),tblPCSInput[Call Date/Time],"&lt;"&amp;(SETUP!$B$7),tblPCSInput[Call Direction],"I",tblPCSInput[Agent ID],$A121,tblPCSInput[Valid Q1],"&gt;=1"))</f>
        <v/>
      </c>
      <c r="S121" s="12">
        <f>IFERROR(SUMIFS(tblPCSInput[Valid Q1],tblPCSInput[Call Date/Time],"&gt;="&amp;SETUP!$B$6,tblPCSInput[Call Date/Time],"&lt;"&amp;SETUP!$B$7,tblPCSInput[Call Direction],"I",tblPCSInput[Agent ID],$A121)/COUNTIFS(tblPCSInput[Call Date/Time],"&gt;="&amp;(SETUP!$B$6),tblPCSInput[Call Date/Time],"&lt;"&amp;(SETUP!$B$7),tblPCSInput[Call Direction],"I",tblPCSInput[Agent ID],$A121,tblPCSInput[Valid Q1],"&gt;=1"),"")</f>
        <v/>
      </c>
      <c r="T121" s="11">
        <f>IF(S121="","",COUNTIFS(tblPCSInput[Call Date/Time],"&gt;="&amp;(SETUP!$B$6),tblPCSInput[Call Date/Time],"&lt;"&amp;(SETUP!$B$7),tblPCSInput[Call Direction],"I",tblPCSInput[Agent ID],$A121,tblPCSInput[Valid Q1],"&lt;=3",tblPCSInput[Valid Q1],"&gt;=1"))</f>
        <v/>
      </c>
      <c r="U121" s="11">
        <f>IF(S121="","",COUNTIFS(tblPCSInput[Call Date/Time],"&gt;="&amp;(SETUP!$B$6),tblPCSInput[Call Date/Time],"&lt;"&amp;(SETUP!$B$7),tblPCSInput[Call Direction],"I",tblPCSInput[Agent ID],$A121,tblPCSInput[Valid Q1],"&gt;3"))</f>
        <v/>
      </c>
      <c r="V121" s="13">
        <f>IFERROR(Q121/P121,"")</f>
        <v/>
      </c>
      <c r="W121" s="13">
        <f>IFERROR(R121/P121,"")</f>
        <v/>
      </c>
    </row>
    <row r="122" spans="1:23">
      <c r="A122" s="4">
        <f>IF(ROSTER!A122="","",ROSTER!A122)</f>
        <v>228675</v>
      </c>
      <c r="B122" s="4" t="str">
        <f>IF($A122="","",ROSTER!C122)</f>
        <v>Houda  Rawis</v>
      </c>
      <c r="C122" s="4" t="str">
        <f>IF($A122="","",ROSTER!D122)</f>
        <v>Kenza EL MOUMNI</v>
      </c>
      <c r="D122" s="4" t="str">
        <f>IF($A122="","",ROSTER!E122)</f>
        <v>Anas OUAKKAD</v>
      </c>
      <c r="E122" s="4" t="str">
        <f>IF($A122="","",ROSTER!F122)</f>
        <v>OEM FR</v>
      </c>
      <c r="F122" s="11">
        <f>IF($A122="","",COUNTIFS(tblPCSInput[Call Date/Time],"&gt;="&amp;(SETUP!$B$5),tblPCSInput[Call Date/Time],"&lt;"&amp;(SETUP!$B$5+1),tblPCSInput[Call Direction],"I",tblPCSInput[Agent ID],$A122,tblPCSInput[PCSStatus],1))</f>
        <v/>
      </c>
      <c r="G122" s="11">
        <f>IF($A122="","",COUNTIFS(tblPCSInput[Call Date/Time],"&gt;="&amp;(SETUP!$B$5),tblPCSInput[Call Date/Time],"&lt;"&amp;(SETUP!$B$5+1),tblPCSInput[Call Direction],"I",tblPCSInput[Agent ID],$A122,tblPCSInput[Question 1],"&lt;&gt;"))</f>
        <v/>
      </c>
      <c r="H122" s="11">
        <f>IF($A122="","",COUNTIFS(tblPCSInput[Call Date/Time],"&gt;="&amp;(SETUP!$B$5),tblPCSInput[Call Date/Time],"&lt;"&amp;(SETUP!$B$5+1),tblPCSInput[Call Direction],"I",tblPCSInput[Agent ID],$A122,tblPCSInput[Valid Q1],"&gt;=1"))</f>
        <v/>
      </c>
      <c r="I122" s="12">
        <f>IFERROR(SUMIFS(tblPCSInput[Valid Q1],tblPCSInput[Call Date/Time],"&gt;="&amp;SETUP!$B$5,tblPCSInput[Call Date/Time],"&lt;"&amp;SETUP!$B$5+1,tblPCSInput[Call Direction],"I",tblPCSInput[Agent ID],$A122)/COUNTIFS(tblPCSInput[Call Date/Time],"&gt;="&amp;(SETUP!$B$5),tblPCSInput[Call Date/Time],"&lt;"&amp;(SETUP!$B$5+1),tblPCSInput[Call Direction],"I",tblPCSInput[Agent ID],$A122,tblPCSInput[Valid Q1],"&gt;=1"),"")</f>
        <v/>
      </c>
      <c r="J122" s="11">
        <f>IF(I122="","",COUNTIFS(tblPCSInput[Call Date/Time],"&gt;="&amp;(SETUP!$B$5),tblPCSInput[Call Date/Time],"&lt;"&amp;(SETUP!$B$5+1),tblPCSInput[Call Direction],"I",tblPCSInput[Agent ID],$A122,tblPCSInput[Valid Q1],"&lt;=3",tblPCSInput[Valid Q1],"&gt;=1"))</f>
        <v/>
      </c>
      <c r="K122" s="11">
        <f>IF(I122="","",COUNTIFS(tblPCSInput[Call Date/Time],"&gt;="&amp;(SETUP!$B$5),tblPCSInput[Call Date/Time],"&lt;"&amp;(SETUP!$B$5+1),tblPCSInput[Call Direction],"I",tblPCSInput[Agent ID],$A122,tblPCSInput[Valid Q1],"&gt;3"))</f>
        <v/>
      </c>
      <c r="L122" s="13">
        <f>IFERROR(G122/F122,"")</f>
        <v/>
      </c>
      <c r="M122" s="13">
        <f>IFERROR(H122/F122,"")</f>
        <v/>
      </c>
      <c r="N122" s="11">
        <f>IF($A122="","",MAX(0,G122-H122))</f>
        <v/>
      </c>
      <c r="O122" s="4">
        <f>IF($A122="","",IF(H122=0,"NO VALID SURVEY",IF(H122&lt;5,"LOW SAMPLE","OK")))</f>
        <v/>
      </c>
      <c r="P122" s="11">
        <f>IF($A122="","",COUNTIFS(tblPCSInput[Call Date/Time],"&gt;="&amp;(SETUP!$B$6),tblPCSInput[Call Date/Time],"&lt;"&amp;(SETUP!$B$7),tblPCSInput[Call Direction],"I",tblPCSInput[Agent ID],$A122,tblPCSInput[PCSStatus],1))</f>
        <v/>
      </c>
      <c r="Q122" s="11">
        <f>IF($A122="","",COUNTIFS(tblPCSInput[Call Date/Time],"&gt;="&amp;(SETUP!$B$6),tblPCSInput[Call Date/Time],"&lt;"&amp;(SETUP!$B$7),tblPCSInput[Call Direction],"I",tblPCSInput[Agent ID],$A122,tblPCSInput[Question 1],"&lt;&gt;"))</f>
        <v/>
      </c>
      <c r="R122" s="11">
        <f>IF($A122="","",COUNTIFS(tblPCSInput[Call Date/Time],"&gt;="&amp;(SETUP!$B$6),tblPCSInput[Call Date/Time],"&lt;"&amp;(SETUP!$B$7),tblPCSInput[Call Direction],"I",tblPCSInput[Agent ID],$A122,tblPCSInput[Valid Q1],"&gt;=1"))</f>
        <v/>
      </c>
      <c r="S122" s="12">
        <f>IFERROR(SUMIFS(tblPCSInput[Valid Q1],tblPCSInput[Call Date/Time],"&gt;="&amp;SETUP!$B$6,tblPCSInput[Call Date/Time],"&lt;"&amp;SETUP!$B$7,tblPCSInput[Call Direction],"I",tblPCSInput[Agent ID],$A122)/COUNTIFS(tblPCSInput[Call Date/Time],"&gt;="&amp;(SETUP!$B$6),tblPCSInput[Call Date/Time],"&lt;"&amp;(SETUP!$B$7),tblPCSInput[Call Direction],"I",tblPCSInput[Agent ID],$A122,tblPCSInput[Valid Q1],"&gt;=1"),"")</f>
        <v/>
      </c>
      <c r="T122" s="11">
        <f>IF(S122="","",COUNTIFS(tblPCSInput[Call Date/Time],"&gt;="&amp;(SETUP!$B$6),tblPCSInput[Call Date/Time],"&lt;"&amp;(SETUP!$B$7),tblPCSInput[Call Direction],"I",tblPCSInput[Agent ID],$A122,tblPCSInput[Valid Q1],"&lt;=3",tblPCSInput[Valid Q1],"&gt;=1"))</f>
        <v/>
      </c>
      <c r="U122" s="11">
        <f>IF(S122="","",COUNTIFS(tblPCSInput[Call Date/Time],"&gt;="&amp;(SETUP!$B$6),tblPCSInput[Call Date/Time],"&lt;"&amp;(SETUP!$B$7),tblPCSInput[Call Direction],"I",tblPCSInput[Agent ID],$A122,tblPCSInput[Valid Q1],"&gt;3"))</f>
        <v/>
      </c>
      <c r="V122" s="13">
        <f>IFERROR(Q122/P122,"")</f>
        <v/>
      </c>
      <c r="W122" s="13">
        <f>IFERROR(R122/P122,"")</f>
        <v/>
      </c>
    </row>
    <row r="123" spans="1:23">
      <c r="A123" s="4">
        <f>IF(ROSTER!A123="","",ROSTER!A123)</f>
        <v>230824</v>
      </c>
      <c r="B123" s="4" t="str">
        <f>IF($A123="","",ROSTER!C123)</f>
        <v>Idriss Wardi</v>
      </c>
      <c r="C123" s="4" t="str">
        <f>IF($A123="","",ROSTER!D123)</f>
        <v>Zineb MOUFID</v>
      </c>
      <c r="D123" s="4" t="str">
        <f>IF($A123="","",ROSTER!E123)</f>
        <v>Anas OUAKKAD</v>
      </c>
      <c r="E123" s="4" t="str">
        <f>IF($A123="","",ROSTER!F123)</f>
        <v>OEM FR</v>
      </c>
      <c r="F123" s="11">
        <f>IF($A123="","",COUNTIFS(tblPCSInput[Call Date/Time],"&gt;="&amp;(SETUP!$B$5),tblPCSInput[Call Date/Time],"&lt;"&amp;(SETUP!$B$5+1),tblPCSInput[Call Direction],"I",tblPCSInput[Agent ID],$A123,tblPCSInput[PCSStatus],1))</f>
        <v/>
      </c>
      <c r="G123" s="11">
        <f>IF($A123="","",COUNTIFS(tblPCSInput[Call Date/Time],"&gt;="&amp;(SETUP!$B$5),tblPCSInput[Call Date/Time],"&lt;"&amp;(SETUP!$B$5+1),tblPCSInput[Call Direction],"I",tblPCSInput[Agent ID],$A123,tblPCSInput[Question 1],"&lt;&gt;"))</f>
        <v/>
      </c>
      <c r="H123" s="11">
        <f>IF($A123="","",COUNTIFS(tblPCSInput[Call Date/Time],"&gt;="&amp;(SETUP!$B$5),tblPCSInput[Call Date/Time],"&lt;"&amp;(SETUP!$B$5+1),tblPCSInput[Call Direction],"I",tblPCSInput[Agent ID],$A123,tblPCSInput[Valid Q1],"&gt;=1"))</f>
        <v/>
      </c>
      <c r="I123" s="12">
        <f>IFERROR(SUMIFS(tblPCSInput[Valid Q1],tblPCSInput[Call Date/Time],"&gt;="&amp;SETUP!$B$5,tblPCSInput[Call Date/Time],"&lt;"&amp;SETUP!$B$5+1,tblPCSInput[Call Direction],"I",tblPCSInput[Agent ID],$A123)/COUNTIFS(tblPCSInput[Call Date/Time],"&gt;="&amp;(SETUP!$B$5),tblPCSInput[Call Date/Time],"&lt;"&amp;(SETUP!$B$5+1),tblPCSInput[Call Direction],"I",tblPCSInput[Agent ID],$A123,tblPCSInput[Valid Q1],"&gt;=1"),"")</f>
        <v/>
      </c>
      <c r="J123" s="11">
        <f>IF(I123="","",COUNTIFS(tblPCSInput[Call Date/Time],"&gt;="&amp;(SETUP!$B$5),tblPCSInput[Call Date/Time],"&lt;"&amp;(SETUP!$B$5+1),tblPCSInput[Call Direction],"I",tblPCSInput[Agent ID],$A123,tblPCSInput[Valid Q1],"&lt;=3",tblPCSInput[Valid Q1],"&gt;=1"))</f>
        <v/>
      </c>
      <c r="K123" s="11">
        <f>IF(I123="","",COUNTIFS(tblPCSInput[Call Date/Time],"&gt;="&amp;(SETUP!$B$5),tblPCSInput[Call Date/Time],"&lt;"&amp;(SETUP!$B$5+1),tblPCSInput[Call Direction],"I",tblPCSInput[Agent ID],$A123,tblPCSInput[Valid Q1],"&gt;3"))</f>
        <v/>
      </c>
      <c r="L123" s="13">
        <f>IFERROR(G123/F123,"")</f>
        <v/>
      </c>
      <c r="M123" s="13">
        <f>IFERROR(H123/F123,"")</f>
        <v/>
      </c>
      <c r="N123" s="11">
        <f>IF($A123="","",MAX(0,G123-H123))</f>
        <v/>
      </c>
      <c r="O123" s="4">
        <f>IF($A123="","",IF(H123=0,"NO VALID SURVEY",IF(H123&lt;5,"LOW SAMPLE","OK")))</f>
        <v/>
      </c>
      <c r="P123" s="11">
        <f>IF($A123="","",COUNTIFS(tblPCSInput[Call Date/Time],"&gt;="&amp;(SETUP!$B$6),tblPCSInput[Call Date/Time],"&lt;"&amp;(SETUP!$B$7),tblPCSInput[Call Direction],"I",tblPCSInput[Agent ID],$A123,tblPCSInput[PCSStatus],1))</f>
        <v/>
      </c>
      <c r="Q123" s="11">
        <f>IF($A123="","",COUNTIFS(tblPCSInput[Call Date/Time],"&gt;="&amp;(SETUP!$B$6),tblPCSInput[Call Date/Time],"&lt;"&amp;(SETUP!$B$7),tblPCSInput[Call Direction],"I",tblPCSInput[Agent ID],$A123,tblPCSInput[Question 1],"&lt;&gt;"))</f>
        <v/>
      </c>
      <c r="R123" s="11">
        <f>IF($A123="","",COUNTIFS(tblPCSInput[Call Date/Time],"&gt;="&amp;(SETUP!$B$6),tblPCSInput[Call Date/Time],"&lt;"&amp;(SETUP!$B$7),tblPCSInput[Call Direction],"I",tblPCSInput[Agent ID],$A123,tblPCSInput[Valid Q1],"&gt;=1"))</f>
        <v/>
      </c>
      <c r="S123" s="12">
        <f>IFERROR(SUMIFS(tblPCSInput[Valid Q1],tblPCSInput[Call Date/Time],"&gt;="&amp;SETUP!$B$6,tblPCSInput[Call Date/Time],"&lt;"&amp;SETUP!$B$7,tblPCSInput[Call Direction],"I",tblPCSInput[Agent ID],$A123)/COUNTIFS(tblPCSInput[Call Date/Time],"&gt;="&amp;(SETUP!$B$6),tblPCSInput[Call Date/Time],"&lt;"&amp;(SETUP!$B$7),tblPCSInput[Call Direction],"I",tblPCSInput[Agent ID],$A123,tblPCSInput[Valid Q1],"&gt;=1"),"")</f>
        <v/>
      </c>
      <c r="T123" s="11">
        <f>IF(S123="","",COUNTIFS(tblPCSInput[Call Date/Time],"&gt;="&amp;(SETUP!$B$6),tblPCSInput[Call Date/Time],"&lt;"&amp;(SETUP!$B$7),tblPCSInput[Call Direction],"I",tblPCSInput[Agent ID],$A123,tblPCSInput[Valid Q1],"&lt;=3",tblPCSInput[Valid Q1],"&gt;=1"))</f>
        <v/>
      </c>
      <c r="U123" s="11">
        <f>IF(S123="","",COUNTIFS(tblPCSInput[Call Date/Time],"&gt;="&amp;(SETUP!$B$6),tblPCSInput[Call Date/Time],"&lt;"&amp;(SETUP!$B$7),tblPCSInput[Call Direction],"I",tblPCSInput[Agent ID],$A123,tblPCSInput[Valid Q1],"&gt;3"))</f>
        <v/>
      </c>
      <c r="V123" s="13">
        <f>IFERROR(Q123/P123,"")</f>
        <v/>
      </c>
      <c r="W123" s="13">
        <f>IFERROR(R123/P123,"")</f>
        <v/>
      </c>
    </row>
    <row r="124" spans="1:23">
      <c r="A124" s="4">
        <f>IF(ROSTER!A124="","",ROSTER!A124)</f>
        <v>228666</v>
      </c>
      <c r="B124" s="4" t="str">
        <f>IF($A124="","",ROSTER!C124)</f>
        <v>Hamza Mellak</v>
      </c>
      <c r="C124" s="4" t="str">
        <f>IF($A124="","",ROSTER!D124)</f>
        <v>Kenza EL MOUMNI</v>
      </c>
      <c r="D124" s="4" t="str">
        <f>IF($A124="","",ROSTER!E124)</f>
        <v>Anas OUAKKAD</v>
      </c>
      <c r="E124" s="4" t="str">
        <f>IF($A124="","",ROSTER!F124)</f>
        <v>OEM FR</v>
      </c>
      <c r="F124" s="11">
        <f>IF($A124="","",COUNTIFS(tblPCSInput[Call Date/Time],"&gt;="&amp;(SETUP!$B$5),tblPCSInput[Call Date/Time],"&lt;"&amp;(SETUP!$B$5+1),tblPCSInput[Call Direction],"I",tblPCSInput[Agent ID],$A124,tblPCSInput[PCSStatus],1))</f>
        <v/>
      </c>
      <c r="G124" s="11">
        <f>IF($A124="","",COUNTIFS(tblPCSInput[Call Date/Time],"&gt;="&amp;(SETUP!$B$5),tblPCSInput[Call Date/Time],"&lt;"&amp;(SETUP!$B$5+1),tblPCSInput[Call Direction],"I",tblPCSInput[Agent ID],$A124,tblPCSInput[Question 1],"&lt;&gt;"))</f>
        <v/>
      </c>
      <c r="H124" s="11">
        <f>IF($A124="","",COUNTIFS(tblPCSInput[Call Date/Time],"&gt;="&amp;(SETUP!$B$5),tblPCSInput[Call Date/Time],"&lt;"&amp;(SETUP!$B$5+1),tblPCSInput[Call Direction],"I",tblPCSInput[Agent ID],$A124,tblPCSInput[Valid Q1],"&gt;=1"))</f>
        <v/>
      </c>
      <c r="I124" s="12">
        <f>IFERROR(SUMIFS(tblPCSInput[Valid Q1],tblPCSInput[Call Date/Time],"&gt;="&amp;SETUP!$B$5,tblPCSInput[Call Date/Time],"&lt;"&amp;SETUP!$B$5+1,tblPCSInput[Call Direction],"I",tblPCSInput[Agent ID],$A124)/COUNTIFS(tblPCSInput[Call Date/Time],"&gt;="&amp;(SETUP!$B$5),tblPCSInput[Call Date/Time],"&lt;"&amp;(SETUP!$B$5+1),tblPCSInput[Call Direction],"I",tblPCSInput[Agent ID],$A124,tblPCSInput[Valid Q1],"&gt;=1"),"")</f>
        <v/>
      </c>
      <c r="J124" s="11">
        <f>IF(I124="","",COUNTIFS(tblPCSInput[Call Date/Time],"&gt;="&amp;(SETUP!$B$5),tblPCSInput[Call Date/Time],"&lt;"&amp;(SETUP!$B$5+1),tblPCSInput[Call Direction],"I",tblPCSInput[Agent ID],$A124,tblPCSInput[Valid Q1],"&lt;=3",tblPCSInput[Valid Q1],"&gt;=1"))</f>
        <v/>
      </c>
      <c r="K124" s="11">
        <f>IF(I124="","",COUNTIFS(tblPCSInput[Call Date/Time],"&gt;="&amp;(SETUP!$B$5),tblPCSInput[Call Date/Time],"&lt;"&amp;(SETUP!$B$5+1),tblPCSInput[Call Direction],"I",tblPCSInput[Agent ID],$A124,tblPCSInput[Valid Q1],"&gt;3"))</f>
        <v/>
      </c>
      <c r="L124" s="13">
        <f>IFERROR(G124/F124,"")</f>
        <v/>
      </c>
      <c r="M124" s="13">
        <f>IFERROR(H124/F124,"")</f>
        <v/>
      </c>
      <c r="N124" s="11">
        <f>IF($A124="","",MAX(0,G124-H124))</f>
        <v/>
      </c>
      <c r="O124" s="4">
        <f>IF($A124="","",IF(H124=0,"NO VALID SURVEY",IF(H124&lt;5,"LOW SAMPLE","OK")))</f>
        <v/>
      </c>
      <c r="P124" s="11">
        <f>IF($A124="","",COUNTIFS(tblPCSInput[Call Date/Time],"&gt;="&amp;(SETUP!$B$6),tblPCSInput[Call Date/Time],"&lt;"&amp;(SETUP!$B$7),tblPCSInput[Call Direction],"I",tblPCSInput[Agent ID],$A124,tblPCSInput[PCSStatus],1))</f>
        <v/>
      </c>
      <c r="Q124" s="11">
        <f>IF($A124="","",COUNTIFS(tblPCSInput[Call Date/Time],"&gt;="&amp;(SETUP!$B$6),tblPCSInput[Call Date/Time],"&lt;"&amp;(SETUP!$B$7),tblPCSInput[Call Direction],"I",tblPCSInput[Agent ID],$A124,tblPCSInput[Question 1],"&lt;&gt;"))</f>
        <v/>
      </c>
      <c r="R124" s="11">
        <f>IF($A124="","",COUNTIFS(tblPCSInput[Call Date/Time],"&gt;="&amp;(SETUP!$B$6),tblPCSInput[Call Date/Time],"&lt;"&amp;(SETUP!$B$7),tblPCSInput[Call Direction],"I",tblPCSInput[Agent ID],$A124,tblPCSInput[Valid Q1],"&gt;=1"))</f>
        <v/>
      </c>
      <c r="S124" s="12">
        <f>IFERROR(SUMIFS(tblPCSInput[Valid Q1],tblPCSInput[Call Date/Time],"&gt;="&amp;SETUP!$B$6,tblPCSInput[Call Date/Time],"&lt;"&amp;SETUP!$B$7,tblPCSInput[Call Direction],"I",tblPCSInput[Agent ID],$A124)/COUNTIFS(tblPCSInput[Call Date/Time],"&gt;="&amp;(SETUP!$B$6),tblPCSInput[Call Date/Time],"&lt;"&amp;(SETUP!$B$7),tblPCSInput[Call Direction],"I",tblPCSInput[Agent ID],$A124,tblPCSInput[Valid Q1],"&gt;=1"),"")</f>
        <v/>
      </c>
      <c r="T124" s="11">
        <f>IF(S124="","",COUNTIFS(tblPCSInput[Call Date/Time],"&gt;="&amp;(SETUP!$B$6),tblPCSInput[Call Date/Time],"&lt;"&amp;(SETUP!$B$7),tblPCSInput[Call Direction],"I",tblPCSInput[Agent ID],$A124,tblPCSInput[Valid Q1],"&lt;=3",tblPCSInput[Valid Q1],"&gt;=1"))</f>
        <v/>
      </c>
      <c r="U124" s="11">
        <f>IF(S124="","",COUNTIFS(tblPCSInput[Call Date/Time],"&gt;="&amp;(SETUP!$B$6),tblPCSInput[Call Date/Time],"&lt;"&amp;(SETUP!$B$7),tblPCSInput[Call Direction],"I",tblPCSInput[Agent ID],$A124,tblPCSInput[Valid Q1],"&gt;3"))</f>
        <v/>
      </c>
      <c r="V124" s="13">
        <f>IFERROR(Q124/P124,"")</f>
        <v/>
      </c>
      <c r="W124" s="13">
        <f>IFERROR(R124/P124,"")</f>
        <v/>
      </c>
    </row>
    <row r="125" spans="1:23">
      <c r="A125" s="4">
        <f>IF(ROSTER!A125="","",ROSTER!A125)</f>
        <v>228667</v>
      </c>
      <c r="B125" s="4" t="str">
        <f>IF($A125="","",ROSTER!C125)</f>
        <v>Hajar El Moustaid</v>
      </c>
      <c r="C125" s="4" t="str">
        <f>IF($A125="","",ROSTER!D125)</f>
        <v>Zineb MOUFID</v>
      </c>
      <c r="D125" s="4" t="str">
        <f>IF($A125="","",ROSTER!E125)</f>
        <v>Anas OUAKKAD</v>
      </c>
      <c r="E125" s="4" t="str">
        <f>IF($A125="","",ROSTER!F125)</f>
        <v>OEM FR</v>
      </c>
      <c r="F125" s="11">
        <f>IF($A125="","",COUNTIFS(tblPCSInput[Call Date/Time],"&gt;="&amp;(SETUP!$B$5),tblPCSInput[Call Date/Time],"&lt;"&amp;(SETUP!$B$5+1),tblPCSInput[Call Direction],"I",tblPCSInput[Agent ID],$A125,tblPCSInput[PCSStatus],1))</f>
        <v/>
      </c>
      <c r="G125" s="11">
        <f>IF($A125="","",COUNTIFS(tblPCSInput[Call Date/Time],"&gt;="&amp;(SETUP!$B$5),tblPCSInput[Call Date/Time],"&lt;"&amp;(SETUP!$B$5+1),tblPCSInput[Call Direction],"I",tblPCSInput[Agent ID],$A125,tblPCSInput[Question 1],"&lt;&gt;"))</f>
        <v/>
      </c>
      <c r="H125" s="11">
        <f>IF($A125="","",COUNTIFS(tblPCSInput[Call Date/Time],"&gt;="&amp;(SETUP!$B$5),tblPCSInput[Call Date/Time],"&lt;"&amp;(SETUP!$B$5+1),tblPCSInput[Call Direction],"I",tblPCSInput[Agent ID],$A125,tblPCSInput[Valid Q1],"&gt;=1"))</f>
        <v/>
      </c>
      <c r="I125" s="12">
        <f>IFERROR(SUMIFS(tblPCSInput[Valid Q1],tblPCSInput[Call Date/Time],"&gt;="&amp;SETUP!$B$5,tblPCSInput[Call Date/Time],"&lt;"&amp;SETUP!$B$5+1,tblPCSInput[Call Direction],"I",tblPCSInput[Agent ID],$A125)/COUNTIFS(tblPCSInput[Call Date/Time],"&gt;="&amp;(SETUP!$B$5),tblPCSInput[Call Date/Time],"&lt;"&amp;(SETUP!$B$5+1),tblPCSInput[Call Direction],"I",tblPCSInput[Agent ID],$A125,tblPCSInput[Valid Q1],"&gt;=1"),"")</f>
        <v/>
      </c>
      <c r="J125" s="11">
        <f>IF(I125="","",COUNTIFS(tblPCSInput[Call Date/Time],"&gt;="&amp;(SETUP!$B$5),tblPCSInput[Call Date/Time],"&lt;"&amp;(SETUP!$B$5+1),tblPCSInput[Call Direction],"I",tblPCSInput[Agent ID],$A125,tblPCSInput[Valid Q1],"&lt;=3",tblPCSInput[Valid Q1],"&gt;=1"))</f>
        <v/>
      </c>
      <c r="K125" s="11">
        <f>IF(I125="","",COUNTIFS(tblPCSInput[Call Date/Time],"&gt;="&amp;(SETUP!$B$5),tblPCSInput[Call Date/Time],"&lt;"&amp;(SETUP!$B$5+1),tblPCSInput[Call Direction],"I",tblPCSInput[Agent ID],$A125,tblPCSInput[Valid Q1],"&gt;3"))</f>
        <v/>
      </c>
      <c r="L125" s="13">
        <f>IFERROR(G125/F125,"")</f>
        <v/>
      </c>
      <c r="M125" s="13">
        <f>IFERROR(H125/F125,"")</f>
        <v/>
      </c>
      <c r="N125" s="11">
        <f>IF($A125="","",MAX(0,G125-H125))</f>
        <v/>
      </c>
      <c r="O125" s="4">
        <f>IF($A125="","",IF(H125=0,"NO VALID SURVEY",IF(H125&lt;5,"LOW SAMPLE","OK")))</f>
        <v/>
      </c>
      <c r="P125" s="11">
        <f>IF($A125="","",COUNTIFS(tblPCSInput[Call Date/Time],"&gt;="&amp;(SETUP!$B$6),tblPCSInput[Call Date/Time],"&lt;"&amp;(SETUP!$B$7),tblPCSInput[Call Direction],"I",tblPCSInput[Agent ID],$A125,tblPCSInput[PCSStatus],1))</f>
        <v/>
      </c>
      <c r="Q125" s="11">
        <f>IF($A125="","",COUNTIFS(tblPCSInput[Call Date/Time],"&gt;="&amp;(SETUP!$B$6),tblPCSInput[Call Date/Time],"&lt;"&amp;(SETUP!$B$7),tblPCSInput[Call Direction],"I",tblPCSInput[Agent ID],$A125,tblPCSInput[Question 1],"&lt;&gt;"))</f>
        <v/>
      </c>
      <c r="R125" s="11">
        <f>IF($A125="","",COUNTIFS(tblPCSInput[Call Date/Time],"&gt;="&amp;(SETUP!$B$6),tblPCSInput[Call Date/Time],"&lt;"&amp;(SETUP!$B$7),tblPCSInput[Call Direction],"I",tblPCSInput[Agent ID],$A125,tblPCSInput[Valid Q1],"&gt;=1"))</f>
        <v/>
      </c>
      <c r="S125" s="12">
        <f>IFERROR(SUMIFS(tblPCSInput[Valid Q1],tblPCSInput[Call Date/Time],"&gt;="&amp;SETUP!$B$6,tblPCSInput[Call Date/Time],"&lt;"&amp;SETUP!$B$7,tblPCSInput[Call Direction],"I",tblPCSInput[Agent ID],$A125)/COUNTIFS(tblPCSInput[Call Date/Time],"&gt;="&amp;(SETUP!$B$6),tblPCSInput[Call Date/Time],"&lt;"&amp;(SETUP!$B$7),tblPCSInput[Call Direction],"I",tblPCSInput[Agent ID],$A125,tblPCSInput[Valid Q1],"&gt;=1"),"")</f>
        <v/>
      </c>
      <c r="T125" s="11">
        <f>IF(S125="","",COUNTIFS(tblPCSInput[Call Date/Time],"&gt;="&amp;(SETUP!$B$6),tblPCSInput[Call Date/Time],"&lt;"&amp;(SETUP!$B$7),tblPCSInput[Call Direction],"I",tblPCSInput[Agent ID],$A125,tblPCSInput[Valid Q1],"&lt;=3",tblPCSInput[Valid Q1],"&gt;=1"))</f>
        <v/>
      </c>
      <c r="U125" s="11">
        <f>IF(S125="","",COUNTIFS(tblPCSInput[Call Date/Time],"&gt;="&amp;(SETUP!$B$6),tblPCSInput[Call Date/Time],"&lt;"&amp;(SETUP!$B$7),tblPCSInput[Call Direction],"I",tblPCSInput[Agent ID],$A125,tblPCSInput[Valid Q1],"&gt;3"))</f>
        <v/>
      </c>
      <c r="V125" s="13">
        <f>IFERROR(Q125/P125,"")</f>
        <v/>
      </c>
      <c r="W125" s="13">
        <f>IFERROR(R125/P125,"")</f>
        <v/>
      </c>
    </row>
    <row r="126" spans="1:23">
      <c r="A126" s="4" t="e">
        <f>IF(ROSTER!A126="","",ROSTER!A126)</f>
        <v>#N/A</v>
      </c>
      <c r="B126" s="4" t="str">
        <f>IF($A126="","",ROSTER!C126)</f>
        <v>Najib  Abdelhadi</v>
      </c>
      <c r="C126" s="4" t="str">
        <f>IF($A126="","",ROSTER!D126)</f>
        <v>Kenza EL MOUMNI</v>
      </c>
      <c r="D126" s="4" t="str">
        <f>IF($A126="","",ROSTER!E126)</f>
        <v>Anas OUAKKAD</v>
      </c>
      <c r="E126" s="4" t="str">
        <f>IF($A126="","",ROSTER!F126)</f>
        <v>OEM FR</v>
      </c>
      <c r="F126" s="11">
        <f>IF($A126="","",COUNTIFS(tblPCSInput[Call Date/Time],"&gt;="&amp;(SETUP!$B$5),tblPCSInput[Call Date/Time],"&lt;"&amp;(SETUP!$B$5+1),tblPCSInput[Call Direction],"I",tblPCSInput[Agent ID],$A126,tblPCSInput[PCSStatus],1))</f>
        <v/>
      </c>
      <c r="G126" s="11">
        <f>IF($A126="","",COUNTIFS(tblPCSInput[Call Date/Time],"&gt;="&amp;(SETUP!$B$5),tblPCSInput[Call Date/Time],"&lt;"&amp;(SETUP!$B$5+1),tblPCSInput[Call Direction],"I",tblPCSInput[Agent ID],$A126,tblPCSInput[Question 1],"&lt;&gt;"))</f>
        <v/>
      </c>
      <c r="H126" s="11">
        <f>IF($A126="","",COUNTIFS(tblPCSInput[Call Date/Time],"&gt;="&amp;(SETUP!$B$5),tblPCSInput[Call Date/Time],"&lt;"&amp;(SETUP!$B$5+1),tblPCSInput[Call Direction],"I",tblPCSInput[Agent ID],$A126,tblPCSInput[Valid Q1],"&gt;=1"))</f>
        <v/>
      </c>
      <c r="I126" s="12">
        <f>IFERROR(SUMIFS(tblPCSInput[Valid Q1],tblPCSInput[Call Date/Time],"&gt;="&amp;SETUP!$B$5,tblPCSInput[Call Date/Time],"&lt;"&amp;SETUP!$B$5+1,tblPCSInput[Call Direction],"I",tblPCSInput[Agent ID],$A126)/COUNTIFS(tblPCSInput[Call Date/Time],"&gt;="&amp;(SETUP!$B$5),tblPCSInput[Call Date/Time],"&lt;"&amp;(SETUP!$B$5+1),tblPCSInput[Call Direction],"I",tblPCSInput[Agent ID],$A126,tblPCSInput[Valid Q1],"&gt;=1"),"")</f>
        <v/>
      </c>
      <c r="J126" s="11">
        <f>IF(I126="","",COUNTIFS(tblPCSInput[Call Date/Time],"&gt;="&amp;(SETUP!$B$5),tblPCSInput[Call Date/Time],"&lt;"&amp;(SETUP!$B$5+1),tblPCSInput[Call Direction],"I",tblPCSInput[Agent ID],$A126,tblPCSInput[Valid Q1],"&lt;=3",tblPCSInput[Valid Q1],"&gt;=1"))</f>
        <v/>
      </c>
      <c r="K126" s="11">
        <f>IF(I126="","",COUNTIFS(tblPCSInput[Call Date/Time],"&gt;="&amp;(SETUP!$B$5),tblPCSInput[Call Date/Time],"&lt;"&amp;(SETUP!$B$5+1),tblPCSInput[Call Direction],"I",tblPCSInput[Agent ID],$A126,tblPCSInput[Valid Q1],"&gt;3"))</f>
        <v/>
      </c>
      <c r="L126" s="13">
        <f>IFERROR(G126/F126,"")</f>
        <v/>
      </c>
      <c r="M126" s="13">
        <f>IFERROR(H126/F126,"")</f>
        <v/>
      </c>
      <c r="N126" s="11">
        <f>IF($A126="","",MAX(0,G126-H126))</f>
        <v/>
      </c>
      <c r="O126" s="4">
        <f>IF($A126="","",IF(H126=0,"NO VALID SURVEY",IF(H126&lt;5,"LOW SAMPLE","OK")))</f>
        <v/>
      </c>
      <c r="P126" s="11">
        <f>IF($A126="","",COUNTIFS(tblPCSInput[Call Date/Time],"&gt;="&amp;(SETUP!$B$6),tblPCSInput[Call Date/Time],"&lt;"&amp;(SETUP!$B$7),tblPCSInput[Call Direction],"I",tblPCSInput[Agent ID],$A126,tblPCSInput[PCSStatus],1))</f>
        <v/>
      </c>
      <c r="Q126" s="11">
        <f>IF($A126="","",COUNTIFS(tblPCSInput[Call Date/Time],"&gt;="&amp;(SETUP!$B$6),tblPCSInput[Call Date/Time],"&lt;"&amp;(SETUP!$B$7),tblPCSInput[Call Direction],"I",tblPCSInput[Agent ID],$A126,tblPCSInput[Question 1],"&lt;&gt;"))</f>
        <v/>
      </c>
      <c r="R126" s="11">
        <f>IF($A126="","",COUNTIFS(tblPCSInput[Call Date/Time],"&gt;="&amp;(SETUP!$B$6),tblPCSInput[Call Date/Time],"&lt;"&amp;(SETUP!$B$7),tblPCSInput[Call Direction],"I",tblPCSInput[Agent ID],$A126,tblPCSInput[Valid Q1],"&gt;=1"))</f>
        <v/>
      </c>
      <c r="S126" s="12">
        <f>IFERROR(SUMIFS(tblPCSInput[Valid Q1],tblPCSInput[Call Date/Time],"&gt;="&amp;SETUP!$B$6,tblPCSInput[Call Date/Time],"&lt;"&amp;SETUP!$B$7,tblPCSInput[Call Direction],"I",tblPCSInput[Agent ID],$A126)/COUNTIFS(tblPCSInput[Call Date/Time],"&gt;="&amp;(SETUP!$B$6),tblPCSInput[Call Date/Time],"&lt;"&amp;(SETUP!$B$7),tblPCSInput[Call Direction],"I",tblPCSInput[Agent ID],$A126,tblPCSInput[Valid Q1],"&gt;=1"),"")</f>
        <v/>
      </c>
      <c r="T126" s="11">
        <f>IF(S126="","",COUNTIFS(tblPCSInput[Call Date/Time],"&gt;="&amp;(SETUP!$B$6),tblPCSInput[Call Date/Time],"&lt;"&amp;(SETUP!$B$7),tblPCSInput[Call Direction],"I",tblPCSInput[Agent ID],$A126,tblPCSInput[Valid Q1],"&lt;=3",tblPCSInput[Valid Q1],"&gt;=1"))</f>
        <v/>
      </c>
      <c r="U126" s="11">
        <f>IF(S126="","",COUNTIFS(tblPCSInput[Call Date/Time],"&gt;="&amp;(SETUP!$B$6),tblPCSInput[Call Date/Time],"&lt;"&amp;(SETUP!$B$7),tblPCSInput[Call Direction],"I",tblPCSInput[Agent ID],$A126,tblPCSInput[Valid Q1],"&gt;3"))</f>
        <v/>
      </c>
      <c r="V126" s="13">
        <f>IFERROR(Q126/P126,"")</f>
        <v/>
      </c>
      <c r="W126" s="13">
        <f>IFERROR(R126/P126,"")</f>
        <v/>
      </c>
    </row>
    <row r="127" spans="1:23">
      <c r="A127" s="4">
        <f>IF(ROSTER!A127="","",ROSTER!A127)</f>
        <v>228669</v>
      </c>
      <c r="B127" s="4" t="str">
        <f>IF($A127="","",ROSTER!C127)</f>
        <v>Ayoub Failouss</v>
      </c>
      <c r="C127" s="4" t="str">
        <f>IF($A127="","",ROSTER!D127)</f>
        <v>Malak AZERKI</v>
      </c>
      <c r="D127" s="4" t="str">
        <f>IF($A127="","",ROSTER!E127)</f>
        <v>Anas OUAKKAD</v>
      </c>
      <c r="E127" s="4" t="str">
        <f>IF($A127="","",ROSTER!F127)</f>
        <v>OEM FR</v>
      </c>
      <c r="F127" s="11">
        <f>IF($A127="","",COUNTIFS(tblPCSInput[Call Date/Time],"&gt;="&amp;(SETUP!$B$5),tblPCSInput[Call Date/Time],"&lt;"&amp;(SETUP!$B$5+1),tblPCSInput[Call Direction],"I",tblPCSInput[Agent ID],$A127,tblPCSInput[PCSStatus],1))</f>
        <v/>
      </c>
      <c r="G127" s="11">
        <f>IF($A127="","",COUNTIFS(tblPCSInput[Call Date/Time],"&gt;="&amp;(SETUP!$B$5),tblPCSInput[Call Date/Time],"&lt;"&amp;(SETUP!$B$5+1),tblPCSInput[Call Direction],"I",tblPCSInput[Agent ID],$A127,tblPCSInput[Question 1],"&lt;&gt;"))</f>
        <v/>
      </c>
      <c r="H127" s="11">
        <f>IF($A127="","",COUNTIFS(tblPCSInput[Call Date/Time],"&gt;="&amp;(SETUP!$B$5),tblPCSInput[Call Date/Time],"&lt;"&amp;(SETUP!$B$5+1),tblPCSInput[Call Direction],"I",tblPCSInput[Agent ID],$A127,tblPCSInput[Valid Q1],"&gt;=1"))</f>
        <v/>
      </c>
      <c r="I127" s="12">
        <f>IFERROR(SUMIFS(tblPCSInput[Valid Q1],tblPCSInput[Call Date/Time],"&gt;="&amp;SETUP!$B$5,tblPCSInput[Call Date/Time],"&lt;"&amp;SETUP!$B$5+1,tblPCSInput[Call Direction],"I",tblPCSInput[Agent ID],$A127)/COUNTIFS(tblPCSInput[Call Date/Time],"&gt;="&amp;(SETUP!$B$5),tblPCSInput[Call Date/Time],"&lt;"&amp;(SETUP!$B$5+1),tblPCSInput[Call Direction],"I",tblPCSInput[Agent ID],$A127,tblPCSInput[Valid Q1],"&gt;=1"),"")</f>
        <v/>
      </c>
      <c r="J127" s="11">
        <f>IF(I127="","",COUNTIFS(tblPCSInput[Call Date/Time],"&gt;="&amp;(SETUP!$B$5),tblPCSInput[Call Date/Time],"&lt;"&amp;(SETUP!$B$5+1),tblPCSInput[Call Direction],"I",tblPCSInput[Agent ID],$A127,tblPCSInput[Valid Q1],"&lt;=3",tblPCSInput[Valid Q1],"&gt;=1"))</f>
        <v/>
      </c>
      <c r="K127" s="11">
        <f>IF(I127="","",COUNTIFS(tblPCSInput[Call Date/Time],"&gt;="&amp;(SETUP!$B$5),tblPCSInput[Call Date/Time],"&lt;"&amp;(SETUP!$B$5+1),tblPCSInput[Call Direction],"I",tblPCSInput[Agent ID],$A127,tblPCSInput[Valid Q1],"&gt;3"))</f>
        <v/>
      </c>
      <c r="L127" s="13">
        <f>IFERROR(G127/F127,"")</f>
        <v/>
      </c>
      <c r="M127" s="13">
        <f>IFERROR(H127/F127,"")</f>
        <v/>
      </c>
      <c r="N127" s="11">
        <f>IF($A127="","",MAX(0,G127-H127))</f>
        <v/>
      </c>
      <c r="O127" s="4">
        <f>IF($A127="","",IF(H127=0,"NO VALID SURVEY",IF(H127&lt;5,"LOW SAMPLE","OK")))</f>
        <v/>
      </c>
      <c r="P127" s="11">
        <f>IF($A127="","",COUNTIFS(tblPCSInput[Call Date/Time],"&gt;="&amp;(SETUP!$B$6),tblPCSInput[Call Date/Time],"&lt;"&amp;(SETUP!$B$7),tblPCSInput[Call Direction],"I",tblPCSInput[Agent ID],$A127,tblPCSInput[PCSStatus],1))</f>
        <v/>
      </c>
      <c r="Q127" s="11">
        <f>IF($A127="","",COUNTIFS(tblPCSInput[Call Date/Time],"&gt;="&amp;(SETUP!$B$6),tblPCSInput[Call Date/Time],"&lt;"&amp;(SETUP!$B$7),tblPCSInput[Call Direction],"I",tblPCSInput[Agent ID],$A127,tblPCSInput[Question 1],"&lt;&gt;"))</f>
        <v/>
      </c>
      <c r="R127" s="11">
        <f>IF($A127="","",COUNTIFS(tblPCSInput[Call Date/Time],"&gt;="&amp;(SETUP!$B$6),tblPCSInput[Call Date/Time],"&lt;"&amp;(SETUP!$B$7),tblPCSInput[Call Direction],"I",tblPCSInput[Agent ID],$A127,tblPCSInput[Valid Q1],"&gt;=1"))</f>
        <v/>
      </c>
      <c r="S127" s="12">
        <f>IFERROR(SUMIFS(tblPCSInput[Valid Q1],tblPCSInput[Call Date/Time],"&gt;="&amp;SETUP!$B$6,tblPCSInput[Call Date/Time],"&lt;"&amp;SETUP!$B$7,tblPCSInput[Call Direction],"I",tblPCSInput[Agent ID],$A127)/COUNTIFS(tblPCSInput[Call Date/Time],"&gt;="&amp;(SETUP!$B$6),tblPCSInput[Call Date/Time],"&lt;"&amp;(SETUP!$B$7),tblPCSInput[Call Direction],"I",tblPCSInput[Agent ID],$A127,tblPCSInput[Valid Q1],"&gt;=1"),"")</f>
        <v/>
      </c>
      <c r="T127" s="11">
        <f>IF(S127="","",COUNTIFS(tblPCSInput[Call Date/Time],"&gt;="&amp;(SETUP!$B$6),tblPCSInput[Call Date/Time],"&lt;"&amp;(SETUP!$B$7),tblPCSInput[Call Direction],"I",tblPCSInput[Agent ID],$A127,tblPCSInput[Valid Q1],"&lt;=3",tblPCSInput[Valid Q1],"&gt;=1"))</f>
        <v/>
      </c>
      <c r="U127" s="11">
        <f>IF(S127="","",COUNTIFS(tblPCSInput[Call Date/Time],"&gt;="&amp;(SETUP!$B$6),tblPCSInput[Call Date/Time],"&lt;"&amp;(SETUP!$B$7),tblPCSInput[Call Direction],"I",tblPCSInput[Agent ID],$A127,tblPCSInput[Valid Q1],"&gt;3"))</f>
        <v/>
      </c>
      <c r="V127" s="13">
        <f>IFERROR(Q127/P127,"")</f>
        <v/>
      </c>
      <c r="W127" s="13">
        <f>IFERROR(R127/P127,"")</f>
        <v/>
      </c>
    </row>
    <row r="128" spans="1:23">
      <c r="A128" s="4">
        <f>IF(ROSTER!A128="","",ROSTER!A128)</f>
        <v>206139</v>
      </c>
      <c r="B128" s="4" t="str">
        <f>IF($A128="","",ROSTER!C128)</f>
        <v>El Mehdi El Guiri</v>
      </c>
      <c r="C128" s="4" t="str">
        <f>IF($A128="","",ROSTER!D128)</f>
        <v>Kenza EL MOUMNI</v>
      </c>
      <c r="D128" s="4" t="str">
        <f>IF($A128="","",ROSTER!E128)</f>
        <v>Anas OUAKKAD</v>
      </c>
      <c r="E128" s="4" t="str">
        <f>IF($A128="","",ROSTER!F128)</f>
        <v>OEM FR</v>
      </c>
      <c r="F128" s="11">
        <f>IF($A128="","",COUNTIFS(tblPCSInput[Call Date/Time],"&gt;="&amp;(SETUP!$B$5),tblPCSInput[Call Date/Time],"&lt;"&amp;(SETUP!$B$5+1),tblPCSInput[Call Direction],"I",tblPCSInput[Agent ID],$A128,tblPCSInput[PCSStatus],1))</f>
        <v/>
      </c>
      <c r="G128" s="11">
        <f>IF($A128="","",COUNTIFS(tblPCSInput[Call Date/Time],"&gt;="&amp;(SETUP!$B$5),tblPCSInput[Call Date/Time],"&lt;"&amp;(SETUP!$B$5+1),tblPCSInput[Call Direction],"I",tblPCSInput[Agent ID],$A128,tblPCSInput[Question 1],"&lt;&gt;"))</f>
        <v/>
      </c>
      <c r="H128" s="11">
        <f>IF($A128="","",COUNTIFS(tblPCSInput[Call Date/Time],"&gt;="&amp;(SETUP!$B$5),tblPCSInput[Call Date/Time],"&lt;"&amp;(SETUP!$B$5+1),tblPCSInput[Call Direction],"I",tblPCSInput[Agent ID],$A128,tblPCSInput[Valid Q1],"&gt;=1"))</f>
        <v/>
      </c>
      <c r="I128" s="12">
        <f>IFERROR(SUMIFS(tblPCSInput[Valid Q1],tblPCSInput[Call Date/Time],"&gt;="&amp;SETUP!$B$5,tblPCSInput[Call Date/Time],"&lt;"&amp;SETUP!$B$5+1,tblPCSInput[Call Direction],"I",tblPCSInput[Agent ID],$A128)/COUNTIFS(tblPCSInput[Call Date/Time],"&gt;="&amp;(SETUP!$B$5),tblPCSInput[Call Date/Time],"&lt;"&amp;(SETUP!$B$5+1),tblPCSInput[Call Direction],"I",tblPCSInput[Agent ID],$A128,tblPCSInput[Valid Q1],"&gt;=1"),"")</f>
        <v/>
      </c>
      <c r="J128" s="11">
        <f>IF(I128="","",COUNTIFS(tblPCSInput[Call Date/Time],"&gt;="&amp;(SETUP!$B$5),tblPCSInput[Call Date/Time],"&lt;"&amp;(SETUP!$B$5+1),tblPCSInput[Call Direction],"I",tblPCSInput[Agent ID],$A128,tblPCSInput[Valid Q1],"&lt;=3",tblPCSInput[Valid Q1],"&gt;=1"))</f>
        <v/>
      </c>
      <c r="K128" s="11">
        <f>IF(I128="","",COUNTIFS(tblPCSInput[Call Date/Time],"&gt;="&amp;(SETUP!$B$5),tblPCSInput[Call Date/Time],"&lt;"&amp;(SETUP!$B$5+1),tblPCSInput[Call Direction],"I",tblPCSInput[Agent ID],$A128,tblPCSInput[Valid Q1],"&gt;3"))</f>
        <v/>
      </c>
      <c r="L128" s="13">
        <f>IFERROR(G128/F128,"")</f>
        <v/>
      </c>
      <c r="M128" s="13">
        <f>IFERROR(H128/F128,"")</f>
        <v/>
      </c>
      <c r="N128" s="11">
        <f>IF($A128="","",MAX(0,G128-H128))</f>
        <v/>
      </c>
      <c r="O128" s="4">
        <f>IF($A128="","",IF(H128=0,"NO VALID SURVEY",IF(H128&lt;5,"LOW SAMPLE","OK")))</f>
        <v/>
      </c>
      <c r="P128" s="11">
        <f>IF($A128="","",COUNTIFS(tblPCSInput[Call Date/Time],"&gt;="&amp;(SETUP!$B$6),tblPCSInput[Call Date/Time],"&lt;"&amp;(SETUP!$B$7),tblPCSInput[Call Direction],"I",tblPCSInput[Agent ID],$A128,tblPCSInput[PCSStatus],1))</f>
        <v/>
      </c>
      <c r="Q128" s="11">
        <f>IF($A128="","",COUNTIFS(tblPCSInput[Call Date/Time],"&gt;="&amp;(SETUP!$B$6),tblPCSInput[Call Date/Time],"&lt;"&amp;(SETUP!$B$7),tblPCSInput[Call Direction],"I",tblPCSInput[Agent ID],$A128,tblPCSInput[Question 1],"&lt;&gt;"))</f>
        <v/>
      </c>
      <c r="R128" s="11">
        <f>IF($A128="","",COUNTIFS(tblPCSInput[Call Date/Time],"&gt;="&amp;(SETUP!$B$6),tblPCSInput[Call Date/Time],"&lt;"&amp;(SETUP!$B$7),tblPCSInput[Call Direction],"I",tblPCSInput[Agent ID],$A128,tblPCSInput[Valid Q1],"&gt;=1"))</f>
        <v/>
      </c>
      <c r="S128" s="12">
        <f>IFERROR(SUMIFS(tblPCSInput[Valid Q1],tblPCSInput[Call Date/Time],"&gt;="&amp;SETUP!$B$6,tblPCSInput[Call Date/Time],"&lt;"&amp;SETUP!$B$7,tblPCSInput[Call Direction],"I",tblPCSInput[Agent ID],$A128)/COUNTIFS(tblPCSInput[Call Date/Time],"&gt;="&amp;(SETUP!$B$6),tblPCSInput[Call Date/Time],"&lt;"&amp;(SETUP!$B$7),tblPCSInput[Call Direction],"I",tblPCSInput[Agent ID],$A128,tblPCSInput[Valid Q1],"&gt;=1"),"")</f>
        <v/>
      </c>
      <c r="T128" s="11">
        <f>IF(S128="","",COUNTIFS(tblPCSInput[Call Date/Time],"&gt;="&amp;(SETUP!$B$6),tblPCSInput[Call Date/Time],"&lt;"&amp;(SETUP!$B$7),tblPCSInput[Call Direction],"I",tblPCSInput[Agent ID],$A128,tblPCSInput[Valid Q1],"&lt;=3",tblPCSInput[Valid Q1],"&gt;=1"))</f>
        <v/>
      </c>
      <c r="U128" s="11">
        <f>IF(S128="","",COUNTIFS(tblPCSInput[Call Date/Time],"&gt;="&amp;(SETUP!$B$6),tblPCSInput[Call Date/Time],"&lt;"&amp;(SETUP!$B$7),tblPCSInput[Call Direction],"I",tblPCSInput[Agent ID],$A128,tblPCSInput[Valid Q1],"&gt;3"))</f>
        <v/>
      </c>
      <c r="V128" s="13">
        <f>IFERROR(Q128/P128,"")</f>
        <v/>
      </c>
      <c r="W128" s="13">
        <f>IFERROR(R128/P128,"")</f>
        <v/>
      </c>
    </row>
    <row r="129" spans="1:23">
      <c r="A129" s="4">
        <f>IF(ROSTER!A129="","",ROSTER!A129)</f>
        <v>228670</v>
      </c>
      <c r="B129" s="4" t="str">
        <f>IF($A129="","",ROSTER!C129)</f>
        <v>Chaimaa Benlaghlimi</v>
      </c>
      <c r="C129" s="4" t="str">
        <f>IF($A129="","",ROSTER!D129)</f>
        <v>Malak AZERKI</v>
      </c>
      <c r="D129" s="4" t="str">
        <f>IF($A129="","",ROSTER!E129)</f>
        <v>Anas OUAKKAD</v>
      </c>
      <c r="E129" s="4" t="str">
        <f>IF($A129="","",ROSTER!F129)</f>
        <v>OEM FR</v>
      </c>
      <c r="F129" s="11">
        <f>IF($A129="","",COUNTIFS(tblPCSInput[Call Date/Time],"&gt;="&amp;(SETUP!$B$5),tblPCSInput[Call Date/Time],"&lt;"&amp;(SETUP!$B$5+1),tblPCSInput[Call Direction],"I",tblPCSInput[Agent ID],$A129,tblPCSInput[PCSStatus],1))</f>
        <v/>
      </c>
      <c r="G129" s="11">
        <f>IF($A129="","",COUNTIFS(tblPCSInput[Call Date/Time],"&gt;="&amp;(SETUP!$B$5),tblPCSInput[Call Date/Time],"&lt;"&amp;(SETUP!$B$5+1),tblPCSInput[Call Direction],"I",tblPCSInput[Agent ID],$A129,tblPCSInput[Question 1],"&lt;&gt;"))</f>
        <v/>
      </c>
      <c r="H129" s="11">
        <f>IF($A129="","",COUNTIFS(tblPCSInput[Call Date/Time],"&gt;="&amp;(SETUP!$B$5),tblPCSInput[Call Date/Time],"&lt;"&amp;(SETUP!$B$5+1),tblPCSInput[Call Direction],"I",tblPCSInput[Agent ID],$A129,tblPCSInput[Valid Q1],"&gt;=1"))</f>
        <v/>
      </c>
      <c r="I129" s="12">
        <f>IFERROR(SUMIFS(tblPCSInput[Valid Q1],tblPCSInput[Call Date/Time],"&gt;="&amp;SETUP!$B$5,tblPCSInput[Call Date/Time],"&lt;"&amp;SETUP!$B$5+1,tblPCSInput[Call Direction],"I",tblPCSInput[Agent ID],$A129)/COUNTIFS(tblPCSInput[Call Date/Time],"&gt;="&amp;(SETUP!$B$5),tblPCSInput[Call Date/Time],"&lt;"&amp;(SETUP!$B$5+1),tblPCSInput[Call Direction],"I",tblPCSInput[Agent ID],$A129,tblPCSInput[Valid Q1],"&gt;=1"),"")</f>
        <v/>
      </c>
      <c r="J129" s="11">
        <f>IF(I129="","",COUNTIFS(tblPCSInput[Call Date/Time],"&gt;="&amp;(SETUP!$B$5),tblPCSInput[Call Date/Time],"&lt;"&amp;(SETUP!$B$5+1),tblPCSInput[Call Direction],"I",tblPCSInput[Agent ID],$A129,tblPCSInput[Valid Q1],"&lt;=3",tblPCSInput[Valid Q1],"&gt;=1"))</f>
        <v/>
      </c>
      <c r="K129" s="11">
        <f>IF(I129="","",COUNTIFS(tblPCSInput[Call Date/Time],"&gt;="&amp;(SETUP!$B$5),tblPCSInput[Call Date/Time],"&lt;"&amp;(SETUP!$B$5+1),tblPCSInput[Call Direction],"I",tblPCSInput[Agent ID],$A129,tblPCSInput[Valid Q1],"&gt;3"))</f>
        <v/>
      </c>
      <c r="L129" s="13">
        <f>IFERROR(G129/F129,"")</f>
        <v/>
      </c>
      <c r="M129" s="13">
        <f>IFERROR(H129/F129,"")</f>
        <v/>
      </c>
      <c r="N129" s="11">
        <f>IF($A129="","",MAX(0,G129-H129))</f>
        <v/>
      </c>
      <c r="O129" s="4">
        <f>IF($A129="","",IF(H129=0,"NO VALID SURVEY",IF(H129&lt;5,"LOW SAMPLE","OK")))</f>
        <v/>
      </c>
      <c r="P129" s="11">
        <f>IF($A129="","",COUNTIFS(tblPCSInput[Call Date/Time],"&gt;="&amp;(SETUP!$B$6),tblPCSInput[Call Date/Time],"&lt;"&amp;(SETUP!$B$7),tblPCSInput[Call Direction],"I",tblPCSInput[Agent ID],$A129,tblPCSInput[PCSStatus],1))</f>
        <v/>
      </c>
      <c r="Q129" s="11">
        <f>IF($A129="","",COUNTIFS(tblPCSInput[Call Date/Time],"&gt;="&amp;(SETUP!$B$6),tblPCSInput[Call Date/Time],"&lt;"&amp;(SETUP!$B$7),tblPCSInput[Call Direction],"I",tblPCSInput[Agent ID],$A129,tblPCSInput[Question 1],"&lt;&gt;"))</f>
        <v/>
      </c>
      <c r="R129" s="11">
        <f>IF($A129="","",COUNTIFS(tblPCSInput[Call Date/Time],"&gt;="&amp;(SETUP!$B$6),tblPCSInput[Call Date/Time],"&lt;"&amp;(SETUP!$B$7),tblPCSInput[Call Direction],"I",tblPCSInput[Agent ID],$A129,tblPCSInput[Valid Q1],"&gt;=1"))</f>
        <v/>
      </c>
      <c r="S129" s="12">
        <f>IFERROR(SUMIFS(tblPCSInput[Valid Q1],tblPCSInput[Call Date/Time],"&gt;="&amp;SETUP!$B$6,tblPCSInput[Call Date/Time],"&lt;"&amp;SETUP!$B$7,tblPCSInput[Call Direction],"I",tblPCSInput[Agent ID],$A129)/COUNTIFS(tblPCSInput[Call Date/Time],"&gt;="&amp;(SETUP!$B$6),tblPCSInput[Call Date/Time],"&lt;"&amp;(SETUP!$B$7),tblPCSInput[Call Direction],"I",tblPCSInput[Agent ID],$A129,tblPCSInput[Valid Q1],"&gt;=1"),"")</f>
        <v/>
      </c>
      <c r="T129" s="11">
        <f>IF(S129="","",COUNTIFS(tblPCSInput[Call Date/Time],"&gt;="&amp;(SETUP!$B$6),tblPCSInput[Call Date/Time],"&lt;"&amp;(SETUP!$B$7),tblPCSInput[Call Direction],"I",tblPCSInput[Agent ID],$A129,tblPCSInput[Valid Q1],"&lt;=3",tblPCSInput[Valid Q1],"&gt;=1"))</f>
        <v/>
      </c>
      <c r="U129" s="11">
        <f>IF(S129="","",COUNTIFS(tblPCSInput[Call Date/Time],"&gt;="&amp;(SETUP!$B$6),tblPCSInput[Call Date/Time],"&lt;"&amp;(SETUP!$B$7),tblPCSInput[Call Direction],"I",tblPCSInput[Agent ID],$A129,tblPCSInput[Valid Q1],"&gt;3"))</f>
        <v/>
      </c>
      <c r="V129" s="13">
        <f>IFERROR(Q129/P129,"")</f>
        <v/>
      </c>
      <c r="W129" s="13">
        <f>IFERROR(R129/P129,"")</f>
        <v/>
      </c>
    </row>
    <row r="130" spans="1:23">
      <c r="A130" s="4">
        <f>IF(ROSTER!A130="","",ROSTER!A130)</f>
        <v>228672</v>
      </c>
      <c r="B130" s="4" t="str">
        <f>IF($A130="","",ROSTER!C130)</f>
        <v>Mohamed Ali Dreif</v>
      </c>
      <c r="C130" s="4" t="str">
        <f>IF($A130="","",ROSTER!D130)</f>
        <v>Zineb MOUFID</v>
      </c>
      <c r="D130" s="4" t="str">
        <f>IF($A130="","",ROSTER!E130)</f>
        <v>Anas OUAKKAD</v>
      </c>
      <c r="E130" s="4" t="str">
        <f>IF($A130="","",ROSTER!F130)</f>
        <v>OEM FR</v>
      </c>
      <c r="F130" s="11">
        <f>IF($A130="","",COUNTIFS(tblPCSInput[Call Date/Time],"&gt;="&amp;(SETUP!$B$5),tblPCSInput[Call Date/Time],"&lt;"&amp;(SETUP!$B$5+1),tblPCSInput[Call Direction],"I",tblPCSInput[Agent ID],$A130,tblPCSInput[PCSStatus],1))</f>
        <v/>
      </c>
      <c r="G130" s="11">
        <f>IF($A130="","",COUNTIFS(tblPCSInput[Call Date/Time],"&gt;="&amp;(SETUP!$B$5),tblPCSInput[Call Date/Time],"&lt;"&amp;(SETUP!$B$5+1),tblPCSInput[Call Direction],"I",tblPCSInput[Agent ID],$A130,tblPCSInput[Question 1],"&lt;&gt;"))</f>
        <v/>
      </c>
      <c r="H130" s="11">
        <f>IF($A130="","",COUNTIFS(tblPCSInput[Call Date/Time],"&gt;="&amp;(SETUP!$B$5),tblPCSInput[Call Date/Time],"&lt;"&amp;(SETUP!$B$5+1),tblPCSInput[Call Direction],"I",tblPCSInput[Agent ID],$A130,tblPCSInput[Valid Q1],"&gt;=1"))</f>
        <v/>
      </c>
      <c r="I130" s="12">
        <f>IFERROR(SUMIFS(tblPCSInput[Valid Q1],tblPCSInput[Call Date/Time],"&gt;="&amp;SETUP!$B$5,tblPCSInput[Call Date/Time],"&lt;"&amp;SETUP!$B$5+1,tblPCSInput[Call Direction],"I",tblPCSInput[Agent ID],$A130)/COUNTIFS(tblPCSInput[Call Date/Time],"&gt;="&amp;(SETUP!$B$5),tblPCSInput[Call Date/Time],"&lt;"&amp;(SETUP!$B$5+1),tblPCSInput[Call Direction],"I",tblPCSInput[Agent ID],$A130,tblPCSInput[Valid Q1],"&gt;=1"),"")</f>
        <v/>
      </c>
      <c r="J130" s="11">
        <f>IF(I130="","",COUNTIFS(tblPCSInput[Call Date/Time],"&gt;="&amp;(SETUP!$B$5),tblPCSInput[Call Date/Time],"&lt;"&amp;(SETUP!$B$5+1),tblPCSInput[Call Direction],"I",tblPCSInput[Agent ID],$A130,tblPCSInput[Valid Q1],"&lt;=3",tblPCSInput[Valid Q1],"&gt;=1"))</f>
        <v/>
      </c>
      <c r="K130" s="11">
        <f>IF(I130="","",COUNTIFS(tblPCSInput[Call Date/Time],"&gt;="&amp;(SETUP!$B$5),tblPCSInput[Call Date/Time],"&lt;"&amp;(SETUP!$B$5+1),tblPCSInput[Call Direction],"I",tblPCSInput[Agent ID],$A130,tblPCSInput[Valid Q1],"&gt;3"))</f>
        <v/>
      </c>
      <c r="L130" s="13">
        <f>IFERROR(G130/F130,"")</f>
        <v/>
      </c>
      <c r="M130" s="13">
        <f>IFERROR(H130/F130,"")</f>
        <v/>
      </c>
      <c r="N130" s="11">
        <f>IF($A130="","",MAX(0,G130-H130))</f>
        <v/>
      </c>
      <c r="O130" s="4">
        <f>IF($A130="","",IF(H130=0,"NO VALID SURVEY",IF(H130&lt;5,"LOW SAMPLE","OK")))</f>
        <v/>
      </c>
      <c r="P130" s="11">
        <f>IF($A130="","",COUNTIFS(tblPCSInput[Call Date/Time],"&gt;="&amp;(SETUP!$B$6),tblPCSInput[Call Date/Time],"&lt;"&amp;(SETUP!$B$7),tblPCSInput[Call Direction],"I",tblPCSInput[Agent ID],$A130,tblPCSInput[PCSStatus],1))</f>
        <v/>
      </c>
      <c r="Q130" s="11">
        <f>IF($A130="","",COUNTIFS(tblPCSInput[Call Date/Time],"&gt;="&amp;(SETUP!$B$6),tblPCSInput[Call Date/Time],"&lt;"&amp;(SETUP!$B$7),tblPCSInput[Call Direction],"I",tblPCSInput[Agent ID],$A130,tblPCSInput[Question 1],"&lt;&gt;"))</f>
        <v/>
      </c>
      <c r="R130" s="11">
        <f>IF($A130="","",COUNTIFS(tblPCSInput[Call Date/Time],"&gt;="&amp;(SETUP!$B$6),tblPCSInput[Call Date/Time],"&lt;"&amp;(SETUP!$B$7),tblPCSInput[Call Direction],"I",tblPCSInput[Agent ID],$A130,tblPCSInput[Valid Q1],"&gt;=1"))</f>
        <v/>
      </c>
      <c r="S130" s="12">
        <f>IFERROR(SUMIFS(tblPCSInput[Valid Q1],tblPCSInput[Call Date/Time],"&gt;="&amp;SETUP!$B$6,tblPCSInput[Call Date/Time],"&lt;"&amp;SETUP!$B$7,tblPCSInput[Call Direction],"I",tblPCSInput[Agent ID],$A130)/COUNTIFS(tblPCSInput[Call Date/Time],"&gt;="&amp;(SETUP!$B$6),tblPCSInput[Call Date/Time],"&lt;"&amp;(SETUP!$B$7),tblPCSInput[Call Direction],"I",tblPCSInput[Agent ID],$A130,tblPCSInput[Valid Q1],"&gt;=1"),"")</f>
        <v/>
      </c>
      <c r="T130" s="11">
        <f>IF(S130="","",COUNTIFS(tblPCSInput[Call Date/Time],"&gt;="&amp;(SETUP!$B$6),tblPCSInput[Call Date/Time],"&lt;"&amp;(SETUP!$B$7),tblPCSInput[Call Direction],"I",tblPCSInput[Agent ID],$A130,tblPCSInput[Valid Q1],"&lt;=3",tblPCSInput[Valid Q1],"&gt;=1"))</f>
        <v/>
      </c>
      <c r="U130" s="11">
        <f>IF(S130="","",COUNTIFS(tblPCSInput[Call Date/Time],"&gt;="&amp;(SETUP!$B$6),tblPCSInput[Call Date/Time],"&lt;"&amp;(SETUP!$B$7),tblPCSInput[Call Direction],"I",tblPCSInput[Agent ID],$A130,tblPCSInput[Valid Q1],"&gt;3"))</f>
        <v/>
      </c>
      <c r="V130" s="13">
        <f>IFERROR(Q130/P130,"")</f>
        <v/>
      </c>
      <c r="W130" s="13">
        <f>IFERROR(R130/P130,"")</f>
        <v/>
      </c>
    </row>
    <row r="131" spans="1:23">
      <c r="A131" s="4">
        <f>IF(ROSTER!A131="","",ROSTER!A131)</f>
        <v>228673</v>
      </c>
      <c r="B131" s="4" t="str">
        <f>IF($A131="","",ROSTER!C131)</f>
        <v>Imane Karoui</v>
      </c>
      <c r="C131" s="4" t="str">
        <f>IF($A131="","",ROSTER!D131)</f>
        <v>Zineb MOUFID</v>
      </c>
      <c r="D131" s="4" t="str">
        <f>IF($A131="","",ROSTER!E131)</f>
        <v>Anas OUAKKAD</v>
      </c>
      <c r="E131" s="4" t="str">
        <f>IF($A131="","",ROSTER!F131)</f>
        <v>OEM FR</v>
      </c>
      <c r="F131" s="11">
        <f>IF($A131="","",COUNTIFS(tblPCSInput[Call Date/Time],"&gt;="&amp;(SETUP!$B$5),tblPCSInput[Call Date/Time],"&lt;"&amp;(SETUP!$B$5+1),tblPCSInput[Call Direction],"I",tblPCSInput[Agent ID],$A131,tblPCSInput[PCSStatus],1))</f>
        <v/>
      </c>
      <c r="G131" s="11">
        <f>IF($A131="","",COUNTIFS(tblPCSInput[Call Date/Time],"&gt;="&amp;(SETUP!$B$5),tblPCSInput[Call Date/Time],"&lt;"&amp;(SETUP!$B$5+1),tblPCSInput[Call Direction],"I",tblPCSInput[Agent ID],$A131,tblPCSInput[Question 1],"&lt;&gt;"))</f>
        <v/>
      </c>
      <c r="H131" s="11">
        <f>IF($A131="","",COUNTIFS(tblPCSInput[Call Date/Time],"&gt;="&amp;(SETUP!$B$5),tblPCSInput[Call Date/Time],"&lt;"&amp;(SETUP!$B$5+1),tblPCSInput[Call Direction],"I",tblPCSInput[Agent ID],$A131,tblPCSInput[Valid Q1],"&gt;=1"))</f>
        <v/>
      </c>
      <c r="I131" s="12">
        <f>IFERROR(SUMIFS(tblPCSInput[Valid Q1],tblPCSInput[Call Date/Time],"&gt;="&amp;SETUP!$B$5,tblPCSInput[Call Date/Time],"&lt;"&amp;SETUP!$B$5+1,tblPCSInput[Call Direction],"I",tblPCSInput[Agent ID],$A131)/COUNTIFS(tblPCSInput[Call Date/Time],"&gt;="&amp;(SETUP!$B$5),tblPCSInput[Call Date/Time],"&lt;"&amp;(SETUP!$B$5+1),tblPCSInput[Call Direction],"I",tblPCSInput[Agent ID],$A131,tblPCSInput[Valid Q1],"&gt;=1"),"")</f>
        <v/>
      </c>
      <c r="J131" s="11">
        <f>IF(I131="","",COUNTIFS(tblPCSInput[Call Date/Time],"&gt;="&amp;(SETUP!$B$5),tblPCSInput[Call Date/Time],"&lt;"&amp;(SETUP!$B$5+1),tblPCSInput[Call Direction],"I",tblPCSInput[Agent ID],$A131,tblPCSInput[Valid Q1],"&lt;=3",tblPCSInput[Valid Q1],"&gt;=1"))</f>
        <v/>
      </c>
      <c r="K131" s="11">
        <f>IF(I131="","",COUNTIFS(tblPCSInput[Call Date/Time],"&gt;="&amp;(SETUP!$B$5),tblPCSInput[Call Date/Time],"&lt;"&amp;(SETUP!$B$5+1),tblPCSInput[Call Direction],"I",tblPCSInput[Agent ID],$A131,tblPCSInput[Valid Q1],"&gt;3"))</f>
        <v/>
      </c>
      <c r="L131" s="13">
        <f>IFERROR(G131/F131,"")</f>
        <v/>
      </c>
      <c r="M131" s="13">
        <f>IFERROR(H131/F131,"")</f>
        <v/>
      </c>
      <c r="N131" s="11">
        <f>IF($A131="","",MAX(0,G131-H131))</f>
        <v/>
      </c>
      <c r="O131" s="4">
        <f>IF($A131="","",IF(H131=0,"NO VALID SURVEY",IF(H131&lt;5,"LOW SAMPLE","OK")))</f>
        <v/>
      </c>
      <c r="P131" s="11">
        <f>IF($A131="","",COUNTIFS(tblPCSInput[Call Date/Time],"&gt;="&amp;(SETUP!$B$6),tblPCSInput[Call Date/Time],"&lt;"&amp;(SETUP!$B$7),tblPCSInput[Call Direction],"I",tblPCSInput[Agent ID],$A131,tblPCSInput[PCSStatus],1))</f>
        <v/>
      </c>
      <c r="Q131" s="11">
        <f>IF($A131="","",COUNTIFS(tblPCSInput[Call Date/Time],"&gt;="&amp;(SETUP!$B$6),tblPCSInput[Call Date/Time],"&lt;"&amp;(SETUP!$B$7),tblPCSInput[Call Direction],"I",tblPCSInput[Agent ID],$A131,tblPCSInput[Question 1],"&lt;&gt;"))</f>
        <v/>
      </c>
      <c r="R131" s="11">
        <f>IF($A131="","",COUNTIFS(tblPCSInput[Call Date/Time],"&gt;="&amp;(SETUP!$B$6),tblPCSInput[Call Date/Time],"&lt;"&amp;(SETUP!$B$7),tblPCSInput[Call Direction],"I",tblPCSInput[Agent ID],$A131,tblPCSInput[Valid Q1],"&gt;=1"))</f>
        <v/>
      </c>
      <c r="S131" s="12">
        <f>IFERROR(SUMIFS(tblPCSInput[Valid Q1],tblPCSInput[Call Date/Time],"&gt;="&amp;SETUP!$B$6,tblPCSInput[Call Date/Time],"&lt;"&amp;SETUP!$B$7,tblPCSInput[Call Direction],"I",tblPCSInput[Agent ID],$A131)/COUNTIFS(tblPCSInput[Call Date/Time],"&gt;="&amp;(SETUP!$B$6),tblPCSInput[Call Date/Time],"&lt;"&amp;(SETUP!$B$7),tblPCSInput[Call Direction],"I",tblPCSInput[Agent ID],$A131,tblPCSInput[Valid Q1],"&gt;=1"),"")</f>
        <v/>
      </c>
      <c r="T131" s="11">
        <f>IF(S131="","",COUNTIFS(tblPCSInput[Call Date/Time],"&gt;="&amp;(SETUP!$B$6),tblPCSInput[Call Date/Time],"&lt;"&amp;(SETUP!$B$7),tblPCSInput[Call Direction],"I",tblPCSInput[Agent ID],$A131,tblPCSInput[Valid Q1],"&lt;=3",tblPCSInput[Valid Q1],"&gt;=1"))</f>
        <v/>
      </c>
      <c r="U131" s="11">
        <f>IF(S131="","",COUNTIFS(tblPCSInput[Call Date/Time],"&gt;="&amp;(SETUP!$B$6),tblPCSInput[Call Date/Time],"&lt;"&amp;(SETUP!$B$7),tblPCSInput[Call Direction],"I",tblPCSInput[Agent ID],$A131,tblPCSInput[Valid Q1],"&gt;3"))</f>
        <v/>
      </c>
      <c r="V131" s="13">
        <f>IFERROR(Q131/P131,"")</f>
        <v/>
      </c>
      <c r="W131" s="13">
        <f>IFERROR(R131/P131,"")</f>
        <v/>
      </c>
    </row>
    <row r="132" spans="1:23">
      <c r="A132" s="4">
        <f>IF(ROSTER!A132="","",ROSTER!A132)</f>
        <v>230748</v>
      </c>
      <c r="B132" s="4" t="str">
        <f>IF($A132="","",ROSTER!C132)</f>
        <v>Driss Oujer</v>
      </c>
      <c r="C132" s="4" t="str">
        <f>IF($A132="","",ROSTER!D132)</f>
        <v>Zineb MOUFID</v>
      </c>
      <c r="D132" s="4" t="str">
        <f>IF($A132="","",ROSTER!E132)</f>
        <v>Anas OUAKKAD</v>
      </c>
      <c r="E132" s="4" t="str">
        <f>IF($A132="","",ROSTER!F132)</f>
        <v>OEM FR</v>
      </c>
      <c r="F132" s="11">
        <f>IF($A132="","",COUNTIFS(tblPCSInput[Call Date/Time],"&gt;="&amp;(SETUP!$B$5),tblPCSInput[Call Date/Time],"&lt;"&amp;(SETUP!$B$5+1),tblPCSInput[Call Direction],"I",tblPCSInput[Agent ID],$A132,tblPCSInput[PCSStatus],1))</f>
        <v/>
      </c>
      <c r="G132" s="11">
        <f>IF($A132="","",COUNTIFS(tblPCSInput[Call Date/Time],"&gt;="&amp;(SETUP!$B$5),tblPCSInput[Call Date/Time],"&lt;"&amp;(SETUP!$B$5+1),tblPCSInput[Call Direction],"I",tblPCSInput[Agent ID],$A132,tblPCSInput[Question 1],"&lt;&gt;"))</f>
        <v/>
      </c>
      <c r="H132" s="11">
        <f>IF($A132="","",COUNTIFS(tblPCSInput[Call Date/Time],"&gt;="&amp;(SETUP!$B$5),tblPCSInput[Call Date/Time],"&lt;"&amp;(SETUP!$B$5+1),tblPCSInput[Call Direction],"I",tblPCSInput[Agent ID],$A132,tblPCSInput[Valid Q1],"&gt;=1"))</f>
        <v/>
      </c>
      <c r="I132" s="12">
        <f>IFERROR(SUMIFS(tblPCSInput[Valid Q1],tblPCSInput[Call Date/Time],"&gt;="&amp;SETUP!$B$5,tblPCSInput[Call Date/Time],"&lt;"&amp;SETUP!$B$5+1,tblPCSInput[Call Direction],"I",tblPCSInput[Agent ID],$A132)/COUNTIFS(tblPCSInput[Call Date/Time],"&gt;="&amp;(SETUP!$B$5),tblPCSInput[Call Date/Time],"&lt;"&amp;(SETUP!$B$5+1),tblPCSInput[Call Direction],"I",tblPCSInput[Agent ID],$A132,tblPCSInput[Valid Q1],"&gt;=1"),"")</f>
        <v/>
      </c>
      <c r="J132" s="11">
        <f>IF(I132="","",COUNTIFS(tblPCSInput[Call Date/Time],"&gt;="&amp;(SETUP!$B$5),tblPCSInput[Call Date/Time],"&lt;"&amp;(SETUP!$B$5+1),tblPCSInput[Call Direction],"I",tblPCSInput[Agent ID],$A132,tblPCSInput[Valid Q1],"&lt;=3",tblPCSInput[Valid Q1],"&gt;=1"))</f>
        <v/>
      </c>
      <c r="K132" s="11">
        <f>IF(I132="","",COUNTIFS(tblPCSInput[Call Date/Time],"&gt;="&amp;(SETUP!$B$5),tblPCSInput[Call Date/Time],"&lt;"&amp;(SETUP!$B$5+1),tblPCSInput[Call Direction],"I",tblPCSInput[Agent ID],$A132,tblPCSInput[Valid Q1],"&gt;3"))</f>
        <v/>
      </c>
      <c r="L132" s="13">
        <f>IFERROR(G132/F132,"")</f>
        <v/>
      </c>
      <c r="M132" s="13">
        <f>IFERROR(H132/F132,"")</f>
        <v/>
      </c>
      <c r="N132" s="11">
        <f>IF($A132="","",MAX(0,G132-H132))</f>
        <v/>
      </c>
      <c r="O132" s="4">
        <f>IF($A132="","",IF(H132=0,"NO VALID SURVEY",IF(H132&lt;5,"LOW SAMPLE","OK")))</f>
        <v/>
      </c>
      <c r="P132" s="11">
        <f>IF($A132="","",COUNTIFS(tblPCSInput[Call Date/Time],"&gt;="&amp;(SETUP!$B$6),tblPCSInput[Call Date/Time],"&lt;"&amp;(SETUP!$B$7),tblPCSInput[Call Direction],"I",tblPCSInput[Agent ID],$A132,tblPCSInput[PCSStatus],1))</f>
        <v/>
      </c>
      <c r="Q132" s="11">
        <f>IF($A132="","",COUNTIFS(tblPCSInput[Call Date/Time],"&gt;="&amp;(SETUP!$B$6),tblPCSInput[Call Date/Time],"&lt;"&amp;(SETUP!$B$7),tblPCSInput[Call Direction],"I",tblPCSInput[Agent ID],$A132,tblPCSInput[Question 1],"&lt;&gt;"))</f>
        <v/>
      </c>
      <c r="R132" s="11">
        <f>IF($A132="","",COUNTIFS(tblPCSInput[Call Date/Time],"&gt;="&amp;(SETUP!$B$6),tblPCSInput[Call Date/Time],"&lt;"&amp;(SETUP!$B$7),tblPCSInput[Call Direction],"I",tblPCSInput[Agent ID],$A132,tblPCSInput[Valid Q1],"&gt;=1"))</f>
        <v/>
      </c>
      <c r="S132" s="12">
        <f>IFERROR(SUMIFS(tblPCSInput[Valid Q1],tblPCSInput[Call Date/Time],"&gt;="&amp;SETUP!$B$6,tblPCSInput[Call Date/Time],"&lt;"&amp;SETUP!$B$7,tblPCSInput[Call Direction],"I",tblPCSInput[Agent ID],$A132)/COUNTIFS(tblPCSInput[Call Date/Time],"&gt;="&amp;(SETUP!$B$6),tblPCSInput[Call Date/Time],"&lt;"&amp;(SETUP!$B$7),tblPCSInput[Call Direction],"I",tblPCSInput[Agent ID],$A132,tblPCSInput[Valid Q1],"&gt;=1"),"")</f>
        <v/>
      </c>
      <c r="T132" s="11">
        <f>IF(S132="","",COUNTIFS(tblPCSInput[Call Date/Time],"&gt;="&amp;(SETUP!$B$6),tblPCSInput[Call Date/Time],"&lt;"&amp;(SETUP!$B$7),tblPCSInput[Call Direction],"I",tblPCSInput[Agent ID],$A132,tblPCSInput[Valid Q1],"&lt;=3",tblPCSInput[Valid Q1],"&gt;=1"))</f>
        <v/>
      </c>
      <c r="U132" s="11">
        <f>IF(S132="","",COUNTIFS(tblPCSInput[Call Date/Time],"&gt;="&amp;(SETUP!$B$6),tblPCSInput[Call Date/Time],"&lt;"&amp;(SETUP!$B$7),tblPCSInput[Call Direction],"I",tblPCSInput[Agent ID],$A132,tblPCSInput[Valid Q1],"&gt;3"))</f>
        <v/>
      </c>
      <c r="V132" s="13">
        <f>IFERROR(Q132/P132,"")</f>
        <v/>
      </c>
      <c r="W132" s="13">
        <f>IFERROR(R132/P132,"")</f>
        <v/>
      </c>
    </row>
    <row r="133" spans="1:23">
      <c r="A133" s="4">
        <f>IF(ROSTER!A133="","",ROSTER!A133)</f>
        <v>96457</v>
      </c>
      <c r="B133" s="4" t="str">
        <f>IF($A133="","",ROSTER!C133)</f>
        <v>SAMAR Said</v>
      </c>
      <c r="C133" s="4" t="str">
        <f>IF($A133="","",ROSTER!D133)</f>
        <v>Youssef KHADLY</v>
      </c>
      <c r="D133" s="4" t="str">
        <f>IF($A133="","",ROSTER!E133)</f>
        <v>Jawad BAKRIMI</v>
      </c>
      <c r="E133" s="4" t="str">
        <f>IF($A133="","",ROSTER!F133)</f>
        <v>RSA NL</v>
      </c>
      <c r="F133" s="11">
        <f>IF($A133="","",COUNTIFS(tblPCSInput[Call Date/Time],"&gt;="&amp;(SETUP!$B$5),tblPCSInput[Call Date/Time],"&lt;"&amp;(SETUP!$B$5+1),tblPCSInput[Call Direction],"I",tblPCSInput[Agent ID],$A133,tblPCSInput[PCSStatus],1))</f>
        <v/>
      </c>
      <c r="G133" s="11">
        <f>IF($A133="","",COUNTIFS(tblPCSInput[Call Date/Time],"&gt;="&amp;(SETUP!$B$5),tblPCSInput[Call Date/Time],"&lt;"&amp;(SETUP!$B$5+1),tblPCSInput[Call Direction],"I",tblPCSInput[Agent ID],$A133,tblPCSInput[Question 1],"&lt;&gt;"))</f>
        <v/>
      </c>
      <c r="H133" s="11">
        <f>IF($A133="","",COUNTIFS(tblPCSInput[Call Date/Time],"&gt;="&amp;(SETUP!$B$5),tblPCSInput[Call Date/Time],"&lt;"&amp;(SETUP!$B$5+1),tblPCSInput[Call Direction],"I",tblPCSInput[Agent ID],$A133,tblPCSInput[Valid Q1],"&gt;=1"))</f>
        <v/>
      </c>
      <c r="I133" s="12">
        <f>IFERROR(SUMIFS(tblPCSInput[Valid Q1],tblPCSInput[Call Date/Time],"&gt;="&amp;SETUP!$B$5,tblPCSInput[Call Date/Time],"&lt;"&amp;SETUP!$B$5+1,tblPCSInput[Call Direction],"I",tblPCSInput[Agent ID],$A133)/COUNTIFS(tblPCSInput[Call Date/Time],"&gt;="&amp;(SETUP!$B$5),tblPCSInput[Call Date/Time],"&lt;"&amp;(SETUP!$B$5+1),tblPCSInput[Call Direction],"I",tblPCSInput[Agent ID],$A133,tblPCSInput[Valid Q1],"&gt;=1"),"")</f>
        <v/>
      </c>
      <c r="J133" s="11">
        <f>IF(I133="","",COUNTIFS(tblPCSInput[Call Date/Time],"&gt;="&amp;(SETUP!$B$5),tblPCSInput[Call Date/Time],"&lt;"&amp;(SETUP!$B$5+1),tblPCSInput[Call Direction],"I",tblPCSInput[Agent ID],$A133,tblPCSInput[Valid Q1],"&lt;=3",tblPCSInput[Valid Q1],"&gt;=1"))</f>
        <v/>
      </c>
      <c r="K133" s="11">
        <f>IF(I133="","",COUNTIFS(tblPCSInput[Call Date/Time],"&gt;="&amp;(SETUP!$B$5),tblPCSInput[Call Date/Time],"&lt;"&amp;(SETUP!$B$5+1),tblPCSInput[Call Direction],"I",tblPCSInput[Agent ID],$A133,tblPCSInput[Valid Q1],"&gt;3"))</f>
        <v/>
      </c>
      <c r="L133" s="13">
        <f>IFERROR(G133/F133,"")</f>
        <v/>
      </c>
      <c r="M133" s="13">
        <f>IFERROR(H133/F133,"")</f>
        <v/>
      </c>
      <c r="N133" s="11">
        <f>IF($A133="","",MAX(0,G133-H133))</f>
        <v/>
      </c>
      <c r="O133" s="4">
        <f>IF($A133="","",IF(H133=0,"NO VALID SURVEY",IF(H133&lt;5,"LOW SAMPLE","OK")))</f>
        <v/>
      </c>
      <c r="P133" s="11">
        <f>IF($A133="","",COUNTIFS(tblPCSInput[Call Date/Time],"&gt;="&amp;(SETUP!$B$6),tblPCSInput[Call Date/Time],"&lt;"&amp;(SETUP!$B$7),tblPCSInput[Call Direction],"I",tblPCSInput[Agent ID],$A133,tblPCSInput[PCSStatus],1))</f>
        <v/>
      </c>
      <c r="Q133" s="11">
        <f>IF($A133="","",COUNTIFS(tblPCSInput[Call Date/Time],"&gt;="&amp;(SETUP!$B$6),tblPCSInput[Call Date/Time],"&lt;"&amp;(SETUP!$B$7),tblPCSInput[Call Direction],"I",tblPCSInput[Agent ID],$A133,tblPCSInput[Question 1],"&lt;&gt;"))</f>
        <v/>
      </c>
      <c r="R133" s="11">
        <f>IF($A133="","",COUNTIFS(tblPCSInput[Call Date/Time],"&gt;="&amp;(SETUP!$B$6),tblPCSInput[Call Date/Time],"&lt;"&amp;(SETUP!$B$7),tblPCSInput[Call Direction],"I",tblPCSInput[Agent ID],$A133,tblPCSInput[Valid Q1],"&gt;=1"))</f>
        <v/>
      </c>
      <c r="S133" s="12">
        <f>IFERROR(SUMIFS(tblPCSInput[Valid Q1],tblPCSInput[Call Date/Time],"&gt;="&amp;SETUP!$B$6,tblPCSInput[Call Date/Time],"&lt;"&amp;SETUP!$B$7,tblPCSInput[Call Direction],"I",tblPCSInput[Agent ID],$A133)/COUNTIFS(tblPCSInput[Call Date/Time],"&gt;="&amp;(SETUP!$B$6),tblPCSInput[Call Date/Time],"&lt;"&amp;(SETUP!$B$7),tblPCSInput[Call Direction],"I",tblPCSInput[Agent ID],$A133,tblPCSInput[Valid Q1],"&gt;=1"),"")</f>
        <v/>
      </c>
      <c r="T133" s="11">
        <f>IF(S133="","",COUNTIFS(tblPCSInput[Call Date/Time],"&gt;="&amp;(SETUP!$B$6),tblPCSInput[Call Date/Time],"&lt;"&amp;(SETUP!$B$7),tblPCSInput[Call Direction],"I",tblPCSInput[Agent ID],$A133,tblPCSInput[Valid Q1],"&lt;=3",tblPCSInput[Valid Q1],"&gt;=1"))</f>
        <v/>
      </c>
      <c r="U133" s="11">
        <f>IF(S133="","",COUNTIFS(tblPCSInput[Call Date/Time],"&gt;="&amp;(SETUP!$B$6),tblPCSInput[Call Date/Time],"&lt;"&amp;(SETUP!$B$7),tblPCSInput[Call Direction],"I",tblPCSInput[Agent ID],$A133,tblPCSInput[Valid Q1],"&gt;3"))</f>
        <v/>
      </c>
      <c r="V133" s="13">
        <f>IFERROR(Q133/P133,"")</f>
        <v/>
      </c>
      <c r="W133" s="13">
        <f>IFERROR(R133/P133,"")</f>
        <v/>
      </c>
    </row>
    <row r="134" spans="1:23">
      <c r="A134" s="4">
        <f>IF(ROSTER!A134="","",ROSTER!A134)</f>
        <v>96475</v>
      </c>
      <c r="B134" s="4" t="str">
        <f>IF($A134="","",ROSTER!C134)</f>
        <v>AL TAMIMI Zeynab</v>
      </c>
      <c r="C134" s="4" t="str">
        <f>IF($A134="","",ROSTER!D134)</f>
        <v>Onboarding</v>
      </c>
      <c r="D134" s="4" t="str">
        <f>IF($A134="","",ROSTER!E134)</f>
        <v>Anas OUAKKAD</v>
      </c>
      <c r="E134" s="4" t="str">
        <f>IF($A134="","",ROSTER!F134)</f>
        <v>RSA NL</v>
      </c>
      <c r="F134" s="11">
        <f>IF($A134="","",COUNTIFS(tblPCSInput[Call Date/Time],"&gt;="&amp;(SETUP!$B$5),tblPCSInput[Call Date/Time],"&lt;"&amp;(SETUP!$B$5+1),tblPCSInput[Call Direction],"I",tblPCSInput[Agent ID],$A134,tblPCSInput[PCSStatus],1))</f>
        <v/>
      </c>
      <c r="G134" s="11">
        <f>IF($A134="","",COUNTIFS(tblPCSInput[Call Date/Time],"&gt;="&amp;(SETUP!$B$5),tblPCSInput[Call Date/Time],"&lt;"&amp;(SETUP!$B$5+1),tblPCSInput[Call Direction],"I",tblPCSInput[Agent ID],$A134,tblPCSInput[Question 1],"&lt;&gt;"))</f>
        <v/>
      </c>
      <c r="H134" s="11">
        <f>IF($A134="","",COUNTIFS(tblPCSInput[Call Date/Time],"&gt;="&amp;(SETUP!$B$5),tblPCSInput[Call Date/Time],"&lt;"&amp;(SETUP!$B$5+1),tblPCSInput[Call Direction],"I",tblPCSInput[Agent ID],$A134,tblPCSInput[Valid Q1],"&gt;=1"))</f>
        <v/>
      </c>
      <c r="I134" s="12">
        <f>IFERROR(SUMIFS(tblPCSInput[Valid Q1],tblPCSInput[Call Date/Time],"&gt;="&amp;SETUP!$B$5,tblPCSInput[Call Date/Time],"&lt;"&amp;SETUP!$B$5+1,tblPCSInput[Call Direction],"I",tblPCSInput[Agent ID],$A134)/COUNTIFS(tblPCSInput[Call Date/Time],"&gt;="&amp;(SETUP!$B$5),tblPCSInput[Call Date/Time],"&lt;"&amp;(SETUP!$B$5+1),tblPCSInput[Call Direction],"I",tblPCSInput[Agent ID],$A134,tblPCSInput[Valid Q1],"&gt;=1"),"")</f>
        <v/>
      </c>
      <c r="J134" s="11">
        <f>IF(I134="","",COUNTIFS(tblPCSInput[Call Date/Time],"&gt;="&amp;(SETUP!$B$5),tblPCSInput[Call Date/Time],"&lt;"&amp;(SETUP!$B$5+1),tblPCSInput[Call Direction],"I",tblPCSInput[Agent ID],$A134,tblPCSInput[Valid Q1],"&lt;=3",tblPCSInput[Valid Q1],"&gt;=1"))</f>
        <v/>
      </c>
      <c r="K134" s="11">
        <f>IF(I134="","",COUNTIFS(tblPCSInput[Call Date/Time],"&gt;="&amp;(SETUP!$B$5),tblPCSInput[Call Date/Time],"&lt;"&amp;(SETUP!$B$5+1),tblPCSInput[Call Direction],"I",tblPCSInput[Agent ID],$A134,tblPCSInput[Valid Q1],"&gt;3"))</f>
        <v/>
      </c>
      <c r="L134" s="13">
        <f>IFERROR(G134/F134,"")</f>
        <v/>
      </c>
      <c r="M134" s="13">
        <f>IFERROR(H134/F134,"")</f>
        <v/>
      </c>
      <c r="N134" s="11">
        <f>IF($A134="","",MAX(0,G134-H134))</f>
        <v/>
      </c>
      <c r="O134" s="4">
        <f>IF($A134="","",IF(H134=0,"NO VALID SURVEY",IF(H134&lt;5,"LOW SAMPLE","OK")))</f>
        <v/>
      </c>
      <c r="P134" s="11">
        <f>IF($A134="","",COUNTIFS(tblPCSInput[Call Date/Time],"&gt;="&amp;(SETUP!$B$6),tblPCSInput[Call Date/Time],"&lt;"&amp;(SETUP!$B$7),tblPCSInput[Call Direction],"I",tblPCSInput[Agent ID],$A134,tblPCSInput[PCSStatus],1))</f>
        <v/>
      </c>
      <c r="Q134" s="11">
        <f>IF($A134="","",COUNTIFS(tblPCSInput[Call Date/Time],"&gt;="&amp;(SETUP!$B$6),tblPCSInput[Call Date/Time],"&lt;"&amp;(SETUP!$B$7),tblPCSInput[Call Direction],"I",tblPCSInput[Agent ID],$A134,tblPCSInput[Question 1],"&lt;&gt;"))</f>
        <v/>
      </c>
      <c r="R134" s="11">
        <f>IF($A134="","",COUNTIFS(tblPCSInput[Call Date/Time],"&gt;="&amp;(SETUP!$B$6),tblPCSInput[Call Date/Time],"&lt;"&amp;(SETUP!$B$7),tblPCSInput[Call Direction],"I",tblPCSInput[Agent ID],$A134,tblPCSInput[Valid Q1],"&gt;=1"))</f>
        <v/>
      </c>
      <c r="S134" s="12">
        <f>IFERROR(SUMIFS(tblPCSInput[Valid Q1],tblPCSInput[Call Date/Time],"&gt;="&amp;SETUP!$B$6,tblPCSInput[Call Date/Time],"&lt;"&amp;SETUP!$B$7,tblPCSInput[Call Direction],"I",tblPCSInput[Agent ID],$A134)/COUNTIFS(tblPCSInput[Call Date/Time],"&gt;="&amp;(SETUP!$B$6),tblPCSInput[Call Date/Time],"&lt;"&amp;(SETUP!$B$7),tblPCSInput[Call Direction],"I",tblPCSInput[Agent ID],$A134,tblPCSInput[Valid Q1],"&gt;=1"),"")</f>
        <v/>
      </c>
      <c r="T134" s="11">
        <f>IF(S134="","",COUNTIFS(tblPCSInput[Call Date/Time],"&gt;="&amp;(SETUP!$B$6),tblPCSInput[Call Date/Time],"&lt;"&amp;(SETUP!$B$7),tblPCSInput[Call Direction],"I",tblPCSInput[Agent ID],$A134,tblPCSInput[Valid Q1],"&lt;=3",tblPCSInput[Valid Q1],"&gt;=1"))</f>
        <v/>
      </c>
      <c r="U134" s="11">
        <f>IF(S134="","",COUNTIFS(tblPCSInput[Call Date/Time],"&gt;="&amp;(SETUP!$B$6),tblPCSInput[Call Date/Time],"&lt;"&amp;(SETUP!$B$7),tblPCSInput[Call Direction],"I",tblPCSInput[Agent ID],$A134,tblPCSInput[Valid Q1],"&gt;3"))</f>
        <v/>
      </c>
      <c r="V134" s="13">
        <f>IFERROR(Q134/P134,"")</f>
        <v/>
      </c>
      <c r="W134" s="13">
        <f>IFERROR(R134/P134,"")</f>
        <v/>
      </c>
    </row>
    <row r="135" spans="1:23">
      <c r="A135" s="4">
        <f>IF(ROSTER!A135="","",ROSTER!A135)</f>
        <v/>
      </c>
      <c r="B135" s="4">
        <f>IF($A135="","",ROSTER!C135)</f>
        <v/>
      </c>
      <c r="C135" s="4">
        <f>IF($A135="","",ROSTER!D135)</f>
        <v/>
      </c>
      <c r="D135" s="4">
        <f>IF($A135="","",ROSTER!E135)</f>
        <v/>
      </c>
      <c r="E135" s="4">
        <f>IF($A135="","",ROSTER!F135)</f>
        <v/>
      </c>
      <c r="F135" s="11">
        <f>IF($A135="","",COUNTIFS(tblPCSInput[Call Date/Time],"&gt;="&amp;(SETUP!$B$5),tblPCSInput[Call Date/Time],"&lt;"&amp;(SETUP!$B$5+1),tblPCSInput[Call Direction],"I",tblPCSInput[Agent ID],$A135,tblPCSInput[PCSStatus],1))</f>
        <v/>
      </c>
      <c r="G135" s="11">
        <f>IF($A135="","",COUNTIFS(tblPCSInput[Call Date/Time],"&gt;="&amp;(SETUP!$B$5),tblPCSInput[Call Date/Time],"&lt;"&amp;(SETUP!$B$5+1),tblPCSInput[Call Direction],"I",tblPCSInput[Agent ID],$A135,tblPCSInput[Question 1],"&lt;&gt;"))</f>
        <v/>
      </c>
      <c r="H135" s="11">
        <f>IF($A135="","",COUNTIFS(tblPCSInput[Call Date/Time],"&gt;="&amp;(SETUP!$B$5),tblPCSInput[Call Date/Time],"&lt;"&amp;(SETUP!$B$5+1),tblPCSInput[Call Direction],"I",tblPCSInput[Agent ID],$A135,tblPCSInput[Valid Q1],"&gt;=1"))</f>
        <v/>
      </c>
      <c r="I135" s="12">
        <f>IFERROR(SUMIFS(tblPCSInput[Valid Q1],tblPCSInput[Call Date/Time],"&gt;="&amp;SETUP!$B$5,tblPCSInput[Call Date/Time],"&lt;"&amp;SETUP!$B$5+1,tblPCSInput[Call Direction],"I",tblPCSInput[Agent ID],$A135)/COUNTIFS(tblPCSInput[Call Date/Time],"&gt;="&amp;(SETUP!$B$5),tblPCSInput[Call Date/Time],"&lt;"&amp;(SETUP!$B$5+1),tblPCSInput[Call Direction],"I",tblPCSInput[Agent ID],$A135,tblPCSInput[Valid Q1],"&gt;=1"),"")</f>
        <v/>
      </c>
      <c r="J135" s="11">
        <f>IF(I135="","",COUNTIFS(tblPCSInput[Call Date/Time],"&gt;="&amp;(SETUP!$B$5),tblPCSInput[Call Date/Time],"&lt;"&amp;(SETUP!$B$5+1),tblPCSInput[Call Direction],"I",tblPCSInput[Agent ID],$A135,tblPCSInput[Valid Q1],"&lt;=3",tblPCSInput[Valid Q1],"&gt;=1"))</f>
        <v/>
      </c>
      <c r="K135" s="11">
        <f>IF(I135="","",COUNTIFS(tblPCSInput[Call Date/Time],"&gt;="&amp;(SETUP!$B$5),tblPCSInput[Call Date/Time],"&lt;"&amp;(SETUP!$B$5+1),tblPCSInput[Call Direction],"I",tblPCSInput[Agent ID],$A135,tblPCSInput[Valid Q1],"&gt;3"))</f>
        <v/>
      </c>
      <c r="L135" s="13">
        <f>IFERROR(G135/F135,"")</f>
        <v/>
      </c>
      <c r="M135" s="13">
        <f>IFERROR(H135/F135,"")</f>
        <v/>
      </c>
      <c r="N135" s="11">
        <f>IF($A135="","",MAX(0,G135-H135))</f>
        <v/>
      </c>
      <c r="O135" s="4">
        <f>IF($A135="","",IF(H135=0,"NO VALID SURVEY",IF(H135&lt;5,"LOW SAMPLE","OK")))</f>
        <v/>
      </c>
      <c r="P135" s="11">
        <f>IF($A135="","",COUNTIFS(tblPCSInput[Call Date/Time],"&gt;="&amp;(SETUP!$B$6),tblPCSInput[Call Date/Time],"&lt;"&amp;(SETUP!$B$7),tblPCSInput[Call Direction],"I",tblPCSInput[Agent ID],$A135,tblPCSInput[PCSStatus],1))</f>
        <v/>
      </c>
      <c r="Q135" s="11">
        <f>IF($A135="","",COUNTIFS(tblPCSInput[Call Date/Time],"&gt;="&amp;(SETUP!$B$6),tblPCSInput[Call Date/Time],"&lt;"&amp;(SETUP!$B$7),tblPCSInput[Call Direction],"I",tblPCSInput[Agent ID],$A135,tblPCSInput[Question 1],"&lt;&gt;"))</f>
        <v/>
      </c>
      <c r="R135" s="11">
        <f>IF($A135="","",COUNTIFS(tblPCSInput[Call Date/Time],"&gt;="&amp;(SETUP!$B$6),tblPCSInput[Call Date/Time],"&lt;"&amp;(SETUP!$B$7),tblPCSInput[Call Direction],"I",tblPCSInput[Agent ID],$A135,tblPCSInput[Valid Q1],"&gt;=1"))</f>
        <v/>
      </c>
      <c r="S135" s="12">
        <f>IFERROR(SUMIFS(tblPCSInput[Valid Q1],tblPCSInput[Call Date/Time],"&gt;="&amp;SETUP!$B$6,tblPCSInput[Call Date/Time],"&lt;"&amp;SETUP!$B$7,tblPCSInput[Call Direction],"I",tblPCSInput[Agent ID],$A135)/COUNTIFS(tblPCSInput[Call Date/Time],"&gt;="&amp;(SETUP!$B$6),tblPCSInput[Call Date/Time],"&lt;"&amp;(SETUP!$B$7),tblPCSInput[Call Direction],"I",tblPCSInput[Agent ID],$A135,tblPCSInput[Valid Q1],"&gt;=1"),"")</f>
        <v/>
      </c>
      <c r="T135" s="11">
        <f>IF(S135="","",COUNTIFS(tblPCSInput[Call Date/Time],"&gt;="&amp;(SETUP!$B$6),tblPCSInput[Call Date/Time],"&lt;"&amp;(SETUP!$B$7),tblPCSInput[Call Direction],"I",tblPCSInput[Agent ID],$A135,tblPCSInput[Valid Q1],"&lt;=3",tblPCSInput[Valid Q1],"&gt;=1"))</f>
        <v/>
      </c>
      <c r="U135" s="11">
        <f>IF(S135="","",COUNTIFS(tblPCSInput[Call Date/Time],"&gt;="&amp;(SETUP!$B$6),tblPCSInput[Call Date/Time],"&lt;"&amp;(SETUP!$B$7),tblPCSInput[Call Direction],"I",tblPCSInput[Agent ID],$A135,tblPCSInput[Valid Q1],"&gt;3"))</f>
        <v/>
      </c>
      <c r="V135" s="13">
        <f>IFERROR(Q135/P135,"")</f>
        <v/>
      </c>
      <c r="W135" s="13">
        <f>IFERROR(R135/P135,"")</f>
        <v/>
      </c>
    </row>
    <row r="136" spans="1:23">
      <c r="A136" s="4">
        <f>IF(ROSTER!A136="","",ROSTER!A136)</f>
        <v/>
      </c>
      <c r="B136" s="4">
        <f>IF($A136="","",ROSTER!C136)</f>
        <v/>
      </c>
      <c r="C136" s="4">
        <f>IF($A136="","",ROSTER!D136)</f>
        <v/>
      </c>
      <c r="D136" s="4">
        <f>IF($A136="","",ROSTER!E136)</f>
        <v/>
      </c>
      <c r="E136" s="4">
        <f>IF($A136="","",ROSTER!F136)</f>
        <v/>
      </c>
      <c r="F136" s="11">
        <f>IF($A136="","",COUNTIFS(tblPCSInput[Call Date/Time],"&gt;="&amp;(SETUP!$B$5),tblPCSInput[Call Date/Time],"&lt;"&amp;(SETUP!$B$5+1),tblPCSInput[Call Direction],"I",tblPCSInput[Agent ID],$A136,tblPCSInput[PCSStatus],1))</f>
        <v/>
      </c>
      <c r="G136" s="11">
        <f>IF($A136="","",COUNTIFS(tblPCSInput[Call Date/Time],"&gt;="&amp;(SETUP!$B$5),tblPCSInput[Call Date/Time],"&lt;"&amp;(SETUP!$B$5+1),tblPCSInput[Call Direction],"I",tblPCSInput[Agent ID],$A136,tblPCSInput[Question 1],"&lt;&gt;"))</f>
        <v/>
      </c>
      <c r="H136" s="11">
        <f>IF($A136="","",COUNTIFS(tblPCSInput[Call Date/Time],"&gt;="&amp;(SETUP!$B$5),tblPCSInput[Call Date/Time],"&lt;"&amp;(SETUP!$B$5+1),tblPCSInput[Call Direction],"I",tblPCSInput[Agent ID],$A136,tblPCSInput[Valid Q1],"&gt;=1"))</f>
        <v/>
      </c>
      <c r="I136" s="12">
        <f>IFERROR(SUMIFS(tblPCSInput[Valid Q1],tblPCSInput[Call Date/Time],"&gt;="&amp;SETUP!$B$5,tblPCSInput[Call Date/Time],"&lt;"&amp;SETUP!$B$5+1,tblPCSInput[Call Direction],"I",tblPCSInput[Agent ID],$A136)/COUNTIFS(tblPCSInput[Call Date/Time],"&gt;="&amp;(SETUP!$B$5),tblPCSInput[Call Date/Time],"&lt;"&amp;(SETUP!$B$5+1),tblPCSInput[Call Direction],"I",tblPCSInput[Agent ID],$A136,tblPCSInput[Valid Q1],"&gt;=1"),"")</f>
        <v/>
      </c>
      <c r="J136" s="11">
        <f>IF(I136="","",COUNTIFS(tblPCSInput[Call Date/Time],"&gt;="&amp;(SETUP!$B$5),tblPCSInput[Call Date/Time],"&lt;"&amp;(SETUP!$B$5+1),tblPCSInput[Call Direction],"I",tblPCSInput[Agent ID],$A136,tblPCSInput[Valid Q1],"&lt;=3",tblPCSInput[Valid Q1],"&gt;=1"))</f>
        <v/>
      </c>
      <c r="K136" s="11">
        <f>IF(I136="","",COUNTIFS(tblPCSInput[Call Date/Time],"&gt;="&amp;(SETUP!$B$5),tblPCSInput[Call Date/Time],"&lt;"&amp;(SETUP!$B$5+1),tblPCSInput[Call Direction],"I",tblPCSInput[Agent ID],$A136,tblPCSInput[Valid Q1],"&gt;3"))</f>
        <v/>
      </c>
      <c r="L136" s="13">
        <f>IFERROR(G136/F136,"")</f>
        <v/>
      </c>
      <c r="M136" s="13">
        <f>IFERROR(H136/F136,"")</f>
        <v/>
      </c>
      <c r="N136" s="11">
        <f>IF($A136="","",MAX(0,G136-H136))</f>
        <v/>
      </c>
      <c r="O136" s="4">
        <f>IF($A136="","",IF(H136=0,"NO VALID SURVEY",IF(H136&lt;5,"LOW SAMPLE","OK")))</f>
        <v/>
      </c>
      <c r="P136" s="11">
        <f>IF($A136="","",COUNTIFS(tblPCSInput[Call Date/Time],"&gt;="&amp;(SETUP!$B$6),tblPCSInput[Call Date/Time],"&lt;"&amp;(SETUP!$B$7),tblPCSInput[Call Direction],"I",tblPCSInput[Agent ID],$A136,tblPCSInput[PCSStatus],1))</f>
        <v/>
      </c>
      <c r="Q136" s="11">
        <f>IF($A136="","",COUNTIFS(tblPCSInput[Call Date/Time],"&gt;="&amp;(SETUP!$B$6),tblPCSInput[Call Date/Time],"&lt;"&amp;(SETUP!$B$7),tblPCSInput[Call Direction],"I",tblPCSInput[Agent ID],$A136,tblPCSInput[Question 1],"&lt;&gt;"))</f>
        <v/>
      </c>
      <c r="R136" s="11">
        <f>IF($A136="","",COUNTIFS(tblPCSInput[Call Date/Time],"&gt;="&amp;(SETUP!$B$6),tblPCSInput[Call Date/Time],"&lt;"&amp;(SETUP!$B$7),tblPCSInput[Call Direction],"I",tblPCSInput[Agent ID],$A136,tblPCSInput[Valid Q1],"&gt;=1"))</f>
        <v/>
      </c>
      <c r="S136" s="12">
        <f>IFERROR(SUMIFS(tblPCSInput[Valid Q1],tblPCSInput[Call Date/Time],"&gt;="&amp;SETUP!$B$6,tblPCSInput[Call Date/Time],"&lt;"&amp;SETUP!$B$7,tblPCSInput[Call Direction],"I",tblPCSInput[Agent ID],$A136)/COUNTIFS(tblPCSInput[Call Date/Time],"&gt;="&amp;(SETUP!$B$6),tblPCSInput[Call Date/Time],"&lt;"&amp;(SETUP!$B$7),tblPCSInput[Call Direction],"I",tblPCSInput[Agent ID],$A136,tblPCSInput[Valid Q1],"&gt;=1"),"")</f>
        <v/>
      </c>
      <c r="T136" s="11">
        <f>IF(S136="","",COUNTIFS(tblPCSInput[Call Date/Time],"&gt;="&amp;(SETUP!$B$6),tblPCSInput[Call Date/Time],"&lt;"&amp;(SETUP!$B$7),tblPCSInput[Call Direction],"I",tblPCSInput[Agent ID],$A136,tblPCSInput[Valid Q1],"&lt;=3",tblPCSInput[Valid Q1],"&gt;=1"))</f>
        <v/>
      </c>
      <c r="U136" s="11">
        <f>IF(S136="","",COUNTIFS(tblPCSInput[Call Date/Time],"&gt;="&amp;(SETUP!$B$6),tblPCSInput[Call Date/Time],"&lt;"&amp;(SETUP!$B$7),tblPCSInput[Call Direction],"I",tblPCSInput[Agent ID],$A136,tblPCSInput[Valid Q1],"&gt;3"))</f>
        <v/>
      </c>
      <c r="V136" s="13">
        <f>IFERROR(Q136/P136,"")</f>
        <v/>
      </c>
      <c r="W136" s="13">
        <f>IFERROR(R136/P136,"")</f>
        <v/>
      </c>
    </row>
    <row r="137" spans="1:23">
      <c r="A137" s="4">
        <f>IF(ROSTER!A137="","",ROSTER!A137)</f>
        <v/>
      </c>
      <c r="B137" s="4">
        <f>IF($A137="","",ROSTER!C137)</f>
        <v/>
      </c>
      <c r="C137" s="4">
        <f>IF($A137="","",ROSTER!D137)</f>
        <v/>
      </c>
      <c r="D137" s="4">
        <f>IF($A137="","",ROSTER!E137)</f>
        <v/>
      </c>
      <c r="E137" s="4">
        <f>IF($A137="","",ROSTER!F137)</f>
        <v/>
      </c>
      <c r="F137" s="11">
        <f>IF($A137="","",COUNTIFS(tblPCSInput[Call Date/Time],"&gt;="&amp;(SETUP!$B$5),tblPCSInput[Call Date/Time],"&lt;"&amp;(SETUP!$B$5+1),tblPCSInput[Call Direction],"I",tblPCSInput[Agent ID],$A137,tblPCSInput[PCSStatus],1))</f>
        <v/>
      </c>
      <c r="G137" s="11">
        <f>IF($A137="","",COUNTIFS(tblPCSInput[Call Date/Time],"&gt;="&amp;(SETUP!$B$5),tblPCSInput[Call Date/Time],"&lt;"&amp;(SETUP!$B$5+1),tblPCSInput[Call Direction],"I",tblPCSInput[Agent ID],$A137,tblPCSInput[Question 1],"&lt;&gt;"))</f>
        <v/>
      </c>
      <c r="H137" s="11">
        <f>IF($A137="","",COUNTIFS(tblPCSInput[Call Date/Time],"&gt;="&amp;(SETUP!$B$5),tblPCSInput[Call Date/Time],"&lt;"&amp;(SETUP!$B$5+1),tblPCSInput[Call Direction],"I",tblPCSInput[Agent ID],$A137,tblPCSInput[Valid Q1],"&gt;=1"))</f>
        <v/>
      </c>
      <c r="I137" s="12">
        <f>IFERROR(SUMIFS(tblPCSInput[Valid Q1],tblPCSInput[Call Date/Time],"&gt;="&amp;SETUP!$B$5,tblPCSInput[Call Date/Time],"&lt;"&amp;SETUP!$B$5+1,tblPCSInput[Call Direction],"I",tblPCSInput[Agent ID],$A137)/COUNTIFS(tblPCSInput[Call Date/Time],"&gt;="&amp;(SETUP!$B$5),tblPCSInput[Call Date/Time],"&lt;"&amp;(SETUP!$B$5+1),tblPCSInput[Call Direction],"I",tblPCSInput[Agent ID],$A137,tblPCSInput[Valid Q1],"&gt;=1"),"")</f>
        <v/>
      </c>
      <c r="J137" s="11">
        <f>IF(I137="","",COUNTIFS(tblPCSInput[Call Date/Time],"&gt;="&amp;(SETUP!$B$5),tblPCSInput[Call Date/Time],"&lt;"&amp;(SETUP!$B$5+1),tblPCSInput[Call Direction],"I",tblPCSInput[Agent ID],$A137,tblPCSInput[Valid Q1],"&lt;=3",tblPCSInput[Valid Q1],"&gt;=1"))</f>
        <v/>
      </c>
      <c r="K137" s="11">
        <f>IF(I137="","",COUNTIFS(tblPCSInput[Call Date/Time],"&gt;="&amp;(SETUP!$B$5),tblPCSInput[Call Date/Time],"&lt;"&amp;(SETUP!$B$5+1),tblPCSInput[Call Direction],"I",tblPCSInput[Agent ID],$A137,tblPCSInput[Valid Q1],"&gt;3"))</f>
        <v/>
      </c>
      <c r="L137" s="13">
        <f>IFERROR(G137/F137,"")</f>
        <v/>
      </c>
      <c r="M137" s="13">
        <f>IFERROR(H137/F137,"")</f>
        <v/>
      </c>
      <c r="N137" s="11">
        <f>IF($A137="","",MAX(0,G137-H137))</f>
        <v/>
      </c>
      <c r="O137" s="4">
        <f>IF($A137="","",IF(H137=0,"NO VALID SURVEY",IF(H137&lt;5,"LOW SAMPLE","OK")))</f>
        <v/>
      </c>
      <c r="P137" s="11">
        <f>IF($A137="","",COUNTIFS(tblPCSInput[Call Date/Time],"&gt;="&amp;(SETUP!$B$6),tblPCSInput[Call Date/Time],"&lt;"&amp;(SETUP!$B$7),tblPCSInput[Call Direction],"I",tblPCSInput[Agent ID],$A137,tblPCSInput[PCSStatus],1))</f>
        <v/>
      </c>
      <c r="Q137" s="11">
        <f>IF($A137="","",COUNTIFS(tblPCSInput[Call Date/Time],"&gt;="&amp;(SETUP!$B$6),tblPCSInput[Call Date/Time],"&lt;"&amp;(SETUP!$B$7),tblPCSInput[Call Direction],"I",tblPCSInput[Agent ID],$A137,tblPCSInput[Question 1],"&lt;&gt;"))</f>
        <v/>
      </c>
      <c r="R137" s="11">
        <f>IF($A137="","",COUNTIFS(tblPCSInput[Call Date/Time],"&gt;="&amp;(SETUP!$B$6),tblPCSInput[Call Date/Time],"&lt;"&amp;(SETUP!$B$7),tblPCSInput[Call Direction],"I",tblPCSInput[Agent ID],$A137,tblPCSInput[Valid Q1],"&gt;=1"))</f>
        <v/>
      </c>
      <c r="S137" s="12">
        <f>IFERROR(SUMIFS(tblPCSInput[Valid Q1],tblPCSInput[Call Date/Time],"&gt;="&amp;SETUP!$B$6,tblPCSInput[Call Date/Time],"&lt;"&amp;SETUP!$B$7,tblPCSInput[Call Direction],"I",tblPCSInput[Agent ID],$A137)/COUNTIFS(tblPCSInput[Call Date/Time],"&gt;="&amp;(SETUP!$B$6),tblPCSInput[Call Date/Time],"&lt;"&amp;(SETUP!$B$7),tblPCSInput[Call Direction],"I",tblPCSInput[Agent ID],$A137,tblPCSInput[Valid Q1],"&gt;=1"),"")</f>
        <v/>
      </c>
      <c r="T137" s="11">
        <f>IF(S137="","",COUNTIFS(tblPCSInput[Call Date/Time],"&gt;="&amp;(SETUP!$B$6),tblPCSInput[Call Date/Time],"&lt;"&amp;(SETUP!$B$7),tblPCSInput[Call Direction],"I",tblPCSInput[Agent ID],$A137,tblPCSInput[Valid Q1],"&lt;=3",tblPCSInput[Valid Q1],"&gt;=1"))</f>
        <v/>
      </c>
      <c r="U137" s="11">
        <f>IF(S137="","",COUNTIFS(tblPCSInput[Call Date/Time],"&gt;="&amp;(SETUP!$B$6),tblPCSInput[Call Date/Time],"&lt;"&amp;(SETUP!$B$7),tblPCSInput[Call Direction],"I",tblPCSInput[Agent ID],$A137,tblPCSInput[Valid Q1],"&gt;3"))</f>
        <v/>
      </c>
      <c r="V137" s="13">
        <f>IFERROR(Q137/P137,"")</f>
        <v/>
      </c>
      <c r="W137" s="13">
        <f>IFERROR(R137/P137,"")</f>
        <v/>
      </c>
    </row>
    <row r="138" spans="1:23">
      <c r="A138" s="4">
        <f>IF(ROSTER!A138="","",ROSTER!A138)</f>
        <v/>
      </c>
      <c r="B138" s="4">
        <f>IF($A138="","",ROSTER!C138)</f>
        <v/>
      </c>
      <c r="C138" s="4">
        <f>IF($A138="","",ROSTER!D138)</f>
        <v/>
      </c>
      <c r="D138" s="4">
        <f>IF($A138="","",ROSTER!E138)</f>
        <v/>
      </c>
      <c r="E138" s="4">
        <f>IF($A138="","",ROSTER!F138)</f>
        <v/>
      </c>
      <c r="F138" s="11">
        <f>IF($A138="","",COUNTIFS(tblPCSInput[Call Date/Time],"&gt;="&amp;(SETUP!$B$5),tblPCSInput[Call Date/Time],"&lt;"&amp;(SETUP!$B$5+1),tblPCSInput[Call Direction],"I",tblPCSInput[Agent ID],$A138,tblPCSInput[PCSStatus],1))</f>
        <v/>
      </c>
      <c r="G138" s="11">
        <f>IF($A138="","",COUNTIFS(tblPCSInput[Call Date/Time],"&gt;="&amp;(SETUP!$B$5),tblPCSInput[Call Date/Time],"&lt;"&amp;(SETUP!$B$5+1),tblPCSInput[Call Direction],"I",tblPCSInput[Agent ID],$A138,tblPCSInput[Question 1],"&lt;&gt;"))</f>
        <v/>
      </c>
      <c r="H138" s="11">
        <f>IF($A138="","",COUNTIFS(tblPCSInput[Call Date/Time],"&gt;="&amp;(SETUP!$B$5),tblPCSInput[Call Date/Time],"&lt;"&amp;(SETUP!$B$5+1),tblPCSInput[Call Direction],"I",tblPCSInput[Agent ID],$A138,tblPCSInput[Valid Q1],"&gt;=1"))</f>
        <v/>
      </c>
      <c r="I138" s="12">
        <f>IFERROR(SUMIFS(tblPCSInput[Valid Q1],tblPCSInput[Call Date/Time],"&gt;="&amp;SETUP!$B$5,tblPCSInput[Call Date/Time],"&lt;"&amp;SETUP!$B$5+1,tblPCSInput[Call Direction],"I",tblPCSInput[Agent ID],$A138)/COUNTIFS(tblPCSInput[Call Date/Time],"&gt;="&amp;(SETUP!$B$5),tblPCSInput[Call Date/Time],"&lt;"&amp;(SETUP!$B$5+1),tblPCSInput[Call Direction],"I",tblPCSInput[Agent ID],$A138,tblPCSInput[Valid Q1],"&gt;=1"),"")</f>
        <v/>
      </c>
      <c r="J138" s="11">
        <f>IF(I138="","",COUNTIFS(tblPCSInput[Call Date/Time],"&gt;="&amp;(SETUP!$B$5),tblPCSInput[Call Date/Time],"&lt;"&amp;(SETUP!$B$5+1),tblPCSInput[Call Direction],"I",tblPCSInput[Agent ID],$A138,tblPCSInput[Valid Q1],"&lt;=3",tblPCSInput[Valid Q1],"&gt;=1"))</f>
        <v/>
      </c>
      <c r="K138" s="11">
        <f>IF(I138="","",COUNTIFS(tblPCSInput[Call Date/Time],"&gt;="&amp;(SETUP!$B$5),tblPCSInput[Call Date/Time],"&lt;"&amp;(SETUP!$B$5+1),tblPCSInput[Call Direction],"I",tblPCSInput[Agent ID],$A138,tblPCSInput[Valid Q1],"&gt;3"))</f>
        <v/>
      </c>
      <c r="L138" s="13">
        <f>IFERROR(G138/F138,"")</f>
        <v/>
      </c>
      <c r="M138" s="13">
        <f>IFERROR(H138/F138,"")</f>
        <v/>
      </c>
      <c r="N138" s="11">
        <f>IF($A138="","",MAX(0,G138-H138))</f>
        <v/>
      </c>
      <c r="O138" s="4">
        <f>IF($A138="","",IF(H138=0,"NO VALID SURVEY",IF(H138&lt;5,"LOW SAMPLE","OK")))</f>
        <v/>
      </c>
      <c r="P138" s="11">
        <f>IF($A138="","",COUNTIFS(tblPCSInput[Call Date/Time],"&gt;="&amp;(SETUP!$B$6),tblPCSInput[Call Date/Time],"&lt;"&amp;(SETUP!$B$7),tblPCSInput[Call Direction],"I",tblPCSInput[Agent ID],$A138,tblPCSInput[PCSStatus],1))</f>
        <v/>
      </c>
      <c r="Q138" s="11">
        <f>IF($A138="","",COUNTIFS(tblPCSInput[Call Date/Time],"&gt;="&amp;(SETUP!$B$6),tblPCSInput[Call Date/Time],"&lt;"&amp;(SETUP!$B$7),tblPCSInput[Call Direction],"I",tblPCSInput[Agent ID],$A138,tblPCSInput[Question 1],"&lt;&gt;"))</f>
        <v/>
      </c>
      <c r="R138" s="11">
        <f>IF($A138="","",COUNTIFS(tblPCSInput[Call Date/Time],"&gt;="&amp;(SETUP!$B$6),tblPCSInput[Call Date/Time],"&lt;"&amp;(SETUP!$B$7),tblPCSInput[Call Direction],"I",tblPCSInput[Agent ID],$A138,tblPCSInput[Valid Q1],"&gt;=1"))</f>
        <v/>
      </c>
      <c r="S138" s="12">
        <f>IFERROR(SUMIFS(tblPCSInput[Valid Q1],tblPCSInput[Call Date/Time],"&gt;="&amp;SETUP!$B$6,tblPCSInput[Call Date/Time],"&lt;"&amp;SETUP!$B$7,tblPCSInput[Call Direction],"I",tblPCSInput[Agent ID],$A138)/COUNTIFS(tblPCSInput[Call Date/Time],"&gt;="&amp;(SETUP!$B$6),tblPCSInput[Call Date/Time],"&lt;"&amp;(SETUP!$B$7),tblPCSInput[Call Direction],"I",tblPCSInput[Agent ID],$A138,tblPCSInput[Valid Q1],"&gt;=1"),"")</f>
        <v/>
      </c>
      <c r="T138" s="11">
        <f>IF(S138="","",COUNTIFS(tblPCSInput[Call Date/Time],"&gt;="&amp;(SETUP!$B$6),tblPCSInput[Call Date/Time],"&lt;"&amp;(SETUP!$B$7),tblPCSInput[Call Direction],"I",tblPCSInput[Agent ID],$A138,tblPCSInput[Valid Q1],"&lt;=3",tblPCSInput[Valid Q1],"&gt;=1"))</f>
        <v/>
      </c>
      <c r="U138" s="11">
        <f>IF(S138="","",COUNTIFS(tblPCSInput[Call Date/Time],"&gt;="&amp;(SETUP!$B$6),tblPCSInput[Call Date/Time],"&lt;"&amp;(SETUP!$B$7),tblPCSInput[Call Direction],"I",tblPCSInput[Agent ID],$A138,tblPCSInput[Valid Q1],"&gt;3"))</f>
        <v/>
      </c>
      <c r="V138" s="13">
        <f>IFERROR(Q138/P138,"")</f>
        <v/>
      </c>
      <c r="W138" s="13">
        <f>IFERROR(R138/P138,"")</f>
        <v/>
      </c>
    </row>
    <row r="139" spans="1:23">
      <c r="A139" s="4">
        <f>IF(ROSTER!A139="","",ROSTER!A139)</f>
        <v/>
      </c>
      <c r="B139" s="4">
        <f>IF($A139="","",ROSTER!C139)</f>
        <v/>
      </c>
      <c r="C139" s="4">
        <f>IF($A139="","",ROSTER!D139)</f>
        <v/>
      </c>
      <c r="D139" s="4">
        <f>IF($A139="","",ROSTER!E139)</f>
        <v/>
      </c>
      <c r="E139" s="4">
        <f>IF($A139="","",ROSTER!F139)</f>
        <v/>
      </c>
      <c r="F139" s="11">
        <f>IF($A139="","",COUNTIFS(tblPCSInput[Call Date/Time],"&gt;="&amp;(SETUP!$B$5),tblPCSInput[Call Date/Time],"&lt;"&amp;(SETUP!$B$5+1),tblPCSInput[Call Direction],"I",tblPCSInput[Agent ID],$A139,tblPCSInput[PCSStatus],1))</f>
        <v/>
      </c>
      <c r="G139" s="11">
        <f>IF($A139="","",COUNTIFS(tblPCSInput[Call Date/Time],"&gt;="&amp;(SETUP!$B$5),tblPCSInput[Call Date/Time],"&lt;"&amp;(SETUP!$B$5+1),tblPCSInput[Call Direction],"I",tblPCSInput[Agent ID],$A139,tblPCSInput[Question 1],"&lt;&gt;"))</f>
        <v/>
      </c>
      <c r="H139" s="11">
        <f>IF($A139="","",COUNTIFS(tblPCSInput[Call Date/Time],"&gt;="&amp;(SETUP!$B$5),tblPCSInput[Call Date/Time],"&lt;"&amp;(SETUP!$B$5+1),tblPCSInput[Call Direction],"I",tblPCSInput[Agent ID],$A139,tblPCSInput[Valid Q1],"&gt;=1"))</f>
        <v/>
      </c>
      <c r="I139" s="12">
        <f>IFERROR(SUMIFS(tblPCSInput[Valid Q1],tblPCSInput[Call Date/Time],"&gt;="&amp;SETUP!$B$5,tblPCSInput[Call Date/Time],"&lt;"&amp;SETUP!$B$5+1,tblPCSInput[Call Direction],"I",tblPCSInput[Agent ID],$A139)/COUNTIFS(tblPCSInput[Call Date/Time],"&gt;="&amp;(SETUP!$B$5),tblPCSInput[Call Date/Time],"&lt;"&amp;(SETUP!$B$5+1),tblPCSInput[Call Direction],"I",tblPCSInput[Agent ID],$A139,tblPCSInput[Valid Q1],"&gt;=1"),"")</f>
        <v/>
      </c>
      <c r="J139" s="11">
        <f>IF(I139="","",COUNTIFS(tblPCSInput[Call Date/Time],"&gt;="&amp;(SETUP!$B$5),tblPCSInput[Call Date/Time],"&lt;"&amp;(SETUP!$B$5+1),tblPCSInput[Call Direction],"I",tblPCSInput[Agent ID],$A139,tblPCSInput[Valid Q1],"&lt;=3",tblPCSInput[Valid Q1],"&gt;=1"))</f>
        <v/>
      </c>
      <c r="K139" s="11">
        <f>IF(I139="","",COUNTIFS(tblPCSInput[Call Date/Time],"&gt;="&amp;(SETUP!$B$5),tblPCSInput[Call Date/Time],"&lt;"&amp;(SETUP!$B$5+1),tblPCSInput[Call Direction],"I",tblPCSInput[Agent ID],$A139,tblPCSInput[Valid Q1],"&gt;3"))</f>
        <v/>
      </c>
      <c r="L139" s="13">
        <f>IFERROR(G139/F139,"")</f>
        <v/>
      </c>
      <c r="M139" s="13">
        <f>IFERROR(H139/F139,"")</f>
        <v/>
      </c>
      <c r="N139" s="11">
        <f>IF($A139="","",MAX(0,G139-H139))</f>
        <v/>
      </c>
      <c r="O139" s="4">
        <f>IF($A139="","",IF(H139=0,"NO VALID SURVEY",IF(H139&lt;5,"LOW SAMPLE","OK")))</f>
        <v/>
      </c>
      <c r="P139" s="11">
        <f>IF($A139="","",COUNTIFS(tblPCSInput[Call Date/Time],"&gt;="&amp;(SETUP!$B$6),tblPCSInput[Call Date/Time],"&lt;"&amp;(SETUP!$B$7),tblPCSInput[Call Direction],"I",tblPCSInput[Agent ID],$A139,tblPCSInput[PCSStatus],1))</f>
        <v/>
      </c>
      <c r="Q139" s="11">
        <f>IF($A139="","",COUNTIFS(tblPCSInput[Call Date/Time],"&gt;="&amp;(SETUP!$B$6),tblPCSInput[Call Date/Time],"&lt;"&amp;(SETUP!$B$7),tblPCSInput[Call Direction],"I",tblPCSInput[Agent ID],$A139,tblPCSInput[Question 1],"&lt;&gt;"))</f>
        <v/>
      </c>
      <c r="R139" s="11">
        <f>IF($A139="","",COUNTIFS(tblPCSInput[Call Date/Time],"&gt;="&amp;(SETUP!$B$6),tblPCSInput[Call Date/Time],"&lt;"&amp;(SETUP!$B$7),tblPCSInput[Call Direction],"I",tblPCSInput[Agent ID],$A139,tblPCSInput[Valid Q1],"&gt;=1"))</f>
        <v/>
      </c>
      <c r="S139" s="12">
        <f>IFERROR(SUMIFS(tblPCSInput[Valid Q1],tblPCSInput[Call Date/Time],"&gt;="&amp;SETUP!$B$6,tblPCSInput[Call Date/Time],"&lt;"&amp;SETUP!$B$7,tblPCSInput[Call Direction],"I",tblPCSInput[Agent ID],$A139)/COUNTIFS(tblPCSInput[Call Date/Time],"&gt;="&amp;(SETUP!$B$6),tblPCSInput[Call Date/Time],"&lt;"&amp;(SETUP!$B$7),tblPCSInput[Call Direction],"I",tblPCSInput[Agent ID],$A139,tblPCSInput[Valid Q1],"&gt;=1"),"")</f>
        <v/>
      </c>
      <c r="T139" s="11">
        <f>IF(S139="","",COUNTIFS(tblPCSInput[Call Date/Time],"&gt;="&amp;(SETUP!$B$6),tblPCSInput[Call Date/Time],"&lt;"&amp;(SETUP!$B$7),tblPCSInput[Call Direction],"I",tblPCSInput[Agent ID],$A139,tblPCSInput[Valid Q1],"&lt;=3",tblPCSInput[Valid Q1],"&gt;=1"))</f>
        <v/>
      </c>
      <c r="U139" s="11">
        <f>IF(S139="","",COUNTIFS(tblPCSInput[Call Date/Time],"&gt;="&amp;(SETUP!$B$6),tblPCSInput[Call Date/Time],"&lt;"&amp;(SETUP!$B$7),tblPCSInput[Call Direction],"I",tblPCSInput[Agent ID],$A139,tblPCSInput[Valid Q1],"&gt;3"))</f>
        <v/>
      </c>
      <c r="V139" s="13">
        <f>IFERROR(Q139/P139,"")</f>
        <v/>
      </c>
      <c r="W139" s="13">
        <f>IFERROR(R139/P139,"")</f>
        <v/>
      </c>
    </row>
    <row r="140" spans="1:23">
      <c r="A140" s="4">
        <f>IF(ROSTER!A140="","",ROSTER!A140)</f>
        <v/>
      </c>
      <c r="B140" s="4">
        <f>IF($A140="","",ROSTER!C140)</f>
        <v/>
      </c>
      <c r="C140" s="4">
        <f>IF($A140="","",ROSTER!D140)</f>
        <v/>
      </c>
      <c r="D140" s="4">
        <f>IF($A140="","",ROSTER!E140)</f>
        <v/>
      </c>
      <c r="E140" s="4">
        <f>IF($A140="","",ROSTER!F140)</f>
        <v/>
      </c>
      <c r="F140" s="11">
        <f>IF($A140="","",COUNTIFS(tblPCSInput[Call Date/Time],"&gt;="&amp;(SETUP!$B$5),tblPCSInput[Call Date/Time],"&lt;"&amp;(SETUP!$B$5+1),tblPCSInput[Call Direction],"I",tblPCSInput[Agent ID],$A140,tblPCSInput[PCSStatus],1))</f>
        <v/>
      </c>
      <c r="G140" s="11">
        <f>IF($A140="","",COUNTIFS(tblPCSInput[Call Date/Time],"&gt;="&amp;(SETUP!$B$5),tblPCSInput[Call Date/Time],"&lt;"&amp;(SETUP!$B$5+1),tblPCSInput[Call Direction],"I",tblPCSInput[Agent ID],$A140,tblPCSInput[Question 1],"&lt;&gt;"))</f>
        <v/>
      </c>
      <c r="H140" s="11">
        <f>IF($A140="","",COUNTIFS(tblPCSInput[Call Date/Time],"&gt;="&amp;(SETUP!$B$5),tblPCSInput[Call Date/Time],"&lt;"&amp;(SETUP!$B$5+1),tblPCSInput[Call Direction],"I",tblPCSInput[Agent ID],$A140,tblPCSInput[Valid Q1],"&gt;=1"))</f>
        <v/>
      </c>
      <c r="I140" s="12">
        <f>IFERROR(SUMIFS(tblPCSInput[Valid Q1],tblPCSInput[Call Date/Time],"&gt;="&amp;SETUP!$B$5,tblPCSInput[Call Date/Time],"&lt;"&amp;SETUP!$B$5+1,tblPCSInput[Call Direction],"I",tblPCSInput[Agent ID],$A140)/COUNTIFS(tblPCSInput[Call Date/Time],"&gt;="&amp;(SETUP!$B$5),tblPCSInput[Call Date/Time],"&lt;"&amp;(SETUP!$B$5+1),tblPCSInput[Call Direction],"I",tblPCSInput[Agent ID],$A140,tblPCSInput[Valid Q1],"&gt;=1"),"")</f>
        <v/>
      </c>
      <c r="J140" s="11">
        <f>IF(I140="","",COUNTIFS(tblPCSInput[Call Date/Time],"&gt;="&amp;(SETUP!$B$5),tblPCSInput[Call Date/Time],"&lt;"&amp;(SETUP!$B$5+1),tblPCSInput[Call Direction],"I",tblPCSInput[Agent ID],$A140,tblPCSInput[Valid Q1],"&lt;=3",tblPCSInput[Valid Q1],"&gt;=1"))</f>
        <v/>
      </c>
      <c r="K140" s="11">
        <f>IF(I140="","",COUNTIFS(tblPCSInput[Call Date/Time],"&gt;="&amp;(SETUP!$B$5),tblPCSInput[Call Date/Time],"&lt;"&amp;(SETUP!$B$5+1),tblPCSInput[Call Direction],"I",tblPCSInput[Agent ID],$A140,tblPCSInput[Valid Q1],"&gt;3"))</f>
        <v/>
      </c>
      <c r="L140" s="13">
        <f>IFERROR(G140/F140,"")</f>
        <v/>
      </c>
      <c r="M140" s="13">
        <f>IFERROR(H140/F140,"")</f>
        <v/>
      </c>
      <c r="N140" s="11">
        <f>IF($A140="","",MAX(0,G140-H140))</f>
        <v/>
      </c>
      <c r="O140" s="4">
        <f>IF($A140="","",IF(H140=0,"NO VALID SURVEY",IF(H140&lt;5,"LOW SAMPLE","OK")))</f>
        <v/>
      </c>
      <c r="P140" s="11">
        <f>IF($A140="","",COUNTIFS(tblPCSInput[Call Date/Time],"&gt;="&amp;(SETUP!$B$6),tblPCSInput[Call Date/Time],"&lt;"&amp;(SETUP!$B$7),tblPCSInput[Call Direction],"I",tblPCSInput[Agent ID],$A140,tblPCSInput[PCSStatus],1))</f>
        <v/>
      </c>
      <c r="Q140" s="11">
        <f>IF($A140="","",COUNTIFS(tblPCSInput[Call Date/Time],"&gt;="&amp;(SETUP!$B$6),tblPCSInput[Call Date/Time],"&lt;"&amp;(SETUP!$B$7),tblPCSInput[Call Direction],"I",tblPCSInput[Agent ID],$A140,tblPCSInput[Question 1],"&lt;&gt;"))</f>
        <v/>
      </c>
      <c r="R140" s="11">
        <f>IF($A140="","",COUNTIFS(tblPCSInput[Call Date/Time],"&gt;="&amp;(SETUP!$B$6),tblPCSInput[Call Date/Time],"&lt;"&amp;(SETUP!$B$7),tblPCSInput[Call Direction],"I",tblPCSInput[Agent ID],$A140,tblPCSInput[Valid Q1],"&gt;=1"))</f>
        <v/>
      </c>
      <c r="S140" s="12">
        <f>IFERROR(SUMIFS(tblPCSInput[Valid Q1],tblPCSInput[Call Date/Time],"&gt;="&amp;SETUP!$B$6,tblPCSInput[Call Date/Time],"&lt;"&amp;SETUP!$B$7,tblPCSInput[Call Direction],"I",tblPCSInput[Agent ID],$A140)/COUNTIFS(tblPCSInput[Call Date/Time],"&gt;="&amp;(SETUP!$B$6),tblPCSInput[Call Date/Time],"&lt;"&amp;(SETUP!$B$7),tblPCSInput[Call Direction],"I",tblPCSInput[Agent ID],$A140,tblPCSInput[Valid Q1],"&gt;=1"),"")</f>
        <v/>
      </c>
      <c r="T140" s="11">
        <f>IF(S140="","",COUNTIFS(tblPCSInput[Call Date/Time],"&gt;="&amp;(SETUP!$B$6),tblPCSInput[Call Date/Time],"&lt;"&amp;(SETUP!$B$7),tblPCSInput[Call Direction],"I",tblPCSInput[Agent ID],$A140,tblPCSInput[Valid Q1],"&lt;=3",tblPCSInput[Valid Q1],"&gt;=1"))</f>
        <v/>
      </c>
      <c r="U140" s="11">
        <f>IF(S140="","",COUNTIFS(tblPCSInput[Call Date/Time],"&gt;="&amp;(SETUP!$B$6),tblPCSInput[Call Date/Time],"&lt;"&amp;(SETUP!$B$7),tblPCSInput[Call Direction],"I",tblPCSInput[Agent ID],$A140,tblPCSInput[Valid Q1],"&gt;3"))</f>
        <v/>
      </c>
      <c r="V140" s="13">
        <f>IFERROR(Q140/P140,"")</f>
        <v/>
      </c>
      <c r="W140" s="13">
        <f>IFERROR(R140/P140,"")</f>
        <v/>
      </c>
    </row>
    <row r="141" spans="1:23">
      <c r="A141" s="4">
        <f>IF(ROSTER!A141="","",ROSTER!A141)</f>
        <v/>
      </c>
      <c r="B141" s="4">
        <f>IF($A141="","",ROSTER!C141)</f>
        <v/>
      </c>
      <c r="C141" s="4">
        <f>IF($A141="","",ROSTER!D141)</f>
        <v/>
      </c>
      <c r="D141" s="4">
        <f>IF($A141="","",ROSTER!E141)</f>
        <v/>
      </c>
      <c r="E141" s="4">
        <f>IF($A141="","",ROSTER!F141)</f>
        <v/>
      </c>
      <c r="F141" s="11">
        <f>IF($A141="","",COUNTIFS(tblPCSInput[Call Date/Time],"&gt;="&amp;(SETUP!$B$5),tblPCSInput[Call Date/Time],"&lt;"&amp;(SETUP!$B$5+1),tblPCSInput[Call Direction],"I",tblPCSInput[Agent ID],$A141,tblPCSInput[PCSStatus],1))</f>
        <v/>
      </c>
      <c r="G141" s="11">
        <f>IF($A141="","",COUNTIFS(tblPCSInput[Call Date/Time],"&gt;="&amp;(SETUP!$B$5),tblPCSInput[Call Date/Time],"&lt;"&amp;(SETUP!$B$5+1),tblPCSInput[Call Direction],"I",tblPCSInput[Agent ID],$A141,tblPCSInput[Question 1],"&lt;&gt;"))</f>
        <v/>
      </c>
      <c r="H141" s="11">
        <f>IF($A141="","",COUNTIFS(tblPCSInput[Call Date/Time],"&gt;="&amp;(SETUP!$B$5),tblPCSInput[Call Date/Time],"&lt;"&amp;(SETUP!$B$5+1),tblPCSInput[Call Direction],"I",tblPCSInput[Agent ID],$A141,tblPCSInput[Valid Q1],"&gt;=1"))</f>
        <v/>
      </c>
      <c r="I141" s="12">
        <f>IFERROR(SUMIFS(tblPCSInput[Valid Q1],tblPCSInput[Call Date/Time],"&gt;="&amp;SETUP!$B$5,tblPCSInput[Call Date/Time],"&lt;"&amp;SETUP!$B$5+1,tblPCSInput[Call Direction],"I",tblPCSInput[Agent ID],$A141)/COUNTIFS(tblPCSInput[Call Date/Time],"&gt;="&amp;(SETUP!$B$5),tblPCSInput[Call Date/Time],"&lt;"&amp;(SETUP!$B$5+1),tblPCSInput[Call Direction],"I",tblPCSInput[Agent ID],$A141,tblPCSInput[Valid Q1],"&gt;=1"),"")</f>
        <v/>
      </c>
      <c r="J141" s="11">
        <f>IF(I141="","",COUNTIFS(tblPCSInput[Call Date/Time],"&gt;="&amp;(SETUP!$B$5),tblPCSInput[Call Date/Time],"&lt;"&amp;(SETUP!$B$5+1),tblPCSInput[Call Direction],"I",tblPCSInput[Agent ID],$A141,tblPCSInput[Valid Q1],"&lt;=3",tblPCSInput[Valid Q1],"&gt;=1"))</f>
        <v/>
      </c>
      <c r="K141" s="11">
        <f>IF(I141="","",COUNTIFS(tblPCSInput[Call Date/Time],"&gt;="&amp;(SETUP!$B$5),tblPCSInput[Call Date/Time],"&lt;"&amp;(SETUP!$B$5+1),tblPCSInput[Call Direction],"I",tblPCSInput[Agent ID],$A141,tblPCSInput[Valid Q1],"&gt;3"))</f>
        <v/>
      </c>
      <c r="L141" s="13">
        <f>IFERROR(G141/F141,"")</f>
        <v/>
      </c>
      <c r="M141" s="13">
        <f>IFERROR(H141/F141,"")</f>
        <v/>
      </c>
      <c r="N141" s="11">
        <f>IF($A141="","",MAX(0,G141-H141))</f>
        <v/>
      </c>
      <c r="O141" s="4">
        <f>IF($A141="","",IF(H141=0,"NO VALID SURVEY",IF(H141&lt;5,"LOW SAMPLE","OK")))</f>
        <v/>
      </c>
      <c r="P141" s="11">
        <f>IF($A141="","",COUNTIFS(tblPCSInput[Call Date/Time],"&gt;="&amp;(SETUP!$B$6),tblPCSInput[Call Date/Time],"&lt;"&amp;(SETUP!$B$7),tblPCSInput[Call Direction],"I",tblPCSInput[Agent ID],$A141,tblPCSInput[PCSStatus],1))</f>
        <v/>
      </c>
      <c r="Q141" s="11">
        <f>IF($A141="","",COUNTIFS(tblPCSInput[Call Date/Time],"&gt;="&amp;(SETUP!$B$6),tblPCSInput[Call Date/Time],"&lt;"&amp;(SETUP!$B$7),tblPCSInput[Call Direction],"I",tblPCSInput[Agent ID],$A141,tblPCSInput[Question 1],"&lt;&gt;"))</f>
        <v/>
      </c>
      <c r="R141" s="11">
        <f>IF($A141="","",COUNTIFS(tblPCSInput[Call Date/Time],"&gt;="&amp;(SETUP!$B$6),tblPCSInput[Call Date/Time],"&lt;"&amp;(SETUP!$B$7),tblPCSInput[Call Direction],"I",tblPCSInput[Agent ID],$A141,tblPCSInput[Valid Q1],"&gt;=1"))</f>
        <v/>
      </c>
      <c r="S141" s="12">
        <f>IFERROR(SUMIFS(tblPCSInput[Valid Q1],tblPCSInput[Call Date/Time],"&gt;="&amp;SETUP!$B$6,tblPCSInput[Call Date/Time],"&lt;"&amp;SETUP!$B$7,tblPCSInput[Call Direction],"I",tblPCSInput[Agent ID],$A141)/COUNTIFS(tblPCSInput[Call Date/Time],"&gt;="&amp;(SETUP!$B$6),tblPCSInput[Call Date/Time],"&lt;"&amp;(SETUP!$B$7),tblPCSInput[Call Direction],"I",tblPCSInput[Agent ID],$A141,tblPCSInput[Valid Q1],"&gt;=1"),"")</f>
        <v/>
      </c>
      <c r="T141" s="11">
        <f>IF(S141="","",COUNTIFS(tblPCSInput[Call Date/Time],"&gt;="&amp;(SETUP!$B$6),tblPCSInput[Call Date/Time],"&lt;"&amp;(SETUP!$B$7),tblPCSInput[Call Direction],"I",tblPCSInput[Agent ID],$A141,tblPCSInput[Valid Q1],"&lt;=3",tblPCSInput[Valid Q1],"&gt;=1"))</f>
        <v/>
      </c>
      <c r="U141" s="11">
        <f>IF(S141="","",COUNTIFS(tblPCSInput[Call Date/Time],"&gt;="&amp;(SETUP!$B$6),tblPCSInput[Call Date/Time],"&lt;"&amp;(SETUP!$B$7),tblPCSInput[Call Direction],"I",tblPCSInput[Agent ID],$A141,tblPCSInput[Valid Q1],"&gt;3"))</f>
        <v/>
      </c>
      <c r="V141" s="13">
        <f>IFERROR(Q141/P141,"")</f>
        <v/>
      </c>
      <c r="W141" s="13">
        <f>IFERROR(R141/P141,"")</f>
        <v/>
      </c>
    </row>
    <row r="142" spans="1:23">
      <c r="A142" s="4">
        <f>IF(ROSTER!A142="","",ROSTER!A142)</f>
        <v/>
      </c>
      <c r="B142" s="4">
        <f>IF($A142="","",ROSTER!C142)</f>
        <v/>
      </c>
      <c r="C142" s="4">
        <f>IF($A142="","",ROSTER!D142)</f>
        <v/>
      </c>
      <c r="D142" s="4">
        <f>IF($A142="","",ROSTER!E142)</f>
        <v/>
      </c>
      <c r="E142" s="4">
        <f>IF($A142="","",ROSTER!F142)</f>
        <v/>
      </c>
      <c r="F142" s="11">
        <f>IF($A142="","",COUNTIFS(tblPCSInput[Call Date/Time],"&gt;="&amp;(SETUP!$B$5),tblPCSInput[Call Date/Time],"&lt;"&amp;(SETUP!$B$5+1),tblPCSInput[Call Direction],"I",tblPCSInput[Agent ID],$A142,tblPCSInput[PCSStatus],1))</f>
        <v/>
      </c>
      <c r="G142" s="11">
        <f>IF($A142="","",COUNTIFS(tblPCSInput[Call Date/Time],"&gt;="&amp;(SETUP!$B$5),tblPCSInput[Call Date/Time],"&lt;"&amp;(SETUP!$B$5+1),tblPCSInput[Call Direction],"I",tblPCSInput[Agent ID],$A142,tblPCSInput[Question 1],"&lt;&gt;"))</f>
        <v/>
      </c>
      <c r="H142" s="11">
        <f>IF($A142="","",COUNTIFS(tblPCSInput[Call Date/Time],"&gt;="&amp;(SETUP!$B$5),tblPCSInput[Call Date/Time],"&lt;"&amp;(SETUP!$B$5+1),tblPCSInput[Call Direction],"I",tblPCSInput[Agent ID],$A142,tblPCSInput[Valid Q1],"&gt;=1"))</f>
        <v/>
      </c>
      <c r="I142" s="12">
        <f>IFERROR(SUMIFS(tblPCSInput[Valid Q1],tblPCSInput[Call Date/Time],"&gt;="&amp;SETUP!$B$5,tblPCSInput[Call Date/Time],"&lt;"&amp;SETUP!$B$5+1,tblPCSInput[Call Direction],"I",tblPCSInput[Agent ID],$A142)/COUNTIFS(tblPCSInput[Call Date/Time],"&gt;="&amp;(SETUP!$B$5),tblPCSInput[Call Date/Time],"&lt;"&amp;(SETUP!$B$5+1),tblPCSInput[Call Direction],"I",tblPCSInput[Agent ID],$A142,tblPCSInput[Valid Q1],"&gt;=1"),"")</f>
        <v/>
      </c>
      <c r="J142" s="11">
        <f>IF(I142="","",COUNTIFS(tblPCSInput[Call Date/Time],"&gt;="&amp;(SETUP!$B$5),tblPCSInput[Call Date/Time],"&lt;"&amp;(SETUP!$B$5+1),tblPCSInput[Call Direction],"I",tblPCSInput[Agent ID],$A142,tblPCSInput[Valid Q1],"&lt;=3",tblPCSInput[Valid Q1],"&gt;=1"))</f>
        <v/>
      </c>
      <c r="K142" s="11">
        <f>IF(I142="","",COUNTIFS(tblPCSInput[Call Date/Time],"&gt;="&amp;(SETUP!$B$5),tblPCSInput[Call Date/Time],"&lt;"&amp;(SETUP!$B$5+1),tblPCSInput[Call Direction],"I",tblPCSInput[Agent ID],$A142,tblPCSInput[Valid Q1],"&gt;3"))</f>
        <v/>
      </c>
      <c r="L142" s="13">
        <f>IFERROR(G142/F142,"")</f>
        <v/>
      </c>
      <c r="M142" s="13">
        <f>IFERROR(H142/F142,"")</f>
        <v/>
      </c>
      <c r="N142" s="11">
        <f>IF($A142="","",MAX(0,G142-H142))</f>
        <v/>
      </c>
      <c r="O142" s="4">
        <f>IF($A142="","",IF(H142=0,"NO VALID SURVEY",IF(H142&lt;5,"LOW SAMPLE","OK")))</f>
        <v/>
      </c>
      <c r="P142" s="11">
        <f>IF($A142="","",COUNTIFS(tblPCSInput[Call Date/Time],"&gt;="&amp;(SETUP!$B$6),tblPCSInput[Call Date/Time],"&lt;"&amp;(SETUP!$B$7),tblPCSInput[Call Direction],"I",tblPCSInput[Agent ID],$A142,tblPCSInput[PCSStatus],1))</f>
        <v/>
      </c>
      <c r="Q142" s="11">
        <f>IF($A142="","",COUNTIFS(tblPCSInput[Call Date/Time],"&gt;="&amp;(SETUP!$B$6),tblPCSInput[Call Date/Time],"&lt;"&amp;(SETUP!$B$7),tblPCSInput[Call Direction],"I",tblPCSInput[Agent ID],$A142,tblPCSInput[Question 1],"&lt;&gt;"))</f>
        <v/>
      </c>
      <c r="R142" s="11">
        <f>IF($A142="","",COUNTIFS(tblPCSInput[Call Date/Time],"&gt;="&amp;(SETUP!$B$6),tblPCSInput[Call Date/Time],"&lt;"&amp;(SETUP!$B$7),tblPCSInput[Call Direction],"I",tblPCSInput[Agent ID],$A142,tblPCSInput[Valid Q1],"&gt;=1"))</f>
        <v/>
      </c>
      <c r="S142" s="12">
        <f>IFERROR(SUMIFS(tblPCSInput[Valid Q1],tblPCSInput[Call Date/Time],"&gt;="&amp;SETUP!$B$6,tblPCSInput[Call Date/Time],"&lt;"&amp;SETUP!$B$7,tblPCSInput[Call Direction],"I",tblPCSInput[Agent ID],$A142)/COUNTIFS(tblPCSInput[Call Date/Time],"&gt;="&amp;(SETUP!$B$6),tblPCSInput[Call Date/Time],"&lt;"&amp;(SETUP!$B$7),tblPCSInput[Call Direction],"I",tblPCSInput[Agent ID],$A142,tblPCSInput[Valid Q1],"&gt;=1"),"")</f>
        <v/>
      </c>
      <c r="T142" s="11">
        <f>IF(S142="","",COUNTIFS(tblPCSInput[Call Date/Time],"&gt;="&amp;(SETUP!$B$6),tblPCSInput[Call Date/Time],"&lt;"&amp;(SETUP!$B$7),tblPCSInput[Call Direction],"I",tblPCSInput[Agent ID],$A142,tblPCSInput[Valid Q1],"&lt;=3",tblPCSInput[Valid Q1],"&gt;=1"))</f>
        <v/>
      </c>
      <c r="U142" s="11">
        <f>IF(S142="","",COUNTIFS(tblPCSInput[Call Date/Time],"&gt;="&amp;(SETUP!$B$6),tblPCSInput[Call Date/Time],"&lt;"&amp;(SETUP!$B$7),tblPCSInput[Call Direction],"I",tblPCSInput[Agent ID],$A142,tblPCSInput[Valid Q1],"&gt;3"))</f>
        <v/>
      </c>
      <c r="V142" s="13">
        <f>IFERROR(Q142/P142,"")</f>
        <v/>
      </c>
      <c r="W142" s="13">
        <f>IFERROR(R142/P142,"")</f>
        <v/>
      </c>
    </row>
    <row r="143" spans="1:23">
      <c r="A143" s="4">
        <f>IF(ROSTER!A143="","",ROSTER!A143)</f>
        <v/>
      </c>
      <c r="B143" s="4">
        <f>IF($A143="","",ROSTER!C143)</f>
        <v/>
      </c>
      <c r="C143" s="4">
        <f>IF($A143="","",ROSTER!D143)</f>
        <v/>
      </c>
      <c r="D143" s="4">
        <f>IF($A143="","",ROSTER!E143)</f>
        <v/>
      </c>
      <c r="E143" s="4">
        <f>IF($A143="","",ROSTER!F143)</f>
        <v/>
      </c>
      <c r="F143" s="11">
        <f>IF($A143="","",COUNTIFS(tblPCSInput[Call Date/Time],"&gt;="&amp;(SETUP!$B$5),tblPCSInput[Call Date/Time],"&lt;"&amp;(SETUP!$B$5+1),tblPCSInput[Call Direction],"I",tblPCSInput[Agent ID],$A143,tblPCSInput[PCSStatus],1))</f>
        <v/>
      </c>
      <c r="G143" s="11">
        <f>IF($A143="","",COUNTIFS(tblPCSInput[Call Date/Time],"&gt;="&amp;(SETUP!$B$5),tblPCSInput[Call Date/Time],"&lt;"&amp;(SETUP!$B$5+1),tblPCSInput[Call Direction],"I",tblPCSInput[Agent ID],$A143,tblPCSInput[Question 1],"&lt;&gt;"))</f>
        <v/>
      </c>
      <c r="H143" s="11">
        <f>IF($A143="","",COUNTIFS(tblPCSInput[Call Date/Time],"&gt;="&amp;(SETUP!$B$5),tblPCSInput[Call Date/Time],"&lt;"&amp;(SETUP!$B$5+1),tblPCSInput[Call Direction],"I",tblPCSInput[Agent ID],$A143,tblPCSInput[Valid Q1],"&gt;=1"))</f>
        <v/>
      </c>
      <c r="I143" s="12">
        <f>IFERROR(SUMIFS(tblPCSInput[Valid Q1],tblPCSInput[Call Date/Time],"&gt;="&amp;SETUP!$B$5,tblPCSInput[Call Date/Time],"&lt;"&amp;SETUP!$B$5+1,tblPCSInput[Call Direction],"I",tblPCSInput[Agent ID],$A143)/COUNTIFS(tblPCSInput[Call Date/Time],"&gt;="&amp;(SETUP!$B$5),tblPCSInput[Call Date/Time],"&lt;"&amp;(SETUP!$B$5+1),tblPCSInput[Call Direction],"I",tblPCSInput[Agent ID],$A143,tblPCSInput[Valid Q1],"&gt;=1"),"")</f>
        <v/>
      </c>
      <c r="J143" s="11">
        <f>IF(I143="","",COUNTIFS(tblPCSInput[Call Date/Time],"&gt;="&amp;(SETUP!$B$5),tblPCSInput[Call Date/Time],"&lt;"&amp;(SETUP!$B$5+1),tblPCSInput[Call Direction],"I",tblPCSInput[Agent ID],$A143,tblPCSInput[Valid Q1],"&lt;=3",tblPCSInput[Valid Q1],"&gt;=1"))</f>
        <v/>
      </c>
      <c r="K143" s="11">
        <f>IF(I143="","",COUNTIFS(tblPCSInput[Call Date/Time],"&gt;="&amp;(SETUP!$B$5),tblPCSInput[Call Date/Time],"&lt;"&amp;(SETUP!$B$5+1),tblPCSInput[Call Direction],"I",tblPCSInput[Agent ID],$A143,tblPCSInput[Valid Q1],"&gt;3"))</f>
        <v/>
      </c>
      <c r="L143" s="13">
        <f>IFERROR(G143/F143,"")</f>
        <v/>
      </c>
      <c r="M143" s="13">
        <f>IFERROR(H143/F143,"")</f>
        <v/>
      </c>
      <c r="N143" s="11">
        <f>IF($A143="","",MAX(0,G143-H143))</f>
        <v/>
      </c>
      <c r="O143" s="4">
        <f>IF($A143="","",IF(H143=0,"NO VALID SURVEY",IF(H143&lt;5,"LOW SAMPLE","OK")))</f>
        <v/>
      </c>
      <c r="P143" s="11">
        <f>IF($A143="","",COUNTIFS(tblPCSInput[Call Date/Time],"&gt;="&amp;(SETUP!$B$6),tblPCSInput[Call Date/Time],"&lt;"&amp;(SETUP!$B$7),tblPCSInput[Call Direction],"I",tblPCSInput[Agent ID],$A143,tblPCSInput[PCSStatus],1))</f>
        <v/>
      </c>
      <c r="Q143" s="11">
        <f>IF($A143="","",COUNTIFS(tblPCSInput[Call Date/Time],"&gt;="&amp;(SETUP!$B$6),tblPCSInput[Call Date/Time],"&lt;"&amp;(SETUP!$B$7),tblPCSInput[Call Direction],"I",tblPCSInput[Agent ID],$A143,tblPCSInput[Question 1],"&lt;&gt;"))</f>
        <v/>
      </c>
      <c r="R143" s="11">
        <f>IF($A143="","",COUNTIFS(tblPCSInput[Call Date/Time],"&gt;="&amp;(SETUP!$B$6),tblPCSInput[Call Date/Time],"&lt;"&amp;(SETUP!$B$7),tblPCSInput[Call Direction],"I",tblPCSInput[Agent ID],$A143,tblPCSInput[Valid Q1],"&gt;=1"))</f>
        <v/>
      </c>
      <c r="S143" s="12">
        <f>IFERROR(SUMIFS(tblPCSInput[Valid Q1],tblPCSInput[Call Date/Time],"&gt;="&amp;SETUP!$B$6,tblPCSInput[Call Date/Time],"&lt;"&amp;SETUP!$B$7,tblPCSInput[Call Direction],"I",tblPCSInput[Agent ID],$A143)/COUNTIFS(tblPCSInput[Call Date/Time],"&gt;="&amp;(SETUP!$B$6),tblPCSInput[Call Date/Time],"&lt;"&amp;(SETUP!$B$7),tblPCSInput[Call Direction],"I",tblPCSInput[Agent ID],$A143,tblPCSInput[Valid Q1],"&gt;=1"),"")</f>
        <v/>
      </c>
      <c r="T143" s="11">
        <f>IF(S143="","",COUNTIFS(tblPCSInput[Call Date/Time],"&gt;="&amp;(SETUP!$B$6),tblPCSInput[Call Date/Time],"&lt;"&amp;(SETUP!$B$7),tblPCSInput[Call Direction],"I",tblPCSInput[Agent ID],$A143,tblPCSInput[Valid Q1],"&lt;=3",tblPCSInput[Valid Q1],"&gt;=1"))</f>
        <v/>
      </c>
      <c r="U143" s="11">
        <f>IF(S143="","",COUNTIFS(tblPCSInput[Call Date/Time],"&gt;="&amp;(SETUP!$B$6),tblPCSInput[Call Date/Time],"&lt;"&amp;(SETUP!$B$7),tblPCSInput[Call Direction],"I",tblPCSInput[Agent ID],$A143,tblPCSInput[Valid Q1],"&gt;3"))</f>
        <v/>
      </c>
      <c r="V143" s="13">
        <f>IFERROR(Q143/P143,"")</f>
        <v/>
      </c>
      <c r="W143" s="13">
        <f>IFERROR(R143/P143,"")</f>
        <v/>
      </c>
    </row>
    <row r="144" spans="1:23">
      <c r="A144" s="4">
        <f>IF(ROSTER!A144="","",ROSTER!A144)</f>
        <v/>
      </c>
      <c r="B144" s="4">
        <f>IF($A144="","",ROSTER!C144)</f>
        <v/>
      </c>
      <c r="C144" s="4">
        <f>IF($A144="","",ROSTER!D144)</f>
        <v/>
      </c>
      <c r="D144" s="4">
        <f>IF($A144="","",ROSTER!E144)</f>
        <v/>
      </c>
      <c r="E144" s="4">
        <f>IF($A144="","",ROSTER!F144)</f>
        <v/>
      </c>
      <c r="F144" s="11">
        <f>IF($A144="","",COUNTIFS(tblPCSInput[Call Date/Time],"&gt;="&amp;(SETUP!$B$5),tblPCSInput[Call Date/Time],"&lt;"&amp;(SETUP!$B$5+1),tblPCSInput[Call Direction],"I",tblPCSInput[Agent ID],$A144,tblPCSInput[PCSStatus],1))</f>
        <v/>
      </c>
      <c r="G144" s="11">
        <f>IF($A144="","",COUNTIFS(tblPCSInput[Call Date/Time],"&gt;="&amp;(SETUP!$B$5),tblPCSInput[Call Date/Time],"&lt;"&amp;(SETUP!$B$5+1),tblPCSInput[Call Direction],"I",tblPCSInput[Agent ID],$A144,tblPCSInput[Question 1],"&lt;&gt;"))</f>
        <v/>
      </c>
      <c r="H144" s="11">
        <f>IF($A144="","",COUNTIFS(tblPCSInput[Call Date/Time],"&gt;="&amp;(SETUP!$B$5),tblPCSInput[Call Date/Time],"&lt;"&amp;(SETUP!$B$5+1),tblPCSInput[Call Direction],"I",tblPCSInput[Agent ID],$A144,tblPCSInput[Valid Q1],"&gt;=1"))</f>
        <v/>
      </c>
      <c r="I144" s="12">
        <f>IFERROR(SUMIFS(tblPCSInput[Valid Q1],tblPCSInput[Call Date/Time],"&gt;="&amp;SETUP!$B$5,tblPCSInput[Call Date/Time],"&lt;"&amp;SETUP!$B$5+1,tblPCSInput[Call Direction],"I",tblPCSInput[Agent ID],$A144)/COUNTIFS(tblPCSInput[Call Date/Time],"&gt;="&amp;(SETUP!$B$5),tblPCSInput[Call Date/Time],"&lt;"&amp;(SETUP!$B$5+1),tblPCSInput[Call Direction],"I",tblPCSInput[Agent ID],$A144,tblPCSInput[Valid Q1],"&gt;=1"),"")</f>
        <v/>
      </c>
      <c r="J144" s="11">
        <f>IF(I144="","",COUNTIFS(tblPCSInput[Call Date/Time],"&gt;="&amp;(SETUP!$B$5),tblPCSInput[Call Date/Time],"&lt;"&amp;(SETUP!$B$5+1),tblPCSInput[Call Direction],"I",tblPCSInput[Agent ID],$A144,tblPCSInput[Valid Q1],"&lt;=3",tblPCSInput[Valid Q1],"&gt;=1"))</f>
        <v/>
      </c>
      <c r="K144" s="11">
        <f>IF(I144="","",COUNTIFS(tblPCSInput[Call Date/Time],"&gt;="&amp;(SETUP!$B$5),tblPCSInput[Call Date/Time],"&lt;"&amp;(SETUP!$B$5+1),tblPCSInput[Call Direction],"I",tblPCSInput[Agent ID],$A144,tblPCSInput[Valid Q1],"&gt;3"))</f>
        <v/>
      </c>
      <c r="L144" s="13">
        <f>IFERROR(G144/F144,"")</f>
        <v/>
      </c>
      <c r="M144" s="13">
        <f>IFERROR(H144/F144,"")</f>
        <v/>
      </c>
      <c r="N144" s="11">
        <f>IF($A144="","",MAX(0,G144-H144))</f>
        <v/>
      </c>
      <c r="O144" s="4">
        <f>IF($A144="","",IF(H144=0,"NO VALID SURVEY",IF(H144&lt;5,"LOW SAMPLE","OK")))</f>
        <v/>
      </c>
      <c r="P144" s="11">
        <f>IF($A144="","",COUNTIFS(tblPCSInput[Call Date/Time],"&gt;="&amp;(SETUP!$B$6),tblPCSInput[Call Date/Time],"&lt;"&amp;(SETUP!$B$7),tblPCSInput[Call Direction],"I",tblPCSInput[Agent ID],$A144,tblPCSInput[PCSStatus],1))</f>
        <v/>
      </c>
      <c r="Q144" s="11">
        <f>IF($A144="","",COUNTIFS(tblPCSInput[Call Date/Time],"&gt;="&amp;(SETUP!$B$6),tblPCSInput[Call Date/Time],"&lt;"&amp;(SETUP!$B$7),tblPCSInput[Call Direction],"I",tblPCSInput[Agent ID],$A144,tblPCSInput[Question 1],"&lt;&gt;"))</f>
        <v/>
      </c>
      <c r="R144" s="11">
        <f>IF($A144="","",COUNTIFS(tblPCSInput[Call Date/Time],"&gt;="&amp;(SETUP!$B$6),tblPCSInput[Call Date/Time],"&lt;"&amp;(SETUP!$B$7),tblPCSInput[Call Direction],"I",tblPCSInput[Agent ID],$A144,tblPCSInput[Valid Q1],"&gt;=1"))</f>
        <v/>
      </c>
      <c r="S144" s="12">
        <f>IFERROR(SUMIFS(tblPCSInput[Valid Q1],tblPCSInput[Call Date/Time],"&gt;="&amp;SETUP!$B$6,tblPCSInput[Call Date/Time],"&lt;"&amp;SETUP!$B$7,tblPCSInput[Call Direction],"I",tblPCSInput[Agent ID],$A144)/COUNTIFS(tblPCSInput[Call Date/Time],"&gt;="&amp;(SETUP!$B$6),tblPCSInput[Call Date/Time],"&lt;"&amp;(SETUP!$B$7),tblPCSInput[Call Direction],"I",tblPCSInput[Agent ID],$A144,tblPCSInput[Valid Q1],"&gt;=1"),"")</f>
        <v/>
      </c>
      <c r="T144" s="11">
        <f>IF(S144="","",COUNTIFS(tblPCSInput[Call Date/Time],"&gt;="&amp;(SETUP!$B$6),tblPCSInput[Call Date/Time],"&lt;"&amp;(SETUP!$B$7),tblPCSInput[Call Direction],"I",tblPCSInput[Agent ID],$A144,tblPCSInput[Valid Q1],"&lt;=3",tblPCSInput[Valid Q1],"&gt;=1"))</f>
        <v/>
      </c>
      <c r="U144" s="11">
        <f>IF(S144="","",COUNTIFS(tblPCSInput[Call Date/Time],"&gt;="&amp;(SETUP!$B$6),tblPCSInput[Call Date/Time],"&lt;"&amp;(SETUP!$B$7),tblPCSInput[Call Direction],"I",tblPCSInput[Agent ID],$A144,tblPCSInput[Valid Q1],"&gt;3"))</f>
        <v/>
      </c>
      <c r="V144" s="13">
        <f>IFERROR(Q144/P144,"")</f>
        <v/>
      </c>
      <c r="W144" s="13">
        <f>IFERROR(R144/P144,"")</f>
        <v/>
      </c>
    </row>
    <row r="145" spans="1:23">
      <c r="A145" s="4">
        <f>IF(ROSTER!A145="","",ROSTER!A145)</f>
        <v/>
      </c>
      <c r="B145" s="4">
        <f>IF($A145="","",ROSTER!C145)</f>
        <v/>
      </c>
      <c r="C145" s="4">
        <f>IF($A145="","",ROSTER!D145)</f>
        <v/>
      </c>
      <c r="D145" s="4">
        <f>IF($A145="","",ROSTER!E145)</f>
        <v/>
      </c>
      <c r="E145" s="4">
        <f>IF($A145="","",ROSTER!F145)</f>
        <v/>
      </c>
      <c r="F145" s="11">
        <f>IF($A145="","",COUNTIFS(tblPCSInput[Call Date/Time],"&gt;="&amp;(SETUP!$B$5),tblPCSInput[Call Date/Time],"&lt;"&amp;(SETUP!$B$5+1),tblPCSInput[Call Direction],"I",tblPCSInput[Agent ID],$A145,tblPCSInput[PCSStatus],1))</f>
        <v/>
      </c>
      <c r="G145" s="11">
        <f>IF($A145="","",COUNTIFS(tblPCSInput[Call Date/Time],"&gt;="&amp;(SETUP!$B$5),tblPCSInput[Call Date/Time],"&lt;"&amp;(SETUP!$B$5+1),tblPCSInput[Call Direction],"I",tblPCSInput[Agent ID],$A145,tblPCSInput[Question 1],"&lt;&gt;"))</f>
        <v/>
      </c>
      <c r="H145" s="11">
        <f>IF($A145="","",COUNTIFS(tblPCSInput[Call Date/Time],"&gt;="&amp;(SETUP!$B$5),tblPCSInput[Call Date/Time],"&lt;"&amp;(SETUP!$B$5+1),tblPCSInput[Call Direction],"I",tblPCSInput[Agent ID],$A145,tblPCSInput[Valid Q1],"&gt;=1"))</f>
        <v/>
      </c>
      <c r="I145" s="12">
        <f>IFERROR(SUMIFS(tblPCSInput[Valid Q1],tblPCSInput[Call Date/Time],"&gt;="&amp;SETUP!$B$5,tblPCSInput[Call Date/Time],"&lt;"&amp;SETUP!$B$5+1,tblPCSInput[Call Direction],"I",tblPCSInput[Agent ID],$A145)/COUNTIFS(tblPCSInput[Call Date/Time],"&gt;="&amp;(SETUP!$B$5),tblPCSInput[Call Date/Time],"&lt;"&amp;(SETUP!$B$5+1),tblPCSInput[Call Direction],"I",tblPCSInput[Agent ID],$A145,tblPCSInput[Valid Q1],"&gt;=1"),"")</f>
        <v/>
      </c>
      <c r="J145" s="11">
        <f>IF(I145="","",COUNTIFS(tblPCSInput[Call Date/Time],"&gt;="&amp;(SETUP!$B$5),tblPCSInput[Call Date/Time],"&lt;"&amp;(SETUP!$B$5+1),tblPCSInput[Call Direction],"I",tblPCSInput[Agent ID],$A145,tblPCSInput[Valid Q1],"&lt;=3",tblPCSInput[Valid Q1],"&gt;=1"))</f>
        <v/>
      </c>
      <c r="K145" s="11">
        <f>IF(I145="","",COUNTIFS(tblPCSInput[Call Date/Time],"&gt;="&amp;(SETUP!$B$5),tblPCSInput[Call Date/Time],"&lt;"&amp;(SETUP!$B$5+1),tblPCSInput[Call Direction],"I",tblPCSInput[Agent ID],$A145,tblPCSInput[Valid Q1],"&gt;3"))</f>
        <v/>
      </c>
      <c r="L145" s="13">
        <f>IFERROR(G145/F145,"")</f>
        <v/>
      </c>
      <c r="M145" s="13">
        <f>IFERROR(H145/F145,"")</f>
        <v/>
      </c>
      <c r="N145" s="11">
        <f>IF($A145="","",MAX(0,G145-H145))</f>
        <v/>
      </c>
      <c r="O145" s="4">
        <f>IF($A145="","",IF(H145=0,"NO VALID SURVEY",IF(H145&lt;5,"LOW SAMPLE","OK")))</f>
        <v/>
      </c>
      <c r="P145" s="11">
        <f>IF($A145="","",COUNTIFS(tblPCSInput[Call Date/Time],"&gt;="&amp;(SETUP!$B$6),tblPCSInput[Call Date/Time],"&lt;"&amp;(SETUP!$B$7),tblPCSInput[Call Direction],"I",tblPCSInput[Agent ID],$A145,tblPCSInput[PCSStatus],1))</f>
        <v/>
      </c>
      <c r="Q145" s="11">
        <f>IF($A145="","",COUNTIFS(tblPCSInput[Call Date/Time],"&gt;="&amp;(SETUP!$B$6),tblPCSInput[Call Date/Time],"&lt;"&amp;(SETUP!$B$7),tblPCSInput[Call Direction],"I",tblPCSInput[Agent ID],$A145,tblPCSInput[Question 1],"&lt;&gt;"))</f>
        <v/>
      </c>
      <c r="R145" s="11">
        <f>IF($A145="","",COUNTIFS(tblPCSInput[Call Date/Time],"&gt;="&amp;(SETUP!$B$6),tblPCSInput[Call Date/Time],"&lt;"&amp;(SETUP!$B$7),tblPCSInput[Call Direction],"I",tblPCSInput[Agent ID],$A145,tblPCSInput[Valid Q1],"&gt;=1"))</f>
        <v/>
      </c>
      <c r="S145" s="12">
        <f>IFERROR(SUMIFS(tblPCSInput[Valid Q1],tblPCSInput[Call Date/Time],"&gt;="&amp;SETUP!$B$6,tblPCSInput[Call Date/Time],"&lt;"&amp;SETUP!$B$7,tblPCSInput[Call Direction],"I",tblPCSInput[Agent ID],$A145)/COUNTIFS(tblPCSInput[Call Date/Time],"&gt;="&amp;(SETUP!$B$6),tblPCSInput[Call Date/Time],"&lt;"&amp;(SETUP!$B$7),tblPCSInput[Call Direction],"I",tblPCSInput[Agent ID],$A145,tblPCSInput[Valid Q1],"&gt;=1"),"")</f>
        <v/>
      </c>
      <c r="T145" s="11">
        <f>IF(S145="","",COUNTIFS(tblPCSInput[Call Date/Time],"&gt;="&amp;(SETUP!$B$6),tblPCSInput[Call Date/Time],"&lt;"&amp;(SETUP!$B$7),tblPCSInput[Call Direction],"I",tblPCSInput[Agent ID],$A145,tblPCSInput[Valid Q1],"&lt;=3",tblPCSInput[Valid Q1],"&gt;=1"))</f>
        <v/>
      </c>
      <c r="U145" s="11">
        <f>IF(S145="","",COUNTIFS(tblPCSInput[Call Date/Time],"&gt;="&amp;(SETUP!$B$6),tblPCSInput[Call Date/Time],"&lt;"&amp;(SETUP!$B$7),tblPCSInput[Call Direction],"I",tblPCSInput[Agent ID],$A145,tblPCSInput[Valid Q1],"&gt;3"))</f>
        <v/>
      </c>
      <c r="V145" s="13">
        <f>IFERROR(Q145/P145,"")</f>
        <v/>
      </c>
      <c r="W145" s="13">
        <f>IFERROR(R145/P145,"")</f>
        <v/>
      </c>
    </row>
    <row r="146" spans="1:23">
      <c r="A146" s="4">
        <f>IF(ROSTER!A146="","",ROSTER!A146)</f>
        <v/>
      </c>
      <c r="B146" s="4">
        <f>IF($A146="","",ROSTER!C146)</f>
        <v/>
      </c>
      <c r="C146" s="4">
        <f>IF($A146="","",ROSTER!D146)</f>
        <v/>
      </c>
      <c r="D146" s="4">
        <f>IF($A146="","",ROSTER!E146)</f>
        <v/>
      </c>
      <c r="E146" s="4">
        <f>IF($A146="","",ROSTER!F146)</f>
        <v/>
      </c>
      <c r="F146" s="11">
        <f>IF($A146="","",COUNTIFS(tblPCSInput[Call Date/Time],"&gt;="&amp;(SETUP!$B$5),tblPCSInput[Call Date/Time],"&lt;"&amp;(SETUP!$B$5+1),tblPCSInput[Call Direction],"I",tblPCSInput[Agent ID],$A146,tblPCSInput[PCSStatus],1))</f>
        <v/>
      </c>
      <c r="G146" s="11">
        <f>IF($A146="","",COUNTIFS(tblPCSInput[Call Date/Time],"&gt;="&amp;(SETUP!$B$5),tblPCSInput[Call Date/Time],"&lt;"&amp;(SETUP!$B$5+1),tblPCSInput[Call Direction],"I",tblPCSInput[Agent ID],$A146,tblPCSInput[Question 1],"&lt;&gt;"))</f>
        <v/>
      </c>
      <c r="H146" s="11">
        <f>IF($A146="","",COUNTIFS(tblPCSInput[Call Date/Time],"&gt;="&amp;(SETUP!$B$5),tblPCSInput[Call Date/Time],"&lt;"&amp;(SETUP!$B$5+1),tblPCSInput[Call Direction],"I",tblPCSInput[Agent ID],$A146,tblPCSInput[Valid Q1],"&gt;=1"))</f>
        <v/>
      </c>
      <c r="I146" s="12">
        <f>IFERROR(SUMIFS(tblPCSInput[Valid Q1],tblPCSInput[Call Date/Time],"&gt;="&amp;SETUP!$B$5,tblPCSInput[Call Date/Time],"&lt;"&amp;SETUP!$B$5+1,tblPCSInput[Call Direction],"I",tblPCSInput[Agent ID],$A146)/COUNTIFS(tblPCSInput[Call Date/Time],"&gt;="&amp;(SETUP!$B$5),tblPCSInput[Call Date/Time],"&lt;"&amp;(SETUP!$B$5+1),tblPCSInput[Call Direction],"I",tblPCSInput[Agent ID],$A146,tblPCSInput[Valid Q1],"&gt;=1"),"")</f>
        <v/>
      </c>
      <c r="J146" s="11">
        <f>IF(I146="","",COUNTIFS(tblPCSInput[Call Date/Time],"&gt;="&amp;(SETUP!$B$5),tblPCSInput[Call Date/Time],"&lt;"&amp;(SETUP!$B$5+1),tblPCSInput[Call Direction],"I",tblPCSInput[Agent ID],$A146,tblPCSInput[Valid Q1],"&lt;=3",tblPCSInput[Valid Q1],"&gt;=1"))</f>
        <v/>
      </c>
      <c r="K146" s="11">
        <f>IF(I146="","",COUNTIFS(tblPCSInput[Call Date/Time],"&gt;="&amp;(SETUP!$B$5),tblPCSInput[Call Date/Time],"&lt;"&amp;(SETUP!$B$5+1),tblPCSInput[Call Direction],"I",tblPCSInput[Agent ID],$A146,tblPCSInput[Valid Q1],"&gt;3"))</f>
        <v/>
      </c>
      <c r="L146" s="13">
        <f>IFERROR(G146/F146,"")</f>
        <v/>
      </c>
      <c r="M146" s="13">
        <f>IFERROR(H146/F146,"")</f>
        <v/>
      </c>
      <c r="N146" s="11">
        <f>IF($A146="","",MAX(0,G146-H146))</f>
        <v/>
      </c>
      <c r="O146" s="4">
        <f>IF($A146="","",IF(H146=0,"NO VALID SURVEY",IF(H146&lt;5,"LOW SAMPLE","OK")))</f>
        <v/>
      </c>
      <c r="P146" s="11">
        <f>IF($A146="","",COUNTIFS(tblPCSInput[Call Date/Time],"&gt;="&amp;(SETUP!$B$6),tblPCSInput[Call Date/Time],"&lt;"&amp;(SETUP!$B$7),tblPCSInput[Call Direction],"I",tblPCSInput[Agent ID],$A146,tblPCSInput[PCSStatus],1))</f>
        <v/>
      </c>
      <c r="Q146" s="11">
        <f>IF($A146="","",COUNTIFS(tblPCSInput[Call Date/Time],"&gt;="&amp;(SETUP!$B$6),tblPCSInput[Call Date/Time],"&lt;"&amp;(SETUP!$B$7),tblPCSInput[Call Direction],"I",tblPCSInput[Agent ID],$A146,tblPCSInput[Question 1],"&lt;&gt;"))</f>
        <v/>
      </c>
      <c r="R146" s="11">
        <f>IF($A146="","",COUNTIFS(tblPCSInput[Call Date/Time],"&gt;="&amp;(SETUP!$B$6),tblPCSInput[Call Date/Time],"&lt;"&amp;(SETUP!$B$7),tblPCSInput[Call Direction],"I",tblPCSInput[Agent ID],$A146,tblPCSInput[Valid Q1],"&gt;=1"))</f>
        <v/>
      </c>
      <c r="S146" s="12">
        <f>IFERROR(SUMIFS(tblPCSInput[Valid Q1],tblPCSInput[Call Date/Time],"&gt;="&amp;SETUP!$B$6,tblPCSInput[Call Date/Time],"&lt;"&amp;SETUP!$B$7,tblPCSInput[Call Direction],"I",tblPCSInput[Agent ID],$A146)/COUNTIFS(tblPCSInput[Call Date/Time],"&gt;="&amp;(SETUP!$B$6),tblPCSInput[Call Date/Time],"&lt;"&amp;(SETUP!$B$7),tblPCSInput[Call Direction],"I",tblPCSInput[Agent ID],$A146,tblPCSInput[Valid Q1],"&gt;=1"),"")</f>
        <v/>
      </c>
      <c r="T146" s="11">
        <f>IF(S146="","",COUNTIFS(tblPCSInput[Call Date/Time],"&gt;="&amp;(SETUP!$B$6),tblPCSInput[Call Date/Time],"&lt;"&amp;(SETUP!$B$7),tblPCSInput[Call Direction],"I",tblPCSInput[Agent ID],$A146,tblPCSInput[Valid Q1],"&lt;=3",tblPCSInput[Valid Q1],"&gt;=1"))</f>
        <v/>
      </c>
      <c r="U146" s="11">
        <f>IF(S146="","",COUNTIFS(tblPCSInput[Call Date/Time],"&gt;="&amp;(SETUP!$B$6),tblPCSInput[Call Date/Time],"&lt;"&amp;(SETUP!$B$7),tblPCSInput[Call Direction],"I",tblPCSInput[Agent ID],$A146,tblPCSInput[Valid Q1],"&gt;3"))</f>
        <v/>
      </c>
      <c r="V146" s="13">
        <f>IFERROR(Q146/P146,"")</f>
        <v/>
      </c>
      <c r="W146" s="13">
        <f>IFERROR(R146/P146,"")</f>
        <v/>
      </c>
    </row>
    <row r="147" spans="1:23">
      <c r="A147" s="4">
        <f>IF(ROSTER!A147="","",ROSTER!A147)</f>
        <v/>
      </c>
      <c r="B147" s="4">
        <f>IF($A147="","",ROSTER!C147)</f>
        <v/>
      </c>
      <c r="C147" s="4">
        <f>IF($A147="","",ROSTER!D147)</f>
        <v/>
      </c>
      <c r="D147" s="4">
        <f>IF($A147="","",ROSTER!E147)</f>
        <v/>
      </c>
      <c r="E147" s="4">
        <f>IF($A147="","",ROSTER!F147)</f>
        <v/>
      </c>
      <c r="F147" s="11">
        <f>IF($A147="","",COUNTIFS(tblPCSInput[Call Date/Time],"&gt;="&amp;(SETUP!$B$5),tblPCSInput[Call Date/Time],"&lt;"&amp;(SETUP!$B$5+1),tblPCSInput[Call Direction],"I",tblPCSInput[Agent ID],$A147,tblPCSInput[PCSStatus],1))</f>
        <v/>
      </c>
      <c r="G147" s="11">
        <f>IF($A147="","",COUNTIFS(tblPCSInput[Call Date/Time],"&gt;="&amp;(SETUP!$B$5),tblPCSInput[Call Date/Time],"&lt;"&amp;(SETUP!$B$5+1),tblPCSInput[Call Direction],"I",tblPCSInput[Agent ID],$A147,tblPCSInput[Question 1],"&lt;&gt;"))</f>
        <v/>
      </c>
      <c r="H147" s="11">
        <f>IF($A147="","",COUNTIFS(tblPCSInput[Call Date/Time],"&gt;="&amp;(SETUP!$B$5),tblPCSInput[Call Date/Time],"&lt;"&amp;(SETUP!$B$5+1),tblPCSInput[Call Direction],"I",tblPCSInput[Agent ID],$A147,tblPCSInput[Valid Q1],"&gt;=1"))</f>
        <v/>
      </c>
      <c r="I147" s="12">
        <f>IFERROR(SUMIFS(tblPCSInput[Valid Q1],tblPCSInput[Call Date/Time],"&gt;="&amp;SETUP!$B$5,tblPCSInput[Call Date/Time],"&lt;"&amp;SETUP!$B$5+1,tblPCSInput[Call Direction],"I",tblPCSInput[Agent ID],$A147)/COUNTIFS(tblPCSInput[Call Date/Time],"&gt;="&amp;(SETUP!$B$5),tblPCSInput[Call Date/Time],"&lt;"&amp;(SETUP!$B$5+1),tblPCSInput[Call Direction],"I",tblPCSInput[Agent ID],$A147,tblPCSInput[Valid Q1],"&gt;=1"),"")</f>
        <v/>
      </c>
      <c r="J147" s="11">
        <f>IF(I147="","",COUNTIFS(tblPCSInput[Call Date/Time],"&gt;="&amp;(SETUP!$B$5),tblPCSInput[Call Date/Time],"&lt;"&amp;(SETUP!$B$5+1),tblPCSInput[Call Direction],"I",tblPCSInput[Agent ID],$A147,tblPCSInput[Valid Q1],"&lt;=3",tblPCSInput[Valid Q1],"&gt;=1"))</f>
        <v/>
      </c>
      <c r="K147" s="11">
        <f>IF(I147="","",COUNTIFS(tblPCSInput[Call Date/Time],"&gt;="&amp;(SETUP!$B$5),tblPCSInput[Call Date/Time],"&lt;"&amp;(SETUP!$B$5+1),tblPCSInput[Call Direction],"I",tblPCSInput[Agent ID],$A147,tblPCSInput[Valid Q1],"&gt;3"))</f>
        <v/>
      </c>
      <c r="L147" s="13">
        <f>IFERROR(G147/F147,"")</f>
        <v/>
      </c>
      <c r="M147" s="13">
        <f>IFERROR(H147/F147,"")</f>
        <v/>
      </c>
      <c r="N147" s="11">
        <f>IF($A147="","",MAX(0,G147-H147))</f>
        <v/>
      </c>
      <c r="O147" s="4">
        <f>IF($A147="","",IF(H147=0,"NO VALID SURVEY",IF(H147&lt;5,"LOW SAMPLE","OK")))</f>
        <v/>
      </c>
      <c r="P147" s="11">
        <f>IF($A147="","",COUNTIFS(tblPCSInput[Call Date/Time],"&gt;="&amp;(SETUP!$B$6),tblPCSInput[Call Date/Time],"&lt;"&amp;(SETUP!$B$7),tblPCSInput[Call Direction],"I",tblPCSInput[Agent ID],$A147,tblPCSInput[PCSStatus],1))</f>
        <v/>
      </c>
      <c r="Q147" s="11">
        <f>IF($A147="","",COUNTIFS(tblPCSInput[Call Date/Time],"&gt;="&amp;(SETUP!$B$6),tblPCSInput[Call Date/Time],"&lt;"&amp;(SETUP!$B$7),tblPCSInput[Call Direction],"I",tblPCSInput[Agent ID],$A147,tblPCSInput[Question 1],"&lt;&gt;"))</f>
        <v/>
      </c>
      <c r="R147" s="11">
        <f>IF($A147="","",COUNTIFS(tblPCSInput[Call Date/Time],"&gt;="&amp;(SETUP!$B$6),tblPCSInput[Call Date/Time],"&lt;"&amp;(SETUP!$B$7),tblPCSInput[Call Direction],"I",tblPCSInput[Agent ID],$A147,tblPCSInput[Valid Q1],"&gt;=1"))</f>
        <v/>
      </c>
      <c r="S147" s="12">
        <f>IFERROR(SUMIFS(tblPCSInput[Valid Q1],tblPCSInput[Call Date/Time],"&gt;="&amp;SETUP!$B$6,tblPCSInput[Call Date/Time],"&lt;"&amp;SETUP!$B$7,tblPCSInput[Call Direction],"I",tblPCSInput[Agent ID],$A147)/COUNTIFS(tblPCSInput[Call Date/Time],"&gt;="&amp;(SETUP!$B$6),tblPCSInput[Call Date/Time],"&lt;"&amp;(SETUP!$B$7),tblPCSInput[Call Direction],"I",tblPCSInput[Agent ID],$A147,tblPCSInput[Valid Q1],"&gt;=1"),"")</f>
        <v/>
      </c>
      <c r="T147" s="11">
        <f>IF(S147="","",COUNTIFS(tblPCSInput[Call Date/Time],"&gt;="&amp;(SETUP!$B$6),tblPCSInput[Call Date/Time],"&lt;"&amp;(SETUP!$B$7),tblPCSInput[Call Direction],"I",tblPCSInput[Agent ID],$A147,tblPCSInput[Valid Q1],"&lt;=3",tblPCSInput[Valid Q1],"&gt;=1"))</f>
        <v/>
      </c>
      <c r="U147" s="11">
        <f>IF(S147="","",COUNTIFS(tblPCSInput[Call Date/Time],"&gt;="&amp;(SETUP!$B$6),tblPCSInput[Call Date/Time],"&lt;"&amp;(SETUP!$B$7),tblPCSInput[Call Direction],"I",tblPCSInput[Agent ID],$A147,tblPCSInput[Valid Q1],"&gt;3"))</f>
        <v/>
      </c>
      <c r="V147" s="13">
        <f>IFERROR(Q147/P147,"")</f>
        <v/>
      </c>
      <c r="W147" s="13">
        <f>IFERROR(R147/P147,"")</f>
        <v/>
      </c>
    </row>
    <row r="148" spans="1:23">
      <c r="A148" s="4">
        <f>IF(ROSTER!A148="","",ROSTER!A148)</f>
        <v/>
      </c>
      <c r="B148" s="4">
        <f>IF($A148="","",ROSTER!C148)</f>
        <v/>
      </c>
      <c r="C148" s="4">
        <f>IF($A148="","",ROSTER!D148)</f>
        <v/>
      </c>
      <c r="D148" s="4">
        <f>IF($A148="","",ROSTER!E148)</f>
        <v/>
      </c>
      <c r="E148" s="4">
        <f>IF($A148="","",ROSTER!F148)</f>
        <v/>
      </c>
      <c r="F148" s="11">
        <f>IF($A148="","",COUNTIFS(tblPCSInput[Call Date/Time],"&gt;="&amp;(SETUP!$B$5),tblPCSInput[Call Date/Time],"&lt;"&amp;(SETUP!$B$5+1),tblPCSInput[Call Direction],"I",tblPCSInput[Agent ID],$A148,tblPCSInput[PCSStatus],1))</f>
        <v/>
      </c>
      <c r="G148" s="11">
        <f>IF($A148="","",COUNTIFS(tblPCSInput[Call Date/Time],"&gt;="&amp;(SETUP!$B$5),tblPCSInput[Call Date/Time],"&lt;"&amp;(SETUP!$B$5+1),tblPCSInput[Call Direction],"I",tblPCSInput[Agent ID],$A148,tblPCSInput[Question 1],"&lt;&gt;"))</f>
        <v/>
      </c>
      <c r="H148" s="11">
        <f>IF($A148="","",COUNTIFS(tblPCSInput[Call Date/Time],"&gt;="&amp;(SETUP!$B$5),tblPCSInput[Call Date/Time],"&lt;"&amp;(SETUP!$B$5+1),tblPCSInput[Call Direction],"I",tblPCSInput[Agent ID],$A148,tblPCSInput[Valid Q1],"&gt;=1"))</f>
        <v/>
      </c>
      <c r="I148" s="12">
        <f>IFERROR(SUMIFS(tblPCSInput[Valid Q1],tblPCSInput[Call Date/Time],"&gt;="&amp;SETUP!$B$5,tblPCSInput[Call Date/Time],"&lt;"&amp;SETUP!$B$5+1,tblPCSInput[Call Direction],"I",tblPCSInput[Agent ID],$A148)/COUNTIFS(tblPCSInput[Call Date/Time],"&gt;="&amp;(SETUP!$B$5),tblPCSInput[Call Date/Time],"&lt;"&amp;(SETUP!$B$5+1),tblPCSInput[Call Direction],"I",tblPCSInput[Agent ID],$A148,tblPCSInput[Valid Q1],"&gt;=1"),"")</f>
        <v/>
      </c>
      <c r="J148" s="11">
        <f>IF(I148="","",COUNTIFS(tblPCSInput[Call Date/Time],"&gt;="&amp;(SETUP!$B$5),tblPCSInput[Call Date/Time],"&lt;"&amp;(SETUP!$B$5+1),tblPCSInput[Call Direction],"I",tblPCSInput[Agent ID],$A148,tblPCSInput[Valid Q1],"&lt;=3",tblPCSInput[Valid Q1],"&gt;=1"))</f>
        <v/>
      </c>
      <c r="K148" s="11">
        <f>IF(I148="","",COUNTIFS(tblPCSInput[Call Date/Time],"&gt;="&amp;(SETUP!$B$5),tblPCSInput[Call Date/Time],"&lt;"&amp;(SETUP!$B$5+1),tblPCSInput[Call Direction],"I",tblPCSInput[Agent ID],$A148,tblPCSInput[Valid Q1],"&gt;3"))</f>
        <v/>
      </c>
      <c r="L148" s="13">
        <f>IFERROR(G148/F148,"")</f>
        <v/>
      </c>
      <c r="M148" s="13">
        <f>IFERROR(H148/F148,"")</f>
        <v/>
      </c>
      <c r="N148" s="11">
        <f>IF($A148="","",MAX(0,G148-H148))</f>
        <v/>
      </c>
      <c r="O148" s="4">
        <f>IF($A148="","",IF(H148=0,"NO VALID SURVEY",IF(H148&lt;5,"LOW SAMPLE","OK")))</f>
        <v/>
      </c>
      <c r="P148" s="11">
        <f>IF($A148="","",COUNTIFS(tblPCSInput[Call Date/Time],"&gt;="&amp;(SETUP!$B$6),tblPCSInput[Call Date/Time],"&lt;"&amp;(SETUP!$B$7),tblPCSInput[Call Direction],"I",tblPCSInput[Agent ID],$A148,tblPCSInput[PCSStatus],1))</f>
        <v/>
      </c>
      <c r="Q148" s="11">
        <f>IF($A148="","",COUNTIFS(tblPCSInput[Call Date/Time],"&gt;="&amp;(SETUP!$B$6),tblPCSInput[Call Date/Time],"&lt;"&amp;(SETUP!$B$7),tblPCSInput[Call Direction],"I",tblPCSInput[Agent ID],$A148,tblPCSInput[Question 1],"&lt;&gt;"))</f>
        <v/>
      </c>
      <c r="R148" s="11">
        <f>IF($A148="","",COUNTIFS(tblPCSInput[Call Date/Time],"&gt;="&amp;(SETUP!$B$6),tblPCSInput[Call Date/Time],"&lt;"&amp;(SETUP!$B$7),tblPCSInput[Call Direction],"I",tblPCSInput[Agent ID],$A148,tblPCSInput[Valid Q1],"&gt;=1"))</f>
        <v/>
      </c>
      <c r="S148" s="12">
        <f>IFERROR(SUMIFS(tblPCSInput[Valid Q1],tblPCSInput[Call Date/Time],"&gt;="&amp;SETUP!$B$6,tblPCSInput[Call Date/Time],"&lt;"&amp;SETUP!$B$7,tblPCSInput[Call Direction],"I",tblPCSInput[Agent ID],$A148)/COUNTIFS(tblPCSInput[Call Date/Time],"&gt;="&amp;(SETUP!$B$6),tblPCSInput[Call Date/Time],"&lt;"&amp;(SETUP!$B$7),tblPCSInput[Call Direction],"I",tblPCSInput[Agent ID],$A148,tblPCSInput[Valid Q1],"&gt;=1"),"")</f>
        <v/>
      </c>
      <c r="T148" s="11">
        <f>IF(S148="","",COUNTIFS(tblPCSInput[Call Date/Time],"&gt;="&amp;(SETUP!$B$6),tblPCSInput[Call Date/Time],"&lt;"&amp;(SETUP!$B$7),tblPCSInput[Call Direction],"I",tblPCSInput[Agent ID],$A148,tblPCSInput[Valid Q1],"&lt;=3",tblPCSInput[Valid Q1],"&gt;=1"))</f>
        <v/>
      </c>
      <c r="U148" s="11">
        <f>IF(S148="","",COUNTIFS(tblPCSInput[Call Date/Time],"&gt;="&amp;(SETUP!$B$6),tblPCSInput[Call Date/Time],"&lt;"&amp;(SETUP!$B$7),tblPCSInput[Call Direction],"I",tblPCSInput[Agent ID],$A148,tblPCSInput[Valid Q1],"&gt;3"))</f>
        <v/>
      </c>
      <c r="V148" s="13">
        <f>IFERROR(Q148/P148,"")</f>
        <v/>
      </c>
      <c r="W148" s="13">
        <f>IFERROR(R148/P148,"")</f>
        <v/>
      </c>
    </row>
    <row r="149" spans="1:23">
      <c r="A149" s="4">
        <f>IF(ROSTER!A149="","",ROSTER!A149)</f>
        <v/>
      </c>
      <c r="B149" s="4">
        <f>IF($A149="","",ROSTER!C149)</f>
        <v/>
      </c>
      <c r="C149" s="4">
        <f>IF($A149="","",ROSTER!D149)</f>
        <v/>
      </c>
      <c r="D149" s="4">
        <f>IF($A149="","",ROSTER!E149)</f>
        <v/>
      </c>
      <c r="E149" s="4">
        <f>IF($A149="","",ROSTER!F149)</f>
        <v/>
      </c>
      <c r="F149" s="11">
        <f>IF($A149="","",COUNTIFS(tblPCSInput[Call Date/Time],"&gt;="&amp;(SETUP!$B$5),tblPCSInput[Call Date/Time],"&lt;"&amp;(SETUP!$B$5+1),tblPCSInput[Call Direction],"I",tblPCSInput[Agent ID],$A149,tblPCSInput[PCSStatus],1))</f>
        <v/>
      </c>
      <c r="G149" s="11">
        <f>IF($A149="","",COUNTIFS(tblPCSInput[Call Date/Time],"&gt;="&amp;(SETUP!$B$5),tblPCSInput[Call Date/Time],"&lt;"&amp;(SETUP!$B$5+1),tblPCSInput[Call Direction],"I",tblPCSInput[Agent ID],$A149,tblPCSInput[Question 1],"&lt;&gt;"))</f>
        <v/>
      </c>
      <c r="H149" s="11">
        <f>IF($A149="","",COUNTIFS(tblPCSInput[Call Date/Time],"&gt;="&amp;(SETUP!$B$5),tblPCSInput[Call Date/Time],"&lt;"&amp;(SETUP!$B$5+1),tblPCSInput[Call Direction],"I",tblPCSInput[Agent ID],$A149,tblPCSInput[Valid Q1],"&gt;=1"))</f>
        <v/>
      </c>
      <c r="I149" s="12">
        <f>IFERROR(SUMIFS(tblPCSInput[Valid Q1],tblPCSInput[Call Date/Time],"&gt;="&amp;SETUP!$B$5,tblPCSInput[Call Date/Time],"&lt;"&amp;SETUP!$B$5+1,tblPCSInput[Call Direction],"I",tblPCSInput[Agent ID],$A149)/COUNTIFS(tblPCSInput[Call Date/Time],"&gt;="&amp;(SETUP!$B$5),tblPCSInput[Call Date/Time],"&lt;"&amp;(SETUP!$B$5+1),tblPCSInput[Call Direction],"I",tblPCSInput[Agent ID],$A149,tblPCSInput[Valid Q1],"&gt;=1"),"")</f>
        <v/>
      </c>
      <c r="J149" s="11">
        <f>IF(I149="","",COUNTIFS(tblPCSInput[Call Date/Time],"&gt;="&amp;(SETUP!$B$5),tblPCSInput[Call Date/Time],"&lt;"&amp;(SETUP!$B$5+1),tblPCSInput[Call Direction],"I",tblPCSInput[Agent ID],$A149,tblPCSInput[Valid Q1],"&lt;=3",tblPCSInput[Valid Q1],"&gt;=1"))</f>
        <v/>
      </c>
      <c r="K149" s="11">
        <f>IF(I149="","",COUNTIFS(tblPCSInput[Call Date/Time],"&gt;="&amp;(SETUP!$B$5),tblPCSInput[Call Date/Time],"&lt;"&amp;(SETUP!$B$5+1),tblPCSInput[Call Direction],"I",tblPCSInput[Agent ID],$A149,tblPCSInput[Valid Q1],"&gt;3"))</f>
        <v/>
      </c>
      <c r="L149" s="13">
        <f>IFERROR(G149/F149,"")</f>
        <v/>
      </c>
      <c r="M149" s="13">
        <f>IFERROR(H149/F149,"")</f>
        <v/>
      </c>
      <c r="N149" s="11">
        <f>IF($A149="","",MAX(0,G149-H149))</f>
        <v/>
      </c>
      <c r="O149" s="4">
        <f>IF($A149="","",IF(H149=0,"NO VALID SURVEY",IF(H149&lt;5,"LOW SAMPLE","OK")))</f>
        <v/>
      </c>
      <c r="P149" s="11">
        <f>IF($A149="","",COUNTIFS(tblPCSInput[Call Date/Time],"&gt;="&amp;(SETUP!$B$6),tblPCSInput[Call Date/Time],"&lt;"&amp;(SETUP!$B$7),tblPCSInput[Call Direction],"I",tblPCSInput[Agent ID],$A149,tblPCSInput[PCSStatus],1))</f>
        <v/>
      </c>
      <c r="Q149" s="11">
        <f>IF($A149="","",COUNTIFS(tblPCSInput[Call Date/Time],"&gt;="&amp;(SETUP!$B$6),tblPCSInput[Call Date/Time],"&lt;"&amp;(SETUP!$B$7),tblPCSInput[Call Direction],"I",tblPCSInput[Agent ID],$A149,tblPCSInput[Question 1],"&lt;&gt;"))</f>
        <v/>
      </c>
      <c r="R149" s="11">
        <f>IF($A149="","",COUNTIFS(tblPCSInput[Call Date/Time],"&gt;="&amp;(SETUP!$B$6),tblPCSInput[Call Date/Time],"&lt;"&amp;(SETUP!$B$7),tblPCSInput[Call Direction],"I",tblPCSInput[Agent ID],$A149,tblPCSInput[Valid Q1],"&gt;=1"))</f>
        <v/>
      </c>
      <c r="S149" s="12">
        <f>IFERROR(SUMIFS(tblPCSInput[Valid Q1],tblPCSInput[Call Date/Time],"&gt;="&amp;SETUP!$B$6,tblPCSInput[Call Date/Time],"&lt;"&amp;SETUP!$B$7,tblPCSInput[Call Direction],"I",tblPCSInput[Agent ID],$A149)/COUNTIFS(tblPCSInput[Call Date/Time],"&gt;="&amp;(SETUP!$B$6),tblPCSInput[Call Date/Time],"&lt;"&amp;(SETUP!$B$7),tblPCSInput[Call Direction],"I",tblPCSInput[Agent ID],$A149,tblPCSInput[Valid Q1],"&gt;=1"),"")</f>
        <v/>
      </c>
      <c r="T149" s="11">
        <f>IF(S149="","",COUNTIFS(tblPCSInput[Call Date/Time],"&gt;="&amp;(SETUP!$B$6),tblPCSInput[Call Date/Time],"&lt;"&amp;(SETUP!$B$7),tblPCSInput[Call Direction],"I",tblPCSInput[Agent ID],$A149,tblPCSInput[Valid Q1],"&lt;=3",tblPCSInput[Valid Q1],"&gt;=1"))</f>
        <v/>
      </c>
      <c r="U149" s="11">
        <f>IF(S149="","",COUNTIFS(tblPCSInput[Call Date/Time],"&gt;="&amp;(SETUP!$B$6),tblPCSInput[Call Date/Time],"&lt;"&amp;(SETUP!$B$7),tblPCSInput[Call Direction],"I",tblPCSInput[Agent ID],$A149,tblPCSInput[Valid Q1],"&gt;3"))</f>
        <v/>
      </c>
      <c r="V149" s="13">
        <f>IFERROR(Q149/P149,"")</f>
        <v/>
      </c>
      <c r="W149" s="13">
        <f>IFERROR(R149/P149,"")</f>
        <v/>
      </c>
    </row>
    <row r="150" spans="1:23">
      <c r="A150" s="4">
        <f>IF(ROSTER!A150="","",ROSTER!A150)</f>
        <v/>
      </c>
      <c r="B150" s="4">
        <f>IF($A150="","",ROSTER!C150)</f>
        <v/>
      </c>
      <c r="C150" s="4">
        <f>IF($A150="","",ROSTER!D150)</f>
        <v/>
      </c>
      <c r="D150" s="4">
        <f>IF($A150="","",ROSTER!E150)</f>
        <v/>
      </c>
      <c r="E150" s="4">
        <f>IF($A150="","",ROSTER!F150)</f>
        <v/>
      </c>
      <c r="F150" s="11">
        <f>IF($A150="","",COUNTIFS(tblPCSInput[Call Date/Time],"&gt;="&amp;(SETUP!$B$5),tblPCSInput[Call Date/Time],"&lt;"&amp;(SETUP!$B$5+1),tblPCSInput[Call Direction],"I",tblPCSInput[Agent ID],$A150,tblPCSInput[PCSStatus],1))</f>
        <v/>
      </c>
      <c r="G150" s="11">
        <f>IF($A150="","",COUNTIFS(tblPCSInput[Call Date/Time],"&gt;="&amp;(SETUP!$B$5),tblPCSInput[Call Date/Time],"&lt;"&amp;(SETUP!$B$5+1),tblPCSInput[Call Direction],"I",tblPCSInput[Agent ID],$A150,tblPCSInput[Question 1],"&lt;&gt;"))</f>
        <v/>
      </c>
      <c r="H150" s="11">
        <f>IF($A150="","",COUNTIFS(tblPCSInput[Call Date/Time],"&gt;="&amp;(SETUP!$B$5),tblPCSInput[Call Date/Time],"&lt;"&amp;(SETUP!$B$5+1),tblPCSInput[Call Direction],"I",tblPCSInput[Agent ID],$A150,tblPCSInput[Valid Q1],"&gt;=1"))</f>
        <v/>
      </c>
      <c r="I150" s="12">
        <f>IFERROR(SUMIFS(tblPCSInput[Valid Q1],tblPCSInput[Call Date/Time],"&gt;="&amp;SETUP!$B$5,tblPCSInput[Call Date/Time],"&lt;"&amp;SETUP!$B$5+1,tblPCSInput[Call Direction],"I",tblPCSInput[Agent ID],$A150)/COUNTIFS(tblPCSInput[Call Date/Time],"&gt;="&amp;(SETUP!$B$5),tblPCSInput[Call Date/Time],"&lt;"&amp;(SETUP!$B$5+1),tblPCSInput[Call Direction],"I",tblPCSInput[Agent ID],$A150,tblPCSInput[Valid Q1],"&gt;=1"),"")</f>
        <v/>
      </c>
      <c r="J150" s="11">
        <f>IF(I150="","",COUNTIFS(tblPCSInput[Call Date/Time],"&gt;="&amp;(SETUP!$B$5),tblPCSInput[Call Date/Time],"&lt;"&amp;(SETUP!$B$5+1),tblPCSInput[Call Direction],"I",tblPCSInput[Agent ID],$A150,tblPCSInput[Valid Q1],"&lt;=3",tblPCSInput[Valid Q1],"&gt;=1"))</f>
        <v/>
      </c>
      <c r="K150" s="11">
        <f>IF(I150="","",COUNTIFS(tblPCSInput[Call Date/Time],"&gt;="&amp;(SETUP!$B$5),tblPCSInput[Call Date/Time],"&lt;"&amp;(SETUP!$B$5+1),tblPCSInput[Call Direction],"I",tblPCSInput[Agent ID],$A150,tblPCSInput[Valid Q1],"&gt;3"))</f>
        <v/>
      </c>
      <c r="L150" s="13">
        <f>IFERROR(G150/F150,"")</f>
        <v/>
      </c>
      <c r="M150" s="13">
        <f>IFERROR(H150/F150,"")</f>
        <v/>
      </c>
      <c r="N150" s="11">
        <f>IF($A150="","",MAX(0,G150-H150))</f>
        <v/>
      </c>
      <c r="O150" s="4">
        <f>IF($A150="","",IF(H150=0,"NO VALID SURVEY",IF(H150&lt;5,"LOW SAMPLE","OK")))</f>
        <v/>
      </c>
      <c r="P150" s="11">
        <f>IF($A150="","",COUNTIFS(tblPCSInput[Call Date/Time],"&gt;="&amp;(SETUP!$B$6),tblPCSInput[Call Date/Time],"&lt;"&amp;(SETUP!$B$7),tblPCSInput[Call Direction],"I",tblPCSInput[Agent ID],$A150,tblPCSInput[PCSStatus],1))</f>
        <v/>
      </c>
      <c r="Q150" s="11">
        <f>IF($A150="","",COUNTIFS(tblPCSInput[Call Date/Time],"&gt;="&amp;(SETUP!$B$6),tblPCSInput[Call Date/Time],"&lt;"&amp;(SETUP!$B$7),tblPCSInput[Call Direction],"I",tblPCSInput[Agent ID],$A150,tblPCSInput[Question 1],"&lt;&gt;"))</f>
        <v/>
      </c>
      <c r="R150" s="11">
        <f>IF($A150="","",COUNTIFS(tblPCSInput[Call Date/Time],"&gt;="&amp;(SETUP!$B$6),tblPCSInput[Call Date/Time],"&lt;"&amp;(SETUP!$B$7),tblPCSInput[Call Direction],"I",tblPCSInput[Agent ID],$A150,tblPCSInput[Valid Q1],"&gt;=1"))</f>
        <v/>
      </c>
      <c r="S150" s="12">
        <f>IFERROR(SUMIFS(tblPCSInput[Valid Q1],tblPCSInput[Call Date/Time],"&gt;="&amp;SETUP!$B$6,tblPCSInput[Call Date/Time],"&lt;"&amp;SETUP!$B$7,tblPCSInput[Call Direction],"I",tblPCSInput[Agent ID],$A150)/COUNTIFS(tblPCSInput[Call Date/Time],"&gt;="&amp;(SETUP!$B$6),tblPCSInput[Call Date/Time],"&lt;"&amp;(SETUP!$B$7),tblPCSInput[Call Direction],"I",tblPCSInput[Agent ID],$A150,tblPCSInput[Valid Q1],"&gt;=1"),"")</f>
        <v/>
      </c>
      <c r="T150" s="11">
        <f>IF(S150="","",COUNTIFS(tblPCSInput[Call Date/Time],"&gt;="&amp;(SETUP!$B$6),tblPCSInput[Call Date/Time],"&lt;"&amp;(SETUP!$B$7),tblPCSInput[Call Direction],"I",tblPCSInput[Agent ID],$A150,tblPCSInput[Valid Q1],"&lt;=3",tblPCSInput[Valid Q1],"&gt;=1"))</f>
        <v/>
      </c>
      <c r="U150" s="11">
        <f>IF(S150="","",COUNTIFS(tblPCSInput[Call Date/Time],"&gt;="&amp;(SETUP!$B$6),tblPCSInput[Call Date/Time],"&lt;"&amp;(SETUP!$B$7),tblPCSInput[Call Direction],"I",tblPCSInput[Agent ID],$A150,tblPCSInput[Valid Q1],"&gt;3"))</f>
        <v/>
      </c>
      <c r="V150" s="13">
        <f>IFERROR(Q150/P150,"")</f>
        <v/>
      </c>
      <c r="W150" s="13">
        <f>IFERROR(R150/P150,"")</f>
        <v/>
      </c>
    </row>
    <row r="151" spans="1:23">
      <c r="A151" s="4">
        <f>IF(ROSTER!A151="","",ROSTER!A151)</f>
        <v/>
      </c>
      <c r="B151" s="4">
        <f>IF($A151="","",ROSTER!C151)</f>
        <v/>
      </c>
      <c r="C151" s="4">
        <f>IF($A151="","",ROSTER!D151)</f>
        <v/>
      </c>
      <c r="D151" s="4">
        <f>IF($A151="","",ROSTER!E151)</f>
        <v/>
      </c>
      <c r="E151" s="4">
        <f>IF($A151="","",ROSTER!F151)</f>
        <v/>
      </c>
      <c r="F151" s="11">
        <f>IF($A151="","",COUNTIFS(tblPCSInput[Call Date/Time],"&gt;="&amp;(SETUP!$B$5),tblPCSInput[Call Date/Time],"&lt;"&amp;(SETUP!$B$5+1),tblPCSInput[Call Direction],"I",tblPCSInput[Agent ID],$A151,tblPCSInput[PCSStatus],1))</f>
        <v/>
      </c>
      <c r="G151" s="11">
        <f>IF($A151="","",COUNTIFS(tblPCSInput[Call Date/Time],"&gt;="&amp;(SETUP!$B$5),tblPCSInput[Call Date/Time],"&lt;"&amp;(SETUP!$B$5+1),tblPCSInput[Call Direction],"I",tblPCSInput[Agent ID],$A151,tblPCSInput[Question 1],"&lt;&gt;"))</f>
        <v/>
      </c>
      <c r="H151" s="11">
        <f>IF($A151="","",COUNTIFS(tblPCSInput[Call Date/Time],"&gt;="&amp;(SETUP!$B$5),tblPCSInput[Call Date/Time],"&lt;"&amp;(SETUP!$B$5+1),tblPCSInput[Call Direction],"I",tblPCSInput[Agent ID],$A151,tblPCSInput[Valid Q1],"&gt;=1"))</f>
        <v/>
      </c>
      <c r="I151" s="12">
        <f>IFERROR(SUMIFS(tblPCSInput[Valid Q1],tblPCSInput[Call Date/Time],"&gt;="&amp;SETUP!$B$5,tblPCSInput[Call Date/Time],"&lt;"&amp;SETUP!$B$5+1,tblPCSInput[Call Direction],"I",tblPCSInput[Agent ID],$A151)/COUNTIFS(tblPCSInput[Call Date/Time],"&gt;="&amp;(SETUP!$B$5),tblPCSInput[Call Date/Time],"&lt;"&amp;(SETUP!$B$5+1),tblPCSInput[Call Direction],"I",tblPCSInput[Agent ID],$A151,tblPCSInput[Valid Q1],"&gt;=1"),"")</f>
        <v/>
      </c>
      <c r="J151" s="11">
        <f>IF(I151="","",COUNTIFS(tblPCSInput[Call Date/Time],"&gt;="&amp;(SETUP!$B$5),tblPCSInput[Call Date/Time],"&lt;"&amp;(SETUP!$B$5+1),tblPCSInput[Call Direction],"I",tblPCSInput[Agent ID],$A151,tblPCSInput[Valid Q1],"&lt;=3",tblPCSInput[Valid Q1],"&gt;=1"))</f>
        <v/>
      </c>
      <c r="K151" s="11">
        <f>IF(I151="","",COUNTIFS(tblPCSInput[Call Date/Time],"&gt;="&amp;(SETUP!$B$5),tblPCSInput[Call Date/Time],"&lt;"&amp;(SETUP!$B$5+1),tblPCSInput[Call Direction],"I",tblPCSInput[Agent ID],$A151,tblPCSInput[Valid Q1],"&gt;3"))</f>
        <v/>
      </c>
      <c r="L151" s="13">
        <f>IFERROR(G151/F151,"")</f>
        <v/>
      </c>
      <c r="M151" s="13">
        <f>IFERROR(H151/F151,"")</f>
        <v/>
      </c>
      <c r="N151" s="11">
        <f>IF($A151="","",MAX(0,G151-H151))</f>
        <v/>
      </c>
      <c r="O151" s="4">
        <f>IF($A151="","",IF(H151=0,"NO VALID SURVEY",IF(H151&lt;5,"LOW SAMPLE","OK")))</f>
        <v/>
      </c>
      <c r="P151" s="11">
        <f>IF($A151="","",COUNTIFS(tblPCSInput[Call Date/Time],"&gt;="&amp;(SETUP!$B$6),tblPCSInput[Call Date/Time],"&lt;"&amp;(SETUP!$B$7),tblPCSInput[Call Direction],"I",tblPCSInput[Agent ID],$A151,tblPCSInput[PCSStatus],1))</f>
        <v/>
      </c>
      <c r="Q151" s="11">
        <f>IF($A151="","",COUNTIFS(tblPCSInput[Call Date/Time],"&gt;="&amp;(SETUP!$B$6),tblPCSInput[Call Date/Time],"&lt;"&amp;(SETUP!$B$7),tblPCSInput[Call Direction],"I",tblPCSInput[Agent ID],$A151,tblPCSInput[Question 1],"&lt;&gt;"))</f>
        <v/>
      </c>
      <c r="R151" s="11">
        <f>IF($A151="","",COUNTIFS(tblPCSInput[Call Date/Time],"&gt;="&amp;(SETUP!$B$6),tblPCSInput[Call Date/Time],"&lt;"&amp;(SETUP!$B$7),tblPCSInput[Call Direction],"I",tblPCSInput[Agent ID],$A151,tblPCSInput[Valid Q1],"&gt;=1"))</f>
        <v/>
      </c>
      <c r="S151" s="12">
        <f>IFERROR(SUMIFS(tblPCSInput[Valid Q1],tblPCSInput[Call Date/Time],"&gt;="&amp;SETUP!$B$6,tblPCSInput[Call Date/Time],"&lt;"&amp;SETUP!$B$7,tblPCSInput[Call Direction],"I",tblPCSInput[Agent ID],$A151)/COUNTIFS(tblPCSInput[Call Date/Time],"&gt;="&amp;(SETUP!$B$6),tblPCSInput[Call Date/Time],"&lt;"&amp;(SETUP!$B$7),tblPCSInput[Call Direction],"I",tblPCSInput[Agent ID],$A151,tblPCSInput[Valid Q1],"&gt;=1"),"")</f>
        <v/>
      </c>
      <c r="T151" s="11">
        <f>IF(S151="","",COUNTIFS(tblPCSInput[Call Date/Time],"&gt;="&amp;(SETUP!$B$6),tblPCSInput[Call Date/Time],"&lt;"&amp;(SETUP!$B$7),tblPCSInput[Call Direction],"I",tblPCSInput[Agent ID],$A151,tblPCSInput[Valid Q1],"&lt;=3",tblPCSInput[Valid Q1],"&gt;=1"))</f>
        <v/>
      </c>
      <c r="U151" s="11">
        <f>IF(S151="","",COUNTIFS(tblPCSInput[Call Date/Time],"&gt;="&amp;(SETUP!$B$6),tblPCSInput[Call Date/Time],"&lt;"&amp;(SETUP!$B$7),tblPCSInput[Call Direction],"I",tblPCSInput[Agent ID],$A151,tblPCSInput[Valid Q1],"&gt;3"))</f>
        <v/>
      </c>
      <c r="V151" s="13">
        <f>IFERROR(Q151/P151,"")</f>
        <v/>
      </c>
      <c r="W151" s="13">
        <f>IFERROR(R151/P151,"")</f>
        <v/>
      </c>
    </row>
    <row r="152" spans="1:23">
      <c r="A152" s="4">
        <f>IF(ROSTER!A152="","",ROSTER!A152)</f>
        <v/>
      </c>
      <c r="B152" s="4">
        <f>IF($A152="","",ROSTER!C152)</f>
        <v/>
      </c>
      <c r="C152" s="4">
        <f>IF($A152="","",ROSTER!D152)</f>
        <v/>
      </c>
      <c r="D152" s="4">
        <f>IF($A152="","",ROSTER!E152)</f>
        <v/>
      </c>
      <c r="E152" s="4">
        <f>IF($A152="","",ROSTER!F152)</f>
        <v/>
      </c>
      <c r="F152" s="11">
        <f>IF($A152="","",COUNTIFS(tblPCSInput[Call Date/Time],"&gt;="&amp;(SETUP!$B$5),tblPCSInput[Call Date/Time],"&lt;"&amp;(SETUP!$B$5+1),tblPCSInput[Call Direction],"I",tblPCSInput[Agent ID],$A152,tblPCSInput[PCSStatus],1))</f>
        <v/>
      </c>
      <c r="G152" s="11">
        <f>IF($A152="","",COUNTIFS(tblPCSInput[Call Date/Time],"&gt;="&amp;(SETUP!$B$5),tblPCSInput[Call Date/Time],"&lt;"&amp;(SETUP!$B$5+1),tblPCSInput[Call Direction],"I",tblPCSInput[Agent ID],$A152,tblPCSInput[Question 1],"&lt;&gt;"))</f>
        <v/>
      </c>
      <c r="H152" s="11">
        <f>IF($A152="","",COUNTIFS(tblPCSInput[Call Date/Time],"&gt;="&amp;(SETUP!$B$5),tblPCSInput[Call Date/Time],"&lt;"&amp;(SETUP!$B$5+1),tblPCSInput[Call Direction],"I",tblPCSInput[Agent ID],$A152,tblPCSInput[Valid Q1],"&gt;=1"))</f>
        <v/>
      </c>
      <c r="I152" s="12">
        <f>IFERROR(SUMIFS(tblPCSInput[Valid Q1],tblPCSInput[Call Date/Time],"&gt;="&amp;SETUP!$B$5,tblPCSInput[Call Date/Time],"&lt;"&amp;SETUP!$B$5+1,tblPCSInput[Call Direction],"I",tblPCSInput[Agent ID],$A152)/COUNTIFS(tblPCSInput[Call Date/Time],"&gt;="&amp;(SETUP!$B$5),tblPCSInput[Call Date/Time],"&lt;"&amp;(SETUP!$B$5+1),tblPCSInput[Call Direction],"I",tblPCSInput[Agent ID],$A152,tblPCSInput[Valid Q1],"&gt;=1"),"")</f>
        <v/>
      </c>
      <c r="J152" s="11">
        <f>IF(I152="","",COUNTIFS(tblPCSInput[Call Date/Time],"&gt;="&amp;(SETUP!$B$5),tblPCSInput[Call Date/Time],"&lt;"&amp;(SETUP!$B$5+1),tblPCSInput[Call Direction],"I",tblPCSInput[Agent ID],$A152,tblPCSInput[Valid Q1],"&lt;=3",tblPCSInput[Valid Q1],"&gt;=1"))</f>
        <v/>
      </c>
      <c r="K152" s="11">
        <f>IF(I152="","",COUNTIFS(tblPCSInput[Call Date/Time],"&gt;="&amp;(SETUP!$B$5),tblPCSInput[Call Date/Time],"&lt;"&amp;(SETUP!$B$5+1),tblPCSInput[Call Direction],"I",tblPCSInput[Agent ID],$A152,tblPCSInput[Valid Q1],"&gt;3"))</f>
        <v/>
      </c>
      <c r="L152" s="13">
        <f>IFERROR(G152/F152,"")</f>
        <v/>
      </c>
      <c r="M152" s="13">
        <f>IFERROR(H152/F152,"")</f>
        <v/>
      </c>
      <c r="N152" s="11">
        <f>IF($A152="","",MAX(0,G152-H152))</f>
        <v/>
      </c>
      <c r="O152" s="4">
        <f>IF($A152="","",IF(H152=0,"NO VALID SURVEY",IF(H152&lt;5,"LOW SAMPLE","OK")))</f>
        <v/>
      </c>
      <c r="P152" s="11">
        <f>IF($A152="","",COUNTIFS(tblPCSInput[Call Date/Time],"&gt;="&amp;(SETUP!$B$6),tblPCSInput[Call Date/Time],"&lt;"&amp;(SETUP!$B$7),tblPCSInput[Call Direction],"I",tblPCSInput[Agent ID],$A152,tblPCSInput[PCSStatus],1))</f>
        <v/>
      </c>
      <c r="Q152" s="11">
        <f>IF($A152="","",COUNTIFS(tblPCSInput[Call Date/Time],"&gt;="&amp;(SETUP!$B$6),tblPCSInput[Call Date/Time],"&lt;"&amp;(SETUP!$B$7),tblPCSInput[Call Direction],"I",tblPCSInput[Agent ID],$A152,tblPCSInput[Question 1],"&lt;&gt;"))</f>
        <v/>
      </c>
      <c r="R152" s="11">
        <f>IF($A152="","",COUNTIFS(tblPCSInput[Call Date/Time],"&gt;="&amp;(SETUP!$B$6),tblPCSInput[Call Date/Time],"&lt;"&amp;(SETUP!$B$7),tblPCSInput[Call Direction],"I",tblPCSInput[Agent ID],$A152,tblPCSInput[Valid Q1],"&gt;=1"))</f>
        <v/>
      </c>
      <c r="S152" s="12">
        <f>IFERROR(SUMIFS(tblPCSInput[Valid Q1],tblPCSInput[Call Date/Time],"&gt;="&amp;SETUP!$B$6,tblPCSInput[Call Date/Time],"&lt;"&amp;SETUP!$B$7,tblPCSInput[Call Direction],"I",tblPCSInput[Agent ID],$A152)/COUNTIFS(tblPCSInput[Call Date/Time],"&gt;="&amp;(SETUP!$B$6),tblPCSInput[Call Date/Time],"&lt;"&amp;(SETUP!$B$7),tblPCSInput[Call Direction],"I",tblPCSInput[Agent ID],$A152,tblPCSInput[Valid Q1],"&gt;=1"),"")</f>
        <v/>
      </c>
      <c r="T152" s="11">
        <f>IF(S152="","",COUNTIFS(tblPCSInput[Call Date/Time],"&gt;="&amp;(SETUP!$B$6),tblPCSInput[Call Date/Time],"&lt;"&amp;(SETUP!$B$7),tblPCSInput[Call Direction],"I",tblPCSInput[Agent ID],$A152,tblPCSInput[Valid Q1],"&lt;=3",tblPCSInput[Valid Q1],"&gt;=1"))</f>
        <v/>
      </c>
      <c r="U152" s="11">
        <f>IF(S152="","",COUNTIFS(tblPCSInput[Call Date/Time],"&gt;="&amp;(SETUP!$B$6),tblPCSInput[Call Date/Time],"&lt;"&amp;(SETUP!$B$7),tblPCSInput[Call Direction],"I",tblPCSInput[Agent ID],$A152,tblPCSInput[Valid Q1],"&gt;3"))</f>
        <v/>
      </c>
      <c r="V152" s="13">
        <f>IFERROR(Q152/P152,"")</f>
        <v/>
      </c>
      <c r="W152" s="13">
        <f>IFERROR(R152/P152,"")</f>
        <v/>
      </c>
    </row>
    <row r="153" spans="1:23">
      <c r="A153" s="4">
        <f>IF(ROSTER!A153="","",ROSTER!A153)</f>
        <v/>
      </c>
      <c r="B153" s="4">
        <f>IF($A153="","",ROSTER!C153)</f>
        <v/>
      </c>
      <c r="C153" s="4">
        <f>IF($A153="","",ROSTER!D153)</f>
        <v/>
      </c>
      <c r="D153" s="4">
        <f>IF($A153="","",ROSTER!E153)</f>
        <v/>
      </c>
      <c r="E153" s="4">
        <f>IF($A153="","",ROSTER!F153)</f>
        <v/>
      </c>
      <c r="F153" s="11">
        <f>IF($A153="","",COUNTIFS(tblPCSInput[Call Date/Time],"&gt;="&amp;(SETUP!$B$5),tblPCSInput[Call Date/Time],"&lt;"&amp;(SETUP!$B$5+1),tblPCSInput[Call Direction],"I",tblPCSInput[Agent ID],$A153,tblPCSInput[PCSStatus],1))</f>
        <v/>
      </c>
      <c r="G153" s="11">
        <f>IF($A153="","",COUNTIFS(tblPCSInput[Call Date/Time],"&gt;="&amp;(SETUP!$B$5),tblPCSInput[Call Date/Time],"&lt;"&amp;(SETUP!$B$5+1),tblPCSInput[Call Direction],"I",tblPCSInput[Agent ID],$A153,tblPCSInput[Question 1],"&lt;&gt;"))</f>
        <v/>
      </c>
      <c r="H153" s="11">
        <f>IF($A153="","",COUNTIFS(tblPCSInput[Call Date/Time],"&gt;="&amp;(SETUP!$B$5),tblPCSInput[Call Date/Time],"&lt;"&amp;(SETUP!$B$5+1),tblPCSInput[Call Direction],"I",tblPCSInput[Agent ID],$A153,tblPCSInput[Valid Q1],"&gt;=1"))</f>
        <v/>
      </c>
      <c r="I153" s="12">
        <f>IFERROR(SUMIFS(tblPCSInput[Valid Q1],tblPCSInput[Call Date/Time],"&gt;="&amp;SETUP!$B$5,tblPCSInput[Call Date/Time],"&lt;"&amp;SETUP!$B$5+1,tblPCSInput[Call Direction],"I",tblPCSInput[Agent ID],$A153)/COUNTIFS(tblPCSInput[Call Date/Time],"&gt;="&amp;(SETUP!$B$5),tblPCSInput[Call Date/Time],"&lt;"&amp;(SETUP!$B$5+1),tblPCSInput[Call Direction],"I",tblPCSInput[Agent ID],$A153,tblPCSInput[Valid Q1],"&gt;=1"),"")</f>
        <v/>
      </c>
      <c r="J153" s="11">
        <f>IF(I153="","",COUNTIFS(tblPCSInput[Call Date/Time],"&gt;="&amp;(SETUP!$B$5),tblPCSInput[Call Date/Time],"&lt;"&amp;(SETUP!$B$5+1),tblPCSInput[Call Direction],"I",tblPCSInput[Agent ID],$A153,tblPCSInput[Valid Q1],"&lt;=3",tblPCSInput[Valid Q1],"&gt;=1"))</f>
        <v/>
      </c>
      <c r="K153" s="11">
        <f>IF(I153="","",COUNTIFS(tblPCSInput[Call Date/Time],"&gt;="&amp;(SETUP!$B$5),tblPCSInput[Call Date/Time],"&lt;"&amp;(SETUP!$B$5+1),tblPCSInput[Call Direction],"I",tblPCSInput[Agent ID],$A153,tblPCSInput[Valid Q1],"&gt;3"))</f>
        <v/>
      </c>
      <c r="L153" s="13">
        <f>IFERROR(G153/F153,"")</f>
        <v/>
      </c>
      <c r="M153" s="13">
        <f>IFERROR(H153/F153,"")</f>
        <v/>
      </c>
      <c r="N153" s="11">
        <f>IF($A153="","",MAX(0,G153-H153))</f>
        <v/>
      </c>
      <c r="O153" s="4">
        <f>IF($A153="","",IF(H153=0,"NO VALID SURVEY",IF(H153&lt;5,"LOW SAMPLE","OK")))</f>
        <v/>
      </c>
      <c r="P153" s="11">
        <f>IF($A153="","",COUNTIFS(tblPCSInput[Call Date/Time],"&gt;="&amp;(SETUP!$B$6),tblPCSInput[Call Date/Time],"&lt;"&amp;(SETUP!$B$7),tblPCSInput[Call Direction],"I",tblPCSInput[Agent ID],$A153,tblPCSInput[PCSStatus],1))</f>
        <v/>
      </c>
      <c r="Q153" s="11">
        <f>IF($A153="","",COUNTIFS(tblPCSInput[Call Date/Time],"&gt;="&amp;(SETUP!$B$6),tblPCSInput[Call Date/Time],"&lt;"&amp;(SETUP!$B$7),tblPCSInput[Call Direction],"I",tblPCSInput[Agent ID],$A153,tblPCSInput[Question 1],"&lt;&gt;"))</f>
        <v/>
      </c>
      <c r="R153" s="11">
        <f>IF($A153="","",COUNTIFS(tblPCSInput[Call Date/Time],"&gt;="&amp;(SETUP!$B$6),tblPCSInput[Call Date/Time],"&lt;"&amp;(SETUP!$B$7),tblPCSInput[Call Direction],"I",tblPCSInput[Agent ID],$A153,tblPCSInput[Valid Q1],"&gt;=1"))</f>
        <v/>
      </c>
      <c r="S153" s="12">
        <f>IFERROR(SUMIFS(tblPCSInput[Valid Q1],tblPCSInput[Call Date/Time],"&gt;="&amp;SETUP!$B$6,tblPCSInput[Call Date/Time],"&lt;"&amp;SETUP!$B$7,tblPCSInput[Call Direction],"I",tblPCSInput[Agent ID],$A153)/COUNTIFS(tblPCSInput[Call Date/Time],"&gt;="&amp;(SETUP!$B$6),tblPCSInput[Call Date/Time],"&lt;"&amp;(SETUP!$B$7),tblPCSInput[Call Direction],"I",tblPCSInput[Agent ID],$A153,tblPCSInput[Valid Q1],"&gt;=1"),"")</f>
        <v/>
      </c>
      <c r="T153" s="11">
        <f>IF(S153="","",COUNTIFS(tblPCSInput[Call Date/Time],"&gt;="&amp;(SETUP!$B$6),tblPCSInput[Call Date/Time],"&lt;"&amp;(SETUP!$B$7),tblPCSInput[Call Direction],"I",tblPCSInput[Agent ID],$A153,tblPCSInput[Valid Q1],"&lt;=3",tblPCSInput[Valid Q1],"&gt;=1"))</f>
        <v/>
      </c>
      <c r="U153" s="11">
        <f>IF(S153="","",COUNTIFS(tblPCSInput[Call Date/Time],"&gt;="&amp;(SETUP!$B$6),tblPCSInput[Call Date/Time],"&lt;"&amp;(SETUP!$B$7),tblPCSInput[Call Direction],"I",tblPCSInput[Agent ID],$A153,tblPCSInput[Valid Q1],"&gt;3"))</f>
        <v/>
      </c>
      <c r="V153" s="13">
        <f>IFERROR(Q153/P153,"")</f>
        <v/>
      </c>
      <c r="W153" s="13">
        <f>IFERROR(R153/P153,"")</f>
        <v/>
      </c>
    </row>
    <row r="154" spans="1:23">
      <c r="A154" s="4">
        <f>IF(ROSTER!A154="","",ROSTER!A154)</f>
        <v/>
      </c>
      <c r="B154" s="4">
        <f>IF($A154="","",ROSTER!C154)</f>
        <v/>
      </c>
      <c r="C154" s="4">
        <f>IF($A154="","",ROSTER!D154)</f>
        <v/>
      </c>
      <c r="D154" s="4">
        <f>IF($A154="","",ROSTER!E154)</f>
        <v/>
      </c>
      <c r="E154" s="4">
        <f>IF($A154="","",ROSTER!F154)</f>
        <v/>
      </c>
      <c r="F154" s="11">
        <f>IF($A154="","",COUNTIFS(tblPCSInput[Call Date/Time],"&gt;="&amp;(SETUP!$B$5),tblPCSInput[Call Date/Time],"&lt;"&amp;(SETUP!$B$5+1),tblPCSInput[Call Direction],"I",tblPCSInput[Agent ID],$A154,tblPCSInput[PCSStatus],1))</f>
        <v/>
      </c>
      <c r="G154" s="11">
        <f>IF($A154="","",COUNTIFS(tblPCSInput[Call Date/Time],"&gt;="&amp;(SETUP!$B$5),tblPCSInput[Call Date/Time],"&lt;"&amp;(SETUP!$B$5+1),tblPCSInput[Call Direction],"I",tblPCSInput[Agent ID],$A154,tblPCSInput[Question 1],"&lt;&gt;"))</f>
        <v/>
      </c>
      <c r="H154" s="11">
        <f>IF($A154="","",COUNTIFS(tblPCSInput[Call Date/Time],"&gt;="&amp;(SETUP!$B$5),tblPCSInput[Call Date/Time],"&lt;"&amp;(SETUP!$B$5+1),tblPCSInput[Call Direction],"I",tblPCSInput[Agent ID],$A154,tblPCSInput[Valid Q1],"&gt;=1"))</f>
        <v/>
      </c>
      <c r="I154" s="12">
        <f>IFERROR(SUMIFS(tblPCSInput[Valid Q1],tblPCSInput[Call Date/Time],"&gt;="&amp;SETUP!$B$5,tblPCSInput[Call Date/Time],"&lt;"&amp;SETUP!$B$5+1,tblPCSInput[Call Direction],"I",tblPCSInput[Agent ID],$A154)/COUNTIFS(tblPCSInput[Call Date/Time],"&gt;="&amp;(SETUP!$B$5),tblPCSInput[Call Date/Time],"&lt;"&amp;(SETUP!$B$5+1),tblPCSInput[Call Direction],"I",tblPCSInput[Agent ID],$A154,tblPCSInput[Valid Q1],"&gt;=1"),"")</f>
        <v/>
      </c>
      <c r="J154" s="11">
        <f>IF(I154="","",COUNTIFS(tblPCSInput[Call Date/Time],"&gt;="&amp;(SETUP!$B$5),tblPCSInput[Call Date/Time],"&lt;"&amp;(SETUP!$B$5+1),tblPCSInput[Call Direction],"I",tblPCSInput[Agent ID],$A154,tblPCSInput[Valid Q1],"&lt;=3",tblPCSInput[Valid Q1],"&gt;=1"))</f>
        <v/>
      </c>
      <c r="K154" s="11">
        <f>IF(I154="","",COUNTIFS(tblPCSInput[Call Date/Time],"&gt;="&amp;(SETUP!$B$5),tblPCSInput[Call Date/Time],"&lt;"&amp;(SETUP!$B$5+1),tblPCSInput[Call Direction],"I",tblPCSInput[Agent ID],$A154,tblPCSInput[Valid Q1],"&gt;3"))</f>
        <v/>
      </c>
      <c r="L154" s="13">
        <f>IFERROR(G154/F154,"")</f>
        <v/>
      </c>
      <c r="M154" s="13">
        <f>IFERROR(H154/F154,"")</f>
        <v/>
      </c>
      <c r="N154" s="11">
        <f>IF($A154="","",MAX(0,G154-H154))</f>
        <v/>
      </c>
      <c r="O154" s="4">
        <f>IF($A154="","",IF(H154=0,"NO VALID SURVEY",IF(H154&lt;5,"LOW SAMPLE","OK")))</f>
        <v/>
      </c>
      <c r="P154" s="11">
        <f>IF($A154="","",COUNTIFS(tblPCSInput[Call Date/Time],"&gt;="&amp;(SETUP!$B$6),tblPCSInput[Call Date/Time],"&lt;"&amp;(SETUP!$B$7),tblPCSInput[Call Direction],"I",tblPCSInput[Agent ID],$A154,tblPCSInput[PCSStatus],1))</f>
        <v/>
      </c>
      <c r="Q154" s="11">
        <f>IF($A154="","",COUNTIFS(tblPCSInput[Call Date/Time],"&gt;="&amp;(SETUP!$B$6),tblPCSInput[Call Date/Time],"&lt;"&amp;(SETUP!$B$7),tblPCSInput[Call Direction],"I",tblPCSInput[Agent ID],$A154,tblPCSInput[Question 1],"&lt;&gt;"))</f>
        <v/>
      </c>
      <c r="R154" s="11">
        <f>IF($A154="","",COUNTIFS(tblPCSInput[Call Date/Time],"&gt;="&amp;(SETUP!$B$6),tblPCSInput[Call Date/Time],"&lt;"&amp;(SETUP!$B$7),tblPCSInput[Call Direction],"I",tblPCSInput[Agent ID],$A154,tblPCSInput[Valid Q1],"&gt;=1"))</f>
        <v/>
      </c>
      <c r="S154" s="12">
        <f>IFERROR(SUMIFS(tblPCSInput[Valid Q1],tblPCSInput[Call Date/Time],"&gt;="&amp;SETUP!$B$6,tblPCSInput[Call Date/Time],"&lt;"&amp;SETUP!$B$7,tblPCSInput[Call Direction],"I",tblPCSInput[Agent ID],$A154)/COUNTIFS(tblPCSInput[Call Date/Time],"&gt;="&amp;(SETUP!$B$6),tblPCSInput[Call Date/Time],"&lt;"&amp;(SETUP!$B$7),tblPCSInput[Call Direction],"I",tblPCSInput[Agent ID],$A154,tblPCSInput[Valid Q1],"&gt;=1"),"")</f>
        <v/>
      </c>
      <c r="T154" s="11">
        <f>IF(S154="","",COUNTIFS(tblPCSInput[Call Date/Time],"&gt;="&amp;(SETUP!$B$6),tblPCSInput[Call Date/Time],"&lt;"&amp;(SETUP!$B$7),tblPCSInput[Call Direction],"I",tblPCSInput[Agent ID],$A154,tblPCSInput[Valid Q1],"&lt;=3",tblPCSInput[Valid Q1],"&gt;=1"))</f>
        <v/>
      </c>
      <c r="U154" s="11">
        <f>IF(S154="","",COUNTIFS(tblPCSInput[Call Date/Time],"&gt;="&amp;(SETUP!$B$6),tblPCSInput[Call Date/Time],"&lt;"&amp;(SETUP!$B$7),tblPCSInput[Call Direction],"I",tblPCSInput[Agent ID],$A154,tblPCSInput[Valid Q1],"&gt;3"))</f>
        <v/>
      </c>
      <c r="V154" s="13">
        <f>IFERROR(Q154/P154,"")</f>
        <v/>
      </c>
      <c r="W154" s="13">
        <f>IFERROR(R154/P154,"")</f>
        <v/>
      </c>
    </row>
    <row r="155" spans="1:23">
      <c r="A155" s="4">
        <f>IF(ROSTER!A155="","",ROSTER!A155)</f>
        <v/>
      </c>
      <c r="B155" s="4">
        <f>IF($A155="","",ROSTER!C155)</f>
        <v/>
      </c>
      <c r="C155" s="4">
        <f>IF($A155="","",ROSTER!D155)</f>
        <v/>
      </c>
      <c r="D155" s="4">
        <f>IF($A155="","",ROSTER!E155)</f>
        <v/>
      </c>
      <c r="E155" s="4">
        <f>IF($A155="","",ROSTER!F155)</f>
        <v/>
      </c>
      <c r="F155" s="11">
        <f>IF($A155="","",COUNTIFS(tblPCSInput[Call Date/Time],"&gt;="&amp;(SETUP!$B$5),tblPCSInput[Call Date/Time],"&lt;"&amp;(SETUP!$B$5+1),tblPCSInput[Call Direction],"I",tblPCSInput[Agent ID],$A155,tblPCSInput[PCSStatus],1))</f>
        <v/>
      </c>
      <c r="G155" s="11">
        <f>IF($A155="","",COUNTIFS(tblPCSInput[Call Date/Time],"&gt;="&amp;(SETUP!$B$5),tblPCSInput[Call Date/Time],"&lt;"&amp;(SETUP!$B$5+1),tblPCSInput[Call Direction],"I",tblPCSInput[Agent ID],$A155,tblPCSInput[Question 1],"&lt;&gt;"))</f>
        <v/>
      </c>
      <c r="H155" s="11">
        <f>IF($A155="","",COUNTIFS(tblPCSInput[Call Date/Time],"&gt;="&amp;(SETUP!$B$5),tblPCSInput[Call Date/Time],"&lt;"&amp;(SETUP!$B$5+1),tblPCSInput[Call Direction],"I",tblPCSInput[Agent ID],$A155,tblPCSInput[Valid Q1],"&gt;=1"))</f>
        <v/>
      </c>
      <c r="I155" s="12">
        <f>IFERROR(SUMIFS(tblPCSInput[Valid Q1],tblPCSInput[Call Date/Time],"&gt;="&amp;SETUP!$B$5,tblPCSInput[Call Date/Time],"&lt;"&amp;SETUP!$B$5+1,tblPCSInput[Call Direction],"I",tblPCSInput[Agent ID],$A155)/COUNTIFS(tblPCSInput[Call Date/Time],"&gt;="&amp;(SETUP!$B$5),tblPCSInput[Call Date/Time],"&lt;"&amp;(SETUP!$B$5+1),tblPCSInput[Call Direction],"I",tblPCSInput[Agent ID],$A155,tblPCSInput[Valid Q1],"&gt;=1"),"")</f>
        <v/>
      </c>
      <c r="J155" s="11">
        <f>IF(I155="","",COUNTIFS(tblPCSInput[Call Date/Time],"&gt;="&amp;(SETUP!$B$5),tblPCSInput[Call Date/Time],"&lt;"&amp;(SETUP!$B$5+1),tblPCSInput[Call Direction],"I",tblPCSInput[Agent ID],$A155,tblPCSInput[Valid Q1],"&lt;=3",tblPCSInput[Valid Q1],"&gt;=1"))</f>
        <v/>
      </c>
      <c r="K155" s="11">
        <f>IF(I155="","",COUNTIFS(tblPCSInput[Call Date/Time],"&gt;="&amp;(SETUP!$B$5),tblPCSInput[Call Date/Time],"&lt;"&amp;(SETUP!$B$5+1),tblPCSInput[Call Direction],"I",tblPCSInput[Agent ID],$A155,tblPCSInput[Valid Q1],"&gt;3"))</f>
        <v/>
      </c>
      <c r="L155" s="13">
        <f>IFERROR(G155/F155,"")</f>
        <v/>
      </c>
      <c r="M155" s="13">
        <f>IFERROR(H155/F155,"")</f>
        <v/>
      </c>
      <c r="N155" s="11">
        <f>IF($A155="","",MAX(0,G155-H155))</f>
        <v/>
      </c>
      <c r="O155" s="4">
        <f>IF($A155="","",IF(H155=0,"NO VALID SURVEY",IF(H155&lt;5,"LOW SAMPLE","OK")))</f>
        <v/>
      </c>
      <c r="P155" s="11">
        <f>IF($A155="","",COUNTIFS(tblPCSInput[Call Date/Time],"&gt;="&amp;(SETUP!$B$6),tblPCSInput[Call Date/Time],"&lt;"&amp;(SETUP!$B$7),tblPCSInput[Call Direction],"I",tblPCSInput[Agent ID],$A155,tblPCSInput[PCSStatus],1))</f>
        <v/>
      </c>
      <c r="Q155" s="11">
        <f>IF($A155="","",COUNTIFS(tblPCSInput[Call Date/Time],"&gt;="&amp;(SETUP!$B$6),tblPCSInput[Call Date/Time],"&lt;"&amp;(SETUP!$B$7),tblPCSInput[Call Direction],"I",tblPCSInput[Agent ID],$A155,tblPCSInput[Question 1],"&lt;&gt;"))</f>
        <v/>
      </c>
      <c r="R155" s="11">
        <f>IF($A155="","",COUNTIFS(tblPCSInput[Call Date/Time],"&gt;="&amp;(SETUP!$B$6),tblPCSInput[Call Date/Time],"&lt;"&amp;(SETUP!$B$7),tblPCSInput[Call Direction],"I",tblPCSInput[Agent ID],$A155,tblPCSInput[Valid Q1],"&gt;=1"))</f>
        <v/>
      </c>
      <c r="S155" s="12">
        <f>IFERROR(SUMIFS(tblPCSInput[Valid Q1],tblPCSInput[Call Date/Time],"&gt;="&amp;SETUP!$B$6,tblPCSInput[Call Date/Time],"&lt;"&amp;SETUP!$B$7,tblPCSInput[Call Direction],"I",tblPCSInput[Agent ID],$A155)/COUNTIFS(tblPCSInput[Call Date/Time],"&gt;="&amp;(SETUP!$B$6),tblPCSInput[Call Date/Time],"&lt;"&amp;(SETUP!$B$7),tblPCSInput[Call Direction],"I",tblPCSInput[Agent ID],$A155,tblPCSInput[Valid Q1],"&gt;=1"),"")</f>
        <v/>
      </c>
      <c r="T155" s="11">
        <f>IF(S155="","",COUNTIFS(tblPCSInput[Call Date/Time],"&gt;="&amp;(SETUP!$B$6),tblPCSInput[Call Date/Time],"&lt;"&amp;(SETUP!$B$7),tblPCSInput[Call Direction],"I",tblPCSInput[Agent ID],$A155,tblPCSInput[Valid Q1],"&lt;=3",tblPCSInput[Valid Q1],"&gt;=1"))</f>
        <v/>
      </c>
      <c r="U155" s="11">
        <f>IF(S155="","",COUNTIFS(tblPCSInput[Call Date/Time],"&gt;="&amp;(SETUP!$B$6),tblPCSInput[Call Date/Time],"&lt;"&amp;(SETUP!$B$7),tblPCSInput[Call Direction],"I",tblPCSInput[Agent ID],$A155,tblPCSInput[Valid Q1],"&gt;3"))</f>
        <v/>
      </c>
      <c r="V155" s="13">
        <f>IFERROR(Q155/P155,"")</f>
        <v/>
      </c>
      <c r="W155" s="13">
        <f>IFERROR(R155/P155,"")</f>
        <v/>
      </c>
    </row>
    <row r="156" spans="1:23">
      <c r="A156" s="4">
        <f>IF(ROSTER!A156="","",ROSTER!A156)</f>
        <v/>
      </c>
      <c r="B156" s="4">
        <f>IF($A156="","",ROSTER!C156)</f>
        <v/>
      </c>
      <c r="C156" s="4">
        <f>IF($A156="","",ROSTER!D156)</f>
        <v/>
      </c>
      <c r="D156" s="4">
        <f>IF($A156="","",ROSTER!E156)</f>
        <v/>
      </c>
      <c r="E156" s="4">
        <f>IF($A156="","",ROSTER!F156)</f>
        <v/>
      </c>
      <c r="F156" s="11">
        <f>IF($A156="","",COUNTIFS(tblPCSInput[Call Date/Time],"&gt;="&amp;(SETUP!$B$5),tblPCSInput[Call Date/Time],"&lt;"&amp;(SETUP!$B$5+1),tblPCSInput[Call Direction],"I",tblPCSInput[Agent ID],$A156,tblPCSInput[PCSStatus],1))</f>
        <v/>
      </c>
      <c r="G156" s="11">
        <f>IF($A156="","",COUNTIFS(tblPCSInput[Call Date/Time],"&gt;="&amp;(SETUP!$B$5),tblPCSInput[Call Date/Time],"&lt;"&amp;(SETUP!$B$5+1),tblPCSInput[Call Direction],"I",tblPCSInput[Agent ID],$A156,tblPCSInput[Question 1],"&lt;&gt;"))</f>
        <v/>
      </c>
      <c r="H156" s="11">
        <f>IF($A156="","",COUNTIFS(tblPCSInput[Call Date/Time],"&gt;="&amp;(SETUP!$B$5),tblPCSInput[Call Date/Time],"&lt;"&amp;(SETUP!$B$5+1),tblPCSInput[Call Direction],"I",tblPCSInput[Agent ID],$A156,tblPCSInput[Valid Q1],"&gt;=1"))</f>
        <v/>
      </c>
      <c r="I156" s="12">
        <f>IFERROR(SUMIFS(tblPCSInput[Valid Q1],tblPCSInput[Call Date/Time],"&gt;="&amp;SETUP!$B$5,tblPCSInput[Call Date/Time],"&lt;"&amp;SETUP!$B$5+1,tblPCSInput[Call Direction],"I",tblPCSInput[Agent ID],$A156)/COUNTIFS(tblPCSInput[Call Date/Time],"&gt;="&amp;(SETUP!$B$5),tblPCSInput[Call Date/Time],"&lt;"&amp;(SETUP!$B$5+1),tblPCSInput[Call Direction],"I",tblPCSInput[Agent ID],$A156,tblPCSInput[Valid Q1],"&gt;=1"),"")</f>
        <v/>
      </c>
      <c r="J156" s="11">
        <f>IF(I156="","",COUNTIFS(tblPCSInput[Call Date/Time],"&gt;="&amp;(SETUP!$B$5),tblPCSInput[Call Date/Time],"&lt;"&amp;(SETUP!$B$5+1),tblPCSInput[Call Direction],"I",tblPCSInput[Agent ID],$A156,tblPCSInput[Valid Q1],"&lt;=3",tblPCSInput[Valid Q1],"&gt;=1"))</f>
        <v/>
      </c>
      <c r="K156" s="11">
        <f>IF(I156="","",COUNTIFS(tblPCSInput[Call Date/Time],"&gt;="&amp;(SETUP!$B$5),tblPCSInput[Call Date/Time],"&lt;"&amp;(SETUP!$B$5+1),tblPCSInput[Call Direction],"I",tblPCSInput[Agent ID],$A156,tblPCSInput[Valid Q1],"&gt;3"))</f>
        <v/>
      </c>
      <c r="L156" s="13">
        <f>IFERROR(G156/F156,"")</f>
        <v/>
      </c>
      <c r="M156" s="13">
        <f>IFERROR(H156/F156,"")</f>
        <v/>
      </c>
      <c r="N156" s="11">
        <f>IF($A156="","",MAX(0,G156-H156))</f>
        <v/>
      </c>
      <c r="O156" s="4">
        <f>IF($A156="","",IF(H156=0,"NO VALID SURVEY",IF(H156&lt;5,"LOW SAMPLE","OK")))</f>
        <v/>
      </c>
      <c r="P156" s="11">
        <f>IF($A156="","",COUNTIFS(tblPCSInput[Call Date/Time],"&gt;="&amp;(SETUP!$B$6),tblPCSInput[Call Date/Time],"&lt;"&amp;(SETUP!$B$7),tblPCSInput[Call Direction],"I",tblPCSInput[Agent ID],$A156,tblPCSInput[PCSStatus],1))</f>
        <v/>
      </c>
      <c r="Q156" s="11">
        <f>IF($A156="","",COUNTIFS(tblPCSInput[Call Date/Time],"&gt;="&amp;(SETUP!$B$6),tblPCSInput[Call Date/Time],"&lt;"&amp;(SETUP!$B$7),tblPCSInput[Call Direction],"I",tblPCSInput[Agent ID],$A156,tblPCSInput[Question 1],"&lt;&gt;"))</f>
        <v/>
      </c>
      <c r="R156" s="11">
        <f>IF($A156="","",COUNTIFS(tblPCSInput[Call Date/Time],"&gt;="&amp;(SETUP!$B$6),tblPCSInput[Call Date/Time],"&lt;"&amp;(SETUP!$B$7),tblPCSInput[Call Direction],"I",tblPCSInput[Agent ID],$A156,tblPCSInput[Valid Q1],"&gt;=1"))</f>
        <v/>
      </c>
      <c r="S156" s="12">
        <f>IFERROR(SUMIFS(tblPCSInput[Valid Q1],tblPCSInput[Call Date/Time],"&gt;="&amp;SETUP!$B$6,tblPCSInput[Call Date/Time],"&lt;"&amp;SETUP!$B$7,tblPCSInput[Call Direction],"I",tblPCSInput[Agent ID],$A156)/COUNTIFS(tblPCSInput[Call Date/Time],"&gt;="&amp;(SETUP!$B$6),tblPCSInput[Call Date/Time],"&lt;"&amp;(SETUP!$B$7),tblPCSInput[Call Direction],"I",tblPCSInput[Agent ID],$A156,tblPCSInput[Valid Q1],"&gt;=1"),"")</f>
        <v/>
      </c>
      <c r="T156" s="11">
        <f>IF(S156="","",COUNTIFS(tblPCSInput[Call Date/Time],"&gt;="&amp;(SETUP!$B$6),tblPCSInput[Call Date/Time],"&lt;"&amp;(SETUP!$B$7),tblPCSInput[Call Direction],"I",tblPCSInput[Agent ID],$A156,tblPCSInput[Valid Q1],"&lt;=3",tblPCSInput[Valid Q1],"&gt;=1"))</f>
        <v/>
      </c>
      <c r="U156" s="11">
        <f>IF(S156="","",COUNTIFS(tblPCSInput[Call Date/Time],"&gt;="&amp;(SETUP!$B$6),tblPCSInput[Call Date/Time],"&lt;"&amp;(SETUP!$B$7),tblPCSInput[Call Direction],"I",tblPCSInput[Agent ID],$A156,tblPCSInput[Valid Q1],"&gt;3"))</f>
        <v/>
      </c>
      <c r="V156" s="13">
        <f>IFERROR(Q156/P156,"")</f>
        <v/>
      </c>
      <c r="W156" s="13">
        <f>IFERROR(R156/P156,"")</f>
        <v/>
      </c>
    </row>
    <row r="157" spans="1:23">
      <c r="A157" s="4">
        <f>IF(ROSTER!A157="","",ROSTER!A157)</f>
        <v/>
      </c>
      <c r="B157" s="4">
        <f>IF($A157="","",ROSTER!C157)</f>
        <v/>
      </c>
      <c r="C157" s="4">
        <f>IF($A157="","",ROSTER!D157)</f>
        <v/>
      </c>
      <c r="D157" s="4">
        <f>IF($A157="","",ROSTER!E157)</f>
        <v/>
      </c>
      <c r="E157" s="4">
        <f>IF($A157="","",ROSTER!F157)</f>
        <v/>
      </c>
      <c r="F157" s="11">
        <f>IF($A157="","",COUNTIFS(tblPCSInput[Call Date/Time],"&gt;="&amp;(SETUP!$B$5),tblPCSInput[Call Date/Time],"&lt;"&amp;(SETUP!$B$5+1),tblPCSInput[Call Direction],"I",tblPCSInput[Agent ID],$A157,tblPCSInput[PCSStatus],1))</f>
        <v/>
      </c>
      <c r="G157" s="11">
        <f>IF($A157="","",COUNTIFS(tblPCSInput[Call Date/Time],"&gt;="&amp;(SETUP!$B$5),tblPCSInput[Call Date/Time],"&lt;"&amp;(SETUP!$B$5+1),tblPCSInput[Call Direction],"I",tblPCSInput[Agent ID],$A157,tblPCSInput[Question 1],"&lt;&gt;"))</f>
        <v/>
      </c>
      <c r="H157" s="11">
        <f>IF($A157="","",COUNTIFS(tblPCSInput[Call Date/Time],"&gt;="&amp;(SETUP!$B$5),tblPCSInput[Call Date/Time],"&lt;"&amp;(SETUP!$B$5+1),tblPCSInput[Call Direction],"I",tblPCSInput[Agent ID],$A157,tblPCSInput[Valid Q1],"&gt;=1"))</f>
        <v/>
      </c>
      <c r="I157" s="12">
        <f>IFERROR(SUMIFS(tblPCSInput[Valid Q1],tblPCSInput[Call Date/Time],"&gt;="&amp;SETUP!$B$5,tblPCSInput[Call Date/Time],"&lt;"&amp;SETUP!$B$5+1,tblPCSInput[Call Direction],"I",tblPCSInput[Agent ID],$A157)/COUNTIFS(tblPCSInput[Call Date/Time],"&gt;="&amp;(SETUP!$B$5),tblPCSInput[Call Date/Time],"&lt;"&amp;(SETUP!$B$5+1),tblPCSInput[Call Direction],"I",tblPCSInput[Agent ID],$A157,tblPCSInput[Valid Q1],"&gt;=1"),"")</f>
        <v/>
      </c>
      <c r="J157" s="11">
        <f>IF(I157="","",COUNTIFS(tblPCSInput[Call Date/Time],"&gt;="&amp;(SETUP!$B$5),tblPCSInput[Call Date/Time],"&lt;"&amp;(SETUP!$B$5+1),tblPCSInput[Call Direction],"I",tblPCSInput[Agent ID],$A157,tblPCSInput[Valid Q1],"&lt;=3",tblPCSInput[Valid Q1],"&gt;=1"))</f>
        <v/>
      </c>
      <c r="K157" s="11">
        <f>IF(I157="","",COUNTIFS(tblPCSInput[Call Date/Time],"&gt;="&amp;(SETUP!$B$5),tblPCSInput[Call Date/Time],"&lt;"&amp;(SETUP!$B$5+1),tblPCSInput[Call Direction],"I",tblPCSInput[Agent ID],$A157,tblPCSInput[Valid Q1],"&gt;3"))</f>
        <v/>
      </c>
      <c r="L157" s="13">
        <f>IFERROR(G157/F157,"")</f>
        <v/>
      </c>
      <c r="M157" s="13">
        <f>IFERROR(H157/F157,"")</f>
        <v/>
      </c>
      <c r="N157" s="11">
        <f>IF($A157="","",MAX(0,G157-H157))</f>
        <v/>
      </c>
      <c r="O157" s="4">
        <f>IF($A157="","",IF(H157=0,"NO VALID SURVEY",IF(H157&lt;5,"LOW SAMPLE","OK")))</f>
        <v/>
      </c>
      <c r="P157" s="11">
        <f>IF($A157="","",COUNTIFS(tblPCSInput[Call Date/Time],"&gt;="&amp;(SETUP!$B$6),tblPCSInput[Call Date/Time],"&lt;"&amp;(SETUP!$B$7),tblPCSInput[Call Direction],"I",tblPCSInput[Agent ID],$A157,tblPCSInput[PCSStatus],1))</f>
        <v/>
      </c>
      <c r="Q157" s="11">
        <f>IF($A157="","",COUNTIFS(tblPCSInput[Call Date/Time],"&gt;="&amp;(SETUP!$B$6),tblPCSInput[Call Date/Time],"&lt;"&amp;(SETUP!$B$7),tblPCSInput[Call Direction],"I",tblPCSInput[Agent ID],$A157,tblPCSInput[Question 1],"&lt;&gt;"))</f>
        <v/>
      </c>
      <c r="R157" s="11">
        <f>IF($A157="","",COUNTIFS(tblPCSInput[Call Date/Time],"&gt;="&amp;(SETUP!$B$6),tblPCSInput[Call Date/Time],"&lt;"&amp;(SETUP!$B$7),tblPCSInput[Call Direction],"I",tblPCSInput[Agent ID],$A157,tblPCSInput[Valid Q1],"&gt;=1"))</f>
        <v/>
      </c>
      <c r="S157" s="12">
        <f>IFERROR(SUMIFS(tblPCSInput[Valid Q1],tblPCSInput[Call Date/Time],"&gt;="&amp;SETUP!$B$6,tblPCSInput[Call Date/Time],"&lt;"&amp;SETUP!$B$7,tblPCSInput[Call Direction],"I",tblPCSInput[Agent ID],$A157)/COUNTIFS(tblPCSInput[Call Date/Time],"&gt;="&amp;(SETUP!$B$6),tblPCSInput[Call Date/Time],"&lt;"&amp;(SETUP!$B$7),tblPCSInput[Call Direction],"I",tblPCSInput[Agent ID],$A157,tblPCSInput[Valid Q1],"&gt;=1"),"")</f>
        <v/>
      </c>
      <c r="T157" s="11">
        <f>IF(S157="","",COUNTIFS(tblPCSInput[Call Date/Time],"&gt;="&amp;(SETUP!$B$6),tblPCSInput[Call Date/Time],"&lt;"&amp;(SETUP!$B$7),tblPCSInput[Call Direction],"I",tblPCSInput[Agent ID],$A157,tblPCSInput[Valid Q1],"&lt;=3",tblPCSInput[Valid Q1],"&gt;=1"))</f>
        <v/>
      </c>
      <c r="U157" s="11">
        <f>IF(S157="","",COUNTIFS(tblPCSInput[Call Date/Time],"&gt;="&amp;(SETUP!$B$6),tblPCSInput[Call Date/Time],"&lt;"&amp;(SETUP!$B$7),tblPCSInput[Call Direction],"I",tblPCSInput[Agent ID],$A157,tblPCSInput[Valid Q1],"&gt;3"))</f>
        <v/>
      </c>
      <c r="V157" s="13">
        <f>IFERROR(Q157/P157,"")</f>
        <v/>
      </c>
      <c r="W157" s="13">
        <f>IFERROR(R157/P157,"")</f>
        <v/>
      </c>
    </row>
    <row r="158" spans="1:23">
      <c r="A158" s="4">
        <f>IF(ROSTER!A158="","",ROSTER!A158)</f>
        <v/>
      </c>
      <c r="B158" s="4">
        <f>IF($A158="","",ROSTER!C158)</f>
        <v/>
      </c>
      <c r="C158" s="4">
        <f>IF($A158="","",ROSTER!D158)</f>
        <v/>
      </c>
      <c r="D158" s="4">
        <f>IF($A158="","",ROSTER!E158)</f>
        <v/>
      </c>
      <c r="E158" s="4">
        <f>IF($A158="","",ROSTER!F158)</f>
        <v/>
      </c>
      <c r="F158" s="11">
        <f>IF($A158="","",COUNTIFS(tblPCSInput[Call Date/Time],"&gt;="&amp;(SETUP!$B$5),tblPCSInput[Call Date/Time],"&lt;"&amp;(SETUP!$B$5+1),tblPCSInput[Call Direction],"I",tblPCSInput[Agent ID],$A158,tblPCSInput[PCSStatus],1))</f>
        <v/>
      </c>
      <c r="G158" s="11">
        <f>IF($A158="","",COUNTIFS(tblPCSInput[Call Date/Time],"&gt;="&amp;(SETUP!$B$5),tblPCSInput[Call Date/Time],"&lt;"&amp;(SETUP!$B$5+1),tblPCSInput[Call Direction],"I",tblPCSInput[Agent ID],$A158,tblPCSInput[Question 1],"&lt;&gt;"))</f>
        <v/>
      </c>
      <c r="H158" s="11">
        <f>IF($A158="","",COUNTIFS(tblPCSInput[Call Date/Time],"&gt;="&amp;(SETUP!$B$5),tblPCSInput[Call Date/Time],"&lt;"&amp;(SETUP!$B$5+1),tblPCSInput[Call Direction],"I",tblPCSInput[Agent ID],$A158,tblPCSInput[Valid Q1],"&gt;=1"))</f>
        <v/>
      </c>
      <c r="I158" s="12">
        <f>IFERROR(SUMIFS(tblPCSInput[Valid Q1],tblPCSInput[Call Date/Time],"&gt;="&amp;SETUP!$B$5,tblPCSInput[Call Date/Time],"&lt;"&amp;SETUP!$B$5+1,tblPCSInput[Call Direction],"I",tblPCSInput[Agent ID],$A158)/COUNTIFS(tblPCSInput[Call Date/Time],"&gt;="&amp;(SETUP!$B$5),tblPCSInput[Call Date/Time],"&lt;"&amp;(SETUP!$B$5+1),tblPCSInput[Call Direction],"I",tblPCSInput[Agent ID],$A158,tblPCSInput[Valid Q1],"&gt;=1"),"")</f>
        <v/>
      </c>
      <c r="J158" s="11">
        <f>IF(I158="","",COUNTIFS(tblPCSInput[Call Date/Time],"&gt;="&amp;(SETUP!$B$5),tblPCSInput[Call Date/Time],"&lt;"&amp;(SETUP!$B$5+1),tblPCSInput[Call Direction],"I",tblPCSInput[Agent ID],$A158,tblPCSInput[Valid Q1],"&lt;=3",tblPCSInput[Valid Q1],"&gt;=1"))</f>
        <v/>
      </c>
      <c r="K158" s="11">
        <f>IF(I158="","",COUNTIFS(tblPCSInput[Call Date/Time],"&gt;="&amp;(SETUP!$B$5),tblPCSInput[Call Date/Time],"&lt;"&amp;(SETUP!$B$5+1),tblPCSInput[Call Direction],"I",tblPCSInput[Agent ID],$A158,tblPCSInput[Valid Q1],"&gt;3"))</f>
        <v/>
      </c>
      <c r="L158" s="13">
        <f>IFERROR(G158/F158,"")</f>
        <v/>
      </c>
      <c r="M158" s="13">
        <f>IFERROR(H158/F158,"")</f>
        <v/>
      </c>
      <c r="N158" s="11">
        <f>IF($A158="","",MAX(0,G158-H158))</f>
        <v/>
      </c>
      <c r="O158" s="4">
        <f>IF($A158="","",IF(H158=0,"NO VALID SURVEY",IF(H158&lt;5,"LOW SAMPLE","OK")))</f>
        <v/>
      </c>
      <c r="P158" s="11">
        <f>IF($A158="","",COUNTIFS(tblPCSInput[Call Date/Time],"&gt;="&amp;(SETUP!$B$6),tblPCSInput[Call Date/Time],"&lt;"&amp;(SETUP!$B$7),tblPCSInput[Call Direction],"I",tblPCSInput[Agent ID],$A158,tblPCSInput[PCSStatus],1))</f>
        <v/>
      </c>
      <c r="Q158" s="11">
        <f>IF($A158="","",COUNTIFS(tblPCSInput[Call Date/Time],"&gt;="&amp;(SETUP!$B$6),tblPCSInput[Call Date/Time],"&lt;"&amp;(SETUP!$B$7),tblPCSInput[Call Direction],"I",tblPCSInput[Agent ID],$A158,tblPCSInput[Question 1],"&lt;&gt;"))</f>
        <v/>
      </c>
      <c r="R158" s="11">
        <f>IF($A158="","",COUNTIFS(tblPCSInput[Call Date/Time],"&gt;="&amp;(SETUP!$B$6),tblPCSInput[Call Date/Time],"&lt;"&amp;(SETUP!$B$7),tblPCSInput[Call Direction],"I",tblPCSInput[Agent ID],$A158,tblPCSInput[Valid Q1],"&gt;=1"))</f>
        <v/>
      </c>
      <c r="S158" s="12">
        <f>IFERROR(SUMIFS(tblPCSInput[Valid Q1],tblPCSInput[Call Date/Time],"&gt;="&amp;SETUP!$B$6,tblPCSInput[Call Date/Time],"&lt;"&amp;SETUP!$B$7,tblPCSInput[Call Direction],"I",tblPCSInput[Agent ID],$A158)/COUNTIFS(tblPCSInput[Call Date/Time],"&gt;="&amp;(SETUP!$B$6),tblPCSInput[Call Date/Time],"&lt;"&amp;(SETUP!$B$7),tblPCSInput[Call Direction],"I",tblPCSInput[Agent ID],$A158,tblPCSInput[Valid Q1],"&gt;=1"),"")</f>
        <v/>
      </c>
      <c r="T158" s="11">
        <f>IF(S158="","",COUNTIFS(tblPCSInput[Call Date/Time],"&gt;="&amp;(SETUP!$B$6),tblPCSInput[Call Date/Time],"&lt;"&amp;(SETUP!$B$7),tblPCSInput[Call Direction],"I",tblPCSInput[Agent ID],$A158,tblPCSInput[Valid Q1],"&lt;=3",tblPCSInput[Valid Q1],"&gt;=1"))</f>
        <v/>
      </c>
      <c r="U158" s="11">
        <f>IF(S158="","",COUNTIFS(tblPCSInput[Call Date/Time],"&gt;="&amp;(SETUP!$B$6),tblPCSInput[Call Date/Time],"&lt;"&amp;(SETUP!$B$7),tblPCSInput[Call Direction],"I",tblPCSInput[Agent ID],$A158,tblPCSInput[Valid Q1],"&gt;3"))</f>
        <v/>
      </c>
      <c r="V158" s="13">
        <f>IFERROR(Q158/P158,"")</f>
        <v/>
      </c>
      <c r="W158" s="13">
        <f>IFERROR(R158/P158,"")</f>
        <v/>
      </c>
    </row>
    <row r="159" spans="1:23">
      <c r="A159" s="4">
        <f>IF(ROSTER!A159="","",ROSTER!A159)</f>
        <v/>
      </c>
      <c r="B159" s="4">
        <f>IF($A159="","",ROSTER!C159)</f>
        <v/>
      </c>
      <c r="C159" s="4">
        <f>IF($A159="","",ROSTER!D159)</f>
        <v/>
      </c>
      <c r="D159" s="4">
        <f>IF($A159="","",ROSTER!E159)</f>
        <v/>
      </c>
      <c r="E159" s="4">
        <f>IF($A159="","",ROSTER!F159)</f>
        <v/>
      </c>
      <c r="F159" s="11">
        <f>IF($A159="","",COUNTIFS(tblPCSInput[Call Date/Time],"&gt;="&amp;(SETUP!$B$5),tblPCSInput[Call Date/Time],"&lt;"&amp;(SETUP!$B$5+1),tblPCSInput[Call Direction],"I",tblPCSInput[Agent ID],$A159,tblPCSInput[PCSStatus],1))</f>
        <v/>
      </c>
      <c r="G159" s="11">
        <f>IF($A159="","",COUNTIFS(tblPCSInput[Call Date/Time],"&gt;="&amp;(SETUP!$B$5),tblPCSInput[Call Date/Time],"&lt;"&amp;(SETUP!$B$5+1),tblPCSInput[Call Direction],"I",tblPCSInput[Agent ID],$A159,tblPCSInput[Question 1],"&lt;&gt;"))</f>
        <v/>
      </c>
      <c r="H159" s="11">
        <f>IF($A159="","",COUNTIFS(tblPCSInput[Call Date/Time],"&gt;="&amp;(SETUP!$B$5),tblPCSInput[Call Date/Time],"&lt;"&amp;(SETUP!$B$5+1),tblPCSInput[Call Direction],"I",tblPCSInput[Agent ID],$A159,tblPCSInput[Valid Q1],"&gt;=1"))</f>
        <v/>
      </c>
      <c r="I159" s="12">
        <f>IFERROR(SUMIFS(tblPCSInput[Valid Q1],tblPCSInput[Call Date/Time],"&gt;="&amp;SETUP!$B$5,tblPCSInput[Call Date/Time],"&lt;"&amp;SETUP!$B$5+1,tblPCSInput[Call Direction],"I",tblPCSInput[Agent ID],$A159)/COUNTIFS(tblPCSInput[Call Date/Time],"&gt;="&amp;(SETUP!$B$5),tblPCSInput[Call Date/Time],"&lt;"&amp;(SETUP!$B$5+1),tblPCSInput[Call Direction],"I",tblPCSInput[Agent ID],$A159,tblPCSInput[Valid Q1],"&gt;=1"),"")</f>
        <v/>
      </c>
      <c r="J159" s="11">
        <f>IF(I159="","",COUNTIFS(tblPCSInput[Call Date/Time],"&gt;="&amp;(SETUP!$B$5),tblPCSInput[Call Date/Time],"&lt;"&amp;(SETUP!$B$5+1),tblPCSInput[Call Direction],"I",tblPCSInput[Agent ID],$A159,tblPCSInput[Valid Q1],"&lt;=3",tblPCSInput[Valid Q1],"&gt;=1"))</f>
        <v/>
      </c>
      <c r="K159" s="11">
        <f>IF(I159="","",COUNTIFS(tblPCSInput[Call Date/Time],"&gt;="&amp;(SETUP!$B$5),tblPCSInput[Call Date/Time],"&lt;"&amp;(SETUP!$B$5+1),tblPCSInput[Call Direction],"I",tblPCSInput[Agent ID],$A159,tblPCSInput[Valid Q1],"&gt;3"))</f>
        <v/>
      </c>
      <c r="L159" s="13">
        <f>IFERROR(G159/F159,"")</f>
        <v/>
      </c>
      <c r="M159" s="13">
        <f>IFERROR(H159/F159,"")</f>
        <v/>
      </c>
      <c r="N159" s="11">
        <f>IF($A159="","",MAX(0,G159-H159))</f>
        <v/>
      </c>
      <c r="O159" s="4">
        <f>IF($A159="","",IF(H159=0,"NO VALID SURVEY",IF(H159&lt;5,"LOW SAMPLE","OK")))</f>
        <v/>
      </c>
      <c r="P159" s="11">
        <f>IF($A159="","",COUNTIFS(tblPCSInput[Call Date/Time],"&gt;="&amp;(SETUP!$B$6),tblPCSInput[Call Date/Time],"&lt;"&amp;(SETUP!$B$7),tblPCSInput[Call Direction],"I",tblPCSInput[Agent ID],$A159,tblPCSInput[PCSStatus],1))</f>
        <v/>
      </c>
      <c r="Q159" s="11">
        <f>IF($A159="","",COUNTIFS(tblPCSInput[Call Date/Time],"&gt;="&amp;(SETUP!$B$6),tblPCSInput[Call Date/Time],"&lt;"&amp;(SETUP!$B$7),tblPCSInput[Call Direction],"I",tblPCSInput[Agent ID],$A159,tblPCSInput[Question 1],"&lt;&gt;"))</f>
        <v/>
      </c>
      <c r="R159" s="11">
        <f>IF($A159="","",COUNTIFS(tblPCSInput[Call Date/Time],"&gt;="&amp;(SETUP!$B$6),tblPCSInput[Call Date/Time],"&lt;"&amp;(SETUP!$B$7),tblPCSInput[Call Direction],"I",tblPCSInput[Agent ID],$A159,tblPCSInput[Valid Q1],"&gt;=1"))</f>
        <v/>
      </c>
      <c r="S159" s="12">
        <f>IFERROR(SUMIFS(tblPCSInput[Valid Q1],tblPCSInput[Call Date/Time],"&gt;="&amp;SETUP!$B$6,tblPCSInput[Call Date/Time],"&lt;"&amp;SETUP!$B$7,tblPCSInput[Call Direction],"I",tblPCSInput[Agent ID],$A159)/COUNTIFS(tblPCSInput[Call Date/Time],"&gt;="&amp;(SETUP!$B$6),tblPCSInput[Call Date/Time],"&lt;"&amp;(SETUP!$B$7),tblPCSInput[Call Direction],"I",tblPCSInput[Agent ID],$A159,tblPCSInput[Valid Q1],"&gt;=1"),"")</f>
        <v/>
      </c>
      <c r="T159" s="11">
        <f>IF(S159="","",COUNTIFS(tblPCSInput[Call Date/Time],"&gt;="&amp;(SETUP!$B$6),tblPCSInput[Call Date/Time],"&lt;"&amp;(SETUP!$B$7),tblPCSInput[Call Direction],"I",tblPCSInput[Agent ID],$A159,tblPCSInput[Valid Q1],"&lt;=3",tblPCSInput[Valid Q1],"&gt;=1"))</f>
        <v/>
      </c>
      <c r="U159" s="11">
        <f>IF(S159="","",COUNTIFS(tblPCSInput[Call Date/Time],"&gt;="&amp;(SETUP!$B$6),tblPCSInput[Call Date/Time],"&lt;"&amp;(SETUP!$B$7),tblPCSInput[Call Direction],"I",tblPCSInput[Agent ID],$A159,tblPCSInput[Valid Q1],"&gt;3"))</f>
        <v/>
      </c>
      <c r="V159" s="13">
        <f>IFERROR(Q159/P159,"")</f>
        <v/>
      </c>
      <c r="W159" s="13">
        <f>IFERROR(R159/P159,"")</f>
        <v/>
      </c>
    </row>
    <row r="160" spans="1:23">
      <c r="A160" s="4">
        <f>IF(ROSTER!A160="","",ROSTER!A160)</f>
        <v/>
      </c>
      <c r="B160" s="4">
        <f>IF($A160="","",ROSTER!C160)</f>
        <v/>
      </c>
      <c r="C160" s="4">
        <f>IF($A160="","",ROSTER!D160)</f>
        <v/>
      </c>
      <c r="D160" s="4">
        <f>IF($A160="","",ROSTER!E160)</f>
        <v/>
      </c>
      <c r="E160" s="4">
        <f>IF($A160="","",ROSTER!F160)</f>
        <v/>
      </c>
      <c r="F160" s="11">
        <f>IF($A160="","",COUNTIFS(tblPCSInput[Call Date/Time],"&gt;="&amp;(SETUP!$B$5),tblPCSInput[Call Date/Time],"&lt;"&amp;(SETUP!$B$5+1),tblPCSInput[Call Direction],"I",tblPCSInput[Agent ID],$A160,tblPCSInput[PCSStatus],1))</f>
        <v/>
      </c>
      <c r="G160" s="11">
        <f>IF($A160="","",COUNTIFS(tblPCSInput[Call Date/Time],"&gt;="&amp;(SETUP!$B$5),tblPCSInput[Call Date/Time],"&lt;"&amp;(SETUP!$B$5+1),tblPCSInput[Call Direction],"I",tblPCSInput[Agent ID],$A160,tblPCSInput[Question 1],"&lt;&gt;"))</f>
        <v/>
      </c>
      <c r="H160" s="11">
        <f>IF($A160="","",COUNTIFS(tblPCSInput[Call Date/Time],"&gt;="&amp;(SETUP!$B$5),tblPCSInput[Call Date/Time],"&lt;"&amp;(SETUP!$B$5+1),tblPCSInput[Call Direction],"I",tblPCSInput[Agent ID],$A160,tblPCSInput[Valid Q1],"&gt;=1"))</f>
        <v/>
      </c>
      <c r="I160" s="12">
        <f>IFERROR(SUMIFS(tblPCSInput[Valid Q1],tblPCSInput[Call Date/Time],"&gt;="&amp;SETUP!$B$5,tblPCSInput[Call Date/Time],"&lt;"&amp;SETUP!$B$5+1,tblPCSInput[Call Direction],"I",tblPCSInput[Agent ID],$A160)/COUNTIFS(tblPCSInput[Call Date/Time],"&gt;="&amp;(SETUP!$B$5),tblPCSInput[Call Date/Time],"&lt;"&amp;(SETUP!$B$5+1),tblPCSInput[Call Direction],"I",tblPCSInput[Agent ID],$A160,tblPCSInput[Valid Q1],"&gt;=1"),"")</f>
        <v/>
      </c>
      <c r="J160" s="11">
        <f>IF(I160="","",COUNTIFS(tblPCSInput[Call Date/Time],"&gt;="&amp;(SETUP!$B$5),tblPCSInput[Call Date/Time],"&lt;"&amp;(SETUP!$B$5+1),tblPCSInput[Call Direction],"I",tblPCSInput[Agent ID],$A160,tblPCSInput[Valid Q1],"&lt;=3",tblPCSInput[Valid Q1],"&gt;=1"))</f>
        <v/>
      </c>
      <c r="K160" s="11">
        <f>IF(I160="","",COUNTIFS(tblPCSInput[Call Date/Time],"&gt;="&amp;(SETUP!$B$5),tblPCSInput[Call Date/Time],"&lt;"&amp;(SETUP!$B$5+1),tblPCSInput[Call Direction],"I",tblPCSInput[Agent ID],$A160,tblPCSInput[Valid Q1],"&gt;3"))</f>
        <v/>
      </c>
      <c r="L160" s="13">
        <f>IFERROR(G160/F160,"")</f>
        <v/>
      </c>
      <c r="M160" s="13">
        <f>IFERROR(H160/F160,"")</f>
        <v/>
      </c>
      <c r="N160" s="11">
        <f>IF($A160="","",MAX(0,G160-H160))</f>
        <v/>
      </c>
      <c r="O160" s="4">
        <f>IF($A160="","",IF(H160=0,"NO VALID SURVEY",IF(H160&lt;5,"LOW SAMPLE","OK")))</f>
        <v/>
      </c>
      <c r="P160" s="11">
        <f>IF($A160="","",COUNTIFS(tblPCSInput[Call Date/Time],"&gt;="&amp;(SETUP!$B$6),tblPCSInput[Call Date/Time],"&lt;"&amp;(SETUP!$B$7),tblPCSInput[Call Direction],"I",tblPCSInput[Agent ID],$A160,tblPCSInput[PCSStatus],1))</f>
        <v/>
      </c>
      <c r="Q160" s="11">
        <f>IF($A160="","",COUNTIFS(tblPCSInput[Call Date/Time],"&gt;="&amp;(SETUP!$B$6),tblPCSInput[Call Date/Time],"&lt;"&amp;(SETUP!$B$7),tblPCSInput[Call Direction],"I",tblPCSInput[Agent ID],$A160,tblPCSInput[Question 1],"&lt;&gt;"))</f>
        <v/>
      </c>
      <c r="R160" s="11">
        <f>IF($A160="","",COUNTIFS(tblPCSInput[Call Date/Time],"&gt;="&amp;(SETUP!$B$6),tblPCSInput[Call Date/Time],"&lt;"&amp;(SETUP!$B$7),tblPCSInput[Call Direction],"I",tblPCSInput[Agent ID],$A160,tblPCSInput[Valid Q1],"&gt;=1"))</f>
        <v/>
      </c>
      <c r="S160" s="12">
        <f>IFERROR(SUMIFS(tblPCSInput[Valid Q1],tblPCSInput[Call Date/Time],"&gt;="&amp;SETUP!$B$6,tblPCSInput[Call Date/Time],"&lt;"&amp;SETUP!$B$7,tblPCSInput[Call Direction],"I",tblPCSInput[Agent ID],$A160)/COUNTIFS(tblPCSInput[Call Date/Time],"&gt;="&amp;(SETUP!$B$6),tblPCSInput[Call Date/Time],"&lt;"&amp;(SETUP!$B$7),tblPCSInput[Call Direction],"I",tblPCSInput[Agent ID],$A160,tblPCSInput[Valid Q1],"&gt;=1"),"")</f>
        <v/>
      </c>
      <c r="T160" s="11">
        <f>IF(S160="","",COUNTIFS(tblPCSInput[Call Date/Time],"&gt;="&amp;(SETUP!$B$6),tblPCSInput[Call Date/Time],"&lt;"&amp;(SETUP!$B$7),tblPCSInput[Call Direction],"I",tblPCSInput[Agent ID],$A160,tblPCSInput[Valid Q1],"&lt;=3",tblPCSInput[Valid Q1],"&gt;=1"))</f>
        <v/>
      </c>
      <c r="U160" s="11">
        <f>IF(S160="","",COUNTIFS(tblPCSInput[Call Date/Time],"&gt;="&amp;(SETUP!$B$6),tblPCSInput[Call Date/Time],"&lt;"&amp;(SETUP!$B$7),tblPCSInput[Call Direction],"I",tblPCSInput[Agent ID],$A160,tblPCSInput[Valid Q1],"&gt;3"))</f>
        <v/>
      </c>
      <c r="V160" s="13">
        <f>IFERROR(Q160/P160,"")</f>
        <v/>
      </c>
      <c r="W160" s="13">
        <f>IFERROR(R160/P160,"")</f>
        <v/>
      </c>
    </row>
    <row r="161" spans="1:23">
      <c r="A161" s="4">
        <f>IF(ROSTER!A161="","",ROSTER!A161)</f>
        <v/>
      </c>
      <c r="B161" s="4">
        <f>IF($A161="","",ROSTER!C161)</f>
        <v/>
      </c>
      <c r="C161" s="4">
        <f>IF($A161="","",ROSTER!D161)</f>
        <v/>
      </c>
      <c r="D161" s="4">
        <f>IF($A161="","",ROSTER!E161)</f>
        <v/>
      </c>
      <c r="E161" s="4">
        <f>IF($A161="","",ROSTER!F161)</f>
        <v/>
      </c>
      <c r="F161" s="11">
        <f>IF($A161="","",COUNTIFS(tblPCSInput[Call Date/Time],"&gt;="&amp;(SETUP!$B$5),tblPCSInput[Call Date/Time],"&lt;"&amp;(SETUP!$B$5+1),tblPCSInput[Call Direction],"I",tblPCSInput[Agent ID],$A161,tblPCSInput[PCSStatus],1))</f>
        <v/>
      </c>
      <c r="G161" s="11">
        <f>IF($A161="","",COUNTIFS(tblPCSInput[Call Date/Time],"&gt;="&amp;(SETUP!$B$5),tblPCSInput[Call Date/Time],"&lt;"&amp;(SETUP!$B$5+1),tblPCSInput[Call Direction],"I",tblPCSInput[Agent ID],$A161,tblPCSInput[Question 1],"&lt;&gt;"))</f>
        <v/>
      </c>
      <c r="H161" s="11">
        <f>IF($A161="","",COUNTIFS(tblPCSInput[Call Date/Time],"&gt;="&amp;(SETUP!$B$5),tblPCSInput[Call Date/Time],"&lt;"&amp;(SETUP!$B$5+1),tblPCSInput[Call Direction],"I",tblPCSInput[Agent ID],$A161,tblPCSInput[Valid Q1],"&gt;=1"))</f>
        <v/>
      </c>
      <c r="I161" s="12">
        <f>IFERROR(SUMIFS(tblPCSInput[Valid Q1],tblPCSInput[Call Date/Time],"&gt;="&amp;SETUP!$B$5,tblPCSInput[Call Date/Time],"&lt;"&amp;SETUP!$B$5+1,tblPCSInput[Call Direction],"I",tblPCSInput[Agent ID],$A161)/COUNTIFS(tblPCSInput[Call Date/Time],"&gt;="&amp;(SETUP!$B$5),tblPCSInput[Call Date/Time],"&lt;"&amp;(SETUP!$B$5+1),tblPCSInput[Call Direction],"I",tblPCSInput[Agent ID],$A161,tblPCSInput[Valid Q1],"&gt;=1"),"")</f>
        <v/>
      </c>
      <c r="J161" s="11">
        <f>IF(I161="","",COUNTIFS(tblPCSInput[Call Date/Time],"&gt;="&amp;(SETUP!$B$5),tblPCSInput[Call Date/Time],"&lt;"&amp;(SETUP!$B$5+1),tblPCSInput[Call Direction],"I",tblPCSInput[Agent ID],$A161,tblPCSInput[Valid Q1],"&lt;=3",tblPCSInput[Valid Q1],"&gt;=1"))</f>
        <v/>
      </c>
      <c r="K161" s="11">
        <f>IF(I161="","",COUNTIFS(tblPCSInput[Call Date/Time],"&gt;="&amp;(SETUP!$B$5),tblPCSInput[Call Date/Time],"&lt;"&amp;(SETUP!$B$5+1),tblPCSInput[Call Direction],"I",tblPCSInput[Agent ID],$A161,tblPCSInput[Valid Q1],"&gt;3"))</f>
        <v/>
      </c>
      <c r="L161" s="13">
        <f>IFERROR(G161/F161,"")</f>
        <v/>
      </c>
      <c r="M161" s="13">
        <f>IFERROR(H161/F161,"")</f>
        <v/>
      </c>
      <c r="N161" s="11">
        <f>IF($A161="","",MAX(0,G161-H161))</f>
        <v/>
      </c>
      <c r="O161" s="4">
        <f>IF($A161="","",IF(H161=0,"NO VALID SURVEY",IF(H161&lt;5,"LOW SAMPLE","OK")))</f>
        <v/>
      </c>
      <c r="P161" s="11">
        <f>IF($A161="","",COUNTIFS(tblPCSInput[Call Date/Time],"&gt;="&amp;(SETUP!$B$6),tblPCSInput[Call Date/Time],"&lt;"&amp;(SETUP!$B$7),tblPCSInput[Call Direction],"I",tblPCSInput[Agent ID],$A161,tblPCSInput[PCSStatus],1))</f>
        <v/>
      </c>
      <c r="Q161" s="11">
        <f>IF($A161="","",COUNTIFS(tblPCSInput[Call Date/Time],"&gt;="&amp;(SETUP!$B$6),tblPCSInput[Call Date/Time],"&lt;"&amp;(SETUP!$B$7),tblPCSInput[Call Direction],"I",tblPCSInput[Agent ID],$A161,tblPCSInput[Question 1],"&lt;&gt;"))</f>
        <v/>
      </c>
      <c r="R161" s="11">
        <f>IF($A161="","",COUNTIFS(tblPCSInput[Call Date/Time],"&gt;="&amp;(SETUP!$B$6),tblPCSInput[Call Date/Time],"&lt;"&amp;(SETUP!$B$7),tblPCSInput[Call Direction],"I",tblPCSInput[Agent ID],$A161,tblPCSInput[Valid Q1],"&gt;=1"))</f>
        <v/>
      </c>
      <c r="S161" s="12">
        <f>IFERROR(SUMIFS(tblPCSInput[Valid Q1],tblPCSInput[Call Date/Time],"&gt;="&amp;SETUP!$B$6,tblPCSInput[Call Date/Time],"&lt;"&amp;SETUP!$B$7,tblPCSInput[Call Direction],"I",tblPCSInput[Agent ID],$A161)/COUNTIFS(tblPCSInput[Call Date/Time],"&gt;="&amp;(SETUP!$B$6),tblPCSInput[Call Date/Time],"&lt;"&amp;(SETUP!$B$7),tblPCSInput[Call Direction],"I",tblPCSInput[Agent ID],$A161,tblPCSInput[Valid Q1],"&gt;=1"),"")</f>
        <v/>
      </c>
      <c r="T161" s="11">
        <f>IF(S161="","",COUNTIFS(tblPCSInput[Call Date/Time],"&gt;="&amp;(SETUP!$B$6),tblPCSInput[Call Date/Time],"&lt;"&amp;(SETUP!$B$7),tblPCSInput[Call Direction],"I",tblPCSInput[Agent ID],$A161,tblPCSInput[Valid Q1],"&lt;=3",tblPCSInput[Valid Q1],"&gt;=1"))</f>
        <v/>
      </c>
      <c r="U161" s="11">
        <f>IF(S161="","",COUNTIFS(tblPCSInput[Call Date/Time],"&gt;="&amp;(SETUP!$B$6),tblPCSInput[Call Date/Time],"&lt;"&amp;(SETUP!$B$7),tblPCSInput[Call Direction],"I",tblPCSInput[Agent ID],$A161,tblPCSInput[Valid Q1],"&gt;3"))</f>
        <v/>
      </c>
      <c r="V161" s="13">
        <f>IFERROR(Q161/P161,"")</f>
        <v/>
      </c>
      <c r="W161" s="13">
        <f>IFERROR(R161/P161,"")</f>
        <v/>
      </c>
    </row>
    <row r="162" spans="1:23">
      <c r="A162" s="4">
        <f>IF(ROSTER!A162="","",ROSTER!A162)</f>
        <v/>
      </c>
      <c r="B162" s="4">
        <f>IF($A162="","",ROSTER!C162)</f>
        <v/>
      </c>
      <c r="C162" s="4">
        <f>IF($A162="","",ROSTER!D162)</f>
        <v/>
      </c>
      <c r="D162" s="4">
        <f>IF($A162="","",ROSTER!E162)</f>
        <v/>
      </c>
      <c r="E162" s="4">
        <f>IF($A162="","",ROSTER!F162)</f>
        <v/>
      </c>
      <c r="F162" s="11">
        <f>IF($A162="","",COUNTIFS(tblPCSInput[Call Date/Time],"&gt;="&amp;(SETUP!$B$5),tblPCSInput[Call Date/Time],"&lt;"&amp;(SETUP!$B$5+1),tblPCSInput[Call Direction],"I",tblPCSInput[Agent ID],$A162,tblPCSInput[PCSStatus],1))</f>
        <v/>
      </c>
      <c r="G162" s="11">
        <f>IF($A162="","",COUNTIFS(tblPCSInput[Call Date/Time],"&gt;="&amp;(SETUP!$B$5),tblPCSInput[Call Date/Time],"&lt;"&amp;(SETUP!$B$5+1),tblPCSInput[Call Direction],"I",tblPCSInput[Agent ID],$A162,tblPCSInput[Question 1],"&lt;&gt;"))</f>
        <v/>
      </c>
      <c r="H162" s="11">
        <f>IF($A162="","",COUNTIFS(tblPCSInput[Call Date/Time],"&gt;="&amp;(SETUP!$B$5),tblPCSInput[Call Date/Time],"&lt;"&amp;(SETUP!$B$5+1),tblPCSInput[Call Direction],"I",tblPCSInput[Agent ID],$A162,tblPCSInput[Valid Q1],"&gt;=1"))</f>
        <v/>
      </c>
      <c r="I162" s="12">
        <f>IFERROR(SUMIFS(tblPCSInput[Valid Q1],tblPCSInput[Call Date/Time],"&gt;="&amp;SETUP!$B$5,tblPCSInput[Call Date/Time],"&lt;"&amp;SETUP!$B$5+1,tblPCSInput[Call Direction],"I",tblPCSInput[Agent ID],$A162)/COUNTIFS(tblPCSInput[Call Date/Time],"&gt;="&amp;(SETUP!$B$5),tblPCSInput[Call Date/Time],"&lt;"&amp;(SETUP!$B$5+1),tblPCSInput[Call Direction],"I",tblPCSInput[Agent ID],$A162,tblPCSInput[Valid Q1],"&gt;=1"),"")</f>
        <v/>
      </c>
      <c r="J162" s="11">
        <f>IF(I162="","",COUNTIFS(tblPCSInput[Call Date/Time],"&gt;="&amp;(SETUP!$B$5),tblPCSInput[Call Date/Time],"&lt;"&amp;(SETUP!$B$5+1),tblPCSInput[Call Direction],"I",tblPCSInput[Agent ID],$A162,tblPCSInput[Valid Q1],"&lt;=3",tblPCSInput[Valid Q1],"&gt;=1"))</f>
        <v/>
      </c>
      <c r="K162" s="11">
        <f>IF(I162="","",COUNTIFS(tblPCSInput[Call Date/Time],"&gt;="&amp;(SETUP!$B$5),tblPCSInput[Call Date/Time],"&lt;"&amp;(SETUP!$B$5+1),tblPCSInput[Call Direction],"I",tblPCSInput[Agent ID],$A162,tblPCSInput[Valid Q1],"&gt;3"))</f>
        <v/>
      </c>
      <c r="L162" s="13">
        <f>IFERROR(G162/F162,"")</f>
        <v/>
      </c>
      <c r="M162" s="13">
        <f>IFERROR(H162/F162,"")</f>
        <v/>
      </c>
      <c r="N162" s="11">
        <f>IF($A162="","",MAX(0,G162-H162))</f>
        <v/>
      </c>
      <c r="O162" s="4">
        <f>IF($A162="","",IF(H162=0,"NO VALID SURVEY",IF(H162&lt;5,"LOW SAMPLE","OK")))</f>
        <v/>
      </c>
      <c r="P162" s="11">
        <f>IF($A162="","",COUNTIFS(tblPCSInput[Call Date/Time],"&gt;="&amp;(SETUP!$B$6),tblPCSInput[Call Date/Time],"&lt;"&amp;(SETUP!$B$7),tblPCSInput[Call Direction],"I",tblPCSInput[Agent ID],$A162,tblPCSInput[PCSStatus],1))</f>
        <v/>
      </c>
      <c r="Q162" s="11">
        <f>IF($A162="","",COUNTIFS(tblPCSInput[Call Date/Time],"&gt;="&amp;(SETUP!$B$6),tblPCSInput[Call Date/Time],"&lt;"&amp;(SETUP!$B$7),tblPCSInput[Call Direction],"I",tblPCSInput[Agent ID],$A162,tblPCSInput[Question 1],"&lt;&gt;"))</f>
        <v/>
      </c>
      <c r="R162" s="11">
        <f>IF($A162="","",COUNTIFS(tblPCSInput[Call Date/Time],"&gt;="&amp;(SETUP!$B$6),tblPCSInput[Call Date/Time],"&lt;"&amp;(SETUP!$B$7),tblPCSInput[Call Direction],"I",tblPCSInput[Agent ID],$A162,tblPCSInput[Valid Q1],"&gt;=1"))</f>
        <v/>
      </c>
      <c r="S162" s="12">
        <f>IFERROR(SUMIFS(tblPCSInput[Valid Q1],tblPCSInput[Call Date/Time],"&gt;="&amp;SETUP!$B$6,tblPCSInput[Call Date/Time],"&lt;"&amp;SETUP!$B$7,tblPCSInput[Call Direction],"I",tblPCSInput[Agent ID],$A162)/COUNTIFS(tblPCSInput[Call Date/Time],"&gt;="&amp;(SETUP!$B$6),tblPCSInput[Call Date/Time],"&lt;"&amp;(SETUP!$B$7),tblPCSInput[Call Direction],"I",tblPCSInput[Agent ID],$A162,tblPCSInput[Valid Q1],"&gt;=1"),"")</f>
        <v/>
      </c>
      <c r="T162" s="11">
        <f>IF(S162="","",COUNTIFS(tblPCSInput[Call Date/Time],"&gt;="&amp;(SETUP!$B$6),tblPCSInput[Call Date/Time],"&lt;"&amp;(SETUP!$B$7),tblPCSInput[Call Direction],"I",tblPCSInput[Agent ID],$A162,tblPCSInput[Valid Q1],"&lt;=3",tblPCSInput[Valid Q1],"&gt;=1"))</f>
        <v/>
      </c>
      <c r="U162" s="11">
        <f>IF(S162="","",COUNTIFS(tblPCSInput[Call Date/Time],"&gt;="&amp;(SETUP!$B$6),tblPCSInput[Call Date/Time],"&lt;"&amp;(SETUP!$B$7),tblPCSInput[Call Direction],"I",tblPCSInput[Agent ID],$A162,tblPCSInput[Valid Q1],"&gt;3"))</f>
        <v/>
      </c>
      <c r="V162" s="13">
        <f>IFERROR(Q162/P162,"")</f>
        <v/>
      </c>
      <c r="W162" s="13">
        <f>IFERROR(R162/P162,"")</f>
        <v/>
      </c>
    </row>
    <row r="163" spans="1:23">
      <c r="A163" s="4">
        <f>IF(ROSTER!A163="","",ROSTER!A163)</f>
        <v/>
      </c>
      <c r="B163" s="4">
        <f>IF($A163="","",ROSTER!C163)</f>
        <v/>
      </c>
      <c r="C163" s="4">
        <f>IF($A163="","",ROSTER!D163)</f>
        <v/>
      </c>
      <c r="D163" s="4">
        <f>IF($A163="","",ROSTER!E163)</f>
        <v/>
      </c>
      <c r="E163" s="4">
        <f>IF($A163="","",ROSTER!F163)</f>
        <v/>
      </c>
      <c r="F163" s="11">
        <f>IF($A163="","",COUNTIFS(tblPCSInput[Call Date/Time],"&gt;="&amp;(SETUP!$B$5),tblPCSInput[Call Date/Time],"&lt;"&amp;(SETUP!$B$5+1),tblPCSInput[Call Direction],"I",tblPCSInput[Agent ID],$A163,tblPCSInput[PCSStatus],1))</f>
        <v/>
      </c>
      <c r="G163" s="11">
        <f>IF($A163="","",COUNTIFS(tblPCSInput[Call Date/Time],"&gt;="&amp;(SETUP!$B$5),tblPCSInput[Call Date/Time],"&lt;"&amp;(SETUP!$B$5+1),tblPCSInput[Call Direction],"I",tblPCSInput[Agent ID],$A163,tblPCSInput[Question 1],"&lt;&gt;"))</f>
        <v/>
      </c>
      <c r="H163" s="11">
        <f>IF($A163="","",COUNTIFS(tblPCSInput[Call Date/Time],"&gt;="&amp;(SETUP!$B$5),tblPCSInput[Call Date/Time],"&lt;"&amp;(SETUP!$B$5+1),tblPCSInput[Call Direction],"I",tblPCSInput[Agent ID],$A163,tblPCSInput[Valid Q1],"&gt;=1"))</f>
        <v/>
      </c>
      <c r="I163" s="12">
        <f>IFERROR(SUMIFS(tblPCSInput[Valid Q1],tblPCSInput[Call Date/Time],"&gt;="&amp;SETUP!$B$5,tblPCSInput[Call Date/Time],"&lt;"&amp;SETUP!$B$5+1,tblPCSInput[Call Direction],"I",tblPCSInput[Agent ID],$A163)/COUNTIFS(tblPCSInput[Call Date/Time],"&gt;="&amp;(SETUP!$B$5),tblPCSInput[Call Date/Time],"&lt;"&amp;(SETUP!$B$5+1),tblPCSInput[Call Direction],"I",tblPCSInput[Agent ID],$A163,tblPCSInput[Valid Q1],"&gt;=1"),"")</f>
        <v/>
      </c>
      <c r="J163" s="11">
        <f>IF(I163="","",COUNTIFS(tblPCSInput[Call Date/Time],"&gt;="&amp;(SETUP!$B$5),tblPCSInput[Call Date/Time],"&lt;"&amp;(SETUP!$B$5+1),tblPCSInput[Call Direction],"I",tblPCSInput[Agent ID],$A163,tblPCSInput[Valid Q1],"&lt;=3",tblPCSInput[Valid Q1],"&gt;=1"))</f>
        <v/>
      </c>
      <c r="K163" s="11">
        <f>IF(I163="","",COUNTIFS(tblPCSInput[Call Date/Time],"&gt;="&amp;(SETUP!$B$5),tblPCSInput[Call Date/Time],"&lt;"&amp;(SETUP!$B$5+1),tblPCSInput[Call Direction],"I",tblPCSInput[Agent ID],$A163,tblPCSInput[Valid Q1],"&gt;3"))</f>
        <v/>
      </c>
      <c r="L163" s="13">
        <f>IFERROR(G163/F163,"")</f>
        <v/>
      </c>
      <c r="M163" s="13">
        <f>IFERROR(H163/F163,"")</f>
        <v/>
      </c>
      <c r="N163" s="11">
        <f>IF($A163="","",MAX(0,G163-H163))</f>
        <v/>
      </c>
      <c r="O163" s="4">
        <f>IF($A163="","",IF(H163=0,"NO VALID SURVEY",IF(H163&lt;5,"LOW SAMPLE","OK")))</f>
        <v/>
      </c>
      <c r="P163" s="11">
        <f>IF($A163="","",COUNTIFS(tblPCSInput[Call Date/Time],"&gt;="&amp;(SETUP!$B$6),tblPCSInput[Call Date/Time],"&lt;"&amp;(SETUP!$B$7),tblPCSInput[Call Direction],"I",tblPCSInput[Agent ID],$A163,tblPCSInput[PCSStatus],1))</f>
        <v/>
      </c>
      <c r="Q163" s="11">
        <f>IF($A163="","",COUNTIFS(tblPCSInput[Call Date/Time],"&gt;="&amp;(SETUP!$B$6),tblPCSInput[Call Date/Time],"&lt;"&amp;(SETUP!$B$7),tblPCSInput[Call Direction],"I",tblPCSInput[Agent ID],$A163,tblPCSInput[Question 1],"&lt;&gt;"))</f>
        <v/>
      </c>
      <c r="R163" s="11">
        <f>IF($A163="","",COUNTIFS(tblPCSInput[Call Date/Time],"&gt;="&amp;(SETUP!$B$6),tblPCSInput[Call Date/Time],"&lt;"&amp;(SETUP!$B$7),tblPCSInput[Call Direction],"I",tblPCSInput[Agent ID],$A163,tblPCSInput[Valid Q1],"&gt;=1"))</f>
        <v/>
      </c>
      <c r="S163" s="12">
        <f>IFERROR(SUMIFS(tblPCSInput[Valid Q1],tblPCSInput[Call Date/Time],"&gt;="&amp;SETUP!$B$6,tblPCSInput[Call Date/Time],"&lt;"&amp;SETUP!$B$7,tblPCSInput[Call Direction],"I",tblPCSInput[Agent ID],$A163)/COUNTIFS(tblPCSInput[Call Date/Time],"&gt;="&amp;(SETUP!$B$6),tblPCSInput[Call Date/Time],"&lt;"&amp;(SETUP!$B$7),tblPCSInput[Call Direction],"I",tblPCSInput[Agent ID],$A163,tblPCSInput[Valid Q1],"&gt;=1"),"")</f>
        <v/>
      </c>
      <c r="T163" s="11">
        <f>IF(S163="","",COUNTIFS(tblPCSInput[Call Date/Time],"&gt;="&amp;(SETUP!$B$6),tblPCSInput[Call Date/Time],"&lt;"&amp;(SETUP!$B$7),tblPCSInput[Call Direction],"I",tblPCSInput[Agent ID],$A163,tblPCSInput[Valid Q1],"&lt;=3",tblPCSInput[Valid Q1],"&gt;=1"))</f>
        <v/>
      </c>
      <c r="U163" s="11">
        <f>IF(S163="","",COUNTIFS(tblPCSInput[Call Date/Time],"&gt;="&amp;(SETUP!$B$6),tblPCSInput[Call Date/Time],"&lt;"&amp;(SETUP!$B$7),tblPCSInput[Call Direction],"I",tblPCSInput[Agent ID],$A163,tblPCSInput[Valid Q1],"&gt;3"))</f>
        <v/>
      </c>
      <c r="V163" s="13">
        <f>IFERROR(Q163/P163,"")</f>
        <v/>
      </c>
      <c r="W163" s="13">
        <f>IFERROR(R163/P163,"")</f>
        <v/>
      </c>
    </row>
    <row r="164" spans="1:23">
      <c r="A164" s="4">
        <f>IF(ROSTER!A164="","",ROSTER!A164)</f>
        <v/>
      </c>
      <c r="B164" s="4">
        <f>IF($A164="","",ROSTER!C164)</f>
        <v/>
      </c>
      <c r="C164" s="4">
        <f>IF($A164="","",ROSTER!D164)</f>
        <v/>
      </c>
      <c r="D164" s="4">
        <f>IF($A164="","",ROSTER!E164)</f>
        <v/>
      </c>
      <c r="E164" s="4">
        <f>IF($A164="","",ROSTER!F164)</f>
        <v/>
      </c>
      <c r="F164" s="11">
        <f>IF($A164="","",COUNTIFS(tblPCSInput[Call Date/Time],"&gt;="&amp;(SETUP!$B$5),tblPCSInput[Call Date/Time],"&lt;"&amp;(SETUP!$B$5+1),tblPCSInput[Call Direction],"I",tblPCSInput[Agent ID],$A164,tblPCSInput[PCSStatus],1))</f>
        <v/>
      </c>
      <c r="G164" s="11">
        <f>IF($A164="","",COUNTIFS(tblPCSInput[Call Date/Time],"&gt;="&amp;(SETUP!$B$5),tblPCSInput[Call Date/Time],"&lt;"&amp;(SETUP!$B$5+1),tblPCSInput[Call Direction],"I",tblPCSInput[Agent ID],$A164,tblPCSInput[Question 1],"&lt;&gt;"))</f>
        <v/>
      </c>
      <c r="H164" s="11">
        <f>IF($A164="","",COUNTIFS(tblPCSInput[Call Date/Time],"&gt;="&amp;(SETUP!$B$5),tblPCSInput[Call Date/Time],"&lt;"&amp;(SETUP!$B$5+1),tblPCSInput[Call Direction],"I",tblPCSInput[Agent ID],$A164,tblPCSInput[Valid Q1],"&gt;=1"))</f>
        <v/>
      </c>
      <c r="I164" s="12">
        <f>IFERROR(SUMIFS(tblPCSInput[Valid Q1],tblPCSInput[Call Date/Time],"&gt;="&amp;SETUP!$B$5,tblPCSInput[Call Date/Time],"&lt;"&amp;SETUP!$B$5+1,tblPCSInput[Call Direction],"I",tblPCSInput[Agent ID],$A164)/COUNTIFS(tblPCSInput[Call Date/Time],"&gt;="&amp;(SETUP!$B$5),tblPCSInput[Call Date/Time],"&lt;"&amp;(SETUP!$B$5+1),tblPCSInput[Call Direction],"I",tblPCSInput[Agent ID],$A164,tblPCSInput[Valid Q1],"&gt;=1"),"")</f>
        <v/>
      </c>
      <c r="J164" s="11">
        <f>IF(I164="","",COUNTIFS(tblPCSInput[Call Date/Time],"&gt;="&amp;(SETUP!$B$5),tblPCSInput[Call Date/Time],"&lt;"&amp;(SETUP!$B$5+1),tblPCSInput[Call Direction],"I",tblPCSInput[Agent ID],$A164,tblPCSInput[Valid Q1],"&lt;=3",tblPCSInput[Valid Q1],"&gt;=1"))</f>
        <v/>
      </c>
      <c r="K164" s="11">
        <f>IF(I164="","",COUNTIFS(tblPCSInput[Call Date/Time],"&gt;="&amp;(SETUP!$B$5),tblPCSInput[Call Date/Time],"&lt;"&amp;(SETUP!$B$5+1),tblPCSInput[Call Direction],"I",tblPCSInput[Agent ID],$A164,tblPCSInput[Valid Q1],"&gt;3"))</f>
        <v/>
      </c>
      <c r="L164" s="13">
        <f>IFERROR(G164/F164,"")</f>
        <v/>
      </c>
      <c r="M164" s="13">
        <f>IFERROR(H164/F164,"")</f>
        <v/>
      </c>
      <c r="N164" s="11">
        <f>IF($A164="","",MAX(0,G164-H164))</f>
        <v/>
      </c>
      <c r="O164" s="4">
        <f>IF($A164="","",IF(H164=0,"NO VALID SURVEY",IF(H164&lt;5,"LOW SAMPLE","OK")))</f>
        <v/>
      </c>
      <c r="P164" s="11">
        <f>IF($A164="","",COUNTIFS(tblPCSInput[Call Date/Time],"&gt;="&amp;(SETUP!$B$6),tblPCSInput[Call Date/Time],"&lt;"&amp;(SETUP!$B$7),tblPCSInput[Call Direction],"I",tblPCSInput[Agent ID],$A164,tblPCSInput[PCSStatus],1))</f>
        <v/>
      </c>
      <c r="Q164" s="11">
        <f>IF($A164="","",COUNTIFS(tblPCSInput[Call Date/Time],"&gt;="&amp;(SETUP!$B$6),tblPCSInput[Call Date/Time],"&lt;"&amp;(SETUP!$B$7),tblPCSInput[Call Direction],"I",tblPCSInput[Agent ID],$A164,tblPCSInput[Question 1],"&lt;&gt;"))</f>
        <v/>
      </c>
      <c r="R164" s="11">
        <f>IF($A164="","",COUNTIFS(tblPCSInput[Call Date/Time],"&gt;="&amp;(SETUP!$B$6),tblPCSInput[Call Date/Time],"&lt;"&amp;(SETUP!$B$7),tblPCSInput[Call Direction],"I",tblPCSInput[Agent ID],$A164,tblPCSInput[Valid Q1],"&gt;=1"))</f>
        <v/>
      </c>
      <c r="S164" s="12">
        <f>IFERROR(SUMIFS(tblPCSInput[Valid Q1],tblPCSInput[Call Date/Time],"&gt;="&amp;SETUP!$B$6,tblPCSInput[Call Date/Time],"&lt;"&amp;SETUP!$B$7,tblPCSInput[Call Direction],"I",tblPCSInput[Agent ID],$A164)/COUNTIFS(tblPCSInput[Call Date/Time],"&gt;="&amp;(SETUP!$B$6),tblPCSInput[Call Date/Time],"&lt;"&amp;(SETUP!$B$7),tblPCSInput[Call Direction],"I",tblPCSInput[Agent ID],$A164,tblPCSInput[Valid Q1],"&gt;=1"),"")</f>
        <v/>
      </c>
      <c r="T164" s="11">
        <f>IF(S164="","",COUNTIFS(tblPCSInput[Call Date/Time],"&gt;="&amp;(SETUP!$B$6),tblPCSInput[Call Date/Time],"&lt;"&amp;(SETUP!$B$7),tblPCSInput[Call Direction],"I",tblPCSInput[Agent ID],$A164,tblPCSInput[Valid Q1],"&lt;=3",tblPCSInput[Valid Q1],"&gt;=1"))</f>
        <v/>
      </c>
      <c r="U164" s="11">
        <f>IF(S164="","",COUNTIFS(tblPCSInput[Call Date/Time],"&gt;="&amp;(SETUP!$B$6),tblPCSInput[Call Date/Time],"&lt;"&amp;(SETUP!$B$7),tblPCSInput[Call Direction],"I",tblPCSInput[Agent ID],$A164,tblPCSInput[Valid Q1],"&gt;3"))</f>
        <v/>
      </c>
      <c r="V164" s="13">
        <f>IFERROR(Q164/P164,"")</f>
        <v/>
      </c>
      <c r="W164" s="13">
        <f>IFERROR(R164/P164,"")</f>
        <v/>
      </c>
    </row>
    <row r="165" spans="1:23">
      <c r="A165" s="4">
        <f>IF(ROSTER!A165="","",ROSTER!A165)</f>
        <v/>
      </c>
      <c r="B165" s="4">
        <f>IF($A165="","",ROSTER!C165)</f>
        <v/>
      </c>
      <c r="C165" s="4">
        <f>IF($A165="","",ROSTER!D165)</f>
        <v/>
      </c>
      <c r="D165" s="4">
        <f>IF($A165="","",ROSTER!E165)</f>
        <v/>
      </c>
      <c r="E165" s="4">
        <f>IF($A165="","",ROSTER!F165)</f>
        <v/>
      </c>
      <c r="F165" s="11">
        <f>IF($A165="","",COUNTIFS(tblPCSInput[Call Date/Time],"&gt;="&amp;(SETUP!$B$5),tblPCSInput[Call Date/Time],"&lt;"&amp;(SETUP!$B$5+1),tblPCSInput[Call Direction],"I",tblPCSInput[Agent ID],$A165,tblPCSInput[PCSStatus],1))</f>
        <v/>
      </c>
      <c r="G165" s="11">
        <f>IF($A165="","",COUNTIFS(tblPCSInput[Call Date/Time],"&gt;="&amp;(SETUP!$B$5),tblPCSInput[Call Date/Time],"&lt;"&amp;(SETUP!$B$5+1),tblPCSInput[Call Direction],"I",tblPCSInput[Agent ID],$A165,tblPCSInput[Question 1],"&lt;&gt;"))</f>
        <v/>
      </c>
      <c r="H165" s="11">
        <f>IF($A165="","",COUNTIFS(tblPCSInput[Call Date/Time],"&gt;="&amp;(SETUP!$B$5),tblPCSInput[Call Date/Time],"&lt;"&amp;(SETUP!$B$5+1),tblPCSInput[Call Direction],"I",tblPCSInput[Agent ID],$A165,tblPCSInput[Valid Q1],"&gt;=1"))</f>
        <v/>
      </c>
      <c r="I165" s="12">
        <f>IFERROR(SUMIFS(tblPCSInput[Valid Q1],tblPCSInput[Call Date/Time],"&gt;="&amp;SETUP!$B$5,tblPCSInput[Call Date/Time],"&lt;"&amp;SETUP!$B$5+1,tblPCSInput[Call Direction],"I",tblPCSInput[Agent ID],$A165)/COUNTIFS(tblPCSInput[Call Date/Time],"&gt;="&amp;(SETUP!$B$5),tblPCSInput[Call Date/Time],"&lt;"&amp;(SETUP!$B$5+1),tblPCSInput[Call Direction],"I",tblPCSInput[Agent ID],$A165,tblPCSInput[Valid Q1],"&gt;=1"),"")</f>
        <v/>
      </c>
      <c r="J165" s="11">
        <f>IF(I165="","",COUNTIFS(tblPCSInput[Call Date/Time],"&gt;="&amp;(SETUP!$B$5),tblPCSInput[Call Date/Time],"&lt;"&amp;(SETUP!$B$5+1),tblPCSInput[Call Direction],"I",tblPCSInput[Agent ID],$A165,tblPCSInput[Valid Q1],"&lt;=3",tblPCSInput[Valid Q1],"&gt;=1"))</f>
        <v/>
      </c>
      <c r="K165" s="11">
        <f>IF(I165="","",COUNTIFS(tblPCSInput[Call Date/Time],"&gt;="&amp;(SETUP!$B$5),tblPCSInput[Call Date/Time],"&lt;"&amp;(SETUP!$B$5+1),tblPCSInput[Call Direction],"I",tblPCSInput[Agent ID],$A165,tblPCSInput[Valid Q1],"&gt;3"))</f>
        <v/>
      </c>
      <c r="L165" s="13">
        <f>IFERROR(G165/F165,"")</f>
        <v/>
      </c>
      <c r="M165" s="13">
        <f>IFERROR(H165/F165,"")</f>
        <v/>
      </c>
      <c r="N165" s="11">
        <f>IF($A165="","",MAX(0,G165-H165))</f>
        <v/>
      </c>
      <c r="O165" s="4">
        <f>IF($A165="","",IF(H165=0,"NO VALID SURVEY",IF(H165&lt;5,"LOW SAMPLE","OK")))</f>
        <v/>
      </c>
      <c r="P165" s="11">
        <f>IF($A165="","",COUNTIFS(tblPCSInput[Call Date/Time],"&gt;="&amp;(SETUP!$B$6),tblPCSInput[Call Date/Time],"&lt;"&amp;(SETUP!$B$7),tblPCSInput[Call Direction],"I",tblPCSInput[Agent ID],$A165,tblPCSInput[PCSStatus],1))</f>
        <v/>
      </c>
      <c r="Q165" s="11">
        <f>IF($A165="","",COUNTIFS(tblPCSInput[Call Date/Time],"&gt;="&amp;(SETUP!$B$6),tblPCSInput[Call Date/Time],"&lt;"&amp;(SETUP!$B$7),tblPCSInput[Call Direction],"I",tblPCSInput[Agent ID],$A165,tblPCSInput[Question 1],"&lt;&gt;"))</f>
        <v/>
      </c>
      <c r="R165" s="11">
        <f>IF($A165="","",COUNTIFS(tblPCSInput[Call Date/Time],"&gt;="&amp;(SETUP!$B$6),tblPCSInput[Call Date/Time],"&lt;"&amp;(SETUP!$B$7),tblPCSInput[Call Direction],"I",tblPCSInput[Agent ID],$A165,tblPCSInput[Valid Q1],"&gt;=1"))</f>
        <v/>
      </c>
      <c r="S165" s="12">
        <f>IFERROR(SUMIFS(tblPCSInput[Valid Q1],tblPCSInput[Call Date/Time],"&gt;="&amp;SETUP!$B$6,tblPCSInput[Call Date/Time],"&lt;"&amp;SETUP!$B$7,tblPCSInput[Call Direction],"I",tblPCSInput[Agent ID],$A165)/COUNTIFS(tblPCSInput[Call Date/Time],"&gt;="&amp;(SETUP!$B$6),tblPCSInput[Call Date/Time],"&lt;"&amp;(SETUP!$B$7),tblPCSInput[Call Direction],"I",tblPCSInput[Agent ID],$A165,tblPCSInput[Valid Q1],"&gt;=1"),"")</f>
        <v/>
      </c>
      <c r="T165" s="11">
        <f>IF(S165="","",COUNTIFS(tblPCSInput[Call Date/Time],"&gt;="&amp;(SETUP!$B$6),tblPCSInput[Call Date/Time],"&lt;"&amp;(SETUP!$B$7),tblPCSInput[Call Direction],"I",tblPCSInput[Agent ID],$A165,tblPCSInput[Valid Q1],"&lt;=3",tblPCSInput[Valid Q1],"&gt;=1"))</f>
        <v/>
      </c>
      <c r="U165" s="11">
        <f>IF(S165="","",COUNTIFS(tblPCSInput[Call Date/Time],"&gt;="&amp;(SETUP!$B$6),tblPCSInput[Call Date/Time],"&lt;"&amp;(SETUP!$B$7),tblPCSInput[Call Direction],"I",tblPCSInput[Agent ID],$A165,tblPCSInput[Valid Q1],"&gt;3"))</f>
        <v/>
      </c>
      <c r="V165" s="13">
        <f>IFERROR(Q165/P165,"")</f>
        <v/>
      </c>
      <c r="W165" s="13">
        <f>IFERROR(R165/P165,"")</f>
        <v/>
      </c>
    </row>
    <row r="166" spans="1:23">
      <c r="A166" s="4">
        <f>IF(ROSTER!A166="","",ROSTER!A166)</f>
        <v/>
      </c>
      <c r="B166" s="4">
        <f>IF($A166="","",ROSTER!C166)</f>
        <v/>
      </c>
      <c r="C166" s="4">
        <f>IF($A166="","",ROSTER!D166)</f>
        <v/>
      </c>
      <c r="D166" s="4">
        <f>IF($A166="","",ROSTER!E166)</f>
        <v/>
      </c>
      <c r="E166" s="4">
        <f>IF($A166="","",ROSTER!F166)</f>
        <v/>
      </c>
      <c r="F166" s="11">
        <f>IF($A166="","",COUNTIFS(tblPCSInput[Call Date/Time],"&gt;="&amp;(SETUP!$B$5),tblPCSInput[Call Date/Time],"&lt;"&amp;(SETUP!$B$5+1),tblPCSInput[Call Direction],"I",tblPCSInput[Agent ID],$A166,tblPCSInput[PCSStatus],1))</f>
        <v/>
      </c>
      <c r="G166" s="11">
        <f>IF($A166="","",COUNTIFS(tblPCSInput[Call Date/Time],"&gt;="&amp;(SETUP!$B$5),tblPCSInput[Call Date/Time],"&lt;"&amp;(SETUP!$B$5+1),tblPCSInput[Call Direction],"I",tblPCSInput[Agent ID],$A166,tblPCSInput[Question 1],"&lt;&gt;"))</f>
        <v/>
      </c>
      <c r="H166" s="11">
        <f>IF($A166="","",COUNTIFS(tblPCSInput[Call Date/Time],"&gt;="&amp;(SETUP!$B$5),tblPCSInput[Call Date/Time],"&lt;"&amp;(SETUP!$B$5+1),tblPCSInput[Call Direction],"I",tblPCSInput[Agent ID],$A166,tblPCSInput[Valid Q1],"&gt;=1"))</f>
        <v/>
      </c>
      <c r="I166" s="12">
        <f>IFERROR(SUMIFS(tblPCSInput[Valid Q1],tblPCSInput[Call Date/Time],"&gt;="&amp;SETUP!$B$5,tblPCSInput[Call Date/Time],"&lt;"&amp;SETUP!$B$5+1,tblPCSInput[Call Direction],"I",tblPCSInput[Agent ID],$A166)/COUNTIFS(tblPCSInput[Call Date/Time],"&gt;="&amp;(SETUP!$B$5),tblPCSInput[Call Date/Time],"&lt;"&amp;(SETUP!$B$5+1),tblPCSInput[Call Direction],"I",tblPCSInput[Agent ID],$A166,tblPCSInput[Valid Q1],"&gt;=1"),"")</f>
        <v/>
      </c>
      <c r="J166" s="11">
        <f>IF(I166="","",COUNTIFS(tblPCSInput[Call Date/Time],"&gt;="&amp;(SETUP!$B$5),tblPCSInput[Call Date/Time],"&lt;"&amp;(SETUP!$B$5+1),tblPCSInput[Call Direction],"I",tblPCSInput[Agent ID],$A166,tblPCSInput[Valid Q1],"&lt;=3",tblPCSInput[Valid Q1],"&gt;=1"))</f>
        <v/>
      </c>
      <c r="K166" s="11">
        <f>IF(I166="","",COUNTIFS(tblPCSInput[Call Date/Time],"&gt;="&amp;(SETUP!$B$5),tblPCSInput[Call Date/Time],"&lt;"&amp;(SETUP!$B$5+1),tblPCSInput[Call Direction],"I",tblPCSInput[Agent ID],$A166,tblPCSInput[Valid Q1],"&gt;3"))</f>
        <v/>
      </c>
      <c r="L166" s="13">
        <f>IFERROR(G166/F166,"")</f>
        <v/>
      </c>
      <c r="M166" s="13">
        <f>IFERROR(H166/F166,"")</f>
        <v/>
      </c>
      <c r="N166" s="11">
        <f>IF($A166="","",MAX(0,G166-H166))</f>
        <v/>
      </c>
      <c r="O166" s="4">
        <f>IF($A166="","",IF(H166=0,"NO VALID SURVEY",IF(H166&lt;5,"LOW SAMPLE","OK")))</f>
        <v/>
      </c>
      <c r="P166" s="11">
        <f>IF($A166="","",COUNTIFS(tblPCSInput[Call Date/Time],"&gt;="&amp;(SETUP!$B$6),tblPCSInput[Call Date/Time],"&lt;"&amp;(SETUP!$B$7),tblPCSInput[Call Direction],"I",tblPCSInput[Agent ID],$A166,tblPCSInput[PCSStatus],1))</f>
        <v/>
      </c>
      <c r="Q166" s="11">
        <f>IF($A166="","",COUNTIFS(tblPCSInput[Call Date/Time],"&gt;="&amp;(SETUP!$B$6),tblPCSInput[Call Date/Time],"&lt;"&amp;(SETUP!$B$7),tblPCSInput[Call Direction],"I",tblPCSInput[Agent ID],$A166,tblPCSInput[Question 1],"&lt;&gt;"))</f>
        <v/>
      </c>
      <c r="R166" s="11">
        <f>IF($A166="","",COUNTIFS(tblPCSInput[Call Date/Time],"&gt;="&amp;(SETUP!$B$6),tblPCSInput[Call Date/Time],"&lt;"&amp;(SETUP!$B$7),tblPCSInput[Call Direction],"I",tblPCSInput[Agent ID],$A166,tblPCSInput[Valid Q1],"&gt;=1"))</f>
        <v/>
      </c>
      <c r="S166" s="12">
        <f>IFERROR(SUMIFS(tblPCSInput[Valid Q1],tblPCSInput[Call Date/Time],"&gt;="&amp;SETUP!$B$6,tblPCSInput[Call Date/Time],"&lt;"&amp;SETUP!$B$7,tblPCSInput[Call Direction],"I",tblPCSInput[Agent ID],$A166)/COUNTIFS(tblPCSInput[Call Date/Time],"&gt;="&amp;(SETUP!$B$6),tblPCSInput[Call Date/Time],"&lt;"&amp;(SETUP!$B$7),tblPCSInput[Call Direction],"I",tblPCSInput[Agent ID],$A166,tblPCSInput[Valid Q1],"&gt;=1"),"")</f>
        <v/>
      </c>
      <c r="T166" s="11">
        <f>IF(S166="","",COUNTIFS(tblPCSInput[Call Date/Time],"&gt;="&amp;(SETUP!$B$6),tblPCSInput[Call Date/Time],"&lt;"&amp;(SETUP!$B$7),tblPCSInput[Call Direction],"I",tblPCSInput[Agent ID],$A166,tblPCSInput[Valid Q1],"&lt;=3",tblPCSInput[Valid Q1],"&gt;=1"))</f>
        <v/>
      </c>
      <c r="U166" s="11">
        <f>IF(S166="","",COUNTIFS(tblPCSInput[Call Date/Time],"&gt;="&amp;(SETUP!$B$6),tblPCSInput[Call Date/Time],"&lt;"&amp;(SETUP!$B$7),tblPCSInput[Call Direction],"I",tblPCSInput[Agent ID],$A166,tblPCSInput[Valid Q1],"&gt;3"))</f>
        <v/>
      </c>
      <c r="V166" s="13">
        <f>IFERROR(Q166/P166,"")</f>
        <v/>
      </c>
      <c r="W166" s="13">
        <f>IFERROR(R166/P166,"")</f>
        <v/>
      </c>
    </row>
    <row r="167" spans="1:23">
      <c r="A167" s="4">
        <f>IF(ROSTER!A167="","",ROSTER!A167)</f>
        <v/>
      </c>
      <c r="B167" s="4">
        <f>IF($A167="","",ROSTER!C167)</f>
        <v/>
      </c>
      <c r="C167" s="4">
        <f>IF($A167="","",ROSTER!D167)</f>
        <v/>
      </c>
      <c r="D167" s="4">
        <f>IF($A167="","",ROSTER!E167)</f>
        <v/>
      </c>
      <c r="E167" s="4">
        <f>IF($A167="","",ROSTER!F167)</f>
        <v/>
      </c>
      <c r="F167" s="11">
        <f>IF($A167="","",COUNTIFS(tblPCSInput[Call Date/Time],"&gt;="&amp;(SETUP!$B$5),tblPCSInput[Call Date/Time],"&lt;"&amp;(SETUP!$B$5+1),tblPCSInput[Call Direction],"I",tblPCSInput[Agent ID],$A167,tblPCSInput[PCSStatus],1))</f>
        <v/>
      </c>
      <c r="G167" s="11">
        <f>IF($A167="","",COUNTIFS(tblPCSInput[Call Date/Time],"&gt;="&amp;(SETUP!$B$5),tblPCSInput[Call Date/Time],"&lt;"&amp;(SETUP!$B$5+1),tblPCSInput[Call Direction],"I",tblPCSInput[Agent ID],$A167,tblPCSInput[Question 1],"&lt;&gt;"))</f>
        <v/>
      </c>
      <c r="H167" s="11">
        <f>IF($A167="","",COUNTIFS(tblPCSInput[Call Date/Time],"&gt;="&amp;(SETUP!$B$5),tblPCSInput[Call Date/Time],"&lt;"&amp;(SETUP!$B$5+1),tblPCSInput[Call Direction],"I",tblPCSInput[Agent ID],$A167,tblPCSInput[Valid Q1],"&gt;=1"))</f>
        <v/>
      </c>
      <c r="I167" s="12">
        <f>IFERROR(SUMIFS(tblPCSInput[Valid Q1],tblPCSInput[Call Date/Time],"&gt;="&amp;SETUP!$B$5,tblPCSInput[Call Date/Time],"&lt;"&amp;SETUP!$B$5+1,tblPCSInput[Call Direction],"I",tblPCSInput[Agent ID],$A167)/COUNTIFS(tblPCSInput[Call Date/Time],"&gt;="&amp;(SETUP!$B$5),tblPCSInput[Call Date/Time],"&lt;"&amp;(SETUP!$B$5+1),tblPCSInput[Call Direction],"I",tblPCSInput[Agent ID],$A167,tblPCSInput[Valid Q1],"&gt;=1"),"")</f>
        <v/>
      </c>
      <c r="J167" s="11">
        <f>IF(I167="","",COUNTIFS(tblPCSInput[Call Date/Time],"&gt;="&amp;(SETUP!$B$5),tblPCSInput[Call Date/Time],"&lt;"&amp;(SETUP!$B$5+1),tblPCSInput[Call Direction],"I",tblPCSInput[Agent ID],$A167,tblPCSInput[Valid Q1],"&lt;=3",tblPCSInput[Valid Q1],"&gt;=1"))</f>
        <v/>
      </c>
      <c r="K167" s="11">
        <f>IF(I167="","",COUNTIFS(tblPCSInput[Call Date/Time],"&gt;="&amp;(SETUP!$B$5),tblPCSInput[Call Date/Time],"&lt;"&amp;(SETUP!$B$5+1),tblPCSInput[Call Direction],"I",tblPCSInput[Agent ID],$A167,tblPCSInput[Valid Q1],"&gt;3"))</f>
        <v/>
      </c>
      <c r="L167" s="13">
        <f>IFERROR(G167/F167,"")</f>
        <v/>
      </c>
      <c r="M167" s="13">
        <f>IFERROR(H167/F167,"")</f>
        <v/>
      </c>
      <c r="N167" s="11">
        <f>IF($A167="","",MAX(0,G167-H167))</f>
        <v/>
      </c>
      <c r="O167" s="4">
        <f>IF($A167="","",IF(H167=0,"NO VALID SURVEY",IF(H167&lt;5,"LOW SAMPLE","OK")))</f>
        <v/>
      </c>
      <c r="P167" s="11">
        <f>IF($A167="","",COUNTIFS(tblPCSInput[Call Date/Time],"&gt;="&amp;(SETUP!$B$6),tblPCSInput[Call Date/Time],"&lt;"&amp;(SETUP!$B$7),tblPCSInput[Call Direction],"I",tblPCSInput[Agent ID],$A167,tblPCSInput[PCSStatus],1))</f>
        <v/>
      </c>
      <c r="Q167" s="11">
        <f>IF($A167="","",COUNTIFS(tblPCSInput[Call Date/Time],"&gt;="&amp;(SETUP!$B$6),tblPCSInput[Call Date/Time],"&lt;"&amp;(SETUP!$B$7),tblPCSInput[Call Direction],"I",tblPCSInput[Agent ID],$A167,tblPCSInput[Question 1],"&lt;&gt;"))</f>
        <v/>
      </c>
      <c r="R167" s="11">
        <f>IF($A167="","",COUNTIFS(tblPCSInput[Call Date/Time],"&gt;="&amp;(SETUP!$B$6),tblPCSInput[Call Date/Time],"&lt;"&amp;(SETUP!$B$7),tblPCSInput[Call Direction],"I",tblPCSInput[Agent ID],$A167,tblPCSInput[Valid Q1],"&gt;=1"))</f>
        <v/>
      </c>
      <c r="S167" s="12">
        <f>IFERROR(SUMIFS(tblPCSInput[Valid Q1],tblPCSInput[Call Date/Time],"&gt;="&amp;SETUP!$B$6,tblPCSInput[Call Date/Time],"&lt;"&amp;SETUP!$B$7,tblPCSInput[Call Direction],"I",tblPCSInput[Agent ID],$A167)/COUNTIFS(tblPCSInput[Call Date/Time],"&gt;="&amp;(SETUP!$B$6),tblPCSInput[Call Date/Time],"&lt;"&amp;(SETUP!$B$7),tblPCSInput[Call Direction],"I",tblPCSInput[Agent ID],$A167,tblPCSInput[Valid Q1],"&gt;=1"),"")</f>
        <v/>
      </c>
      <c r="T167" s="11">
        <f>IF(S167="","",COUNTIFS(tblPCSInput[Call Date/Time],"&gt;="&amp;(SETUP!$B$6),tblPCSInput[Call Date/Time],"&lt;"&amp;(SETUP!$B$7),tblPCSInput[Call Direction],"I",tblPCSInput[Agent ID],$A167,tblPCSInput[Valid Q1],"&lt;=3",tblPCSInput[Valid Q1],"&gt;=1"))</f>
        <v/>
      </c>
      <c r="U167" s="11">
        <f>IF(S167="","",COUNTIFS(tblPCSInput[Call Date/Time],"&gt;="&amp;(SETUP!$B$6),tblPCSInput[Call Date/Time],"&lt;"&amp;(SETUP!$B$7),tblPCSInput[Call Direction],"I",tblPCSInput[Agent ID],$A167,tblPCSInput[Valid Q1],"&gt;3"))</f>
        <v/>
      </c>
      <c r="V167" s="13">
        <f>IFERROR(Q167/P167,"")</f>
        <v/>
      </c>
      <c r="W167" s="13">
        <f>IFERROR(R167/P167,"")</f>
        <v/>
      </c>
    </row>
    <row r="168" spans="1:23">
      <c r="A168" s="4">
        <f>IF(ROSTER!A168="","",ROSTER!A168)</f>
        <v/>
      </c>
      <c r="B168" s="4">
        <f>IF($A168="","",ROSTER!C168)</f>
        <v/>
      </c>
      <c r="C168" s="4">
        <f>IF($A168="","",ROSTER!D168)</f>
        <v/>
      </c>
      <c r="D168" s="4">
        <f>IF($A168="","",ROSTER!E168)</f>
        <v/>
      </c>
      <c r="E168" s="4">
        <f>IF($A168="","",ROSTER!F168)</f>
        <v/>
      </c>
      <c r="F168" s="11">
        <f>IF($A168="","",COUNTIFS(tblPCSInput[Call Date/Time],"&gt;="&amp;(SETUP!$B$5),tblPCSInput[Call Date/Time],"&lt;"&amp;(SETUP!$B$5+1),tblPCSInput[Call Direction],"I",tblPCSInput[Agent ID],$A168,tblPCSInput[PCSStatus],1))</f>
        <v/>
      </c>
      <c r="G168" s="11">
        <f>IF($A168="","",COUNTIFS(tblPCSInput[Call Date/Time],"&gt;="&amp;(SETUP!$B$5),tblPCSInput[Call Date/Time],"&lt;"&amp;(SETUP!$B$5+1),tblPCSInput[Call Direction],"I",tblPCSInput[Agent ID],$A168,tblPCSInput[Question 1],"&lt;&gt;"))</f>
        <v/>
      </c>
      <c r="H168" s="11">
        <f>IF($A168="","",COUNTIFS(tblPCSInput[Call Date/Time],"&gt;="&amp;(SETUP!$B$5),tblPCSInput[Call Date/Time],"&lt;"&amp;(SETUP!$B$5+1),tblPCSInput[Call Direction],"I",tblPCSInput[Agent ID],$A168,tblPCSInput[Valid Q1],"&gt;=1"))</f>
        <v/>
      </c>
      <c r="I168" s="12">
        <f>IFERROR(SUMIFS(tblPCSInput[Valid Q1],tblPCSInput[Call Date/Time],"&gt;="&amp;SETUP!$B$5,tblPCSInput[Call Date/Time],"&lt;"&amp;SETUP!$B$5+1,tblPCSInput[Call Direction],"I",tblPCSInput[Agent ID],$A168)/COUNTIFS(tblPCSInput[Call Date/Time],"&gt;="&amp;(SETUP!$B$5),tblPCSInput[Call Date/Time],"&lt;"&amp;(SETUP!$B$5+1),tblPCSInput[Call Direction],"I",tblPCSInput[Agent ID],$A168,tblPCSInput[Valid Q1],"&gt;=1"),"")</f>
        <v/>
      </c>
      <c r="J168" s="11">
        <f>IF(I168="","",COUNTIFS(tblPCSInput[Call Date/Time],"&gt;="&amp;(SETUP!$B$5),tblPCSInput[Call Date/Time],"&lt;"&amp;(SETUP!$B$5+1),tblPCSInput[Call Direction],"I",tblPCSInput[Agent ID],$A168,tblPCSInput[Valid Q1],"&lt;=3",tblPCSInput[Valid Q1],"&gt;=1"))</f>
        <v/>
      </c>
      <c r="K168" s="11">
        <f>IF(I168="","",COUNTIFS(tblPCSInput[Call Date/Time],"&gt;="&amp;(SETUP!$B$5),tblPCSInput[Call Date/Time],"&lt;"&amp;(SETUP!$B$5+1),tblPCSInput[Call Direction],"I",tblPCSInput[Agent ID],$A168,tblPCSInput[Valid Q1],"&gt;3"))</f>
        <v/>
      </c>
      <c r="L168" s="13">
        <f>IFERROR(G168/F168,"")</f>
        <v/>
      </c>
      <c r="M168" s="13">
        <f>IFERROR(H168/F168,"")</f>
        <v/>
      </c>
      <c r="N168" s="11">
        <f>IF($A168="","",MAX(0,G168-H168))</f>
        <v/>
      </c>
      <c r="O168" s="4">
        <f>IF($A168="","",IF(H168=0,"NO VALID SURVEY",IF(H168&lt;5,"LOW SAMPLE","OK")))</f>
        <v/>
      </c>
      <c r="P168" s="11">
        <f>IF($A168="","",COUNTIFS(tblPCSInput[Call Date/Time],"&gt;="&amp;(SETUP!$B$6),tblPCSInput[Call Date/Time],"&lt;"&amp;(SETUP!$B$7),tblPCSInput[Call Direction],"I",tblPCSInput[Agent ID],$A168,tblPCSInput[PCSStatus],1))</f>
        <v/>
      </c>
      <c r="Q168" s="11">
        <f>IF($A168="","",COUNTIFS(tblPCSInput[Call Date/Time],"&gt;="&amp;(SETUP!$B$6),tblPCSInput[Call Date/Time],"&lt;"&amp;(SETUP!$B$7),tblPCSInput[Call Direction],"I",tblPCSInput[Agent ID],$A168,tblPCSInput[Question 1],"&lt;&gt;"))</f>
        <v/>
      </c>
      <c r="R168" s="11">
        <f>IF($A168="","",COUNTIFS(tblPCSInput[Call Date/Time],"&gt;="&amp;(SETUP!$B$6),tblPCSInput[Call Date/Time],"&lt;"&amp;(SETUP!$B$7),tblPCSInput[Call Direction],"I",tblPCSInput[Agent ID],$A168,tblPCSInput[Valid Q1],"&gt;=1"))</f>
        <v/>
      </c>
      <c r="S168" s="12">
        <f>IFERROR(SUMIFS(tblPCSInput[Valid Q1],tblPCSInput[Call Date/Time],"&gt;="&amp;SETUP!$B$6,tblPCSInput[Call Date/Time],"&lt;"&amp;SETUP!$B$7,tblPCSInput[Call Direction],"I",tblPCSInput[Agent ID],$A168)/COUNTIFS(tblPCSInput[Call Date/Time],"&gt;="&amp;(SETUP!$B$6),tblPCSInput[Call Date/Time],"&lt;"&amp;(SETUP!$B$7),tblPCSInput[Call Direction],"I",tblPCSInput[Agent ID],$A168,tblPCSInput[Valid Q1],"&gt;=1"),"")</f>
        <v/>
      </c>
      <c r="T168" s="11">
        <f>IF(S168="","",COUNTIFS(tblPCSInput[Call Date/Time],"&gt;="&amp;(SETUP!$B$6),tblPCSInput[Call Date/Time],"&lt;"&amp;(SETUP!$B$7),tblPCSInput[Call Direction],"I",tblPCSInput[Agent ID],$A168,tblPCSInput[Valid Q1],"&lt;=3",tblPCSInput[Valid Q1],"&gt;=1"))</f>
        <v/>
      </c>
      <c r="U168" s="11">
        <f>IF(S168="","",COUNTIFS(tblPCSInput[Call Date/Time],"&gt;="&amp;(SETUP!$B$6),tblPCSInput[Call Date/Time],"&lt;"&amp;(SETUP!$B$7),tblPCSInput[Call Direction],"I",tblPCSInput[Agent ID],$A168,tblPCSInput[Valid Q1],"&gt;3"))</f>
        <v/>
      </c>
      <c r="V168" s="13">
        <f>IFERROR(Q168/P168,"")</f>
        <v/>
      </c>
      <c r="W168" s="13">
        <f>IFERROR(R168/P168,"")</f>
        <v/>
      </c>
    </row>
    <row r="169" spans="1:23">
      <c r="A169" s="4">
        <f>IF(ROSTER!A169="","",ROSTER!A169)</f>
        <v/>
      </c>
      <c r="B169" s="4">
        <f>IF($A169="","",ROSTER!C169)</f>
        <v/>
      </c>
      <c r="C169" s="4">
        <f>IF($A169="","",ROSTER!D169)</f>
        <v/>
      </c>
      <c r="D169" s="4">
        <f>IF($A169="","",ROSTER!E169)</f>
        <v/>
      </c>
      <c r="E169" s="4">
        <f>IF($A169="","",ROSTER!F169)</f>
        <v/>
      </c>
      <c r="F169" s="11">
        <f>IF($A169="","",COUNTIFS(tblPCSInput[Call Date/Time],"&gt;="&amp;(SETUP!$B$5),tblPCSInput[Call Date/Time],"&lt;"&amp;(SETUP!$B$5+1),tblPCSInput[Call Direction],"I",tblPCSInput[Agent ID],$A169,tblPCSInput[PCSStatus],1))</f>
        <v/>
      </c>
      <c r="G169" s="11">
        <f>IF($A169="","",COUNTIFS(tblPCSInput[Call Date/Time],"&gt;="&amp;(SETUP!$B$5),tblPCSInput[Call Date/Time],"&lt;"&amp;(SETUP!$B$5+1),tblPCSInput[Call Direction],"I",tblPCSInput[Agent ID],$A169,tblPCSInput[Question 1],"&lt;&gt;"))</f>
        <v/>
      </c>
      <c r="H169" s="11">
        <f>IF($A169="","",COUNTIFS(tblPCSInput[Call Date/Time],"&gt;="&amp;(SETUP!$B$5),tblPCSInput[Call Date/Time],"&lt;"&amp;(SETUP!$B$5+1),tblPCSInput[Call Direction],"I",tblPCSInput[Agent ID],$A169,tblPCSInput[Valid Q1],"&gt;=1"))</f>
        <v/>
      </c>
      <c r="I169" s="12">
        <f>IFERROR(SUMIFS(tblPCSInput[Valid Q1],tblPCSInput[Call Date/Time],"&gt;="&amp;SETUP!$B$5,tblPCSInput[Call Date/Time],"&lt;"&amp;SETUP!$B$5+1,tblPCSInput[Call Direction],"I",tblPCSInput[Agent ID],$A169)/COUNTIFS(tblPCSInput[Call Date/Time],"&gt;="&amp;(SETUP!$B$5),tblPCSInput[Call Date/Time],"&lt;"&amp;(SETUP!$B$5+1),tblPCSInput[Call Direction],"I",tblPCSInput[Agent ID],$A169,tblPCSInput[Valid Q1],"&gt;=1"),"")</f>
        <v/>
      </c>
      <c r="J169" s="11">
        <f>IF(I169="","",COUNTIFS(tblPCSInput[Call Date/Time],"&gt;="&amp;(SETUP!$B$5),tblPCSInput[Call Date/Time],"&lt;"&amp;(SETUP!$B$5+1),tblPCSInput[Call Direction],"I",tblPCSInput[Agent ID],$A169,tblPCSInput[Valid Q1],"&lt;=3",tblPCSInput[Valid Q1],"&gt;=1"))</f>
        <v/>
      </c>
      <c r="K169" s="11">
        <f>IF(I169="","",COUNTIFS(tblPCSInput[Call Date/Time],"&gt;="&amp;(SETUP!$B$5),tblPCSInput[Call Date/Time],"&lt;"&amp;(SETUP!$B$5+1),tblPCSInput[Call Direction],"I",tblPCSInput[Agent ID],$A169,tblPCSInput[Valid Q1],"&gt;3"))</f>
        <v/>
      </c>
      <c r="L169" s="13">
        <f>IFERROR(G169/F169,"")</f>
        <v/>
      </c>
      <c r="M169" s="13">
        <f>IFERROR(H169/F169,"")</f>
        <v/>
      </c>
      <c r="N169" s="11">
        <f>IF($A169="","",MAX(0,G169-H169))</f>
        <v/>
      </c>
      <c r="O169" s="4">
        <f>IF($A169="","",IF(H169=0,"NO VALID SURVEY",IF(H169&lt;5,"LOW SAMPLE","OK")))</f>
        <v/>
      </c>
      <c r="P169" s="11">
        <f>IF($A169="","",COUNTIFS(tblPCSInput[Call Date/Time],"&gt;="&amp;(SETUP!$B$6),tblPCSInput[Call Date/Time],"&lt;"&amp;(SETUP!$B$7),tblPCSInput[Call Direction],"I",tblPCSInput[Agent ID],$A169,tblPCSInput[PCSStatus],1))</f>
        <v/>
      </c>
      <c r="Q169" s="11">
        <f>IF($A169="","",COUNTIFS(tblPCSInput[Call Date/Time],"&gt;="&amp;(SETUP!$B$6),tblPCSInput[Call Date/Time],"&lt;"&amp;(SETUP!$B$7),tblPCSInput[Call Direction],"I",tblPCSInput[Agent ID],$A169,tblPCSInput[Question 1],"&lt;&gt;"))</f>
        <v/>
      </c>
      <c r="R169" s="11">
        <f>IF($A169="","",COUNTIFS(tblPCSInput[Call Date/Time],"&gt;="&amp;(SETUP!$B$6),tblPCSInput[Call Date/Time],"&lt;"&amp;(SETUP!$B$7),tblPCSInput[Call Direction],"I",tblPCSInput[Agent ID],$A169,tblPCSInput[Valid Q1],"&gt;=1"))</f>
        <v/>
      </c>
      <c r="S169" s="12">
        <f>IFERROR(SUMIFS(tblPCSInput[Valid Q1],tblPCSInput[Call Date/Time],"&gt;="&amp;SETUP!$B$6,tblPCSInput[Call Date/Time],"&lt;"&amp;SETUP!$B$7,tblPCSInput[Call Direction],"I",tblPCSInput[Agent ID],$A169)/COUNTIFS(tblPCSInput[Call Date/Time],"&gt;="&amp;(SETUP!$B$6),tblPCSInput[Call Date/Time],"&lt;"&amp;(SETUP!$B$7),tblPCSInput[Call Direction],"I",tblPCSInput[Agent ID],$A169,tblPCSInput[Valid Q1],"&gt;=1"),"")</f>
        <v/>
      </c>
      <c r="T169" s="11">
        <f>IF(S169="","",COUNTIFS(tblPCSInput[Call Date/Time],"&gt;="&amp;(SETUP!$B$6),tblPCSInput[Call Date/Time],"&lt;"&amp;(SETUP!$B$7),tblPCSInput[Call Direction],"I",tblPCSInput[Agent ID],$A169,tblPCSInput[Valid Q1],"&lt;=3",tblPCSInput[Valid Q1],"&gt;=1"))</f>
        <v/>
      </c>
      <c r="U169" s="11">
        <f>IF(S169="","",COUNTIFS(tblPCSInput[Call Date/Time],"&gt;="&amp;(SETUP!$B$6),tblPCSInput[Call Date/Time],"&lt;"&amp;(SETUP!$B$7),tblPCSInput[Call Direction],"I",tblPCSInput[Agent ID],$A169,tblPCSInput[Valid Q1],"&gt;3"))</f>
        <v/>
      </c>
      <c r="V169" s="13">
        <f>IFERROR(Q169/P169,"")</f>
        <v/>
      </c>
      <c r="W169" s="13">
        <f>IFERROR(R169/P169,"")</f>
        <v/>
      </c>
    </row>
    <row r="170" spans="1:23">
      <c r="A170" s="4">
        <f>IF(ROSTER!A170="","",ROSTER!A170)</f>
        <v/>
      </c>
      <c r="B170" s="4">
        <f>IF($A170="","",ROSTER!C170)</f>
        <v/>
      </c>
      <c r="C170" s="4">
        <f>IF($A170="","",ROSTER!D170)</f>
        <v/>
      </c>
      <c r="D170" s="4">
        <f>IF($A170="","",ROSTER!E170)</f>
        <v/>
      </c>
      <c r="E170" s="4">
        <f>IF($A170="","",ROSTER!F170)</f>
        <v/>
      </c>
      <c r="F170" s="11">
        <f>IF($A170="","",COUNTIFS(tblPCSInput[Call Date/Time],"&gt;="&amp;(SETUP!$B$5),tblPCSInput[Call Date/Time],"&lt;"&amp;(SETUP!$B$5+1),tblPCSInput[Call Direction],"I",tblPCSInput[Agent ID],$A170,tblPCSInput[PCSStatus],1))</f>
        <v/>
      </c>
      <c r="G170" s="11">
        <f>IF($A170="","",COUNTIFS(tblPCSInput[Call Date/Time],"&gt;="&amp;(SETUP!$B$5),tblPCSInput[Call Date/Time],"&lt;"&amp;(SETUP!$B$5+1),tblPCSInput[Call Direction],"I",tblPCSInput[Agent ID],$A170,tblPCSInput[Question 1],"&lt;&gt;"))</f>
        <v/>
      </c>
      <c r="H170" s="11">
        <f>IF($A170="","",COUNTIFS(tblPCSInput[Call Date/Time],"&gt;="&amp;(SETUP!$B$5),tblPCSInput[Call Date/Time],"&lt;"&amp;(SETUP!$B$5+1),tblPCSInput[Call Direction],"I",tblPCSInput[Agent ID],$A170,tblPCSInput[Valid Q1],"&gt;=1"))</f>
        <v/>
      </c>
      <c r="I170" s="12">
        <f>IFERROR(SUMIFS(tblPCSInput[Valid Q1],tblPCSInput[Call Date/Time],"&gt;="&amp;SETUP!$B$5,tblPCSInput[Call Date/Time],"&lt;"&amp;SETUP!$B$5+1,tblPCSInput[Call Direction],"I",tblPCSInput[Agent ID],$A170)/COUNTIFS(tblPCSInput[Call Date/Time],"&gt;="&amp;(SETUP!$B$5),tblPCSInput[Call Date/Time],"&lt;"&amp;(SETUP!$B$5+1),tblPCSInput[Call Direction],"I",tblPCSInput[Agent ID],$A170,tblPCSInput[Valid Q1],"&gt;=1"),"")</f>
        <v/>
      </c>
      <c r="J170" s="11">
        <f>IF(I170="","",COUNTIFS(tblPCSInput[Call Date/Time],"&gt;="&amp;(SETUP!$B$5),tblPCSInput[Call Date/Time],"&lt;"&amp;(SETUP!$B$5+1),tblPCSInput[Call Direction],"I",tblPCSInput[Agent ID],$A170,tblPCSInput[Valid Q1],"&lt;=3",tblPCSInput[Valid Q1],"&gt;=1"))</f>
        <v/>
      </c>
      <c r="K170" s="11">
        <f>IF(I170="","",COUNTIFS(tblPCSInput[Call Date/Time],"&gt;="&amp;(SETUP!$B$5),tblPCSInput[Call Date/Time],"&lt;"&amp;(SETUP!$B$5+1),tblPCSInput[Call Direction],"I",tblPCSInput[Agent ID],$A170,tblPCSInput[Valid Q1],"&gt;3"))</f>
        <v/>
      </c>
      <c r="L170" s="13">
        <f>IFERROR(G170/F170,"")</f>
        <v/>
      </c>
      <c r="M170" s="13">
        <f>IFERROR(H170/F170,"")</f>
        <v/>
      </c>
      <c r="N170" s="11">
        <f>IF($A170="","",MAX(0,G170-H170))</f>
        <v/>
      </c>
      <c r="O170" s="4">
        <f>IF($A170="","",IF(H170=0,"NO VALID SURVEY",IF(H170&lt;5,"LOW SAMPLE","OK")))</f>
        <v/>
      </c>
      <c r="P170" s="11">
        <f>IF($A170="","",COUNTIFS(tblPCSInput[Call Date/Time],"&gt;="&amp;(SETUP!$B$6),tblPCSInput[Call Date/Time],"&lt;"&amp;(SETUP!$B$7),tblPCSInput[Call Direction],"I",tblPCSInput[Agent ID],$A170,tblPCSInput[PCSStatus],1))</f>
        <v/>
      </c>
      <c r="Q170" s="11">
        <f>IF($A170="","",COUNTIFS(tblPCSInput[Call Date/Time],"&gt;="&amp;(SETUP!$B$6),tblPCSInput[Call Date/Time],"&lt;"&amp;(SETUP!$B$7),tblPCSInput[Call Direction],"I",tblPCSInput[Agent ID],$A170,tblPCSInput[Question 1],"&lt;&gt;"))</f>
        <v/>
      </c>
      <c r="R170" s="11">
        <f>IF($A170="","",COUNTIFS(tblPCSInput[Call Date/Time],"&gt;="&amp;(SETUP!$B$6),tblPCSInput[Call Date/Time],"&lt;"&amp;(SETUP!$B$7),tblPCSInput[Call Direction],"I",tblPCSInput[Agent ID],$A170,tblPCSInput[Valid Q1],"&gt;=1"))</f>
        <v/>
      </c>
      <c r="S170" s="12">
        <f>IFERROR(SUMIFS(tblPCSInput[Valid Q1],tblPCSInput[Call Date/Time],"&gt;="&amp;SETUP!$B$6,tblPCSInput[Call Date/Time],"&lt;"&amp;SETUP!$B$7,tblPCSInput[Call Direction],"I",tblPCSInput[Agent ID],$A170)/COUNTIFS(tblPCSInput[Call Date/Time],"&gt;="&amp;(SETUP!$B$6),tblPCSInput[Call Date/Time],"&lt;"&amp;(SETUP!$B$7),tblPCSInput[Call Direction],"I",tblPCSInput[Agent ID],$A170,tblPCSInput[Valid Q1],"&gt;=1"),"")</f>
        <v/>
      </c>
      <c r="T170" s="11">
        <f>IF(S170="","",COUNTIFS(tblPCSInput[Call Date/Time],"&gt;="&amp;(SETUP!$B$6),tblPCSInput[Call Date/Time],"&lt;"&amp;(SETUP!$B$7),tblPCSInput[Call Direction],"I",tblPCSInput[Agent ID],$A170,tblPCSInput[Valid Q1],"&lt;=3",tblPCSInput[Valid Q1],"&gt;=1"))</f>
        <v/>
      </c>
      <c r="U170" s="11">
        <f>IF(S170="","",COUNTIFS(tblPCSInput[Call Date/Time],"&gt;="&amp;(SETUP!$B$6),tblPCSInput[Call Date/Time],"&lt;"&amp;(SETUP!$B$7),tblPCSInput[Call Direction],"I",tblPCSInput[Agent ID],$A170,tblPCSInput[Valid Q1],"&gt;3"))</f>
        <v/>
      </c>
      <c r="V170" s="13">
        <f>IFERROR(Q170/P170,"")</f>
        <v/>
      </c>
      <c r="W170" s="13">
        <f>IFERROR(R170/P170,"")</f>
        <v/>
      </c>
    </row>
    <row r="171" spans="1:23">
      <c r="A171" s="4">
        <f>IF(ROSTER!A171="","",ROSTER!A171)</f>
        <v/>
      </c>
      <c r="B171" s="4">
        <f>IF($A171="","",ROSTER!C171)</f>
        <v/>
      </c>
      <c r="C171" s="4">
        <f>IF($A171="","",ROSTER!D171)</f>
        <v/>
      </c>
      <c r="D171" s="4">
        <f>IF($A171="","",ROSTER!E171)</f>
        <v/>
      </c>
      <c r="E171" s="4">
        <f>IF($A171="","",ROSTER!F171)</f>
        <v/>
      </c>
      <c r="F171" s="11">
        <f>IF($A171="","",COUNTIFS(tblPCSInput[Call Date/Time],"&gt;="&amp;(SETUP!$B$5),tblPCSInput[Call Date/Time],"&lt;"&amp;(SETUP!$B$5+1),tblPCSInput[Call Direction],"I",tblPCSInput[Agent ID],$A171,tblPCSInput[PCSStatus],1))</f>
        <v/>
      </c>
      <c r="G171" s="11">
        <f>IF($A171="","",COUNTIFS(tblPCSInput[Call Date/Time],"&gt;="&amp;(SETUP!$B$5),tblPCSInput[Call Date/Time],"&lt;"&amp;(SETUP!$B$5+1),tblPCSInput[Call Direction],"I",tblPCSInput[Agent ID],$A171,tblPCSInput[Question 1],"&lt;&gt;"))</f>
        <v/>
      </c>
      <c r="H171" s="11">
        <f>IF($A171="","",COUNTIFS(tblPCSInput[Call Date/Time],"&gt;="&amp;(SETUP!$B$5),tblPCSInput[Call Date/Time],"&lt;"&amp;(SETUP!$B$5+1),tblPCSInput[Call Direction],"I",tblPCSInput[Agent ID],$A171,tblPCSInput[Valid Q1],"&gt;=1"))</f>
        <v/>
      </c>
      <c r="I171" s="12">
        <f>IFERROR(SUMIFS(tblPCSInput[Valid Q1],tblPCSInput[Call Date/Time],"&gt;="&amp;SETUP!$B$5,tblPCSInput[Call Date/Time],"&lt;"&amp;SETUP!$B$5+1,tblPCSInput[Call Direction],"I",tblPCSInput[Agent ID],$A171)/COUNTIFS(tblPCSInput[Call Date/Time],"&gt;="&amp;(SETUP!$B$5),tblPCSInput[Call Date/Time],"&lt;"&amp;(SETUP!$B$5+1),tblPCSInput[Call Direction],"I",tblPCSInput[Agent ID],$A171,tblPCSInput[Valid Q1],"&gt;=1"),"")</f>
        <v/>
      </c>
      <c r="J171" s="11">
        <f>IF(I171="","",COUNTIFS(tblPCSInput[Call Date/Time],"&gt;="&amp;(SETUP!$B$5),tblPCSInput[Call Date/Time],"&lt;"&amp;(SETUP!$B$5+1),tblPCSInput[Call Direction],"I",tblPCSInput[Agent ID],$A171,tblPCSInput[Valid Q1],"&lt;=3",tblPCSInput[Valid Q1],"&gt;=1"))</f>
        <v/>
      </c>
      <c r="K171" s="11">
        <f>IF(I171="","",COUNTIFS(tblPCSInput[Call Date/Time],"&gt;="&amp;(SETUP!$B$5),tblPCSInput[Call Date/Time],"&lt;"&amp;(SETUP!$B$5+1),tblPCSInput[Call Direction],"I",tblPCSInput[Agent ID],$A171,tblPCSInput[Valid Q1],"&gt;3"))</f>
        <v/>
      </c>
      <c r="L171" s="13">
        <f>IFERROR(G171/F171,"")</f>
        <v/>
      </c>
      <c r="M171" s="13">
        <f>IFERROR(H171/F171,"")</f>
        <v/>
      </c>
      <c r="N171" s="11">
        <f>IF($A171="","",MAX(0,G171-H171))</f>
        <v/>
      </c>
      <c r="O171" s="4">
        <f>IF($A171="","",IF(H171=0,"NO VALID SURVEY",IF(H171&lt;5,"LOW SAMPLE","OK")))</f>
        <v/>
      </c>
      <c r="P171" s="11">
        <f>IF($A171="","",COUNTIFS(tblPCSInput[Call Date/Time],"&gt;="&amp;(SETUP!$B$6),tblPCSInput[Call Date/Time],"&lt;"&amp;(SETUP!$B$7),tblPCSInput[Call Direction],"I",tblPCSInput[Agent ID],$A171,tblPCSInput[PCSStatus],1))</f>
        <v/>
      </c>
      <c r="Q171" s="11">
        <f>IF($A171="","",COUNTIFS(tblPCSInput[Call Date/Time],"&gt;="&amp;(SETUP!$B$6),tblPCSInput[Call Date/Time],"&lt;"&amp;(SETUP!$B$7),tblPCSInput[Call Direction],"I",tblPCSInput[Agent ID],$A171,tblPCSInput[Question 1],"&lt;&gt;"))</f>
        <v/>
      </c>
      <c r="R171" s="11">
        <f>IF($A171="","",COUNTIFS(tblPCSInput[Call Date/Time],"&gt;="&amp;(SETUP!$B$6),tblPCSInput[Call Date/Time],"&lt;"&amp;(SETUP!$B$7),tblPCSInput[Call Direction],"I",tblPCSInput[Agent ID],$A171,tblPCSInput[Valid Q1],"&gt;=1"))</f>
        <v/>
      </c>
      <c r="S171" s="12">
        <f>IFERROR(SUMIFS(tblPCSInput[Valid Q1],tblPCSInput[Call Date/Time],"&gt;="&amp;SETUP!$B$6,tblPCSInput[Call Date/Time],"&lt;"&amp;SETUP!$B$7,tblPCSInput[Call Direction],"I",tblPCSInput[Agent ID],$A171)/COUNTIFS(tblPCSInput[Call Date/Time],"&gt;="&amp;(SETUP!$B$6),tblPCSInput[Call Date/Time],"&lt;"&amp;(SETUP!$B$7),tblPCSInput[Call Direction],"I",tblPCSInput[Agent ID],$A171,tblPCSInput[Valid Q1],"&gt;=1"),"")</f>
        <v/>
      </c>
      <c r="T171" s="11">
        <f>IF(S171="","",COUNTIFS(tblPCSInput[Call Date/Time],"&gt;="&amp;(SETUP!$B$6),tblPCSInput[Call Date/Time],"&lt;"&amp;(SETUP!$B$7),tblPCSInput[Call Direction],"I",tblPCSInput[Agent ID],$A171,tblPCSInput[Valid Q1],"&lt;=3",tblPCSInput[Valid Q1],"&gt;=1"))</f>
        <v/>
      </c>
      <c r="U171" s="11">
        <f>IF(S171="","",COUNTIFS(tblPCSInput[Call Date/Time],"&gt;="&amp;(SETUP!$B$6),tblPCSInput[Call Date/Time],"&lt;"&amp;(SETUP!$B$7),tblPCSInput[Call Direction],"I",tblPCSInput[Agent ID],$A171,tblPCSInput[Valid Q1],"&gt;3"))</f>
        <v/>
      </c>
      <c r="V171" s="13">
        <f>IFERROR(Q171/P171,"")</f>
        <v/>
      </c>
      <c r="W171" s="13">
        <f>IFERROR(R171/P171,"")</f>
        <v/>
      </c>
    </row>
    <row r="172" spans="1:23">
      <c r="A172" s="4">
        <f>IF(ROSTER!A172="","",ROSTER!A172)</f>
        <v/>
      </c>
      <c r="B172" s="4">
        <f>IF($A172="","",ROSTER!C172)</f>
        <v/>
      </c>
      <c r="C172" s="4">
        <f>IF($A172="","",ROSTER!D172)</f>
        <v/>
      </c>
      <c r="D172" s="4">
        <f>IF($A172="","",ROSTER!E172)</f>
        <v/>
      </c>
      <c r="E172" s="4">
        <f>IF($A172="","",ROSTER!F172)</f>
        <v/>
      </c>
      <c r="F172" s="11">
        <f>IF($A172="","",COUNTIFS(tblPCSInput[Call Date/Time],"&gt;="&amp;(SETUP!$B$5),tblPCSInput[Call Date/Time],"&lt;"&amp;(SETUP!$B$5+1),tblPCSInput[Call Direction],"I",tblPCSInput[Agent ID],$A172,tblPCSInput[PCSStatus],1))</f>
        <v/>
      </c>
      <c r="G172" s="11">
        <f>IF($A172="","",COUNTIFS(tblPCSInput[Call Date/Time],"&gt;="&amp;(SETUP!$B$5),tblPCSInput[Call Date/Time],"&lt;"&amp;(SETUP!$B$5+1),tblPCSInput[Call Direction],"I",tblPCSInput[Agent ID],$A172,tblPCSInput[Question 1],"&lt;&gt;"))</f>
        <v/>
      </c>
      <c r="H172" s="11">
        <f>IF($A172="","",COUNTIFS(tblPCSInput[Call Date/Time],"&gt;="&amp;(SETUP!$B$5),tblPCSInput[Call Date/Time],"&lt;"&amp;(SETUP!$B$5+1),tblPCSInput[Call Direction],"I",tblPCSInput[Agent ID],$A172,tblPCSInput[Valid Q1],"&gt;=1"))</f>
        <v/>
      </c>
      <c r="I172" s="12">
        <f>IFERROR(SUMIFS(tblPCSInput[Valid Q1],tblPCSInput[Call Date/Time],"&gt;="&amp;SETUP!$B$5,tblPCSInput[Call Date/Time],"&lt;"&amp;SETUP!$B$5+1,tblPCSInput[Call Direction],"I",tblPCSInput[Agent ID],$A172)/COUNTIFS(tblPCSInput[Call Date/Time],"&gt;="&amp;(SETUP!$B$5),tblPCSInput[Call Date/Time],"&lt;"&amp;(SETUP!$B$5+1),tblPCSInput[Call Direction],"I",tblPCSInput[Agent ID],$A172,tblPCSInput[Valid Q1],"&gt;=1"),"")</f>
        <v/>
      </c>
      <c r="J172" s="11">
        <f>IF(I172="","",COUNTIFS(tblPCSInput[Call Date/Time],"&gt;="&amp;(SETUP!$B$5),tblPCSInput[Call Date/Time],"&lt;"&amp;(SETUP!$B$5+1),tblPCSInput[Call Direction],"I",tblPCSInput[Agent ID],$A172,tblPCSInput[Valid Q1],"&lt;=3",tblPCSInput[Valid Q1],"&gt;=1"))</f>
        <v/>
      </c>
      <c r="K172" s="11">
        <f>IF(I172="","",COUNTIFS(tblPCSInput[Call Date/Time],"&gt;="&amp;(SETUP!$B$5),tblPCSInput[Call Date/Time],"&lt;"&amp;(SETUP!$B$5+1),tblPCSInput[Call Direction],"I",tblPCSInput[Agent ID],$A172,tblPCSInput[Valid Q1],"&gt;3"))</f>
        <v/>
      </c>
      <c r="L172" s="13">
        <f>IFERROR(G172/F172,"")</f>
        <v/>
      </c>
      <c r="M172" s="13">
        <f>IFERROR(H172/F172,"")</f>
        <v/>
      </c>
      <c r="N172" s="11">
        <f>IF($A172="","",MAX(0,G172-H172))</f>
        <v/>
      </c>
      <c r="O172" s="4">
        <f>IF($A172="","",IF(H172=0,"NO VALID SURVEY",IF(H172&lt;5,"LOW SAMPLE","OK")))</f>
        <v/>
      </c>
      <c r="P172" s="11">
        <f>IF($A172="","",COUNTIFS(tblPCSInput[Call Date/Time],"&gt;="&amp;(SETUP!$B$6),tblPCSInput[Call Date/Time],"&lt;"&amp;(SETUP!$B$7),tblPCSInput[Call Direction],"I",tblPCSInput[Agent ID],$A172,tblPCSInput[PCSStatus],1))</f>
        <v/>
      </c>
      <c r="Q172" s="11">
        <f>IF($A172="","",COUNTIFS(tblPCSInput[Call Date/Time],"&gt;="&amp;(SETUP!$B$6),tblPCSInput[Call Date/Time],"&lt;"&amp;(SETUP!$B$7),tblPCSInput[Call Direction],"I",tblPCSInput[Agent ID],$A172,tblPCSInput[Question 1],"&lt;&gt;"))</f>
        <v/>
      </c>
      <c r="R172" s="11">
        <f>IF($A172="","",COUNTIFS(tblPCSInput[Call Date/Time],"&gt;="&amp;(SETUP!$B$6),tblPCSInput[Call Date/Time],"&lt;"&amp;(SETUP!$B$7),tblPCSInput[Call Direction],"I",tblPCSInput[Agent ID],$A172,tblPCSInput[Valid Q1],"&gt;=1"))</f>
        <v/>
      </c>
      <c r="S172" s="12">
        <f>IFERROR(SUMIFS(tblPCSInput[Valid Q1],tblPCSInput[Call Date/Time],"&gt;="&amp;SETUP!$B$6,tblPCSInput[Call Date/Time],"&lt;"&amp;SETUP!$B$7,tblPCSInput[Call Direction],"I",tblPCSInput[Agent ID],$A172)/COUNTIFS(tblPCSInput[Call Date/Time],"&gt;="&amp;(SETUP!$B$6),tblPCSInput[Call Date/Time],"&lt;"&amp;(SETUP!$B$7),tblPCSInput[Call Direction],"I",tblPCSInput[Agent ID],$A172,tblPCSInput[Valid Q1],"&gt;=1"),"")</f>
        <v/>
      </c>
      <c r="T172" s="11">
        <f>IF(S172="","",COUNTIFS(tblPCSInput[Call Date/Time],"&gt;="&amp;(SETUP!$B$6),tblPCSInput[Call Date/Time],"&lt;"&amp;(SETUP!$B$7),tblPCSInput[Call Direction],"I",tblPCSInput[Agent ID],$A172,tblPCSInput[Valid Q1],"&lt;=3",tblPCSInput[Valid Q1],"&gt;=1"))</f>
        <v/>
      </c>
      <c r="U172" s="11">
        <f>IF(S172="","",COUNTIFS(tblPCSInput[Call Date/Time],"&gt;="&amp;(SETUP!$B$6),tblPCSInput[Call Date/Time],"&lt;"&amp;(SETUP!$B$7),tblPCSInput[Call Direction],"I",tblPCSInput[Agent ID],$A172,tblPCSInput[Valid Q1],"&gt;3"))</f>
        <v/>
      </c>
      <c r="V172" s="13">
        <f>IFERROR(Q172/P172,"")</f>
        <v/>
      </c>
      <c r="W172" s="13">
        <f>IFERROR(R172/P172,"")</f>
        <v/>
      </c>
    </row>
    <row r="173" spans="1:23">
      <c r="A173" s="4">
        <f>IF(ROSTER!A173="","",ROSTER!A173)</f>
        <v/>
      </c>
      <c r="B173" s="4">
        <f>IF($A173="","",ROSTER!C173)</f>
        <v/>
      </c>
      <c r="C173" s="4">
        <f>IF($A173="","",ROSTER!D173)</f>
        <v/>
      </c>
      <c r="D173" s="4">
        <f>IF($A173="","",ROSTER!E173)</f>
        <v/>
      </c>
      <c r="E173" s="4">
        <f>IF($A173="","",ROSTER!F173)</f>
        <v/>
      </c>
      <c r="F173" s="11">
        <f>IF($A173="","",COUNTIFS(tblPCSInput[Call Date/Time],"&gt;="&amp;(SETUP!$B$5),tblPCSInput[Call Date/Time],"&lt;"&amp;(SETUP!$B$5+1),tblPCSInput[Call Direction],"I",tblPCSInput[Agent ID],$A173,tblPCSInput[PCSStatus],1))</f>
        <v/>
      </c>
      <c r="G173" s="11">
        <f>IF($A173="","",COUNTIFS(tblPCSInput[Call Date/Time],"&gt;="&amp;(SETUP!$B$5),tblPCSInput[Call Date/Time],"&lt;"&amp;(SETUP!$B$5+1),tblPCSInput[Call Direction],"I",tblPCSInput[Agent ID],$A173,tblPCSInput[Question 1],"&lt;&gt;"))</f>
        <v/>
      </c>
      <c r="H173" s="11">
        <f>IF($A173="","",COUNTIFS(tblPCSInput[Call Date/Time],"&gt;="&amp;(SETUP!$B$5),tblPCSInput[Call Date/Time],"&lt;"&amp;(SETUP!$B$5+1),tblPCSInput[Call Direction],"I",tblPCSInput[Agent ID],$A173,tblPCSInput[Valid Q1],"&gt;=1"))</f>
        <v/>
      </c>
      <c r="I173" s="12">
        <f>IFERROR(SUMIFS(tblPCSInput[Valid Q1],tblPCSInput[Call Date/Time],"&gt;="&amp;SETUP!$B$5,tblPCSInput[Call Date/Time],"&lt;"&amp;SETUP!$B$5+1,tblPCSInput[Call Direction],"I",tblPCSInput[Agent ID],$A173)/COUNTIFS(tblPCSInput[Call Date/Time],"&gt;="&amp;(SETUP!$B$5),tblPCSInput[Call Date/Time],"&lt;"&amp;(SETUP!$B$5+1),tblPCSInput[Call Direction],"I",tblPCSInput[Agent ID],$A173,tblPCSInput[Valid Q1],"&gt;=1"),"")</f>
        <v/>
      </c>
      <c r="J173" s="11">
        <f>IF(I173="","",COUNTIFS(tblPCSInput[Call Date/Time],"&gt;="&amp;(SETUP!$B$5),tblPCSInput[Call Date/Time],"&lt;"&amp;(SETUP!$B$5+1),tblPCSInput[Call Direction],"I",tblPCSInput[Agent ID],$A173,tblPCSInput[Valid Q1],"&lt;=3",tblPCSInput[Valid Q1],"&gt;=1"))</f>
        <v/>
      </c>
      <c r="K173" s="11">
        <f>IF(I173="","",COUNTIFS(tblPCSInput[Call Date/Time],"&gt;="&amp;(SETUP!$B$5),tblPCSInput[Call Date/Time],"&lt;"&amp;(SETUP!$B$5+1),tblPCSInput[Call Direction],"I",tblPCSInput[Agent ID],$A173,tblPCSInput[Valid Q1],"&gt;3"))</f>
        <v/>
      </c>
      <c r="L173" s="13">
        <f>IFERROR(G173/F173,"")</f>
        <v/>
      </c>
      <c r="M173" s="13">
        <f>IFERROR(H173/F173,"")</f>
        <v/>
      </c>
      <c r="N173" s="11">
        <f>IF($A173="","",MAX(0,G173-H173))</f>
        <v/>
      </c>
      <c r="O173" s="4">
        <f>IF($A173="","",IF(H173=0,"NO VALID SURVEY",IF(H173&lt;5,"LOW SAMPLE","OK")))</f>
        <v/>
      </c>
      <c r="P173" s="11">
        <f>IF($A173="","",COUNTIFS(tblPCSInput[Call Date/Time],"&gt;="&amp;(SETUP!$B$6),tblPCSInput[Call Date/Time],"&lt;"&amp;(SETUP!$B$7),tblPCSInput[Call Direction],"I",tblPCSInput[Agent ID],$A173,tblPCSInput[PCSStatus],1))</f>
        <v/>
      </c>
      <c r="Q173" s="11">
        <f>IF($A173="","",COUNTIFS(tblPCSInput[Call Date/Time],"&gt;="&amp;(SETUP!$B$6),tblPCSInput[Call Date/Time],"&lt;"&amp;(SETUP!$B$7),tblPCSInput[Call Direction],"I",tblPCSInput[Agent ID],$A173,tblPCSInput[Question 1],"&lt;&gt;"))</f>
        <v/>
      </c>
      <c r="R173" s="11">
        <f>IF($A173="","",COUNTIFS(tblPCSInput[Call Date/Time],"&gt;="&amp;(SETUP!$B$6),tblPCSInput[Call Date/Time],"&lt;"&amp;(SETUP!$B$7),tblPCSInput[Call Direction],"I",tblPCSInput[Agent ID],$A173,tblPCSInput[Valid Q1],"&gt;=1"))</f>
        <v/>
      </c>
      <c r="S173" s="12">
        <f>IFERROR(SUMIFS(tblPCSInput[Valid Q1],tblPCSInput[Call Date/Time],"&gt;="&amp;SETUP!$B$6,tblPCSInput[Call Date/Time],"&lt;"&amp;SETUP!$B$7,tblPCSInput[Call Direction],"I",tblPCSInput[Agent ID],$A173)/COUNTIFS(tblPCSInput[Call Date/Time],"&gt;="&amp;(SETUP!$B$6),tblPCSInput[Call Date/Time],"&lt;"&amp;(SETUP!$B$7),tblPCSInput[Call Direction],"I",tblPCSInput[Agent ID],$A173,tblPCSInput[Valid Q1],"&gt;=1"),"")</f>
        <v/>
      </c>
      <c r="T173" s="11">
        <f>IF(S173="","",COUNTIFS(tblPCSInput[Call Date/Time],"&gt;="&amp;(SETUP!$B$6),tblPCSInput[Call Date/Time],"&lt;"&amp;(SETUP!$B$7),tblPCSInput[Call Direction],"I",tblPCSInput[Agent ID],$A173,tblPCSInput[Valid Q1],"&lt;=3",tblPCSInput[Valid Q1],"&gt;=1"))</f>
        <v/>
      </c>
      <c r="U173" s="11">
        <f>IF(S173="","",COUNTIFS(tblPCSInput[Call Date/Time],"&gt;="&amp;(SETUP!$B$6),tblPCSInput[Call Date/Time],"&lt;"&amp;(SETUP!$B$7),tblPCSInput[Call Direction],"I",tblPCSInput[Agent ID],$A173,tblPCSInput[Valid Q1],"&gt;3"))</f>
        <v/>
      </c>
      <c r="V173" s="13">
        <f>IFERROR(Q173/P173,"")</f>
        <v/>
      </c>
      <c r="W173" s="13">
        <f>IFERROR(R173/P173,"")</f>
        <v/>
      </c>
    </row>
    <row r="174" spans="1:23">
      <c r="A174" s="4">
        <f>IF(ROSTER!A174="","",ROSTER!A174)</f>
        <v/>
      </c>
      <c r="B174" s="4">
        <f>IF($A174="","",ROSTER!C174)</f>
        <v/>
      </c>
      <c r="C174" s="4">
        <f>IF($A174="","",ROSTER!D174)</f>
        <v/>
      </c>
      <c r="D174" s="4">
        <f>IF($A174="","",ROSTER!E174)</f>
        <v/>
      </c>
      <c r="E174" s="4">
        <f>IF($A174="","",ROSTER!F174)</f>
        <v/>
      </c>
      <c r="F174" s="11">
        <f>IF($A174="","",COUNTIFS(tblPCSInput[Call Date/Time],"&gt;="&amp;(SETUP!$B$5),tblPCSInput[Call Date/Time],"&lt;"&amp;(SETUP!$B$5+1),tblPCSInput[Call Direction],"I",tblPCSInput[Agent ID],$A174,tblPCSInput[PCSStatus],1))</f>
        <v/>
      </c>
      <c r="G174" s="11">
        <f>IF($A174="","",COUNTIFS(tblPCSInput[Call Date/Time],"&gt;="&amp;(SETUP!$B$5),tblPCSInput[Call Date/Time],"&lt;"&amp;(SETUP!$B$5+1),tblPCSInput[Call Direction],"I",tblPCSInput[Agent ID],$A174,tblPCSInput[Question 1],"&lt;&gt;"))</f>
        <v/>
      </c>
      <c r="H174" s="11">
        <f>IF($A174="","",COUNTIFS(tblPCSInput[Call Date/Time],"&gt;="&amp;(SETUP!$B$5),tblPCSInput[Call Date/Time],"&lt;"&amp;(SETUP!$B$5+1),tblPCSInput[Call Direction],"I",tblPCSInput[Agent ID],$A174,tblPCSInput[Valid Q1],"&gt;=1"))</f>
        <v/>
      </c>
      <c r="I174" s="12">
        <f>IFERROR(SUMIFS(tblPCSInput[Valid Q1],tblPCSInput[Call Date/Time],"&gt;="&amp;SETUP!$B$5,tblPCSInput[Call Date/Time],"&lt;"&amp;SETUP!$B$5+1,tblPCSInput[Call Direction],"I",tblPCSInput[Agent ID],$A174)/COUNTIFS(tblPCSInput[Call Date/Time],"&gt;="&amp;(SETUP!$B$5),tblPCSInput[Call Date/Time],"&lt;"&amp;(SETUP!$B$5+1),tblPCSInput[Call Direction],"I",tblPCSInput[Agent ID],$A174,tblPCSInput[Valid Q1],"&gt;=1"),"")</f>
        <v/>
      </c>
      <c r="J174" s="11">
        <f>IF(I174="","",COUNTIFS(tblPCSInput[Call Date/Time],"&gt;="&amp;(SETUP!$B$5),tblPCSInput[Call Date/Time],"&lt;"&amp;(SETUP!$B$5+1),tblPCSInput[Call Direction],"I",tblPCSInput[Agent ID],$A174,tblPCSInput[Valid Q1],"&lt;=3",tblPCSInput[Valid Q1],"&gt;=1"))</f>
        <v/>
      </c>
      <c r="K174" s="11">
        <f>IF(I174="","",COUNTIFS(tblPCSInput[Call Date/Time],"&gt;="&amp;(SETUP!$B$5),tblPCSInput[Call Date/Time],"&lt;"&amp;(SETUP!$B$5+1),tblPCSInput[Call Direction],"I",tblPCSInput[Agent ID],$A174,tblPCSInput[Valid Q1],"&gt;3"))</f>
        <v/>
      </c>
      <c r="L174" s="13">
        <f>IFERROR(G174/F174,"")</f>
        <v/>
      </c>
      <c r="M174" s="13">
        <f>IFERROR(H174/F174,"")</f>
        <v/>
      </c>
      <c r="N174" s="11">
        <f>IF($A174="","",MAX(0,G174-H174))</f>
        <v/>
      </c>
      <c r="O174" s="4">
        <f>IF($A174="","",IF(H174=0,"NO VALID SURVEY",IF(H174&lt;5,"LOW SAMPLE","OK")))</f>
        <v/>
      </c>
      <c r="P174" s="11">
        <f>IF($A174="","",COUNTIFS(tblPCSInput[Call Date/Time],"&gt;="&amp;(SETUP!$B$6),tblPCSInput[Call Date/Time],"&lt;"&amp;(SETUP!$B$7),tblPCSInput[Call Direction],"I",tblPCSInput[Agent ID],$A174,tblPCSInput[PCSStatus],1))</f>
        <v/>
      </c>
      <c r="Q174" s="11">
        <f>IF($A174="","",COUNTIFS(tblPCSInput[Call Date/Time],"&gt;="&amp;(SETUP!$B$6),tblPCSInput[Call Date/Time],"&lt;"&amp;(SETUP!$B$7),tblPCSInput[Call Direction],"I",tblPCSInput[Agent ID],$A174,tblPCSInput[Question 1],"&lt;&gt;"))</f>
        <v/>
      </c>
      <c r="R174" s="11">
        <f>IF($A174="","",COUNTIFS(tblPCSInput[Call Date/Time],"&gt;="&amp;(SETUP!$B$6),tblPCSInput[Call Date/Time],"&lt;"&amp;(SETUP!$B$7),tblPCSInput[Call Direction],"I",tblPCSInput[Agent ID],$A174,tblPCSInput[Valid Q1],"&gt;=1"))</f>
        <v/>
      </c>
      <c r="S174" s="12">
        <f>IFERROR(SUMIFS(tblPCSInput[Valid Q1],tblPCSInput[Call Date/Time],"&gt;="&amp;SETUP!$B$6,tblPCSInput[Call Date/Time],"&lt;"&amp;SETUP!$B$7,tblPCSInput[Call Direction],"I",tblPCSInput[Agent ID],$A174)/COUNTIFS(tblPCSInput[Call Date/Time],"&gt;="&amp;(SETUP!$B$6),tblPCSInput[Call Date/Time],"&lt;"&amp;(SETUP!$B$7),tblPCSInput[Call Direction],"I",tblPCSInput[Agent ID],$A174,tblPCSInput[Valid Q1],"&gt;=1"),"")</f>
        <v/>
      </c>
      <c r="T174" s="11">
        <f>IF(S174="","",COUNTIFS(tblPCSInput[Call Date/Time],"&gt;="&amp;(SETUP!$B$6),tblPCSInput[Call Date/Time],"&lt;"&amp;(SETUP!$B$7),tblPCSInput[Call Direction],"I",tblPCSInput[Agent ID],$A174,tblPCSInput[Valid Q1],"&lt;=3",tblPCSInput[Valid Q1],"&gt;=1"))</f>
        <v/>
      </c>
      <c r="U174" s="11">
        <f>IF(S174="","",COUNTIFS(tblPCSInput[Call Date/Time],"&gt;="&amp;(SETUP!$B$6),tblPCSInput[Call Date/Time],"&lt;"&amp;(SETUP!$B$7),tblPCSInput[Call Direction],"I",tblPCSInput[Agent ID],$A174,tblPCSInput[Valid Q1],"&gt;3"))</f>
        <v/>
      </c>
      <c r="V174" s="13">
        <f>IFERROR(Q174/P174,"")</f>
        <v/>
      </c>
      <c r="W174" s="13">
        <f>IFERROR(R174/P174,"")</f>
        <v/>
      </c>
    </row>
    <row r="175" spans="1:23">
      <c r="A175" s="4">
        <f>IF(ROSTER!A175="","",ROSTER!A175)</f>
        <v/>
      </c>
      <c r="B175" s="4">
        <f>IF($A175="","",ROSTER!C175)</f>
        <v/>
      </c>
      <c r="C175" s="4">
        <f>IF($A175="","",ROSTER!D175)</f>
        <v/>
      </c>
      <c r="D175" s="4">
        <f>IF($A175="","",ROSTER!E175)</f>
        <v/>
      </c>
      <c r="E175" s="4">
        <f>IF($A175="","",ROSTER!F175)</f>
        <v/>
      </c>
      <c r="F175" s="11">
        <f>IF($A175="","",COUNTIFS(tblPCSInput[Call Date/Time],"&gt;="&amp;(SETUP!$B$5),tblPCSInput[Call Date/Time],"&lt;"&amp;(SETUP!$B$5+1),tblPCSInput[Call Direction],"I",tblPCSInput[Agent ID],$A175,tblPCSInput[PCSStatus],1))</f>
        <v/>
      </c>
      <c r="G175" s="11">
        <f>IF($A175="","",COUNTIFS(tblPCSInput[Call Date/Time],"&gt;="&amp;(SETUP!$B$5),tblPCSInput[Call Date/Time],"&lt;"&amp;(SETUP!$B$5+1),tblPCSInput[Call Direction],"I",tblPCSInput[Agent ID],$A175,tblPCSInput[Question 1],"&lt;&gt;"))</f>
        <v/>
      </c>
      <c r="H175" s="11">
        <f>IF($A175="","",COUNTIFS(tblPCSInput[Call Date/Time],"&gt;="&amp;(SETUP!$B$5),tblPCSInput[Call Date/Time],"&lt;"&amp;(SETUP!$B$5+1),tblPCSInput[Call Direction],"I",tblPCSInput[Agent ID],$A175,tblPCSInput[Valid Q1],"&gt;=1"))</f>
        <v/>
      </c>
      <c r="I175" s="12">
        <f>IFERROR(SUMIFS(tblPCSInput[Valid Q1],tblPCSInput[Call Date/Time],"&gt;="&amp;SETUP!$B$5,tblPCSInput[Call Date/Time],"&lt;"&amp;SETUP!$B$5+1,tblPCSInput[Call Direction],"I",tblPCSInput[Agent ID],$A175)/COUNTIFS(tblPCSInput[Call Date/Time],"&gt;="&amp;(SETUP!$B$5),tblPCSInput[Call Date/Time],"&lt;"&amp;(SETUP!$B$5+1),tblPCSInput[Call Direction],"I",tblPCSInput[Agent ID],$A175,tblPCSInput[Valid Q1],"&gt;=1"),"")</f>
        <v/>
      </c>
      <c r="J175" s="11">
        <f>IF(I175="","",COUNTIFS(tblPCSInput[Call Date/Time],"&gt;="&amp;(SETUP!$B$5),tblPCSInput[Call Date/Time],"&lt;"&amp;(SETUP!$B$5+1),tblPCSInput[Call Direction],"I",tblPCSInput[Agent ID],$A175,tblPCSInput[Valid Q1],"&lt;=3",tblPCSInput[Valid Q1],"&gt;=1"))</f>
        <v/>
      </c>
      <c r="K175" s="11">
        <f>IF(I175="","",COUNTIFS(tblPCSInput[Call Date/Time],"&gt;="&amp;(SETUP!$B$5),tblPCSInput[Call Date/Time],"&lt;"&amp;(SETUP!$B$5+1),tblPCSInput[Call Direction],"I",tblPCSInput[Agent ID],$A175,tblPCSInput[Valid Q1],"&gt;3"))</f>
        <v/>
      </c>
      <c r="L175" s="13">
        <f>IFERROR(G175/F175,"")</f>
        <v/>
      </c>
      <c r="M175" s="13">
        <f>IFERROR(H175/F175,"")</f>
        <v/>
      </c>
      <c r="N175" s="11">
        <f>IF($A175="","",MAX(0,G175-H175))</f>
        <v/>
      </c>
      <c r="O175" s="4">
        <f>IF($A175="","",IF(H175=0,"NO VALID SURVEY",IF(H175&lt;5,"LOW SAMPLE","OK")))</f>
        <v/>
      </c>
      <c r="P175" s="11">
        <f>IF($A175="","",COUNTIFS(tblPCSInput[Call Date/Time],"&gt;="&amp;(SETUP!$B$6),tblPCSInput[Call Date/Time],"&lt;"&amp;(SETUP!$B$7),tblPCSInput[Call Direction],"I",tblPCSInput[Agent ID],$A175,tblPCSInput[PCSStatus],1))</f>
        <v/>
      </c>
      <c r="Q175" s="11">
        <f>IF($A175="","",COUNTIFS(tblPCSInput[Call Date/Time],"&gt;="&amp;(SETUP!$B$6),tblPCSInput[Call Date/Time],"&lt;"&amp;(SETUP!$B$7),tblPCSInput[Call Direction],"I",tblPCSInput[Agent ID],$A175,tblPCSInput[Question 1],"&lt;&gt;"))</f>
        <v/>
      </c>
      <c r="R175" s="11">
        <f>IF($A175="","",COUNTIFS(tblPCSInput[Call Date/Time],"&gt;="&amp;(SETUP!$B$6),tblPCSInput[Call Date/Time],"&lt;"&amp;(SETUP!$B$7),tblPCSInput[Call Direction],"I",tblPCSInput[Agent ID],$A175,tblPCSInput[Valid Q1],"&gt;=1"))</f>
        <v/>
      </c>
      <c r="S175" s="12">
        <f>IFERROR(SUMIFS(tblPCSInput[Valid Q1],tblPCSInput[Call Date/Time],"&gt;="&amp;SETUP!$B$6,tblPCSInput[Call Date/Time],"&lt;"&amp;SETUP!$B$7,tblPCSInput[Call Direction],"I",tblPCSInput[Agent ID],$A175)/COUNTIFS(tblPCSInput[Call Date/Time],"&gt;="&amp;(SETUP!$B$6),tblPCSInput[Call Date/Time],"&lt;"&amp;(SETUP!$B$7),tblPCSInput[Call Direction],"I",tblPCSInput[Agent ID],$A175,tblPCSInput[Valid Q1],"&gt;=1"),"")</f>
        <v/>
      </c>
      <c r="T175" s="11">
        <f>IF(S175="","",COUNTIFS(tblPCSInput[Call Date/Time],"&gt;="&amp;(SETUP!$B$6),tblPCSInput[Call Date/Time],"&lt;"&amp;(SETUP!$B$7),tblPCSInput[Call Direction],"I",tblPCSInput[Agent ID],$A175,tblPCSInput[Valid Q1],"&lt;=3",tblPCSInput[Valid Q1],"&gt;=1"))</f>
        <v/>
      </c>
      <c r="U175" s="11">
        <f>IF(S175="","",COUNTIFS(tblPCSInput[Call Date/Time],"&gt;="&amp;(SETUP!$B$6),tblPCSInput[Call Date/Time],"&lt;"&amp;(SETUP!$B$7),tblPCSInput[Call Direction],"I",tblPCSInput[Agent ID],$A175,tblPCSInput[Valid Q1],"&gt;3"))</f>
        <v/>
      </c>
      <c r="V175" s="13">
        <f>IFERROR(Q175/P175,"")</f>
        <v/>
      </c>
      <c r="W175" s="13">
        <f>IFERROR(R175/P175,"")</f>
        <v/>
      </c>
    </row>
    <row r="176" spans="1:23">
      <c r="A176" s="4">
        <f>IF(ROSTER!A176="","",ROSTER!A176)</f>
        <v/>
      </c>
      <c r="B176" s="4">
        <f>IF($A176="","",ROSTER!C176)</f>
        <v/>
      </c>
      <c r="C176" s="4">
        <f>IF($A176="","",ROSTER!D176)</f>
        <v/>
      </c>
      <c r="D176" s="4">
        <f>IF($A176="","",ROSTER!E176)</f>
        <v/>
      </c>
      <c r="E176" s="4">
        <f>IF($A176="","",ROSTER!F176)</f>
        <v/>
      </c>
      <c r="F176" s="11">
        <f>IF($A176="","",COUNTIFS(tblPCSInput[Call Date/Time],"&gt;="&amp;(SETUP!$B$5),tblPCSInput[Call Date/Time],"&lt;"&amp;(SETUP!$B$5+1),tblPCSInput[Call Direction],"I",tblPCSInput[Agent ID],$A176,tblPCSInput[PCSStatus],1))</f>
        <v/>
      </c>
      <c r="G176" s="11">
        <f>IF($A176="","",COUNTIFS(tblPCSInput[Call Date/Time],"&gt;="&amp;(SETUP!$B$5),tblPCSInput[Call Date/Time],"&lt;"&amp;(SETUP!$B$5+1),tblPCSInput[Call Direction],"I",tblPCSInput[Agent ID],$A176,tblPCSInput[Question 1],"&lt;&gt;"))</f>
        <v/>
      </c>
      <c r="H176" s="11">
        <f>IF($A176="","",COUNTIFS(tblPCSInput[Call Date/Time],"&gt;="&amp;(SETUP!$B$5),tblPCSInput[Call Date/Time],"&lt;"&amp;(SETUP!$B$5+1),tblPCSInput[Call Direction],"I",tblPCSInput[Agent ID],$A176,tblPCSInput[Valid Q1],"&gt;=1"))</f>
        <v/>
      </c>
      <c r="I176" s="12">
        <f>IFERROR(SUMIFS(tblPCSInput[Valid Q1],tblPCSInput[Call Date/Time],"&gt;="&amp;SETUP!$B$5,tblPCSInput[Call Date/Time],"&lt;"&amp;SETUP!$B$5+1,tblPCSInput[Call Direction],"I",tblPCSInput[Agent ID],$A176)/COUNTIFS(tblPCSInput[Call Date/Time],"&gt;="&amp;(SETUP!$B$5),tblPCSInput[Call Date/Time],"&lt;"&amp;(SETUP!$B$5+1),tblPCSInput[Call Direction],"I",tblPCSInput[Agent ID],$A176,tblPCSInput[Valid Q1],"&gt;=1"),"")</f>
        <v/>
      </c>
      <c r="J176" s="11">
        <f>IF(I176="","",COUNTIFS(tblPCSInput[Call Date/Time],"&gt;="&amp;(SETUP!$B$5),tblPCSInput[Call Date/Time],"&lt;"&amp;(SETUP!$B$5+1),tblPCSInput[Call Direction],"I",tblPCSInput[Agent ID],$A176,tblPCSInput[Valid Q1],"&lt;=3",tblPCSInput[Valid Q1],"&gt;=1"))</f>
        <v/>
      </c>
      <c r="K176" s="11">
        <f>IF(I176="","",COUNTIFS(tblPCSInput[Call Date/Time],"&gt;="&amp;(SETUP!$B$5),tblPCSInput[Call Date/Time],"&lt;"&amp;(SETUP!$B$5+1),tblPCSInput[Call Direction],"I",tblPCSInput[Agent ID],$A176,tblPCSInput[Valid Q1],"&gt;3"))</f>
        <v/>
      </c>
      <c r="L176" s="13">
        <f>IFERROR(G176/F176,"")</f>
        <v/>
      </c>
      <c r="M176" s="13">
        <f>IFERROR(H176/F176,"")</f>
        <v/>
      </c>
      <c r="N176" s="11">
        <f>IF($A176="","",MAX(0,G176-H176))</f>
        <v/>
      </c>
      <c r="O176" s="4">
        <f>IF($A176="","",IF(H176=0,"NO VALID SURVEY",IF(H176&lt;5,"LOW SAMPLE","OK")))</f>
        <v/>
      </c>
      <c r="P176" s="11">
        <f>IF($A176="","",COUNTIFS(tblPCSInput[Call Date/Time],"&gt;="&amp;(SETUP!$B$6),tblPCSInput[Call Date/Time],"&lt;"&amp;(SETUP!$B$7),tblPCSInput[Call Direction],"I",tblPCSInput[Agent ID],$A176,tblPCSInput[PCSStatus],1))</f>
        <v/>
      </c>
      <c r="Q176" s="11">
        <f>IF($A176="","",COUNTIFS(tblPCSInput[Call Date/Time],"&gt;="&amp;(SETUP!$B$6),tblPCSInput[Call Date/Time],"&lt;"&amp;(SETUP!$B$7),tblPCSInput[Call Direction],"I",tblPCSInput[Agent ID],$A176,tblPCSInput[Question 1],"&lt;&gt;"))</f>
        <v/>
      </c>
      <c r="R176" s="11">
        <f>IF($A176="","",COUNTIFS(tblPCSInput[Call Date/Time],"&gt;="&amp;(SETUP!$B$6),tblPCSInput[Call Date/Time],"&lt;"&amp;(SETUP!$B$7),tblPCSInput[Call Direction],"I",tblPCSInput[Agent ID],$A176,tblPCSInput[Valid Q1],"&gt;=1"))</f>
        <v/>
      </c>
      <c r="S176" s="12">
        <f>IFERROR(SUMIFS(tblPCSInput[Valid Q1],tblPCSInput[Call Date/Time],"&gt;="&amp;SETUP!$B$6,tblPCSInput[Call Date/Time],"&lt;"&amp;SETUP!$B$7,tblPCSInput[Call Direction],"I",tblPCSInput[Agent ID],$A176)/COUNTIFS(tblPCSInput[Call Date/Time],"&gt;="&amp;(SETUP!$B$6),tblPCSInput[Call Date/Time],"&lt;"&amp;(SETUP!$B$7),tblPCSInput[Call Direction],"I",tblPCSInput[Agent ID],$A176,tblPCSInput[Valid Q1],"&gt;=1"),"")</f>
        <v/>
      </c>
      <c r="T176" s="11">
        <f>IF(S176="","",COUNTIFS(tblPCSInput[Call Date/Time],"&gt;="&amp;(SETUP!$B$6),tblPCSInput[Call Date/Time],"&lt;"&amp;(SETUP!$B$7),tblPCSInput[Call Direction],"I",tblPCSInput[Agent ID],$A176,tblPCSInput[Valid Q1],"&lt;=3",tblPCSInput[Valid Q1],"&gt;=1"))</f>
        <v/>
      </c>
      <c r="U176" s="11">
        <f>IF(S176="","",COUNTIFS(tblPCSInput[Call Date/Time],"&gt;="&amp;(SETUP!$B$6),tblPCSInput[Call Date/Time],"&lt;"&amp;(SETUP!$B$7),tblPCSInput[Call Direction],"I",tblPCSInput[Agent ID],$A176,tblPCSInput[Valid Q1],"&gt;3"))</f>
        <v/>
      </c>
      <c r="V176" s="13">
        <f>IFERROR(Q176/P176,"")</f>
        <v/>
      </c>
      <c r="W176" s="13">
        <f>IFERROR(R176/P176,"")</f>
        <v/>
      </c>
    </row>
    <row r="177" spans="1:23">
      <c r="A177" s="4">
        <f>IF(ROSTER!A177="","",ROSTER!A177)</f>
        <v/>
      </c>
      <c r="B177" s="4">
        <f>IF($A177="","",ROSTER!C177)</f>
        <v/>
      </c>
      <c r="C177" s="4">
        <f>IF($A177="","",ROSTER!D177)</f>
        <v/>
      </c>
      <c r="D177" s="4">
        <f>IF($A177="","",ROSTER!E177)</f>
        <v/>
      </c>
      <c r="E177" s="4">
        <f>IF($A177="","",ROSTER!F177)</f>
        <v/>
      </c>
      <c r="F177" s="11">
        <f>IF($A177="","",COUNTIFS(tblPCSInput[Call Date/Time],"&gt;="&amp;(SETUP!$B$5),tblPCSInput[Call Date/Time],"&lt;"&amp;(SETUP!$B$5+1),tblPCSInput[Call Direction],"I",tblPCSInput[Agent ID],$A177,tblPCSInput[PCSStatus],1))</f>
        <v/>
      </c>
      <c r="G177" s="11">
        <f>IF($A177="","",COUNTIFS(tblPCSInput[Call Date/Time],"&gt;="&amp;(SETUP!$B$5),tblPCSInput[Call Date/Time],"&lt;"&amp;(SETUP!$B$5+1),tblPCSInput[Call Direction],"I",tblPCSInput[Agent ID],$A177,tblPCSInput[Question 1],"&lt;&gt;"))</f>
        <v/>
      </c>
      <c r="H177" s="11">
        <f>IF($A177="","",COUNTIFS(tblPCSInput[Call Date/Time],"&gt;="&amp;(SETUP!$B$5),tblPCSInput[Call Date/Time],"&lt;"&amp;(SETUP!$B$5+1),tblPCSInput[Call Direction],"I",tblPCSInput[Agent ID],$A177,tblPCSInput[Valid Q1],"&gt;=1"))</f>
        <v/>
      </c>
      <c r="I177" s="12">
        <f>IFERROR(SUMIFS(tblPCSInput[Valid Q1],tblPCSInput[Call Date/Time],"&gt;="&amp;SETUP!$B$5,tblPCSInput[Call Date/Time],"&lt;"&amp;SETUP!$B$5+1,tblPCSInput[Call Direction],"I",tblPCSInput[Agent ID],$A177)/COUNTIFS(tblPCSInput[Call Date/Time],"&gt;="&amp;(SETUP!$B$5),tblPCSInput[Call Date/Time],"&lt;"&amp;(SETUP!$B$5+1),tblPCSInput[Call Direction],"I",tblPCSInput[Agent ID],$A177,tblPCSInput[Valid Q1],"&gt;=1"),"")</f>
        <v/>
      </c>
      <c r="J177" s="11">
        <f>IF(I177="","",COUNTIFS(tblPCSInput[Call Date/Time],"&gt;="&amp;(SETUP!$B$5),tblPCSInput[Call Date/Time],"&lt;"&amp;(SETUP!$B$5+1),tblPCSInput[Call Direction],"I",tblPCSInput[Agent ID],$A177,tblPCSInput[Valid Q1],"&lt;=3",tblPCSInput[Valid Q1],"&gt;=1"))</f>
        <v/>
      </c>
      <c r="K177" s="11">
        <f>IF(I177="","",COUNTIFS(tblPCSInput[Call Date/Time],"&gt;="&amp;(SETUP!$B$5),tblPCSInput[Call Date/Time],"&lt;"&amp;(SETUP!$B$5+1),tblPCSInput[Call Direction],"I",tblPCSInput[Agent ID],$A177,tblPCSInput[Valid Q1],"&gt;3"))</f>
        <v/>
      </c>
      <c r="L177" s="13">
        <f>IFERROR(G177/F177,"")</f>
        <v/>
      </c>
      <c r="M177" s="13">
        <f>IFERROR(H177/F177,"")</f>
        <v/>
      </c>
      <c r="N177" s="11">
        <f>IF($A177="","",MAX(0,G177-H177))</f>
        <v/>
      </c>
      <c r="O177" s="4">
        <f>IF($A177="","",IF(H177=0,"NO VALID SURVEY",IF(H177&lt;5,"LOW SAMPLE","OK")))</f>
        <v/>
      </c>
      <c r="P177" s="11">
        <f>IF($A177="","",COUNTIFS(tblPCSInput[Call Date/Time],"&gt;="&amp;(SETUP!$B$6),tblPCSInput[Call Date/Time],"&lt;"&amp;(SETUP!$B$7),tblPCSInput[Call Direction],"I",tblPCSInput[Agent ID],$A177,tblPCSInput[PCSStatus],1))</f>
        <v/>
      </c>
      <c r="Q177" s="11">
        <f>IF($A177="","",COUNTIFS(tblPCSInput[Call Date/Time],"&gt;="&amp;(SETUP!$B$6),tblPCSInput[Call Date/Time],"&lt;"&amp;(SETUP!$B$7),tblPCSInput[Call Direction],"I",tblPCSInput[Agent ID],$A177,tblPCSInput[Question 1],"&lt;&gt;"))</f>
        <v/>
      </c>
      <c r="R177" s="11">
        <f>IF($A177="","",COUNTIFS(tblPCSInput[Call Date/Time],"&gt;="&amp;(SETUP!$B$6),tblPCSInput[Call Date/Time],"&lt;"&amp;(SETUP!$B$7),tblPCSInput[Call Direction],"I",tblPCSInput[Agent ID],$A177,tblPCSInput[Valid Q1],"&gt;=1"))</f>
        <v/>
      </c>
      <c r="S177" s="12">
        <f>IFERROR(SUMIFS(tblPCSInput[Valid Q1],tblPCSInput[Call Date/Time],"&gt;="&amp;SETUP!$B$6,tblPCSInput[Call Date/Time],"&lt;"&amp;SETUP!$B$7,tblPCSInput[Call Direction],"I",tblPCSInput[Agent ID],$A177)/COUNTIFS(tblPCSInput[Call Date/Time],"&gt;="&amp;(SETUP!$B$6),tblPCSInput[Call Date/Time],"&lt;"&amp;(SETUP!$B$7),tblPCSInput[Call Direction],"I",tblPCSInput[Agent ID],$A177,tblPCSInput[Valid Q1],"&gt;=1"),"")</f>
        <v/>
      </c>
      <c r="T177" s="11">
        <f>IF(S177="","",COUNTIFS(tblPCSInput[Call Date/Time],"&gt;="&amp;(SETUP!$B$6),tblPCSInput[Call Date/Time],"&lt;"&amp;(SETUP!$B$7),tblPCSInput[Call Direction],"I",tblPCSInput[Agent ID],$A177,tblPCSInput[Valid Q1],"&lt;=3",tblPCSInput[Valid Q1],"&gt;=1"))</f>
        <v/>
      </c>
      <c r="U177" s="11">
        <f>IF(S177="","",COUNTIFS(tblPCSInput[Call Date/Time],"&gt;="&amp;(SETUP!$B$6),tblPCSInput[Call Date/Time],"&lt;"&amp;(SETUP!$B$7),tblPCSInput[Call Direction],"I",tblPCSInput[Agent ID],$A177,tblPCSInput[Valid Q1],"&gt;3"))</f>
        <v/>
      </c>
      <c r="V177" s="13">
        <f>IFERROR(Q177/P177,"")</f>
        <v/>
      </c>
      <c r="W177" s="13">
        <f>IFERROR(R177/P177,"")</f>
        <v/>
      </c>
    </row>
    <row r="178" spans="1:23">
      <c r="A178" s="4">
        <f>IF(ROSTER!A178="","",ROSTER!A178)</f>
        <v/>
      </c>
      <c r="B178" s="4">
        <f>IF($A178="","",ROSTER!C178)</f>
        <v/>
      </c>
      <c r="C178" s="4">
        <f>IF($A178="","",ROSTER!D178)</f>
        <v/>
      </c>
      <c r="D178" s="4">
        <f>IF($A178="","",ROSTER!E178)</f>
        <v/>
      </c>
      <c r="E178" s="4">
        <f>IF($A178="","",ROSTER!F178)</f>
        <v/>
      </c>
      <c r="F178" s="11">
        <f>IF($A178="","",COUNTIFS(tblPCSInput[Call Date/Time],"&gt;="&amp;(SETUP!$B$5),tblPCSInput[Call Date/Time],"&lt;"&amp;(SETUP!$B$5+1),tblPCSInput[Call Direction],"I",tblPCSInput[Agent ID],$A178,tblPCSInput[PCSStatus],1))</f>
        <v/>
      </c>
      <c r="G178" s="11">
        <f>IF($A178="","",COUNTIFS(tblPCSInput[Call Date/Time],"&gt;="&amp;(SETUP!$B$5),tblPCSInput[Call Date/Time],"&lt;"&amp;(SETUP!$B$5+1),tblPCSInput[Call Direction],"I",tblPCSInput[Agent ID],$A178,tblPCSInput[Question 1],"&lt;&gt;"))</f>
        <v/>
      </c>
      <c r="H178" s="11">
        <f>IF($A178="","",COUNTIFS(tblPCSInput[Call Date/Time],"&gt;="&amp;(SETUP!$B$5),tblPCSInput[Call Date/Time],"&lt;"&amp;(SETUP!$B$5+1),tblPCSInput[Call Direction],"I",tblPCSInput[Agent ID],$A178,tblPCSInput[Valid Q1],"&gt;=1"))</f>
        <v/>
      </c>
      <c r="I178" s="12">
        <f>IFERROR(SUMIFS(tblPCSInput[Valid Q1],tblPCSInput[Call Date/Time],"&gt;="&amp;SETUP!$B$5,tblPCSInput[Call Date/Time],"&lt;"&amp;SETUP!$B$5+1,tblPCSInput[Call Direction],"I",tblPCSInput[Agent ID],$A178)/COUNTIFS(tblPCSInput[Call Date/Time],"&gt;="&amp;(SETUP!$B$5),tblPCSInput[Call Date/Time],"&lt;"&amp;(SETUP!$B$5+1),tblPCSInput[Call Direction],"I",tblPCSInput[Agent ID],$A178,tblPCSInput[Valid Q1],"&gt;=1"),"")</f>
        <v/>
      </c>
      <c r="J178" s="11">
        <f>IF(I178="","",COUNTIFS(tblPCSInput[Call Date/Time],"&gt;="&amp;(SETUP!$B$5),tblPCSInput[Call Date/Time],"&lt;"&amp;(SETUP!$B$5+1),tblPCSInput[Call Direction],"I",tblPCSInput[Agent ID],$A178,tblPCSInput[Valid Q1],"&lt;=3",tblPCSInput[Valid Q1],"&gt;=1"))</f>
        <v/>
      </c>
      <c r="K178" s="11">
        <f>IF(I178="","",COUNTIFS(tblPCSInput[Call Date/Time],"&gt;="&amp;(SETUP!$B$5),tblPCSInput[Call Date/Time],"&lt;"&amp;(SETUP!$B$5+1),tblPCSInput[Call Direction],"I",tblPCSInput[Agent ID],$A178,tblPCSInput[Valid Q1],"&gt;3"))</f>
        <v/>
      </c>
      <c r="L178" s="13">
        <f>IFERROR(G178/F178,"")</f>
        <v/>
      </c>
      <c r="M178" s="13">
        <f>IFERROR(H178/F178,"")</f>
        <v/>
      </c>
      <c r="N178" s="11">
        <f>IF($A178="","",MAX(0,G178-H178))</f>
        <v/>
      </c>
      <c r="O178" s="4">
        <f>IF($A178="","",IF(H178=0,"NO VALID SURVEY",IF(H178&lt;5,"LOW SAMPLE","OK")))</f>
        <v/>
      </c>
      <c r="P178" s="11">
        <f>IF($A178="","",COUNTIFS(tblPCSInput[Call Date/Time],"&gt;="&amp;(SETUP!$B$6),tblPCSInput[Call Date/Time],"&lt;"&amp;(SETUP!$B$7),tblPCSInput[Call Direction],"I",tblPCSInput[Agent ID],$A178,tblPCSInput[PCSStatus],1))</f>
        <v/>
      </c>
      <c r="Q178" s="11">
        <f>IF($A178="","",COUNTIFS(tblPCSInput[Call Date/Time],"&gt;="&amp;(SETUP!$B$6),tblPCSInput[Call Date/Time],"&lt;"&amp;(SETUP!$B$7),tblPCSInput[Call Direction],"I",tblPCSInput[Agent ID],$A178,tblPCSInput[Question 1],"&lt;&gt;"))</f>
        <v/>
      </c>
      <c r="R178" s="11">
        <f>IF($A178="","",COUNTIFS(tblPCSInput[Call Date/Time],"&gt;="&amp;(SETUP!$B$6),tblPCSInput[Call Date/Time],"&lt;"&amp;(SETUP!$B$7),tblPCSInput[Call Direction],"I",tblPCSInput[Agent ID],$A178,tblPCSInput[Valid Q1],"&gt;=1"))</f>
        <v/>
      </c>
      <c r="S178" s="12">
        <f>IFERROR(SUMIFS(tblPCSInput[Valid Q1],tblPCSInput[Call Date/Time],"&gt;="&amp;SETUP!$B$6,tblPCSInput[Call Date/Time],"&lt;"&amp;SETUP!$B$7,tblPCSInput[Call Direction],"I",tblPCSInput[Agent ID],$A178)/COUNTIFS(tblPCSInput[Call Date/Time],"&gt;="&amp;(SETUP!$B$6),tblPCSInput[Call Date/Time],"&lt;"&amp;(SETUP!$B$7),tblPCSInput[Call Direction],"I",tblPCSInput[Agent ID],$A178,tblPCSInput[Valid Q1],"&gt;=1"),"")</f>
        <v/>
      </c>
      <c r="T178" s="11">
        <f>IF(S178="","",COUNTIFS(tblPCSInput[Call Date/Time],"&gt;="&amp;(SETUP!$B$6),tblPCSInput[Call Date/Time],"&lt;"&amp;(SETUP!$B$7),tblPCSInput[Call Direction],"I",tblPCSInput[Agent ID],$A178,tblPCSInput[Valid Q1],"&lt;=3",tblPCSInput[Valid Q1],"&gt;=1"))</f>
        <v/>
      </c>
      <c r="U178" s="11">
        <f>IF(S178="","",COUNTIFS(tblPCSInput[Call Date/Time],"&gt;="&amp;(SETUP!$B$6),tblPCSInput[Call Date/Time],"&lt;"&amp;(SETUP!$B$7),tblPCSInput[Call Direction],"I",tblPCSInput[Agent ID],$A178,tblPCSInput[Valid Q1],"&gt;3"))</f>
        <v/>
      </c>
      <c r="V178" s="13">
        <f>IFERROR(Q178/P178,"")</f>
        <v/>
      </c>
      <c r="W178" s="13">
        <f>IFERROR(R178/P178,"")</f>
        <v/>
      </c>
    </row>
    <row r="179" spans="1:23">
      <c r="A179" s="4">
        <f>IF(ROSTER!A179="","",ROSTER!A179)</f>
        <v/>
      </c>
      <c r="B179" s="4">
        <f>IF($A179="","",ROSTER!C179)</f>
        <v/>
      </c>
      <c r="C179" s="4">
        <f>IF($A179="","",ROSTER!D179)</f>
        <v/>
      </c>
      <c r="D179" s="4">
        <f>IF($A179="","",ROSTER!E179)</f>
        <v/>
      </c>
      <c r="E179" s="4">
        <f>IF($A179="","",ROSTER!F179)</f>
        <v/>
      </c>
      <c r="F179" s="11">
        <f>IF($A179="","",COUNTIFS(tblPCSInput[Call Date/Time],"&gt;="&amp;(SETUP!$B$5),tblPCSInput[Call Date/Time],"&lt;"&amp;(SETUP!$B$5+1),tblPCSInput[Call Direction],"I",tblPCSInput[Agent ID],$A179,tblPCSInput[PCSStatus],1))</f>
        <v/>
      </c>
      <c r="G179" s="11">
        <f>IF($A179="","",COUNTIFS(tblPCSInput[Call Date/Time],"&gt;="&amp;(SETUP!$B$5),tblPCSInput[Call Date/Time],"&lt;"&amp;(SETUP!$B$5+1),tblPCSInput[Call Direction],"I",tblPCSInput[Agent ID],$A179,tblPCSInput[Question 1],"&lt;&gt;"))</f>
        <v/>
      </c>
      <c r="H179" s="11">
        <f>IF($A179="","",COUNTIFS(tblPCSInput[Call Date/Time],"&gt;="&amp;(SETUP!$B$5),tblPCSInput[Call Date/Time],"&lt;"&amp;(SETUP!$B$5+1),tblPCSInput[Call Direction],"I",tblPCSInput[Agent ID],$A179,tblPCSInput[Valid Q1],"&gt;=1"))</f>
        <v/>
      </c>
      <c r="I179" s="12">
        <f>IFERROR(SUMIFS(tblPCSInput[Valid Q1],tblPCSInput[Call Date/Time],"&gt;="&amp;SETUP!$B$5,tblPCSInput[Call Date/Time],"&lt;"&amp;SETUP!$B$5+1,tblPCSInput[Call Direction],"I",tblPCSInput[Agent ID],$A179)/COUNTIFS(tblPCSInput[Call Date/Time],"&gt;="&amp;(SETUP!$B$5),tblPCSInput[Call Date/Time],"&lt;"&amp;(SETUP!$B$5+1),tblPCSInput[Call Direction],"I",tblPCSInput[Agent ID],$A179,tblPCSInput[Valid Q1],"&gt;=1"),"")</f>
        <v/>
      </c>
      <c r="J179" s="11">
        <f>IF(I179="","",COUNTIFS(tblPCSInput[Call Date/Time],"&gt;="&amp;(SETUP!$B$5),tblPCSInput[Call Date/Time],"&lt;"&amp;(SETUP!$B$5+1),tblPCSInput[Call Direction],"I",tblPCSInput[Agent ID],$A179,tblPCSInput[Valid Q1],"&lt;=3",tblPCSInput[Valid Q1],"&gt;=1"))</f>
        <v/>
      </c>
      <c r="K179" s="11">
        <f>IF(I179="","",COUNTIFS(tblPCSInput[Call Date/Time],"&gt;="&amp;(SETUP!$B$5),tblPCSInput[Call Date/Time],"&lt;"&amp;(SETUP!$B$5+1),tblPCSInput[Call Direction],"I",tblPCSInput[Agent ID],$A179,tblPCSInput[Valid Q1],"&gt;3"))</f>
        <v/>
      </c>
      <c r="L179" s="13">
        <f>IFERROR(G179/F179,"")</f>
        <v/>
      </c>
      <c r="M179" s="13">
        <f>IFERROR(H179/F179,"")</f>
        <v/>
      </c>
      <c r="N179" s="11">
        <f>IF($A179="","",MAX(0,G179-H179))</f>
        <v/>
      </c>
      <c r="O179" s="4">
        <f>IF($A179="","",IF(H179=0,"NO VALID SURVEY",IF(H179&lt;5,"LOW SAMPLE","OK")))</f>
        <v/>
      </c>
      <c r="P179" s="11">
        <f>IF($A179="","",COUNTIFS(tblPCSInput[Call Date/Time],"&gt;="&amp;(SETUP!$B$6),tblPCSInput[Call Date/Time],"&lt;"&amp;(SETUP!$B$7),tblPCSInput[Call Direction],"I",tblPCSInput[Agent ID],$A179,tblPCSInput[PCSStatus],1))</f>
        <v/>
      </c>
      <c r="Q179" s="11">
        <f>IF($A179="","",COUNTIFS(tblPCSInput[Call Date/Time],"&gt;="&amp;(SETUP!$B$6),tblPCSInput[Call Date/Time],"&lt;"&amp;(SETUP!$B$7),tblPCSInput[Call Direction],"I",tblPCSInput[Agent ID],$A179,tblPCSInput[Question 1],"&lt;&gt;"))</f>
        <v/>
      </c>
      <c r="R179" s="11">
        <f>IF($A179="","",COUNTIFS(tblPCSInput[Call Date/Time],"&gt;="&amp;(SETUP!$B$6),tblPCSInput[Call Date/Time],"&lt;"&amp;(SETUP!$B$7),tblPCSInput[Call Direction],"I",tblPCSInput[Agent ID],$A179,tblPCSInput[Valid Q1],"&gt;=1"))</f>
        <v/>
      </c>
      <c r="S179" s="12">
        <f>IFERROR(SUMIFS(tblPCSInput[Valid Q1],tblPCSInput[Call Date/Time],"&gt;="&amp;SETUP!$B$6,tblPCSInput[Call Date/Time],"&lt;"&amp;SETUP!$B$7,tblPCSInput[Call Direction],"I",tblPCSInput[Agent ID],$A179)/COUNTIFS(tblPCSInput[Call Date/Time],"&gt;="&amp;(SETUP!$B$6),tblPCSInput[Call Date/Time],"&lt;"&amp;(SETUP!$B$7),tblPCSInput[Call Direction],"I",tblPCSInput[Agent ID],$A179,tblPCSInput[Valid Q1],"&gt;=1"),"")</f>
        <v/>
      </c>
      <c r="T179" s="11">
        <f>IF(S179="","",COUNTIFS(tblPCSInput[Call Date/Time],"&gt;="&amp;(SETUP!$B$6),tblPCSInput[Call Date/Time],"&lt;"&amp;(SETUP!$B$7),tblPCSInput[Call Direction],"I",tblPCSInput[Agent ID],$A179,tblPCSInput[Valid Q1],"&lt;=3",tblPCSInput[Valid Q1],"&gt;=1"))</f>
        <v/>
      </c>
      <c r="U179" s="11">
        <f>IF(S179="","",COUNTIFS(tblPCSInput[Call Date/Time],"&gt;="&amp;(SETUP!$B$6),tblPCSInput[Call Date/Time],"&lt;"&amp;(SETUP!$B$7),tblPCSInput[Call Direction],"I",tblPCSInput[Agent ID],$A179,tblPCSInput[Valid Q1],"&gt;3"))</f>
        <v/>
      </c>
      <c r="V179" s="13">
        <f>IFERROR(Q179/P179,"")</f>
        <v/>
      </c>
      <c r="W179" s="13">
        <f>IFERROR(R179/P179,"")</f>
        <v/>
      </c>
    </row>
    <row r="180" spans="1:23">
      <c r="A180" s="4">
        <f>IF(ROSTER!A180="","",ROSTER!A180)</f>
        <v/>
      </c>
      <c r="B180" s="4">
        <f>IF($A180="","",ROSTER!C180)</f>
        <v/>
      </c>
      <c r="C180" s="4">
        <f>IF($A180="","",ROSTER!D180)</f>
        <v/>
      </c>
      <c r="D180" s="4">
        <f>IF($A180="","",ROSTER!E180)</f>
        <v/>
      </c>
      <c r="E180" s="4">
        <f>IF($A180="","",ROSTER!F180)</f>
        <v/>
      </c>
      <c r="F180" s="11">
        <f>IF($A180="","",COUNTIFS(tblPCSInput[Call Date/Time],"&gt;="&amp;(SETUP!$B$5),tblPCSInput[Call Date/Time],"&lt;"&amp;(SETUP!$B$5+1),tblPCSInput[Call Direction],"I",tblPCSInput[Agent ID],$A180,tblPCSInput[PCSStatus],1))</f>
        <v/>
      </c>
      <c r="G180" s="11">
        <f>IF($A180="","",COUNTIFS(tblPCSInput[Call Date/Time],"&gt;="&amp;(SETUP!$B$5),tblPCSInput[Call Date/Time],"&lt;"&amp;(SETUP!$B$5+1),tblPCSInput[Call Direction],"I",tblPCSInput[Agent ID],$A180,tblPCSInput[Question 1],"&lt;&gt;"))</f>
        <v/>
      </c>
      <c r="H180" s="11">
        <f>IF($A180="","",COUNTIFS(tblPCSInput[Call Date/Time],"&gt;="&amp;(SETUP!$B$5),tblPCSInput[Call Date/Time],"&lt;"&amp;(SETUP!$B$5+1),tblPCSInput[Call Direction],"I",tblPCSInput[Agent ID],$A180,tblPCSInput[Valid Q1],"&gt;=1"))</f>
        <v/>
      </c>
      <c r="I180" s="12">
        <f>IFERROR(SUMIFS(tblPCSInput[Valid Q1],tblPCSInput[Call Date/Time],"&gt;="&amp;SETUP!$B$5,tblPCSInput[Call Date/Time],"&lt;"&amp;SETUP!$B$5+1,tblPCSInput[Call Direction],"I",tblPCSInput[Agent ID],$A180)/COUNTIFS(tblPCSInput[Call Date/Time],"&gt;="&amp;(SETUP!$B$5),tblPCSInput[Call Date/Time],"&lt;"&amp;(SETUP!$B$5+1),tblPCSInput[Call Direction],"I",tblPCSInput[Agent ID],$A180,tblPCSInput[Valid Q1],"&gt;=1"),"")</f>
        <v/>
      </c>
      <c r="J180" s="11">
        <f>IF(I180="","",COUNTIFS(tblPCSInput[Call Date/Time],"&gt;="&amp;(SETUP!$B$5),tblPCSInput[Call Date/Time],"&lt;"&amp;(SETUP!$B$5+1),tblPCSInput[Call Direction],"I",tblPCSInput[Agent ID],$A180,tblPCSInput[Valid Q1],"&lt;=3",tblPCSInput[Valid Q1],"&gt;=1"))</f>
        <v/>
      </c>
      <c r="K180" s="11">
        <f>IF(I180="","",COUNTIFS(tblPCSInput[Call Date/Time],"&gt;="&amp;(SETUP!$B$5),tblPCSInput[Call Date/Time],"&lt;"&amp;(SETUP!$B$5+1),tblPCSInput[Call Direction],"I",tblPCSInput[Agent ID],$A180,tblPCSInput[Valid Q1],"&gt;3"))</f>
        <v/>
      </c>
      <c r="L180" s="13">
        <f>IFERROR(G180/F180,"")</f>
        <v/>
      </c>
      <c r="M180" s="13">
        <f>IFERROR(H180/F180,"")</f>
        <v/>
      </c>
      <c r="N180" s="11">
        <f>IF($A180="","",MAX(0,G180-H180))</f>
        <v/>
      </c>
      <c r="O180" s="4">
        <f>IF($A180="","",IF(H180=0,"NO VALID SURVEY",IF(H180&lt;5,"LOW SAMPLE","OK")))</f>
        <v/>
      </c>
      <c r="P180" s="11">
        <f>IF($A180="","",COUNTIFS(tblPCSInput[Call Date/Time],"&gt;="&amp;(SETUP!$B$6),tblPCSInput[Call Date/Time],"&lt;"&amp;(SETUP!$B$7),tblPCSInput[Call Direction],"I",tblPCSInput[Agent ID],$A180,tblPCSInput[PCSStatus],1))</f>
        <v/>
      </c>
      <c r="Q180" s="11">
        <f>IF($A180="","",COUNTIFS(tblPCSInput[Call Date/Time],"&gt;="&amp;(SETUP!$B$6),tblPCSInput[Call Date/Time],"&lt;"&amp;(SETUP!$B$7),tblPCSInput[Call Direction],"I",tblPCSInput[Agent ID],$A180,tblPCSInput[Question 1],"&lt;&gt;"))</f>
        <v/>
      </c>
      <c r="R180" s="11">
        <f>IF($A180="","",COUNTIFS(tblPCSInput[Call Date/Time],"&gt;="&amp;(SETUP!$B$6),tblPCSInput[Call Date/Time],"&lt;"&amp;(SETUP!$B$7),tblPCSInput[Call Direction],"I",tblPCSInput[Agent ID],$A180,tblPCSInput[Valid Q1],"&gt;=1"))</f>
        <v/>
      </c>
      <c r="S180" s="12">
        <f>IFERROR(SUMIFS(tblPCSInput[Valid Q1],tblPCSInput[Call Date/Time],"&gt;="&amp;SETUP!$B$6,tblPCSInput[Call Date/Time],"&lt;"&amp;SETUP!$B$7,tblPCSInput[Call Direction],"I",tblPCSInput[Agent ID],$A180)/COUNTIFS(tblPCSInput[Call Date/Time],"&gt;="&amp;(SETUP!$B$6),tblPCSInput[Call Date/Time],"&lt;"&amp;(SETUP!$B$7),tblPCSInput[Call Direction],"I",tblPCSInput[Agent ID],$A180,tblPCSInput[Valid Q1],"&gt;=1"),"")</f>
        <v/>
      </c>
      <c r="T180" s="11">
        <f>IF(S180="","",COUNTIFS(tblPCSInput[Call Date/Time],"&gt;="&amp;(SETUP!$B$6),tblPCSInput[Call Date/Time],"&lt;"&amp;(SETUP!$B$7),tblPCSInput[Call Direction],"I",tblPCSInput[Agent ID],$A180,tblPCSInput[Valid Q1],"&lt;=3",tblPCSInput[Valid Q1],"&gt;=1"))</f>
        <v/>
      </c>
      <c r="U180" s="11">
        <f>IF(S180="","",COUNTIFS(tblPCSInput[Call Date/Time],"&gt;="&amp;(SETUP!$B$6),tblPCSInput[Call Date/Time],"&lt;"&amp;(SETUP!$B$7),tblPCSInput[Call Direction],"I",tblPCSInput[Agent ID],$A180,tblPCSInput[Valid Q1],"&gt;3"))</f>
        <v/>
      </c>
      <c r="V180" s="13">
        <f>IFERROR(Q180/P180,"")</f>
        <v/>
      </c>
      <c r="W180" s="13">
        <f>IFERROR(R180/P180,"")</f>
        <v/>
      </c>
    </row>
    <row r="181" spans="1:23">
      <c r="A181" s="4">
        <f>IF(ROSTER!A181="","",ROSTER!A181)</f>
        <v/>
      </c>
      <c r="B181" s="4">
        <f>IF($A181="","",ROSTER!C181)</f>
        <v/>
      </c>
      <c r="C181" s="4">
        <f>IF($A181="","",ROSTER!D181)</f>
        <v/>
      </c>
      <c r="D181" s="4">
        <f>IF($A181="","",ROSTER!E181)</f>
        <v/>
      </c>
      <c r="E181" s="4">
        <f>IF($A181="","",ROSTER!F181)</f>
        <v/>
      </c>
      <c r="F181" s="11">
        <f>IF($A181="","",COUNTIFS(tblPCSInput[Call Date/Time],"&gt;="&amp;(SETUP!$B$5),tblPCSInput[Call Date/Time],"&lt;"&amp;(SETUP!$B$5+1),tblPCSInput[Call Direction],"I",tblPCSInput[Agent ID],$A181,tblPCSInput[PCSStatus],1))</f>
        <v/>
      </c>
      <c r="G181" s="11">
        <f>IF($A181="","",COUNTIFS(tblPCSInput[Call Date/Time],"&gt;="&amp;(SETUP!$B$5),tblPCSInput[Call Date/Time],"&lt;"&amp;(SETUP!$B$5+1),tblPCSInput[Call Direction],"I",tblPCSInput[Agent ID],$A181,tblPCSInput[Question 1],"&lt;&gt;"))</f>
        <v/>
      </c>
      <c r="H181" s="11">
        <f>IF($A181="","",COUNTIFS(tblPCSInput[Call Date/Time],"&gt;="&amp;(SETUP!$B$5),tblPCSInput[Call Date/Time],"&lt;"&amp;(SETUP!$B$5+1),tblPCSInput[Call Direction],"I",tblPCSInput[Agent ID],$A181,tblPCSInput[Valid Q1],"&gt;=1"))</f>
        <v/>
      </c>
      <c r="I181" s="12">
        <f>IFERROR(SUMIFS(tblPCSInput[Valid Q1],tblPCSInput[Call Date/Time],"&gt;="&amp;SETUP!$B$5,tblPCSInput[Call Date/Time],"&lt;"&amp;SETUP!$B$5+1,tblPCSInput[Call Direction],"I",tblPCSInput[Agent ID],$A181)/COUNTIFS(tblPCSInput[Call Date/Time],"&gt;="&amp;(SETUP!$B$5),tblPCSInput[Call Date/Time],"&lt;"&amp;(SETUP!$B$5+1),tblPCSInput[Call Direction],"I",tblPCSInput[Agent ID],$A181,tblPCSInput[Valid Q1],"&gt;=1"),"")</f>
        <v/>
      </c>
      <c r="J181" s="11">
        <f>IF(I181="","",COUNTIFS(tblPCSInput[Call Date/Time],"&gt;="&amp;(SETUP!$B$5),tblPCSInput[Call Date/Time],"&lt;"&amp;(SETUP!$B$5+1),tblPCSInput[Call Direction],"I",tblPCSInput[Agent ID],$A181,tblPCSInput[Valid Q1],"&lt;=3",tblPCSInput[Valid Q1],"&gt;=1"))</f>
        <v/>
      </c>
      <c r="K181" s="11">
        <f>IF(I181="","",COUNTIFS(tblPCSInput[Call Date/Time],"&gt;="&amp;(SETUP!$B$5),tblPCSInput[Call Date/Time],"&lt;"&amp;(SETUP!$B$5+1),tblPCSInput[Call Direction],"I",tblPCSInput[Agent ID],$A181,tblPCSInput[Valid Q1],"&gt;3"))</f>
        <v/>
      </c>
      <c r="L181" s="13">
        <f>IFERROR(G181/F181,"")</f>
        <v/>
      </c>
      <c r="M181" s="13">
        <f>IFERROR(H181/F181,"")</f>
        <v/>
      </c>
      <c r="N181" s="11">
        <f>IF($A181="","",MAX(0,G181-H181))</f>
        <v/>
      </c>
      <c r="O181" s="4">
        <f>IF($A181="","",IF(H181=0,"NO VALID SURVEY",IF(H181&lt;5,"LOW SAMPLE","OK")))</f>
        <v/>
      </c>
      <c r="P181" s="11">
        <f>IF($A181="","",COUNTIFS(tblPCSInput[Call Date/Time],"&gt;="&amp;(SETUP!$B$6),tblPCSInput[Call Date/Time],"&lt;"&amp;(SETUP!$B$7),tblPCSInput[Call Direction],"I",tblPCSInput[Agent ID],$A181,tblPCSInput[PCSStatus],1))</f>
        <v/>
      </c>
      <c r="Q181" s="11">
        <f>IF($A181="","",COUNTIFS(tblPCSInput[Call Date/Time],"&gt;="&amp;(SETUP!$B$6),tblPCSInput[Call Date/Time],"&lt;"&amp;(SETUP!$B$7),tblPCSInput[Call Direction],"I",tblPCSInput[Agent ID],$A181,tblPCSInput[Question 1],"&lt;&gt;"))</f>
        <v/>
      </c>
      <c r="R181" s="11">
        <f>IF($A181="","",COUNTIFS(tblPCSInput[Call Date/Time],"&gt;="&amp;(SETUP!$B$6),tblPCSInput[Call Date/Time],"&lt;"&amp;(SETUP!$B$7),tblPCSInput[Call Direction],"I",tblPCSInput[Agent ID],$A181,tblPCSInput[Valid Q1],"&gt;=1"))</f>
        <v/>
      </c>
      <c r="S181" s="12">
        <f>IFERROR(SUMIFS(tblPCSInput[Valid Q1],tblPCSInput[Call Date/Time],"&gt;="&amp;SETUP!$B$6,tblPCSInput[Call Date/Time],"&lt;"&amp;SETUP!$B$7,tblPCSInput[Call Direction],"I",tblPCSInput[Agent ID],$A181)/COUNTIFS(tblPCSInput[Call Date/Time],"&gt;="&amp;(SETUP!$B$6),tblPCSInput[Call Date/Time],"&lt;"&amp;(SETUP!$B$7),tblPCSInput[Call Direction],"I",tblPCSInput[Agent ID],$A181,tblPCSInput[Valid Q1],"&gt;=1"),"")</f>
        <v/>
      </c>
      <c r="T181" s="11">
        <f>IF(S181="","",COUNTIFS(tblPCSInput[Call Date/Time],"&gt;="&amp;(SETUP!$B$6),tblPCSInput[Call Date/Time],"&lt;"&amp;(SETUP!$B$7),tblPCSInput[Call Direction],"I",tblPCSInput[Agent ID],$A181,tblPCSInput[Valid Q1],"&lt;=3",tblPCSInput[Valid Q1],"&gt;=1"))</f>
        <v/>
      </c>
      <c r="U181" s="11">
        <f>IF(S181="","",COUNTIFS(tblPCSInput[Call Date/Time],"&gt;="&amp;(SETUP!$B$6),tblPCSInput[Call Date/Time],"&lt;"&amp;(SETUP!$B$7),tblPCSInput[Call Direction],"I",tblPCSInput[Agent ID],$A181,tblPCSInput[Valid Q1],"&gt;3"))</f>
        <v/>
      </c>
      <c r="V181" s="13">
        <f>IFERROR(Q181/P181,"")</f>
        <v/>
      </c>
      <c r="W181" s="13">
        <f>IFERROR(R181/P181,"")</f>
        <v/>
      </c>
    </row>
    <row r="182" spans="1:23">
      <c r="A182" s="4">
        <f>IF(ROSTER!A182="","",ROSTER!A182)</f>
        <v/>
      </c>
      <c r="B182" s="4">
        <f>IF($A182="","",ROSTER!C182)</f>
        <v/>
      </c>
      <c r="C182" s="4">
        <f>IF($A182="","",ROSTER!D182)</f>
        <v/>
      </c>
      <c r="D182" s="4">
        <f>IF($A182="","",ROSTER!E182)</f>
        <v/>
      </c>
      <c r="E182" s="4">
        <f>IF($A182="","",ROSTER!F182)</f>
        <v/>
      </c>
      <c r="F182" s="11">
        <f>IF($A182="","",COUNTIFS(tblPCSInput[Call Date/Time],"&gt;="&amp;(SETUP!$B$5),tblPCSInput[Call Date/Time],"&lt;"&amp;(SETUP!$B$5+1),tblPCSInput[Call Direction],"I",tblPCSInput[Agent ID],$A182,tblPCSInput[PCSStatus],1))</f>
        <v/>
      </c>
      <c r="G182" s="11">
        <f>IF($A182="","",COUNTIFS(tblPCSInput[Call Date/Time],"&gt;="&amp;(SETUP!$B$5),tblPCSInput[Call Date/Time],"&lt;"&amp;(SETUP!$B$5+1),tblPCSInput[Call Direction],"I",tblPCSInput[Agent ID],$A182,tblPCSInput[Question 1],"&lt;&gt;"))</f>
        <v/>
      </c>
      <c r="H182" s="11">
        <f>IF($A182="","",COUNTIFS(tblPCSInput[Call Date/Time],"&gt;="&amp;(SETUP!$B$5),tblPCSInput[Call Date/Time],"&lt;"&amp;(SETUP!$B$5+1),tblPCSInput[Call Direction],"I",tblPCSInput[Agent ID],$A182,tblPCSInput[Valid Q1],"&gt;=1"))</f>
        <v/>
      </c>
      <c r="I182" s="12">
        <f>IFERROR(SUMIFS(tblPCSInput[Valid Q1],tblPCSInput[Call Date/Time],"&gt;="&amp;SETUP!$B$5,tblPCSInput[Call Date/Time],"&lt;"&amp;SETUP!$B$5+1,tblPCSInput[Call Direction],"I",tblPCSInput[Agent ID],$A182)/COUNTIFS(tblPCSInput[Call Date/Time],"&gt;="&amp;(SETUP!$B$5),tblPCSInput[Call Date/Time],"&lt;"&amp;(SETUP!$B$5+1),tblPCSInput[Call Direction],"I",tblPCSInput[Agent ID],$A182,tblPCSInput[Valid Q1],"&gt;=1"),"")</f>
        <v/>
      </c>
      <c r="J182" s="11">
        <f>IF(I182="","",COUNTIFS(tblPCSInput[Call Date/Time],"&gt;="&amp;(SETUP!$B$5),tblPCSInput[Call Date/Time],"&lt;"&amp;(SETUP!$B$5+1),tblPCSInput[Call Direction],"I",tblPCSInput[Agent ID],$A182,tblPCSInput[Valid Q1],"&lt;=3",tblPCSInput[Valid Q1],"&gt;=1"))</f>
        <v/>
      </c>
      <c r="K182" s="11">
        <f>IF(I182="","",COUNTIFS(tblPCSInput[Call Date/Time],"&gt;="&amp;(SETUP!$B$5),tblPCSInput[Call Date/Time],"&lt;"&amp;(SETUP!$B$5+1),tblPCSInput[Call Direction],"I",tblPCSInput[Agent ID],$A182,tblPCSInput[Valid Q1],"&gt;3"))</f>
        <v/>
      </c>
      <c r="L182" s="13">
        <f>IFERROR(G182/F182,"")</f>
        <v/>
      </c>
      <c r="M182" s="13">
        <f>IFERROR(H182/F182,"")</f>
        <v/>
      </c>
      <c r="N182" s="11">
        <f>IF($A182="","",MAX(0,G182-H182))</f>
        <v/>
      </c>
      <c r="O182" s="4">
        <f>IF($A182="","",IF(H182=0,"NO VALID SURVEY",IF(H182&lt;5,"LOW SAMPLE","OK")))</f>
        <v/>
      </c>
      <c r="P182" s="11">
        <f>IF($A182="","",COUNTIFS(tblPCSInput[Call Date/Time],"&gt;="&amp;(SETUP!$B$6),tblPCSInput[Call Date/Time],"&lt;"&amp;(SETUP!$B$7),tblPCSInput[Call Direction],"I",tblPCSInput[Agent ID],$A182,tblPCSInput[PCSStatus],1))</f>
        <v/>
      </c>
      <c r="Q182" s="11">
        <f>IF($A182="","",COUNTIFS(tblPCSInput[Call Date/Time],"&gt;="&amp;(SETUP!$B$6),tblPCSInput[Call Date/Time],"&lt;"&amp;(SETUP!$B$7),tblPCSInput[Call Direction],"I",tblPCSInput[Agent ID],$A182,tblPCSInput[Question 1],"&lt;&gt;"))</f>
        <v/>
      </c>
      <c r="R182" s="11">
        <f>IF($A182="","",COUNTIFS(tblPCSInput[Call Date/Time],"&gt;="&amp;(SETUP!$B$6),tblPCSInput[Call Date/Time],"&lt;"&amp;(SETUP!$B$7),tblPCSInput[Call Direction],"I",tblPCSInput[Agent ID],$A182,tblPCSInput[Valid Q1],"&gt;=1"))</f>
        <v/>
      </c>
      <c r="S182" s="12">
        <f>IFERROR(SUMIFS(tblPCSInput[Valid Q1],tblPCSInput[Call Date/Time],"&gt;="&amp;SETUP!$B$6,tblPCSInput[Call Date/Time],"&lt;"&amp;SETUP!$B$7,tblPCSInput[Call Direction],"I",tblPCSInput[Agent ID],$A182)/COUNTIFS(tblPCSInput[Call Date/Time],"&gt;="&amp;(SETUP!$B$6),tblPCSInput[Call Date/Time],"&lt;"&amp;(SETUP!$B$7),tblPCSInput[Call Direction],"I",tblPCSInput[Agent ID],$A182,tblPCSInput[Valid Q1],"&gt;=1"),"")</f>
        <v/>
      </c>
      <c r="T182" s="11">
        <f>IF(S182="","",COUNTIFS(tblPCSInput[Call Date/Time],"&gt;="&amp;(SETUP!$B$6),tblPCSInput[Call Date/Time],"&lt;"&amp;(SETUP!$B$7),tblPCSInput[Call Direction],"I",tblPCSInput[Agent ID],$A182,tblPCSInput[Valid Q1],"&lt;=3",tblPCSInput[Valid Q1],"&gt;=1"))</f>
        <v/>
      </c>
      <c r="U182" s="11">
        <f>IF(S182="","",COUNTIFS(tblPCSInput[Call Date/Time],"&gt;="&amp;(SETUP!$B$6),tblPCSInput[Call Date/Time],"&lt;"&amp;(SETUP!$B$7),tblPCSInput[Call Direction],"I",tblPCSInput[Agent ID],$A182,tblPCSInput[Valid Q1],"&gt;3"))</f>
        <v/>
      </c>
      <c r="V182" s="13">
        <f>IFERROR(Q182/P182,"")</f>
        <v/>
      </c>
      <c r="W182" s="13">
        <f>IFERROR(R182/P182,"")</f>
        <v/>
      </c>
    </row>
    <row r="183" spans="1:23">
      <c r="A183" s="4">
        <f>IF(ROSTER!A183="","",ROSTER!A183)</f>
        <v/>
      </c>
      <c r="B183" s="4">
        <f>IF($A183="","",ROSTER!C183)</f>
        <v/>
      </c>
      <c r="C183" s="4">
        <f>IF($A183="","",ROSTER!D183)</f>
        <v/>
      </c>
      <c r="D183" s="4">
        <f>IF($A183="","",ROSTER!E183)</f>
        <v/>
      </c>
      <c r="E183" s="4">
        <f>IF($A183="","",ROSTER!F183)</f>
        <v/>
      </c>
      <c r="F183" s="11">
        <f>IF($A183="","",COUNTIFS(tblPCSInput[Call Date/Time],"&gt;="&amp;(SETUP!$B$5),tblPCSInput[Call Date/Time],"&lt;"&amp;(SETUP!$B$5+1),tblPCSInput[Call Direction],"I",tblPCSInput[Agent ID],$A183,tblPCSInput[PCSStatus],1))</f>
        <v/>
      </c>
      <c r="G183" s="11">
        <f>IF($A183="","",COUNTIFS(tblPCSInput[Call Date/Time],"&gt;="&amp;(SETUP!$B$5),tblPCSInput[Call Date/Time],"&lt;"&amp;(SETUP!$B$5+1),tblPCSInput[Call Direction],"I",tblPCSInput[Agent ID],$A183,tblPCSInput[Question 1],"&lt;&gt;"))</f>
        <v/>
      </c>
      <c r="H183" s="11">
        <f>IF($A183="","",COUNTIFS(tblPCSInput[Call Date/Time],"&gt;="&amp;(SETUP!$B$5),tblPCSInput[Call Date/Time],"&lt;"&amp;(SETUP!$B$5+1),tblPCSInput[Call Direction],"I",tblPCSInput[Agent ID],$A183,tblPCSInput[Valid Q1],"&gt;=1"))</f>
        <v/>
      </c>
      <c r="I183" s="12">
        <f>IFERROR(SUMIFS(tblPCSInput[Valid Q1],tblPCSInput[Call Date/Time],"&gt;="&amp;SETUP!$B$5,tblPCSInput[Call Date/Time],"&lt;"&amp;SETUP!$B$5+1,tblPCSInput[Call Direction],"I",tblPCSInput[Agent ID],$A183)/COUNTIFS(tblPCSInput[Call Date/Time],"&gt;="&amp;(SETUP!$B$5),tblPCSInput[Call Date/Time],"&lt;"&amp;(SETUP!$B$5+1),tblPCSInput[Call Direction],"I",tblPCSInput[Agent ID],$A183,tblPCSInput[Valid Q1],"&gt;=1"),"")</f>
        <v/>
      </c>
      <c r="J183" s="11">
        <f>IF(I183="","",COUNTIFS(tblPCSInput[Call Date/Time],"&gt;="&amp;(SETUP!$B$5),tblPCSInput[Call Date/Time],"&lt;"&amp;(SETUP!$B$5+1),tblPCSInput[Call Direction],"I",tblPCSInput[Agent ID],$A183,tblPCSInput[Valid Q1],"&lt;=3",tblPCSInput[Valid Q1],"&gt;=1"))</f>
        <v/>
      </c>
      <c r="K183" s="11">
        <f>IF(I183="","",COUNTIFS(tblPCSInput[Call Date/Time],"&gt;="&amp;(SETUP!$B$5),tblPCSInput[Call Date/Time],"&lt;"&amp;(SETUP!$B$5+1),tblPCSInput[Call Direction],"I",tblPCSInput[Agent ID],$A183,tblPCSInput[Valid Q1],"&gt;3"))</f>
        <v/>
      </c>
      <c r="L183" s="13">
        <f>IFERROR(G183/F183,"")</f>
        <v/>
      </c>
      <c r="M183" s="13">
        <f>IFERROR(H183/F183,"")</f>
        <v/>
      </c>
      <c r="N183" s="11">
        <f>IF($A183="","",MAX(0,G183-H183))</f>
        <v/>
      </c>
      <c r="O183" s="4">
        <f>IF($A183="","",IF(H183=0,"NO VALID SURVEY",IF(H183&lt;5,"LOW SAMPLE","OK")))</f>
        <v/>
      </c>
      <c r="P183" s="11">
        <f>IF($A183="","",COUNTIFS(tblPCSInput[Call Date/Time],"&gt;="&amp;(SETUP!$B$6),tblPCSInput[Call Date/Time],"&lt;"&amp;(SETUP!$B$7),tblPCSInput[Call Direction],"I",tblPCSInput[Agent ID],$A183,tblPCSInput[PCSStatus],1))</f>
        <v/>
      </c>
      <c r="Q183" s="11">
        <f>IF($A183="","",COUNTIFS(tblPCSInput[Call Date/Time],"&gt;="&amp;(SETUP!$B$6),tblPCSInput[Call Date/Time],"&lt;"&amp;(SETUP!$B$7),tblPCSInput[Call Direction],"I",tblPCSInput[Agent ID],$A183,tblPCSInput[Question 1],"&lt;&gt;"))</f>
        <v/>
      </c>
      <c r="R183" s="11">
        <f>IF($A183="","",COUNTIFS(tblPCSInput[Call Date/Time],"&gt;="&amp;(SETUP!$B$6),tblPCSInput[Call Date/Time],"&lt;"&amp;(SETUP!$B$7),tblPCSInput[Call Direction],"I",tblPCSInput[Agent ID],$A183,tblPCSInput[Valid Q1],"&gt;=1"))</f>
        <v/>
      </c>
      <c r="S183" s="12">
        <f>IFERROR(SUMIFS(tblPCSInput[Valid Q1],tblPCSInput[Call Date/Time],"&gt;="&amp;SETUP!$B$6,tblPCSInput[Call Date/Time],"&lt;"&amp;SETUP!$B$7,tblPCSInput[Call Direction],"I",tblPCSInput[Agent ID],$A183)/COUNTIFS(tblPCSInput[Call Date/Time],"&gt;="&amp;(SETUP!$B$6),tblPCSInput[Call Date/Time],"&lt;"&amp;(SETUP!$B$7),tblPCSInput[Call Direction],"I",tblPCSInput[Agent ID],$A183,tblPCSInput[Valid Q1],"&gt;=1"),"")</f>
        <v/>
      </c>
      <c r="T183" s="11">
        <f>IF(S183="","",COUNTIFS(tblPCSInput[Call Date/Time],"&gt;="&amp;(SETUP!$B$6),tblPCSInput[Call Date/Time],"&lt;"&amp;(SETUP!$B$7),tblPCSInput[Call Direction],"I",tblPCSInput[Agent ID],$A183,tblPCSInput[Valid Q1],"&lt;=3",tblPCSInput[Valid Q1],"&gt;=1"))</f>
        <v/>
      </c>
      <c r="U183" s="11">
        <f>IF(S183="","",COUNTIFS(tblPCSInput[Call Date/Time],"&gt;="&amp;(SETUP!$B$6),tblPCSInput[Call Date/Time],"&lt;"&amp;(SETUP!$B$7),tblPCSInput[Call Direction],"I",tblPCSInput[Agent ID],$A183,tblPCSInput[Valid Q1],"&gt;3"))</f>
        <v/>
      </c>
      <c r="V183" s="13">
        <f>IFERROR(Q183/P183,"")</f>
        <v/>
      </c>
      <c r="W183" s="13">
        <f>IFERROR(R183/P183,"")</f>
        <v/>
      </c>
    </row>
    <row r="184" spans="1:23">
      <c r="A184" s="4">
        <f>IF(ROSTER!A184="","",ROSTER!A184)</f>
        <v/>
      </c>
      <c r="B184" s="4">
        <f>IF($A184="","",ROSTER!C184)</f>
        <v/>
      </c>
      <c r="C184" s="4">
        <f>IF($A184="","",ROSTER!D184)</f>
        <v/>
      </c>
      <c r="D184" s="4">
        <f>IF($A184="","",ROSTER!E184)</f>
        <v/>
      </c>
      <c r="E184" s="4">
        <f>IF($A184="","",ROSTER!F184)</f>
        <v/>
      </c>
      <c r="F184" s="11">
        <f>IF($A184="","",COUNTIFS(tblPCSInput[Call Date/Time],"&gt;="&amp;(SETUP!$B$5),tblPCSInput[Call Date/Time],"&lt;"&amp;(SETUP!$B$5+1),tblPCSInput[Call Direction],"I",tblPCSInput[Agent ID],$A184,tblPCSInput[PCSStatus],1))</f>
        <v/>
      </c>
      <c r="G184" s="11">
        <f>IF($A184="","",COUNTIFS(tblPCSInput[Call Date/Time],"&gt;="&amp;(SETUP!$B$5),tblPCSInput[Call Date/Time],"&lt;"&amp;(SETUP!$B$5+1),tblPCSInput[Call Direction],"I",tblPCSInput[Agent ID],$A184,tblPCSInput[Question 1],"&lt;&gt;"))</f>
        <v/>
      </c>
      <c r="H184" s="11">
        <f>IF($A184="","",COUNTIFS(tblPCSInput[Call Date/Time],"&gt;="&amp;(SETUP!$B$5),tblPCSInput[Call Date/Time],"&lt;"&amp;(SETUP!$B$5+1),tblPCSInput[Call Direction],"I",tblPCSInput[Agent ID],$A184,tblPCSInput[Valid Q1],"&gt;=1"))</f>
        <v/>
      </c>
      <c r="I184" s="12">
        <f>IFERROR(SUMIFS(tblPCSInput[Valid Q1],tblPCSInput[Call Date/Time],"&gt;="&amp;SETUP!$B$5,tblPCSInput[Call Date/Time],"&lt;"&amp;SETUP!$B$5+1,tblPCSInput[Call Direction],"I",tblPCSInput[Agent ID],$A184)/COUNTIFS(tblPCSInput[Call Date/Time],"&gt;="&amp;(SETUP!$B$5),tblPCSInput[Call Date/Time],"&lt;"&amp;(SETUP!$B$5+1),tblPCSInput[Call Direction],"I",tblPCSInput[Agent ID],$A184,tblPCSInput[Valid Q1],"&gt;=1"),"")</f>
        <v/>
      </c>
      <c r="J184" s="11">
        <f>IF(I184="","",COUNTIFS(tblPCSInput[Call Date/Time],"&gt;="&amp;(SETUP!$B$5),tblPCSInput[Call Date/Time],"&lt;"&amp;(SETUP!$B$5+1),tblPCSInput[Call Direction],"I",tblPCSInput[Agent ID],$A184,tblPCSInput[Valid Q1],"&lt;=3",tblPCSInput[Valid Q1],"&gt;=1"))</f>
        <v/>
      </c>
      <c r="K184" s="11">
        <f>IF(I184="","",COUNTIFS(tblPCSInput[Call Date/Time],"&gt;="&amp;(SETUP!$B$5),tblPCSInput[Call Date/Time],"&lt;"&amp;(SETUP!$B$5+1),tblPCSInput[Call Direction],"I",tblPCSInput[Agent ID],$A184,tblPCSInput[Valid Q1],"&gt;3"))</f>
        <v/>
      </c>
      <c r="L184" s="13">
        <f>IFERROR(G184/F184,"")</f>
        <v/>
      </c>
      <c r="M184" s="13">
        <f>IFERROR(H184/F184,"")</f>
        <v/>
      </c>
      <c r="N184" s="11">
        <f>IF($A184="","",MAX(0,G184-H184))</f>
        <v/>
      </c>
      <c r="O184" s="4">
        <f>IF($A184="","",IF(H184=0,"NO VALID SURVEY",IF(H184&lt;5,"LOW SAMPLE","OK")))</f>
        <v/>
      </c>
      <c r="P184" s="11">
        <f>IF($A184="","",COUNTIFS(tblPCSInput[Call Date/Time],"&gt;="&amp;(SETUP!$B$6),tblPCSInput[Call Date/Time],"&lt;"&amp;(SETUP!$B$7),tblPCSInput[Call Direction],"I",tblPCSInput[Agent ID],$A184,tblPCSInput[PCSStatus],1))</f>
        <v/>
      </c>
      <c r="Q184" s="11">
        <f>IF($A184="","",COUNTIFS(tblPCSInput[Call Date/Time],"&gt;="&amp;(SETUP!$B$6),tblPCSInput[Call Date/Time],"&lt;"&amp;(SETUP!$B$7),tblPCSInput[Call Direction],"I",tblPCSInput[Agent ID],$A184,tblPCSInput[Question 1],"&lt;&gt;"))</f>
        <v/>
      </c>
      <c r="R184" s="11">
        <f>IF($A184="","",COUNTIFS(tblPCSInput[Call Date/Time],"&gt;="&amp;(SETUP!$B$6),tblPCSInput[Call Date/Time],"&lt;"&amp;(SETUP!$B$7),tblPCSInput[Call Direction],"I",tblPCSInput[Agent ID],$A184,tblPCSInput[Valid Q1],"&gt;=1"))</f>
        <v/>
      </c>
      <c r="S184" s="12">
        <f>IFERROR(SUMIFS(tblPCSInput[Valid Q1],tblPCSInput[Call Date/Time],"&gt;="&amp;SETUP!$B$6,tblPCSInput[Call Date/Time],"&lt;"&amp;SETUP!$B$7,tblPCSInput[Call Direction],"I",tblPCSInput[Agent ID],$A184)/COUNTIFS(tblPCSInput[Call Date/Time],"&gt;="&amp;(SETUP!$B$6),tblPCSInput[Call Date/Time],"&lt;"&amp;(SETUP!$B$7),tblPCSInput[Call Direction],"I",tblPCSInput[Agent ID],$A184,tblPCSInput[Valid Q1],"&gt;=1"),"")</f>
        <v/>
      </c>
      <c r="T184" s="11">
        <f>IF(S184="","",COUNTIFS(tblPCSInput[Call Date/Time],"&gt;="&amp;(SETUP!$B$6),tblPCSInput[Call Date/Time],"&lt;"&amp;(SETUP!$B$7),tblPCSInput[Call Direction],"I",tblPCSInput[Agent ID],$A184,tblPCSInput[Valid Q1],"&lt;=3",tblPCSInput[Valid Q1],"&gt;=1"))</f>
        <v/>
      </c>
      <c r="U184" s="11">
        <f>IF(S184="","",COUNTIFS(tblPCSInput[Call Date/Time],"&gt;="&amp;(SETUP!$B$6),tblPCSInput[Call Date/Time],"&lt;"&amp;(SETUP!$B$7),tblPCSInput[Call Direction],"I",tblPCSInput[Agent ID],$A184,tblPCSInput[Valid Q1],"&gt;3"))</f>
        <v/>
      </c>
      <c r="V184" s="13">
        <f>IFERROR(Q184/P184,"")</f>
        <v/>
      </c>
      <c r="W184" s="13">
        <f>IFERROR(R184/P184,"")</f>
        <v/>
      </c>
    </row>
    <row r="185" spans="1:23">
      <c r="A185" s="4">
        <f>IF(ROSTER!A185="","",ROSTER!A185)</f>
        <v/>
      </c>
      <c r="B185" s="4">
        <f>IF($A185="","",ROSTER!C185)</f>
        <v/>
      </c>
      <c r="C185" s="4">
        <f>IF($A185="","",ROSTER!D185)</f>
        <v/>
      </c>
      <c r="D185" s="4">
        <f>IF($A185="","",ROSTER!E185)</f>
        <v/>
      </c>
      <c r="E185" s="4">
        <f>IF($A185="","",ROSTER!F185)</f>
        <v/>
      </c>
      <c r="F185" s="11">
        <f>IF($A185="","",COUNTIFS(tblPCSInput[Call Date/Time],"&gt;="&amp;(SETUP!$B$5),tblPCSInput[Call Date/Time],"&lt;"&amp;(SETUP!$B$5+1),tblPCSInput[Call Direction],"I",tblPCSInput[Agent ID],$A185,tblPCSInput[PCSStatus],1))</f>
        <v/>
      </c>
      <c r="G185" s="11">
        <f>IF($A185="","",COUNTIFS(tblPCSInput[Call Date/Time],"&gt;="&amp;(SETUP!$B$5),tblPCSInput[Call Date/Time],"&lt;"&amp;(SETUP!$B$5+1),tblPCSInput[Call Direction],"I",tblPCSInput[Agent ID],$A185,tblPCSInput[Question 1],"&lt;&gt;"))</f>
        <v/>
      </c>
      <c r="H185" s="11">
        <f>IF($A185="","",COUNTIFS(tblPCSInput[Call Date/Time],"&gt;="&amp;(SETUP!$B$5),tblPCSInput[Call Date/Time],"&lt;"&amp;(SETUP!$B$5+1),tblPCSInput[Call Direction],"I",tblPCSInput[Agent ID],$A185,tblPCSInput[Valid Q1],"&gt;=1"))</f>
        <v/>
      </c>
      <c r="I185" s="12">
        <f>IFERROR(SUMIFS(tblPCSInput[Valid Q1],tblPCSInput[Call Date/Time],"&gt;="&amp;SETUP!$B$5,tblPCSInput[Call Date/Time],"&lt;"&amp;SETUP!$B$5+1,tblPCSInput[Call Direction],"I",tblPCSInput[Agent ID],$A185)/COUNTIFS(tblPCSInput[Call Date/Time],"&gt;="&amp;(SETUP!$B$5),tblPCSInput[Call Date/Time],"&lt;"&amp;(SETUP!$B$5+1),tblPCSInput[Call Direction],"I",tblPCSInput[Agent ID],$A185,tblPCSInput[Valid Q1],"&gt;=1"),"")</f>
        <v/>
      </c>
      <c r="J185" s="11">
        <f>IF(I185="","",COUNTIFS(tblPCSInput[Call Date/Time],"&gt;="&amp;(SETUP!$B$5),tblPCSInput[Call Date/Time],"&lt;"&amp;(SETUP!$B$5+1),tblPCSInput[Call Direction],"I",tblPCSInput[Agent ID],$A185,tblPCSInput[Valid Q1],"&lt;=3",tblPCSInput[Valid Q1],"&gt;=1"))</f>
        <v/>
      </c>
      <c r="K185" s="11">
        <f>IF(I185="","",COUNTIFS(tblPCSInput[Call Date/Time],"&gt;="&amp;(SETUP!$B$5),tblPCSInput[Call Date/Time],"&lt;"&amp;(SETUP!$B$5+1),tblPCSInput[Call Direction],"I",tblPCSInput[Agent ID],$A185,tblPCSInput[Valid Q1],"&gt;3"))</f>
        <v/>
      </c>
      <c r="L185" s="13">
        <f>IFERROR(G185/F185,"")</f>
        <v/>
      </c>
      <c r="M185" s="13">
        <f>IFERROR(H185/F185,"")</f>
        <v/>
      </c>
      <c r="N185" s="11">
        <f>IF($A185="","",MAX(0,G185-H185))</f>
        <v/>
      </c>
      <c r="O185" s="4">
        <f>IF($A185="","",IF(H185=0,"NO VALID SURVEY",IF(H185&lt;5,"LOW SAMPLE","OK")))</f>
        <v/>
      </c>
      <c r="P185" s="11">
        <f>IF($A185="","",COUNTIFS(tblPCSInput[Call Date/Time],"&gt;="&amp;(SETUP!$B$6),tblPCSInput[Call Date/Time],"&lt;"&amp;(SETUP!$B$7),tblPCSInput[Call Direction],"I",tblPCSInput[Agent ID],$A185,tblPCSInput[PCSStatus],1))</f>
        <v/>
      </c>
      <c r="Q185" s="11">
        <f>IF($A185="","",COUNTIFS(tblPCSInput[Call Date/Time],"&gt;="&amp;(SETUP!$B$6),tblPCSInput[Call Date/Time],"&lt;"&amp;(SETUP!$B$7),tblPCSInput[Call Direction],"I",tblPCSInput[Agent ID],$A185,tblPCSInput[Question 1],"&lt;&gt;"))</f>
        <v/>
      </c>
      <c r="R185" s="11">
        <f>IF($A185="","",COUNTIFS(tblPCSInput[Call Date/Time],"&gt;="&amp;(SETUP!$B$6),tblPCSInput[Call Date/Time],"&lt;"&amp;(SETUP!$B$7),tblPCSInput[Call Direction],"I",tblPCSInput[Agent ID],$A185,tblPCSInput[Valid Q1],"&gt;=1"))</f>
        <v/>
      </c>
      <c r="S185" s="12">
        <f>IFERROR(SUMIFS(tblPCSInput[Valid Q1],tblPCSInput[Call Date/Time],"&gt;="&amp;SETUP!$B$6,tblPCSInput[Call Date/Time],"&lt;"&amp;SETUP!$B$7,tblPCSInput[Call Direction],"I",tblPCSInput[Agent ID],$A185)/COUNTIFS(tblPCSInput[Call Date/Time],"&gt;="&amp;(SETUP!$B$6),tblPCSInput[Call Date/Time],"&lt;"&amp;(SETUP!$B$7),tblPCSInput[Call Direction],"I",tblPCSInput[Agent ID],$A185,tblPCSInput[Valid Q1],"&gt;=1"),"")</f>
        <v/>
      </c>
      <c r="T185" s="11">
        <f>IF(S185="","",COUNTIFS(tblPCSInput[Call Date/Time],"&gt;="&amp;(SETUP!$B$6),tblPCSInput[Call Date/Time],"&lt;"&amp;(SETUP!$B$7),tblPCSInput[Call Direction],"I",tblPCSInput[Agent ID],$A185,tblPCSInput[Valid Q1],"&lt;=3",tblPCSInput[Valid Q1],"&gt;=1"))</f>
        <v/>
      </c>
      <c r="U185" s="11">
        <f>IF(S185="","",COUNTIFS(tblPCSInput[Call Date/Time],"&gt;="&amp;(SETUP!$B$6),tblPCSInput[Call Date/Time],"&lt;"&amp;(SETUP!$B$7),tblPCSInput[Call Direction],"I",tblPCSInput[Agent ID],$A185,tblPCSInput[Valid Q1],"&gt;3"))</f>
        <v/>
      </c>
      <c r="V185" s="13">
        <f>IFERROR(Q185/P185,"")</f>
        <v/>
      </c>
      <c r="W185" s="13">
        <f>IFERROR(R185/P185,"")</f>
        <v/>
      </c>
    </row>
    <row r="186" spans="1:23">
      <c r="A186" s="4">
        <f>IF(ROSTER!A186="","",ROSTER!A186)</f>
        <v/>
      </c>
      <c r="B186" s="4">
        <f>IF($A186="","",ROSTER!C186)</f>
        <v/>
      </c>
      <c r="C186" s="4">
        <f>IF($A186="","",ROSTER!D186)</f>
        <v/>
      </c>
      <c r="D186" s="4">
        <f>IF($A186="","",ROSTER!E186)</f>
        <v/>
      </c>
      <c r="E186" s="4">
        <f>IF($A186="","",ROSTER!F186)</f>
        <v/>
      </c>
      <c r="F186" s="11">
        <f>IF($A186="","",COUNTIFS(tblPCSInput[Call Date/Time],"&gt;="&amp;(SETUP!$B$5),tblPCSInput[Call Date/Time],"&lt;"&amp;(SETUP!$B$5+1),tblPCSInput[Call Direction],"I",tblPCSInput[Agent ID],$A186,tblPCSInput[PCSStatus],1))</f>
        <v/>
      </c>
      <c r="G186" s="11">
        <f>IF($A186="","",COUNTIFS(tblPCSInput[Call Date/Time],"&gt;="&amp;(SETUP!$B$5),tblPCSInput[Call Date/Time],"&lt;"&amp;(SETUP!$B$5+1),tblPCSInput[Call Direction],"I",tblPCSInput[Agent ID],$A186,tblPCSInput[Question 1],"&lt;&gt;"))</f>
        <v/>
      </c>
      <c r="H186" s="11">
        <f>IF($A186="","",COUNTIFS(tblPCSInput[Call Date/Time],"&gt;="&amp;(SETUP!$B$5),tblPCSInput[Call Date/Time],"&lt;"&amp;(SETUP!$B$5+1),tblPCSInput[Call Direction],"I",tblPCSInput[Agent ID],$A186,tblPCSInput[Valid Q1],"&gt;=1"))</f>
        <v/>
      </c>
      <c r="I186" s="12">
        <f>IFERROR(SUMIFS(tblPCSInput[Valid Q1],tblPCSInput[Call Date/Time],"&gt;="&amp;SETUP!$B$5,tblPCSInput[Call Date/Time],"&lt;"&amp;SETUP!$B$5+1,tblPCSInput[Call Direction],"I",tblPCSInput[Agent ID],$A186)/COUNTIFS(tblPCSInput[Call Date/Time],"&gt;="&amp;(SETUP!$B$5),tblPCSInput[Call Date/Time],"&lt;"&amp;(SETUP!$B$5+1),tblPCSInput[Call Direction],"I",tblPCSInput[Agent ID],$A186,tblPCSInput[Valid Q1],"&gt;=1"),"")</f>
        <v/>
      </c>
      <c r="J186" s="11">
        <f>IF(I186="","",COUNTIFS(tblPCSInput[Call Date/Time],"&gt;="&amp;(SETUP!$B$5),tblPCSInput[Call Date/Time],"&lt;"&amp;(SETUP!$B$5+1),tblPCSInput[Call Direction],"I",tblPCSInput[Agent ID],$A186,tblPCSInput[Valid Q1],"&lt;=3",tblPCSInput[Valid Q1],"&gt;=1"))</f>
        <v/>
      </c>
      <c r="K186" s="11">
        <f>IF(I186="","",COUNTIFS(tblPCSInput[Call Date/Time],"&gt;="&amp;(SETUP!$B$5),tblPCSInput[Call Date/Time],"&lt;"&amp;(SETUP!$B$5+1),tblPCSInput[Call Direction],"I",tblPCSInput[Agent ID],$A186,tblPCSInput[Valid Q1],"&gt;3"))</f>
        <v/>
      </c>
      <c r="L186" s="13">
        <f>IFERROR(G186/F186,"")</f>
        <v/>
      </c>
      <c r="M186" s="13">
        <f>IFERROR(H186/F186,"")</f>
        <v/>
      </c>
      <c r="N186" s="11">
        <f>IF($A186="","",MAX(0,G186-H186))</f>
        <v/>
      </c>
      <c r="O186" s="4">
        <f>IF($A186="","",IF(H186=0,"NO VALID SURVEY",IF(H186&lt;5,"LOW SAMPLE","OK")))</f>
        <v/>
      </c>
      <c r="P186" s="11">
        <f>IF($A186="","",COUNTIFS(tblPCSInput[Call Date/Time],"&gt;="&amp;(SETUP!$B$6),tblPCSInput[Call Date/Time],"&lt;"&amp;(SETUP!$B$7),tblPCSInput[Call Direction],"I",tblPCSInput[Agent ID],$A186,tblPCSInput[PCSStatus],1))</f>
        <v/>
      </c>
      <c r="Q186" s="11">
        <f>IF($A186="","",COUNTIFS(tblPCSInput[Call Date/Time],"&gt;="&amp;(SETUP!$B$6),tblPCSInput[Call Date/Time],"&lt;"&amp;(SETUP!$B$7),tblPCSInput[Call Direction],"I",tblPCSInput[Agent ID],$A186,tblPCSInput[Question 1],"&lt;&gt;"))</f>
        <v/>
      </c>
      <c r="R186" s="11">
        <f>IF($A186="","",COUNTIFS(tblPCSInput[Call Date/Time],"&gt;="&amp;(SETUP!$B$6),tblPCSInput[Call Date/Time],"&lt;"&amp;(SETUP!$B$7),tblPCSInput[Call Direction],"I",tblPCSInput[Agent ID],$A186,tblPCSInput[Valid Q1],"&gt;=1"))</f>
        <v/>
      </c>
      <c r="S186" s="12">
        <f>IFERROR(SUMIFS(tblPCSInput[Valid Q1],tblPCSInput[Call Date/Time],"&gt;="&amp;SETUP!$B$6,tblPCSInput[Call Date/Time],"&lt;"&amp;SETUP!$B$7,tblPCSInput[Call Direction],"I",tblPCSInput[Agent ID],$A186)/COUNTIFS(tblPCSInput[Call Date/Time],"&gt;="&amp;(SETUP!$B$6),tblPCSInput[Call Date/Time],"&lt;"&amp;(SETUP!$B$7),tblPCSInput[Call Direction],"I",tblPCSInput[Agent ID],$A186,tblPCSInput[Valid Q1],"&gt;=1"),"")</f>
        <v/>
      </c>
      <c r="T186" s="11">
        <f>IF(S186="","",COUNTIFS(tblPCSInput[Call Date/Time],"&gt;="&amp;(SETUP!$B$6),tblPCSInput[Call Date/Time],"&lt;"&amp;(SETUP!$B$7),tblPCSInput[Call Direction],"I",tblPCSInput[Agent ID],$A186,tblPCSInput[Valid Q1],"&lt;=3",tblPCSInput[Valid Q1],"&gt;=1"))</f>
        <v/>
      </c>
      <c r="U186" s="11">
        <f>IF(S186="","",COUNTIFS(tblPCSInput[Call Date/Time],"&gt;="&amp;(SETUP!$B$6),tblPCSInput[Call Date/Time],"&lt;"&amp;(SETUP!$B$7),tblPCSInput[Call Direction],"I",tblPCSInput[Agent ID],$A186,tblPCSInput[Valid Q1],"&gt;3"))</f>
        <v/>
      </c>
      <c r="V186" s="13">
        <f>IFERROR(Q186/P186,"")</f>
        <v/>
      </c>
      <c r="W186" s="13">
        <f>IFERROR(R186/P186,"")</f>
        <v/>
      </c>
    </row>
    <row r="187" spans="1:23">
      <c r="A187" s="4">
        <f>IF(ROSTER!A187="","",ROSTER!A187)</f>
        <v/>
      </c>
      <c r="B187" s="4">
        <f>IF($A187="","",ROSTER!C187)</f>
        <v/>
      </c>
      <c r="C187" s="4">
        <f>IF($A187="","",ROSTER!D187)</f>
        <v/>
      </c>
      <c r="D187" s="4">
        <f>IF($A187="","",ROSTER!E187)</f>
        <v/>
      </c>
      <c r="E187" s="4">
        <f>IF($A187="","",ROSTER!F187)</f>
        <v/>
      </c>
      <c r="F187" s="11">
        <f>IF($A187="","",COUNTIFS(tblPCSInput[Call Date/Time],"&gt;="&amp;(SETUP!$B$5),tblPCSInput[Call Date/Time],"&lt;"&amp;(SETUP!$B$5+1),tblPCSInput[Call Direction],"I",tblPCSInput[Agent ID],$A187,tblPCSInput[PCSStatus],1))</f>
        <v/>
      </c>
      <c r="G187" s="11">
        <f>IF($A187="","",COUNTIFS(tblPCSInput[Call Date/Time],"&gt;="&amp;(SETUP!$B$5),tblPCSInput[Call Date/Time],"&lt;"&amp;(SETUP!$B$5+1),tblPCSInput[Call Direction],"I",tblPCSInput[Agent ID],$A187,tblPCSInput[Question 1],"&lt;&gt;"))</f>
        <v/>
      </c>
      <c r="H187" s="11">
        <f>IF($A187="","",COUNTIFS(tblPCSInput[Call Date/Time],"&gt;="&amp;(SETUP!$B$5),tblPCSInput[Call Date/Time],"&lt;"&amp;(SETUP!$B$5+1),tblPCSInput[Call Direction],"I",tblPCSInput[Agent ID],$A187,tblPCSInput[Valid Q1],"&gt;=1"))</f>
        <v/>
      </c>
      <c r="I187" s="12">
        <f>IFERROR(SUMIFS(tblPCSInput[Valid Q1],tblPCSInput[Call Date/Time],"&gt;="&amp;SETUP!$B$5,tblPCSInput[Call Date/Time],"&lt;"&amp;SETUP!$B$5+1,tblPCSInput[Call Direction],"I",tblPCSInput[Agent ID],$A187)/COUNTIFS(tblPCSInput[Call Date/Time],"&gt;="&amp;(SETUP!$B$5),tblPCSInput[Call Date/Time],"&lt;"&amp;(SETUP!$B$5+1),tblPCSInput[Call Direction],"I",tblPCSInput[Agent ID],$A187,tblPCSInput[Valid Q1],"&gt;=1"),"")</f>
        <v/>
      </c>
      <c r="J187" s="11">
        <f>IF(I187="","",COUNTIFS(tblPCSInput[Call Date/Time],"&gt;="&amp;(SETUP!$B$5),tblPCSInput[Call Date/Time],"&lt;"&amp;(SETUP!$B$5+1),tblPCSInput[Call Direction],"I",tblPCSInput[Agent ID],$A187,tblPCSInput[Valid Q1],"&lt;=3",tblPCSInput[Valid Q1],"&gt;=1"))</f>
        <v/>
      </c>
      <c r="K187" s="11">
        <f>IF(I187="","",COUNTIFS(tblPCSInput[Call Date/Time],"&gt;="&amp;(SETUP!$B$5),tblPCSInput[Call Date/Time],"&lt;"&amp;(SETUP!$B$5+1),tblPCSInput[Call Direction],"I",tblPCSInput[Agent ID],$A187,tblPCSInput[Valid Q1],"&gt;3"))</f>
        <v/>
      </c>
      <c r="L187" s="13">
        <f>IFERROR(G187/F187,"")</f>
        <v/>
      </c>
      <c r="M187" s="13">
        <f>IFERROR(H187/F187,"")</f>
        <v/>
      </c>
      <c r="N187" s="11">
        <f>IF($A187="","",MAX(0,G187-H187))</f>
        <v/>
      </c>
      <c r="O187" s="4">
        <f>IF($A187="","",IF(H187=0,"NO VALID SURVEY",IF(H187&lt;5,"LOW SAMPLE","OK")))</f>
        <v/>
      </c>
      <c r="P187" s="11">
        <f>IF($A187="","",COUNTIFS(tblPCSInput[Call Date/Time],"&gt;="&amp;(SETUP!$B$6),tblPCSInput[Call Date/Time],"&lt;"&amp;(SETUP!$B$7),tblPCSInput[Call Direction],"I",tblPCSInput[Agent ID],$A187,tblPCSInput[PCSStatus],1))</f>
        <v/>
      </c>
      <c r="Q187" s="11">
        <f>IF($A187="","",COUNTIFS(tblPCSInput[Call Date/Time],"&gt;="&amp;(SETUP!$B$6),tblPCSInput[Call Date/Time],"&lt;"&amp;(SETUP!$B$7),tblPCSInput[Call Direction],"I",tblPCSInput[Agent ID],$A187,tblPCSInput[Question 1],"&lt;&gt;"))</f>
        <v/>
      </c>
      <c r="R187" s="11">
        <f>IF($A187="","",COUNTIFS(tblPCSInput[Call Date/Time],"&gt;="&amp;(SETUP!$B$6),tblPCSInput[Call Date/Time],"&lt;"&amp;(SETUP!$B$7),tblPCSInput[Call Direction],"I",tblPCSInput[Agent ID],$A187,tblPCSInput[Valid Q1],"&gt;=1"))</f>
        <v/>
      </c>
      <c r="S187" s="12">
        <f>IFERROR(SUMIFS(tblPCSInput[Valid Q1],tblPCSInput[Call Date/Time],"&gt;="&amp;SETUP!$B$6,tblPCSInput[Call Date/Time],"&lt;"&amp;SETUP!$B$7,tblPCSInput[Call Direction],"I",tblPCSInput[Agent ID],$A187)/COUNTIFS(tblPCSInput[Call Date/Time],"&gt;="&amp;(SETUP!$B$6),tblPCSInput[Call Date/Time],"&lt;"&amp;(SETUP!$B$7),tblPCSInput[Call Direction],"I",tblPCSInput[Agent ID],$A187,tblPCSInput[Valid Q1],"&gt;=1"),"")</f>
        <v/>
      </c>
      <c r="T187" s="11">
        <f>IF(S187="","",COUNTIFS(tblPCSInput[Call Date/Time],"&gt;="&amp;(SETUP!$B$6),tblPCSInput[Call Date/Time],"&lt;"&amp;(SETUP!$B$7),tblPCSInput[Call Direction],"I",tblPCSInput[Agent ID],$A187,tblPCSInput[Valid Q1],"&lt;=3",tblPCSInput[Valid Q1],"&gt;=1"))</f>
        <v/>
      </c>
      <c r="U187" s="11">
        <f>IF(S187="","",COUNTIFS(tblPCSInput[Call Date/Time],"&gt;="&amp;(SETUP!$B$6),tblPCSInput[Call Date/Time],"&lt;"&amp;(SETUP!$B$7),tblPCSInput[Call Direction],"I",tblPCSInput[Agent ID],$A187,tblPCSInput[Valid Q1],"&gt;3"))</f>
        <v/>
      </c>
      <c r="V187" s="13">
        <f>IFERROR(Q187/P187,"")</f>
        <v/>
      </c>
      <c r="W187" s="13">
        <f>IFERROR(R187/P187,"")</f>
        <v/>
      </c>
    </row>
    <row r="188" spans="1:23">
      <c r="A188" s="4">
        <f>IF(ROSTER!A188="","",ROSTER!A188)</f>
        <v/>
      </c>
      <c r="B188" s="4">
        <f>IF($A188="","",ROSTER!C188)</f>
        <v/>
      </c>
      <c r="C188" s="4">
        <f>IF($A188="","",ROSTER!D188)</f>
        <v/>
      </c>
      <c r="D188" s="4">
        <f>IF($A188="","",ROSTER!E188)</f>
        <v/>
      </c>
      <c r="E188" s="4">
        <f>IF($A188="","",ROSTER!F188)</f>
        <v/>
      </c>
      <c r="F188" s="11">
        <f>IF($A188="","",COUNTIFS(tblPCSInput[Call Date/Time],"&gt;="&amp;(SETUP!$B$5),tblPCSInput[Call Date/Time],"&lt;"&amp;(SETUP!$B$5+1),tblPCSInput[Call Direction],"I",tblPCSInput[Agent ID],$A188,tblPCSInput[PCSStatus],1))</f>
        <v/>
      </c>
      <c r="G188" s="11">
        <f>IF($A188="","",COUNTIFS(tblPCSInput[Call Date/Time],"&gt;="&amp;(SETUP!$B$5),tblPCSInput[Call Date/Time],"&lt;"&amp;(SETUP!$B$5+1),tblPCSInput[Call Direction],"I",tblPCSInput[Agent ID],$A188,tblPCSInput[Question 1],"&lt;&gt;"))</f>
        <v/>
      </c>
      <c r="H188" s="11">
        <f>IF($A188="","",COUNTIFS(tblPCSInput[Call Date/Time],"&gt;="&amp;(SETUP!$B$5),tblPCSInput[Call Date/Time],"&lt;"&amp;(SETUP!$B$5+1),tblPCSInput[Call Direction],"I",tblPCSInput[Agent ID],$A188,tblPCSInput[Valid Q1],"&gt;=1"))</f>
        <v/>
      </c>
      <c r="I188" s="12">
        <f>IFERROR(SUMIFS(tblPCSInput[Valid Q1],tblPCSInput[Call Date/Time],"&gt;="&amp;SETUP!$B$5,tblPCSInput[Call Date/Time],"&lt;"&amp;SETUP!$B$5+1,tblPCSInput[Call Direction],"I",tblPCSInput[Agent ID],$A188)/COUNTIFS(tblPCSInput[Call Date/Time],"&gt;="&amp;(SETUP!$B$5),tblPCSInput[Call Date/Time],"&lt;"&amp;(SETUP!$B$5+1),tblPCSInput[Call Direction],"I",tblPCSInput[Agent ID],$A188,tblPCSInput[Valid Q1],"&gt;=1"),"")</f>
        <v/>
      </c>
      <c r="J188" s="11">
        <f>IF(I188="","",COUNTIFS(tblPCSInput[Call Date/Time],"&gt;="&amp;(SETUP!$B$5),tblPCSInput[Call Date/Time],"&lt;"&amp;(SETUP!$B$5+1),tblPCSInput[Call Direction],"I",tblPCSInput[Agent ID],$A188,tblPCSInput[Valid Q1],"&lt;=3",tblPCSInput[Valid Q1],"&gt;=1"))</f>
        <v/>
      </c>
      <c r="K188" s="11">
        <f>IF(I188="","",COUNTIFS(tblPCSInput[Call Date/Time],"&gt;="&amp;(SETUP!$B$5),tblPCSInput[Call Date/Time],"&lt;"&amp;(SETUP!$B$5+1),tblPCSInput[Call Direction],"I",tblPCSInput[Agent ID],$A188,tblPCSInput[Valid Q1],"&gt;3"))</f>
        <v/>
      </c>
      <c r="L188" s="13">
        <f>IFERROR(G188/F188,"")</f>
        <v/>
      </c>
      <c r="M188" s="13">
        <f>IFERROR(H188/F188,"")</f>
        <v/>
      </c>
      <c r="N188" s="11">
        <f>IF($A188="","",MAX(0,G188-H188))</f>
        <v/>
      </c>
      <c r="O188" s="4">
        <f>IF($A188="","",IF(H188=0,"NO VALID SURVEY",IF(H188&lt;5,"LOW SAMPLE","OK")))</f>
        <v/>
      </c>
      <c r="P188" s="11">
        <f>IF($A188="","",COUNTIFS(tblPCSInput[Call Date/Time],"&gt;="&amp;(SETUP!$B$6),tblPCSInput[Call Date/Time],"&lt;"&amp;(SETUP!$B$7),tblPCSInput[Call Direction],"I",tblPCSInput[Agent ID],$A188,tblPCSInput[PCSStatus],1))</f>
        <v/>
      </c>
      <c r="Q188" s="11">
        <f>IF($A188="","",COUNTIFS(tblPCSInput[Call Date/Time],"&gt;="&amp;(SETUP!$B$6),tblPCSInput[Call Date/Time],"&lt;"&amp;(SETUP!$B$7),tblPCSInput[Call Direction],"I",tblPCSInput[Agent ID],$A188,tblPCSInput[Question 1],"&lt;&gt;"))</f>
        <v/>
      </c>
      <c r="R188" s="11">
        <f>IF($A188="","",COUNTIFS(tblPCSInput[Call Date/Time],"&gt;="&amp;(SETUP!$B$6),tblPCSInput[Call Date/Time],"&lt;"&amp;(SETUP!$B$7),tblPCSInput[Call Direction],"I",tblPCSInput[Agent ID],$A188,tblPCSInput[Valid Q1],"&gt;=1"))</f>
        <v/>
      </c>
      <c r="S188" s="12">
        <f>IFERROR(SUMIFS(tblPCSInput[Valid Q1],tblPCSInput[Call Date/Time],"&gt;="&amp;SETUP!$B$6,tblPCSInput[Call Date/Time],"&lt;"&amp;SETUP!$B$7,tblPCSInput[Call Direction],"I",tblPCSInput[Agent ID],$A188)/COUNTIFS(tblPCSInput[Call Date/Time],"&gt;="&amp;(SETUP!$B$6),tblPCSInput[Call Date/Time],"&lt;"&amp;(SETUP!$B$7),tblPCSInput[Call Direction],"I",tblPCSInput[Agent ID],$A188,tblPCSInput[Valid Q1],"&gt;=1"),"")</f>
        <v/>
      </c>
      <c r="T188" s="11">
        <f>IF(S188="","",COUNTIFS(tblPCSInput[Call Date/Time],"&gt;="&amp;(SETUP!$B$6),tblPCSInput[Call Date/Time],"&lt;"&amp;(SETUP!$B$7),tblPCSInput[Call Direction],"I",tblPCSInput[Agent ID],$A188,tblPCSInput[Valid Q1],"&lt;=3",tblPCSInput[Valid Q1],"&gt;=1"))</f>
        <v/>
      </c>
      <c r="U188" s="11">
        <f>IF(S188="","",COUNTIFS(tblPCSInput[Call Date/Time],"&gt;="&amp;(SETUP!$B$6),tblPCSInput[Call Date/Time],"&lt;"&amp;(SETUP!$B$7),tblPCSInput[Call Direction],"I",tblPCSInput[Agent ID],$A188,tblPCSInput[Valid Q1],"&gt;3"))</f>
        <v/>
      </c>
      <c r="V188" s="13">
        <f>IFERROR(Q188/P188,"")</f>
        <v/>
      </c>
      <c r="W188" s="13">
        <f>IFERROR(R188/P188,"")</f>
        <v/>
      </c>
    </row>
    <row r="189" spans="1:23">
      <c r="A189" s="4">
        <f>IF(ROSTER!A189="","",ROSTER!A189)</f>
        <v/>
      </c>
      <c r="B189" s="4">
        <f>IF($A189="","",ROSTER!C189)</f>
        <v/>
      </c>
      <c r="C189" s="4">
        <f>IF($A189="","",ROSTER!D189)</f>
        <v/>
      </c>
      <c r="D189" s="4">
        <f>IF($A189="","",ROSTER!E189)</f>
        <v/>
      </c>
      <c r="E189" s="4">
        <f>IF($A189="","",ROSTER!F189)</f>
        <v/>
      </c>
      <c r="F189" s="11">
        <f>IF($A189="","",COUNTIFS(tblPCSInput[Call Date/Time],"&gt;="&amp;(SETUP!$B$5),tblPCSInput[Call Date/Time],"&lt;"&amp;(SETUP!$B$5+1),tblPCSInput[Call Direction],"I",tblPCSInput[Agent ID],$A189,tblPCSInput[PCSStatus],1))</f>
        <v/>
      </c>
      <c r="G189" s="11">
        <f>IF($A189="","",COUNTIFS(tblPCSInput[Call Date/Time],"&gt;="&amp;(SETUP!$B$5),tblPCSInput[Call Date/Time],"&lt;"&amp;(SETUP!$B$5+1),tblPCSInput[Call Direction],"I",tblPCSInput[Agent ID],$A189,tblPCSInput[Question 1],"&lt;&gt;"))</f>
        <v/>
      </c>
      <c r="H189" s="11">
        <f>IF($A189="","",COUNTIFS(tblPCSInput[Call Date/Time],"&gt;="&amp;(SETUP!$B$5),tblPCSInput[Call Date/Time],"&lt;"&amp;(SETUP!$B$5+1),tblPCSInput[Call Direction],"I",tblPCSInput[Agent ID],$A189,tblPCSInput[Valid Q1],"&gt;=1"))</f>
        <v/>
      </c>
      <c r="I189" s="12">
        <f>IFERROR(SUMIFS(tblPCSInput[Valid Q1],tblPCSInput[Call Date/Time],"&gt;="&amp;SETUP!$B$5,tblPCSInput[Call Date/Time],"&lt;"&amp;SETUP!$B$5+1,tblPCSInput[Call Direction],"I",tblPCSInput[Agent ID],$A189)/COUNTIFS(tblPCSInput[Call Date/Time],"&gt;="&amp;(SETUP!$B$5),tblPCSInput[Call Date/Time],"&lt;"&amp;(SETUP!$B$5+1),tblPCSInput[Call Direction],"I",tblPCSInput[Agent ID],$A189,tblPCSInput[Valid Q1],"&gt;=1"),"")</f>
        <v/>
      </c>
      <c r="J189" s="11">
        <f>IF(I189="","",COUNTIFS(tblPCSInput[Call Date/Time],"&gt;="&amp;(SETUP!$B$5),tblPCSInput[Call Date/Time],"&lt;"&amp;(SETUP!$B$5+1),tblPCSInput[Call Direction],"I",tblPCSInput[Agent ID],$A189,tblPCSInput[Valid Q1],"&lt;=3",tblPCSInput[Valid Q1],"&gt;=1"))</f>
        <v/>
      </c>
      <c r="K189" s="11">
        <f>IF(I189="","",COUNTIFS(tblPCSInput[Call Date/Time],"&gt;="&amp;(SETUP!$B$5),tblPCSInput[Call Date/Time],"&lt;"&amp;(SETUP!$B$5+1),tblPCSInput[Call Direction],"I",tblPCSInput[Agent ID],$A189,tblPCSInput[Valid Q1],"&gt;3"))</f>
        <v/>
      </c>
      <c r="L189" s="13">
        <f>IFERROR(G189/F189,"")</f>
        <v/>
      </c>
      <c r="M189" s="13">
        <f>IFERROR(H189/F189,"")</f>
        <v/>
      </c>
      <c r="N189" s="11">
        <f>IF($A189="","",MAX(0,G189-H189))</f>
        <v/>
      </c>
      <c r="O189" s="4">
        <f>IF($A189="","",IF(H189=0,"NO VALID SURVEY",IF(H189&lt;5,"LOW SAMPLE","OK")))</f>
        <v/>
      </c>
      <c r="P189" s="11">
        <f>IF($A189="","",COUNTIFS(tblPCSInput[Call Date/Time],"&gt;="&amp;(SETUP!$B$6),tblPCSInput[Call Date/Time],"&lt;"&amp;(SETUP!$B$7),tblPCSInput[Call Direction],"I",tblPCSInput[Agent ID],$A189,tblPCSInput[PCSStatus],1))</f>
        <v/>
      </c>
      <c r="Q189" s="11">
        <f>IF($A189="","",COUNTIFS(tblPCSInput[Call Date/Time],"&gt;="&amp;(SETUP!$B$6),tblPCSInput[Call Date/Time],"&lt;"&amp;(SETUP!$B$7),tblPCSInput[Call Direction],"I",tblPCSInput[Agent ID],$A189,tblPCSInput[Question 1],"&lt;&gt;"))</f>
        <v/>
      </c>
      <c r="R189" s="11">
        <f>IF($A189="","",COUNTIFS(tblPCSInput[Call Date/Time],"&gt;="&amp;(SETUP!$B$6),tblPCSInput[Call Date/Time],"&lt;"&amp;(SETUP!$B$7),tblPCSInput[Call Direction],"I",tblPCSInput[Agent ID],$A189,tblPCSInput[Valid Q1],"&gt;=1"))</f>
        <v/>
      </c>
      <c r="S189" s="12">
        <f>IFERROR(SUMIFS(tblPCSInput[Valid Q1],tblPCSInput[Call Date/Time],"&gt;="&amp;SETUP!$B$6,tblPCSInput[Call Date/Time],"&lt;"&amp;SETUP!$B$7,tblPCSInput[Call Direction],"I",tblPCSInput[Agent ID],$A189)/COUNTIFS(tblPCSInput[Call Date/Time],"&gt;="&amp;(SETUP!$B$6),tblPCSInput[Call Date/Time],"&lt;"&amp;(SETUP!$B$7),tblPCSInput[Call Direction],"I",tblPCSInput[Agent ID],$A189,tblPCSInput[Valid Q1],"&gt;=1"),"")</f>
        <v/>
      </c>
      <c r="T189" s="11">
        <f>IF(S189="","",COUNTIFS(tblPCSInput[Call Date/Time],"&gt;="&amp;(SETUP!$B$6),tblPCSInput[Call Date/Time],"&lt;"&amp;(SETUP!$B$7),tblPCSInput[Call Direction],"I",tblPCSInput[Agent ID],$A189,tblPCSInput[Valid Q1],"&lt;=3",tblPCSInput[Valid Q1],"&gt;=1"))</f>
        <v/>
      </c>
      <c r="U189" s="11">
        <f>IF(S189="","",COUNTIFS(tblPCSInput[Call Date/Time],"&gt;="&amp;(SETUP!$B$6),tblPCSInput[Call Date/Time],"&lt;"&amp;(SETUP!$B$7),tblPCSInput[Call Direction],"I",tblPCSInput[Agent ID],$A189,tblPCSInput[Valid Q1],"&gt;3"))</f>
        <v/>
      </c>
      <c r="V189" s="13">
        <f>IFERROR(Q189/P189,"")</f>
        <v/>
      </c>
      <c r="W189" s="13">
        <f>IFERROR(R189/P189,"")</f>
        <v/>
      </c>
    </row>
    <row r="190" spans="1:23">
      <c r="A190" s="4">
        <f>IF(ROSTER!A190="","",ROSTER!A190)</f>
        <v/>
      </c>
      <c r="B190" s="4">
        <f>IF($A190="","",ROSTER!C190)</f>
        <v/>
      </c>
      <c r="C190" s="4">
        <f>IF($A190="","",ROSTER!D190)</f>
        <v/>
      </c>
      <c r="D190" s="4">
        <f>IF($A190="","",ROSTER!E190)</f>
        <v/>
      </c>
      <c r="E190" s="4">
        <f>IF($A190="","",ROSTER!F190)</f>
        <v/>
      </c>
      <c r="F190" s="11">
        <f>IF($A190="","",COUNTIFS(tblPCSInput[Call Date/Time],"&gt;="&amp;(SETUP!$B$5),tblPCSInput[Call Date/Time],"&lt;"&amp;(SETUP!$B$5+1),tblPCSInput[Call Direction],"I",tblPCSInput[Agent ID],$A190,tblPCSInput[PCSStatus],1))</f>
        <v/>
      </c>
      <c r="G190" s="11">
        <f>IF($A190="","",COUNTIFS(tblPCSInput[Call Date/Time],"&gt;="&amp;(SETUP!$B$5),tblPCSInput[Call Date/Time],"&lt;"&amp;(SETUP!$B$5+1),tblPCSInput[Call Direction],"I",tblPCSInput[Agent ID],$A190,tblPCSInput[Question 1],"&lt;&gt;"))</f>
        <v/>
      </c>
      <c r="H190" s="11">
        <f>IF($A190="","",COUNTIFS(tblPCSInput[Call Date/Time],"&gt;="&amp;(SETUP!$B$5),tblPCSInput[Call Date/Time],"&lt;"&amp;(SETUP!$B$5+1),tblPCSInput[Call Direction],"I",tblPCSInput[Agent ID],$A190,tblPCSInput[Valid Q1],"&gt;=1"))</f>
        <v/>
      </c>
      <c r="I190" s="12">
        <f>IFERROR(SUMIFS(tblPCSInput[Valid Q1],tblPCSInput[Call Date/Time],"&gt;="&amp;SETUP!$B$5,tblPCSInput[Call Date/Time],"&lt;"&amp;SETUP!$B$5+1,tblPCSInput[Call Direction],"I",tblPCSInput[Agent ID],$A190)/COUNTIFS(tblPCSInput[Call Date/Time],"&gt;="&amp;(SETUP!$B$5),tblPCSInput[Call Date/Time],"&lt;"&amp;(SETUP!$B$5+1),tblPCSInput[Call Direction],"I",tblPCSInput[Agent ID],$A190,tblPCSInput[Valid Q1],"&gt;=1"),"")</f>
        <v/>
      </c>
      <c r="J190" s="11">
        <f>IF(I190="","",COUNTIFS(tblPCSInput[Call Date/Time],"&gt;="&amp;(SETUP!$B$5),tblPCSInput[Call Date/Time],"&lt;"&amp;(SETUP!$B$5+1),tblPCSInput[Call Direction],"I",tblPCSInput[Agent ID],$A190,tblPCSInput[Valid Q1],"&lt;=3",tblPCSInput[Valid Q1],"&gt;=1"))</f>
        <v/>
      </c>
      <c r="K190" s="11">
        <f>IF(I190="","",COUNTIFS(tblPCSInput[Call Date/Time],"&gt;="&amp;(SETUP!$B$5),tblPCSInput[Call Date/Time],"&lt;"&amp;(SETUP!$B$5+1),tblPCSInput[Call Direction],"I",tblPCSInput[Agent ID],$A190,tblPCSInput[Valid Q1],"&gt;3"))</f>
        <v/>
      </c>
      <c r="L190" s="13">
        <f>IFERROR(G190/F190,"")</f>
        <v/>
      </c>
      <c r="M190" s="13">
        <f>IFERROR(H190/F190,"")</f>
        <v/>
      </c>
      <c r="N190" s="11">
        <f>IF($A190="","",MAX(0,G190-H190))</f>
        <v/>
      </c>
      <c r="O190" s="4">
        <f>IF($A190="","",IF(H190=0,"NO VALID SURVEY",IF(H190&lt;5,"LOW SAMPLE","OK")))</f>
        <v/>
      </c>
      <c r="P190" s="11">
        <f>IF($A190="","",COUNTIFS(tblPCSInput[Call Date/Time],"&gt;="&amp;(SETUP!$B$6),tblPCSInput[Call Date/Time],"&lt;"&amp;(SETUP!$B$7),tblPCSInput[Call Direction],"I",tblPCSInput[Agent ID],$A190,tblPCSInput[PCSStatus],1))</f>
        <v/>
      </c>
      <c r="Q190" s="11">
        <f>IF($A190="","",COUNTIFS(tblPCSInput[Call Date/Time],"&gt;="&amp;(SETUP!$B$6),tblPCSInput[Call Date/Time],"&lt;"&amp;(SETUP!$B$7),tblPCSInput[Call Direction],"I",tblPCSInput[Agent ID],$A190,tblPCSInput[Question 1],"&lt;&gt;"))</f>
        <v/>
      </c>
      <c r="R190" s="11">
        <f>IF($A190="","",COUNTIFS(tblPCSInput[Call Date/Time],"&gt;="&amp;(SETUP!$B$6),tblPCSInput[Call Date/Time],"&lt;"&amp;(SETUP!$B$7),tblPCSInput[Call Direction],"I",tblPCSInput[Agent ID],$A190,tblPCSInput[Valid Q1],"&gt;=1"))</f>
        <v/>
      </c>
      <c r="S190" s="12">
        <f>IFERROR(SUMIFS(tblPCSInput[Valid Q1],tblPCSInput[Call Date/Time],"&gt;="&amp;SETUP!$B$6,tblPCSInput[Call Date/Time],"&lt;"&amp;SETUP!$B$7,tblPCSInput[Call Direction],"I",tblPCSInput[Agent ID],$A190)/COUNTIFS(tblPCSInput[Call Date/Time],"&gt;="&amp;(SETUP!$B$6),tblPCSInput[Call Date/Time],"&lt;"&amp;(SETUP!$B$7),tblPCSInput[Call Direction],"I",tblPCSInput[Agent ID],$A190,tblPCSInput[Valid Q1],"&gt;=1"),"")</f>
        <v/>
      </c>
      <c r="T190" s="11">
        <f>IF(S190="","",COUNTIFS(tblPCSInput[Call Date/Time],"&gt;="&amp;(SETUP!$B$6),tblPCSInput[Call Date/Time],"&lt;"&amp;(SETUP!$B$7),tblPCSInput[Call Direction],"I",tblPCSInput[Agent ID],$A190,tblPCSInput[Valid Q1],"&lt;=3",tblPCSInput[Valid Q1],"&gt;=1"))</f>
        <v/>
      </c>
      <c r="U190" s="11">
        <f>IF(S190="","",COUNTIFS(tblPCSInput[Call Date/Time],"&gt;="&amp;(SETUP!$B$6),tblPCSInput[Call Date/Time],"&lt;"&amp;(SETUP!$B$7),tblPCSInput[Call Direction],"I",tblPCSInput[Agent ID],$A190,tblPCSInput[Valid Q1],"&gt;3"))</f>
        <v/>
      </c>
      <c r="V190" s="13">
        <f>IFERROR(Q190/P190,"")</f>
        <v/>
      </c>
      <c r="W190" s="13">
        <f>IFERROR(R190/P190,"")</f>
        <v/>
      </c>
    </row>
    <row r="191" spans="1:23">
      <c r="A191" s="4">
        <f>IF(ROSTER!A191="","",ROSTER!A191)</f>
        <v/>
      </c>
      <c r="B191" s="4">
        <f>IF($A191="","",ROSTER!C191)</f>
        <v/>
      </c>
      <c r="C191" s="4">
        <f>IF($A191="","",ROSTER!D191)</f>
        <v/>
      </c>
      <c r="D191" s="4">
        <f>IF($A191="","",ROSTER!E191)</f>
        <v/>
      </c>
      <c r="E191" s="4">
        <f>IF($A191="","",ROSTER!F191)</f>
        <v/>
      </c>
      <c r="F191" s="11">
        <f>IF($A191="","",COUNTIFS(tblPCSInput[Call Date/Time],"&gt;="&amp;(SETUP!$B$5),tblPCSInput[Call Date/Time],"&lt;"&amp;(SETUP!$B$5+1),tblPCSInput[Call Direction],"I",tblPCSInput[Agent ID],$A191,tblPCSInput[PCSStatus],1))</f>
        <v/>
      </c>
      <c r="G191" s="11">
        <f>IF($A191="","",COUNTIFS(tblPCSInput[Call Date/Time],"&gt;="&amp;(SETUP!$B$5),tblPCSInput[Call Date/Time],"&lt;"&amp;(SETUP!$B$5+1),tblPCSInput[Call Direction],"I",tblPCSInput[Agent ID],$A191,tblPCSInput[Question 1],"&lt;&gt;"))</f>
        <v/>
      </c>
      <c r="H191" s="11">
        <f>IF($A191="","",COUNTIFS(tblPCSInput[Call Date/Time],"&gt;="&amp;(SETUP!$B$5),tblPCSInput[Call Date/Time],"&lt;"&amp;(SETUP!$B$5+1),tblPCSInput[Call Direction],"I",tblPCSInput[Agent ID],$A191,tblPCSInput[Valid Q1],"&gt;=1"))</f>
        <v/>
      </c>
      <c r="I191" s="12">
        <f>IFERROR(SUMIFS(tblPCSInput[Valid Q1],tblPCSInput[Call Date/Time],"&gt;="&amp;SETUP!$B$5,tblPCSInput[Call Date/Time],"&lt;"&amp;SETUP!$B$5+1,tblPCSInput[Call Direction],"I",tblPCSInput[Agent ID],$A191)/COUNTIFS(tblPCSInput[Call Date/Time],"&gt;="&amp;(SETUP!$B$5),tblPCSInput[Call Date/Time],"&lt;"&amp;(SETUP!$B$5+1),tblPCSInput[Call Direction],"I",tblPCSInput[Agent ID],$A191,tblPCSInput[Valid Q1],"&gt;=1"),"")</f>
        <v/>
      </c>
      <c r="J191" s="11">
        <f>IF(I191="","",COUNTIFS(tblPCSInput[Call Date/Time],"&gt;="&amp;(SETUP!$B$5),tblPCSInput[Call Date/Time],"&lt;"&amp;(SETUP!$B$5+1),tblPCSInput[Call Direction],"I",tblPCSInput[Agent ID],$A191,tblPCSInput[Valid Q1],"&lt;=3",tblPCSInput[Valid Q1],"&gt;=1"))</f>
        <v/>
      </c>
      <c r="K191" s="11">
        <f>IF(I191="","",COUNTIFS(tblPCSInput[Call Date/Time],"&gt;="&amp;(SETUP!$B$5),tblPCSInput[Call Date/Time],"&lt;"&amp;(SETUP!$B$5+1),tblPCSInput[Call Direction],"I",tblPCSInput[Agent ID],$A191,tblPCSInput[Valid Q1],"&gt;3"))</f>
        <v/>
      </c>
      <c r="L191" s="13">
        <f>IFERROR(G191/F191,"")</f>
        <v/>
      </c>
      <c r="M191" s="13">
        <f>IFERROR(H191/F191,"")</f>
        <v/>
      </c>
      <c r="N191" s="11">
        <f>IF($A191="","",MAX(0,G191-H191))</f>
        <v/>
      </c>
      <c r="O191" s="4">
        <f>IF($A191="","",IF(H191=0,"NO VALID SURVEY",IF(H191&lt;5,"LOW SAMPLE","OK")))</f>
        <v/>
      </c>
      <c r="P191" s="11">
        <f>IF($A191="","",COUNTIFS(tblPCSInput[Call Date/Time],"&gt;="&amp;(SETUP!$B$6),tblPCSInput[Call Date/Time],"&lt;"&amp;(SETUP!$B$7),tblPCSInput[Call Direction],"I",tblPCSInput[Agent ID],$A191,tblPCSInput[PCSStatus],1))</f>
        <v/>
      </c>
      <c r="Q191" s="11">
        <f>IF($A191="","",COUNTIFS(tblPCSInput[Call Date/Time],"&gt;="&amp;(SETUP!$B$6),tblPCSInput[Call Date/Time],"&lt;"&amp;(SETUP!$B$7),tblPCSInput[Call Direction],"I",tblPCSInput[Agent ID],$A191,tblPCSInput[Question 1],"&lt;&gt;"))</f>
        <v/>
      </c>
      <c r="R191" s="11">
        <f>IF($A191="","",COUNTIFS(tblPCSInput[Call Date/Time],"&gt;="&amp;(SETUP!$B$6),tblPCSInput[Call Date/Time],"&lt;"&amp;(SETUP!$B$7),tblPCSInput[Call Direction],"I",tblPCSInput[Agent ID],$A191,tblPCSInput[Valid Q1],"&gt;=1"))</f>
        <v/>
      </c>
      <c r="S191" s="12">
        <f>IFERROR(SUMIFS(tblPCSInput[Valid Q1],tblPCSInput[Call Date/Time],"&gt;="&amp;SETUP!$B$6,tblPCSInput[Call Date/Time],"&lt;"&amp;SETUP!$B$7,tblPCSInput[Call Direction],"I",tblPCSInput[Agent ID],$A191)/COUNTIFS(tblPCSInput[Call Date/Time],"&gt;="&amp;(SETUP!$B$6),tblPCSInput[Call Date/Time],"&lt;"&amp;(SETUP!$B$7),tblPCSInput[Call Direction],"I",tblPCSInput[Agent ID],$A191,tblPCSInput[Valid Q1],"&gt;=1"),"")</f>
        <v/>
      </c>
      <c r="T191" s="11">
        <f>IF(S191="","",COUNTIFS(tblPCSInput[Call Date/Time],"&gt;="&amp;(SETUP!$B$6),tblPCSInput[Call Date/Time],"&lt;"&amp;(SETUP!$B$7),tblPCSInput[Call Direction],"I",tblPCSInput[Agent ID],$A191,tblPCSInput[Valid Q1],"&lt;=3",tblPCSInput[Valid Q1],"&gt;=1"))</f>
        <v/>
      </c>
      <c r="U191" s="11">
        <f>IF(S191="","",COUNTIFS(tblPCSInput[Call Date/Time],"&gt;="&amp;(SETUP!$B$6),tblPCSInput[Call Date/Time],"&lt;"&amp;(SETUP!$B$7),tblPCSInput[Call Direction],"I",tblPCSInput[Agent ID],$A191,tblPCSInput[Valid Q1],"&gt;3"))</f>
        <v/>
      </c>
      <c r="V191" s="13">
        <f>IFERROR(Q191/P191,"")</f>
        <v/>
      </c>
      <c r="W191" s="13">
        <f>IFERROR(R191/P191,"")</f>
        <v/>
      </c>
    </row>
    <row r="192" spans="1:23">
      <c r="A192" s="4">
        <f>IF(ROSTER!A192="","",ROSTER!A192)</f>
        <v/>
      </c>
      <c r="B192" s="4">
        <f>IF($A192="","",ROSTER!C192)</f>
        <v/>
      </c>
      <c r="C192" s="4">
        <f>IF($A192="","",ROSTER!D192)</f>
        <v/>
      </c>
      <c r="D192" s="4">
        <f>IF($A192="","",ROSTER!E192)</f>
        <v/>
      </c>
      <c r="E192" s="4">
        <f>IF($A192="","",ROSTER!F192)</f>
        <v/>
      </c>
      <c r="F192" s="11">
        <f>IF($A192="","",COUNTIFS(tblPCSInput[Call Date/Time],"&gt;="&amp;(SETUP!$B$5),tblPCSInput[Call Date/Time],"&lt;"&amp;(SETUP!$B$5+1),tblPCSInput[Call Direction],"I",tblPCSInput[Agent ID],$A192,tblPCSInput[PCSStatus],1))</f>
        <v/>
      </c>
      <c r="G192" s="11">
        <f>IF($A192="","",COUNTIFS(tblPCSInput[Call Date/Time],"&gt;="&amp;(SETUP!$B$5),tblPCSInput[Call Date/Time],"&lt;"&amp;(SETUP!$B$5+1),tblPCSInput[Call Direction],"I",tblPCSInput[Agent ID],$A192,tblPCSInput[Question 1],"&lt;&gt;"))</f>
        <v/>
      </c>
      <c r="H192" s="11">
        <f>IF($A192="","",COUNTIFS(tblPCSInput[Call Date/Time],"&gt;="&amp;(SETUP!$B$5),tblPCSInput[Call Date/Time],"&lt;"&amp;(SETUP!$B$5+1),tblPCSInput[Call Direction],"I",tblPCSInput[Agent ID],$A192,tblPCSInput[Valid Q1],"&gt;=1"))</f>
        <v/>
      </c>
      <c r="I192" s="12">
        <f>IFERROR(SUMIFS(tblPCSInput[Valid Q1],tblPCSInput[Call Date/Time],"&gt;="&amp;SETUP!$B$5,tblPCSInput[Call Date/Time],"&lt;"&amp;SETUP!$B$5+1,tblPCSInput[Call Direction],"I",tblPCSInput[Agent ID],$A192)/COUNTIFS(tblPCSInput[Call Date/Time],"&gt;="&amp;(SETUP!$B$5),tblPCSInput[Call Date/Time],"&lt;"&amp;(SETUP!$B$5+1),tblPCSInput[Call Direction],"I",tblPCSInput[Agent ID],$A192,tblPCSInput[Valid Q1],"&gt;=1"),"")</f>
        <v/>
      </c>
      <c r="J192" s="11">
        <f>IF(I192="","",COUNTIFS(tblPCSInput[Call Date/Time],"&gt;="&amp;(SETUP!$B$5),tblPCSInput[Call Date/Time],"&lt;"&amp;(SETUP!$B$5+1),tblPCSInput[Call Direction],"I",tblPCSInput[Agent ID],$A192,tblPCSInput[Valid Q1],"&lt;=3",tblPCSInput[Valid Q1],"&gt;=1"))</f>
        <v/>
      </c>
      <c r="K192" s="11">
        <f>IF(I192="","",COUNTIFS(tblPCSInput[Call Date/Time],"&gt;="&amp;(SETUP!$B$5),tblPCSInput[Call Date/Time],"&lt;"&amp;(SETUP!$B$5+1),tblPCSInput[Call Direction],"I",tblPCSInput[Agent ID],$A192,tblPCSInput[Valid Q1],"&gt;3"))</f>
        <v/>
      </c>
      <c r="L192" s="13">
        <f>IFERROR(G192/F192,"")</f>
        <v/>
      </c>
      <c r="M192" s="13">
        <f>IFERROR(H192/F192,"")</f>
        <v/>
      </c>
      <c r="N192" s="11">
        <f>IF($A192="","",MAX(0,G192-H192))</f>
        <v/>
      </c>
      <c r="O192" s="4">
        <f>IF($A192="","",IF(H192=0,"NO VALID SURVEY",IF(H192&lt;5,"LOW SAMPLE","OK")))</f>
        <v/>
      </c>
      <c r="P192" s="11">
        <f>IF($A192="","",COUNTIFS(tblPCSInput[Call Date/Time],"&gt;="&amp;(SETUP!$B$6),tblPCSInput[Call Date/Time],"&lt;"&amp;(SETUP!$B$7),tblPCSInput[Call Direction],"I",tblPCSInput[Agent ID],$A192,tblPCSInput[PCSStatus],1))</f>
        <v/>
      </c>
      <c r="Q192" s="11">
        <f>IF($A192="","",COUNTIFS(tblPCSInput[Call Date/Time],"&gt;="&amp;(SETUP!$B$6),tblPCSInput[Call Date/Time],"&lt;"&amp;(SETUP!$B$7),tblPCSInput[Call Direction],"I",tblPCSInput[Agent ID],$A192,tblPCSInput[Question 1],"&lt;&gt;"))</f>
        <v/>
      </c>
      <c r="R192" s="11">
        <f>IF($A192="","",COUNTIFS(tblPCSInput[Call Date/Time],"&gt;="&amp;(SETUP!$B$6),tblPCSInput[Call Date/Time],"&lt;"&amp;(SETUP!$B$7),tblPCSInput[Call Direction],"I",tblPCSInput[Agent ID],$A192,tblPCSInput[Valid Q1],"&gt;=1"))</f>
        <v/>
      </c>
      <c r="S192" s="12">
        <f>IFERROR(SUMIFS(tblPCSInput[Valid Q1],tblPCSInput[Call Date/Time],"&gt;="&amp;SETUP!$B$6,tblPCSInput[Call Date/Time],"&lt;"&amp;SETUP!$B$7,tblPCSInput[Call Direction],"I",tblPCSInput[Agent ID],$A192)/COUNTIFS(tblPCSInput[Call Date/Time],"&gt;="&amp;(SETUP!$B$6),tblPCSInput[Call Date/Time],"&lt;"&amp;(SETUP!$B$7),tblPCSInput[Call Direction],"I",tblPCSInput[Agent ID],$A192,tblPCSInput[Valid Q1],"&gt;=1"),"")</f>
        <v/>
      </c>
      <c r="T192" s="11">
        <f>IF(S192="","",COUNTIFS(tblPCSInput[Call Date/Time],"&gt;="&amp;(SETUP!$B$6),tblPCSInput[Call Date/Time],"&lt;"&amp;(SETUP!$B$7),tblPCSInput[Call Direction],"I",tblPCSInput[Agent ID],$A192,tblPCSInput[Valid Q1],"&lt;=3",tblPCSInput[Valid Q1],"&gt;=1"))</f>
        <v/>
      </c>
      <c r="U192" s="11">
        <f>IF(S192="","",COUNTIFS(tblPCSInput[Call Date/Time],"&gt;="&amp;(SETUP!$B$6),tblPCSInput[Call Date/Time],"&lt;"&amp;(SETUP!$B$7),tblPCSInput[Call Direction],"I",tblPCSInput[Agent ID],$A192,tblPCSInput[Valid Q1],"&gt;3"))</f>
        <v/>
      </c>
      <c r="V192" s="13">
        <f>IFERROR(Q192/P192,"")</f>
        <v/>
      </c>
      <c r="W192" s="13">
        <f>IFERROR(R192/P192,"")</f>
        <v/>
      </c>
    </row>
    <row r="193" spans="1:23">
      <c r="A193" s="4">
        <f>IF(ROSTER!A193="","",ROSTER!A193)</f>
        <v/>
      </c>
      <c r="B193" s="4">
        <f>IF($A193="","",ROSTER!C193)</f>
        <v/>
      </c>
      <c r="C193" s="4">
        <f>IF($A193="","",ROSTER!D193)</f>
        <v/>
      </c>
      <c r="D193" s="4">
        <f>IF($A193="","",ROSTER!E193)</f>
        <v/>
      </c>
      <c r="E193" s="4">
        <f>IF($A193="","",ROSTER!F193)</f>
        <v/>
      </c>
      <c r="F193" s="11">
        <f>IF($A193="","",COUNTIFS(tblPCSInput[Call Date/Time],"&gt;="&amp;(SETUP!$B$5),tblPCSInput[Call Date/Time],"&lt;"&amp;(SETUP!$B$5+1),tblPCSInput[Call Direction],"I",tblPCSInput[Agent ID],$A193,tblPCSInput[PCSStatus],1))</f>
        <v/>
      </c>
      <c r="G193" s="11">
        <f>IF($A193="","",COUNTIFS(tblPCSInput[Call Date/Time],"&gt;="&amp;(SETUP!$B$5),tblPCSInput[Call Date/Time],"&lt;"&amp;(SETUP!$B$5+1),tblPCSInput[Call Direction],"I",tblPCSInput[Agent ID],$A193,tblPCSInput[Question 1],"&lt;&gt;"))</f>
        <v/>
      </c>
      <c r="H193" s="11">
        <f>IF($A193="","",COUNTIFS(tblPCSInput[Call Date/Time],"&gt;="&amp;(SETUP!$B$5),tblPCSInput[Call Date/Time],"&lt;"&amp;(SETUP!$B$5+1),tblPCSInput[Call Direction],"I",tblPCSInput[Agent ID],$A193,tblPCSInput[Valid Q1],"&gt;=1"))</f>
        <v/>
      </c>
      <c r="I193" s="12">
        <f>IFERROR(SUMIFS(tblPCSInput[Valid Q1],tblPCSInput[Call Date/Time],"&gt;="&amp;SETUP!$B$5,tblPCSInput[Call Date/Time],"&lt;"&amp;SETUP!$B$5+1,tblPCSInput[Call Direction],"I",tblPCSInput[Agent ID],$A193)/COUNTIFS(tblPCSInput[Call Date/Time],"&gt;="&amp;(SETUP!$B$5),tblPCSInput[Call Date/Time],"&lt;"&amp;(SETUP!$B$5+1),tblPCSInput[Call Direction],"I",tblPCSInput[Agent ID],$A193,tblPCSInput[Valid Q1],"&gt;=1"),"")</f>
        <v/>
      </c>
      <c r="J193" s="11">
        <f>IF(I193="","",COUNTIFS(tblPCSInput[Call Date/Time],"&gt;="&amp;(SETUP!$B$5),tblPCSInput[Call Date/Time],"&lt;"&amp;(SETUP!$B$5+1),tblPCSInput[Call Direction],"I",tblPCSInput[Agent ID],$A193,tblPCSInput[Valid Q1],"&lt;=3",tblPCSInput[Valid Q1],"&gt;=1"))</f>
        <v/>
      </c>
      <c r="K193" s="11">
        <f>IF(I193="","",COUNTIFS(tblPCSInput[Call Date/Time],"&gt;="&amp;(SETUP!$B$5),tblPCSInput[Call Date/Time],"&lt;"&amp;(SETUP!$B$5+1),tblPCSInput[Call Direction],"I",tblPCSInput[Agent ID],$A193,tblPCSInput[Valid Q1],"&gt;3"))</f>
        <v/>
      </c>
      <c r="L193" s="13">
        <f>IFERROR(G193/F193,"")</f>
        <v/>
      </c>
      <c r="M193" s="13">
        <f>IFERROR(H193/F193,"")</f>
        <v/>
      </c>
      <c r="N193" s="11">
        <f>IF($A193="","",MAX(0,G193-H193))</f>
        <v/>
      </c>
      <c r="O193" s="4">
        <f>IF($A193="","",IF(H193=0,"NO VALID SURVEY",IF(H193&lt;5,"LOW SAMPLE","OK")))</f>
        <v/>
      </c>
      <c r="P193" s="11">
        <f>IF($A193="","",COUNTIFS(tblPCSInput[Call Date/Time],"&gt;="&amp;(SETUP!$B$6),tblPCSInput[Call Date/Time],"&lt;"&amp;(SETUP!$B$7),tblPCSInput[Call Direction],"I",tblPCSInput[Agent ID],$A193,tblPCSInput[PCSStatus],1))</f>
        <v/>
      </c>
      <c r="Q193" s="11">
        <f>IF($A193="","",COUNTIFS(tblPCSInput[Call Date/Time],"&gt;="&amp;(SETUP!$B$6),tblPCSInput[Call Date/Time],"&lt;"&amp;(SETUP!$B$7),tblPCSInput[Call Direction],"I",tblPCSInput[Agent ID],$A193,tblPCSInput[Question 1],"&lt;&gt;"))</f>
        <v/>
      </c>
      <c r="R193" s="11">
        <f>IF($A193="","",COUNTIFS(tblPCSInput[Call Date/Time],"&gt;="&amp;(SETUP!$B$6),tblPCSInput[Call Date/Time],"&lt;"&amp;(SETUP!$B$7),tblPCSInput[Call Direction],"I",tblPCSInput[Agent ID],$A193,tblPCSInput[Valid Q1],"&gt;=1"))</f>
        <v/>
      </c>
      <c r="S193" s="12">
        <f>IFERROR(SUMIFS(tblPCSInput[Valid Q1],tblPCSInput[Call Date/Time],"&gt;="&amp;SETUP!$B$6,tblPCSInput[Call Date/Time],"&lt;"&amp;SETUP!$B$7,tblPCSInput[Call Direction],"I",tblPCSInput[Agent ID],$A193)/COUNTIFS(tblPCSInput[Call Date/Time],"&gt;="&amp;(SETUP!$B$6),tblPCSInput[Call Date/Time],"&lt;"&amp;(SETUP!$B$7),tblPCSInput[Call Direction],"I",tblPCSInput[Agent ID],$A193,tblPCSInput[Valid Q1],"&gt;=1"),"")</f>
        <v/>
      </c>
      <c r="T193" s="11">
        <f>IF(S193="","",COUNTIFS(tblPCSInput[Call Date/Time],"&gt;="&amp;(SETUP!$B$6),tblPCSInput[Call Date/Time],"&lt;"&amp;(SETUP!$B$7),tblPCSInput[Call Direction],"I",tblPCSInput[Agent ID],$A193,tblPCSInput[Valid Q1],"&lt;=3",tblPCSInput[Valid Q1],"&gt;=1"))</f>
        <v/>
      </c>
      <c r="U193" s="11">
        <f>IF(S193="","",COUNTIFS(tblPCSInput[Call Date/Time],"&gt;="&amp;(SETUP!$B$6),tblPCSInput[Call Date/Time],"&lt;"&amp;(SETUP!$B$7),tblPCSInput[Call Direction],"I",tblPCSInput[Agent ID],$A193,tblPCSInput[Valid Q1],"&gt;3"))</f>
        <v/>
      </c>
      <c r="V193" s="13">
        <f>IFERROR(Q193/P193,"")</f>
        <v/>
      </c>
      <c r="W193" s="13">
        <f>IFERROR(R193/P193,"")</f>
        <v/>
      </c>
    </row>
    <row r="194" spans="1:23">
      <c r="A194" s="4">
        <f>IF(ROSTER!A194="","",ROSTER!A194)</f>
        <v/>
      </c>
      <c r="B194" s="4">
        <f>IF($A194="","",ROSTER!C194)</f>
        <v/>
      </c>
      <c r="C194" s="4">
        <f>IF($A194="","",ROSTER!D194)</f>
        <v/>
      </c>
      <c r="D194" s="4">
        <f>IF($A194="","",ROSTER!E194)</f>
        <v/>
      </c>
      <c r="E194" s="4">
        <f>IF($A194="","",ROSTER!F194)</f>
        <v/>
      </c>
      <c r="F194" s="11">
        <f>IF($A194="","",COUNTIFS(tblPCSInput[Call Date/Time],"&gt;="&amp;(SETUP!$B$5),tblPCSInput[Call Date/Time],"&lt;"&amp;(SETUP!$B$5+1),tblPCSInput[Call Direction],"I",tblPCSInput[Agent ID],$A194,tblPCSInput[PCSStatus],1))</f>
        <v/>
      </c>
      <c r="G194" s="11">
        <f>IF($A194="","",COUNTIFS(tblPCSInput[Call Date/Time],"&gt;="&amp;(SETUP!$B$5),tblPCSInput[Call Date/Time],"&lt;"&amp;(SETUP!$B$5+1),tblPCSInput[Call Direction],"I",tblPCSInput[Agent ID],$A194,tblPCSInput[Question 1],"&lt;&gt;"))</f>
        <v/>
      </c>
      <c r="H194" s="11">
        <f>IF($A194="","",COUNTIFS(tblPCSInput[Call Date/Time],"&gt;="&amp;(SETUP!$B$5),tblPCSInput[Call Date/Time],"&lt;"&amp;(SETUP!$B$5+1),tblPCSInput[Call Direction],"I",tblPCSInput[Agent ID],$A194,tblPCSInput[Valid Q1],"&gt;=1"))</f>
        <v/>
      </c>
      <c r="I194" s="12">
        <f>IFERROR(SUMIFS(tblPCSInput[Valid Q1],tblPCSInput[Call Date/Time],"&gt;="&amp;SETUP!$B$5,tblPCSInput[Call Date/Time],"&lt;"&amp;SETUP!$B$5+1,tblPCSInput[Call Direction],"I",tblPCSInput[Agent ID],$A194)/COUNTIFS(tblPCSInput[Call Date/Time],"&gt;="&amp;(SETUP!$B$5),tblPCSInput[Call Date/Time],"&lt;"&amp;(SETUP!$B$5+1),tblPCSInput[Call Direction],"I",tblPCSInput[Agent ID],$A194,tblPCSInput[Valid Q1],"&gt;=1"),"")</f>
        <v/>
      </c>
      <c r="J194" s="11">
        <f>IF(I194="","",COUNTIFS(tblPCSInput[Call Date/Time],"&gt;="&amp;(SETUP!$B$5),tblPCSInput[Call Date/Time],"&lt;"&amp;(SETUP!$B$5+1),tblPCSInput[Call Direction],"I",tblPCSInput[Agent ID],$A194,tblPCSInput[Valid Q1],"&lt;=3",tblPCSInput[Valid Q1],"&gt;=1"))</f>
        <v/>
      </c>
      <c r="K194" s="11">
        <f>IF(I194="","",COUNTIFS(tblPCSInput[Call Date/Time],"&gt;="&amp;(SETUP!$B$5),tblPCSInput[Call Date/Time],"&lt;"&amp;(SETUP!$B$5+1),tblPCSInput[Call Direction],"I",tblPCSInput[Agent ID],$A194,tblPCSInput[Valid Q1],"&gt;3"))</f>
        <v/>
      </c>
      <c r="L194" s="13">
        <f>IFERROR(G194/F194,"")</f>
        <v/>
      </c>
      <c r="M194" s="13">
        <f>IFERROR(H194/F194,"")</f>
        <v/>
      </c>
      <c r="N194" s="11">
        <f>IF($A194="","",MAX(0,G194-H194))</f>
        <v/>
      </c>
      <c r="O194" s="4">
        <f>IF($A194="","",IF(H194=0,"NO VALID SURVEY",IF(H194&lt;5,"LOW SAMPLE","OK")))</f>
        <v/>
      </c>
      <c r="P194" s="11">
        <f>IF($A194="","",COUNTIFS(tblPCSInput[Call Date/Time],"&gt;="&amp;(SETUP!$B$6),tblPCSInput[Call Date/Time],"&lt;"&amp;(SETUP!$B$7),tblPCSInput[Call Direction],"I",tblPCSInput[Agent ID],$A194,tblPCSInput[PCSStatus],1))</f>
        <v/>
      </c>
      <c r="Q194" s="11">
        <f>IF($A194="","",COUNTIFS(tblPCSInput[Call Date/Time],"&gt;="&amp;(SETUP!$B$6),tblPCSInput[Call Date/Time],"&lt;"&amp;(SETUP!$B$7),tblPCSInput[Call Direction],"I",tblPCSInput[Agent ID],$A194,tblPCSInput[Question 1],"&lt;&gt;"))</f>
        <v/>
      </c>
      <c r="R194" s="11">
        <f>IF($A194="","",COUNTIFS(tblPCSInput[Call Date/Time],"&gt;="&amp;(SETUP!$B$6),tblPCSInput[Call Date/Time],"&lt;"&amp;(SETUP!$B$7),tblPCSInput[Call Direction],"I",tblPCSInput[Agent ID],$A194,tblPCSInput[Valid Q1],"&gt;=1"))</f>
        <v/>
      </c>
      <c r="S194" s="12">
        <f>IFERROR(SUMIFS(tblPCSInput[Valid Q1],tblPCSInput[Call Date/Time],"&gt;="&amp;SETUP!$B$6,tblPCSInput[Call Date/Time],"&lt;"&amp;SETUP!$B$7,tblPCSInput[Call Direction],"I",tblPCSInput[Agent ID],$A194)/COUNTIFS(tblPCSInput[Call Date/Time],"&gt;="&amp;(SETUP!$B$6),tblPCSInput[Call Date/Time],"&lt;"&amp;(SETUP!$B$7),tblPCSInput[Call Direction],"I",tblPCSInput[Agent ID],$A194,tblPCSInput[Valid Q1],"&gt;=1"),"")</f>
        <v/>
      </c>
      <c r="T194" s="11">
        <f>IF(S194="","",COUNTIFS(tblPCSInput[Call Date/Time],"&gt;="&amp;(SETUP!$B$6),tblPCSInput[Call Date/Time],"&lt;"&amp;(SETUP!$B$7),tblPCSInput[Call Direction],"I",tblPCSInput[Agent ID],$A194,tblPCSInput[Valid Q1],"&lt;=3",tblPCSInput[Valid Q1],"&gt;=1"))</f>
        <v/>
      </c>
      <c r="U194" s="11">
        <f>IF(S194="","",COUNTIFS(tblPCSInput[Call Date/Time],"&gt;="&amp;(SETUP!$B$6),tblPCSInput[Call Date/Time],"&lt;"&amp;(SETUP!$B$7),tblPCSInput[Call Direction],"I",tblPCSInput[Agent ID],$A194,tblPCSInput[Valid Q1],"&gt;3"))</f>
        <v/>
      </c>
      <c r="V194" s="13">
        <f>IFERROR(Q194/P194,"")</f>
        <v/>
      </c>
      <c r="W194" s="13">
        <f>IFERROR(R194/P194,"")</f>
        <v/>
      </c>
    </row>
    <row r="195" spans="1:23">
      <c r="A195" s="4">
        <f>IF(ROSTER!A195="","",ROSTER!A195)</f>
        <v/>
      </c>
      <c r="B195" s="4">
        <f>IF($A195="","",ROSTER!C195)</f>
        <v/>
      </c>
      <c r="C195" s="4">
        <f>IF($A195="","",ROSTER!D195)</f>
        <v/>
      </c>
      <c r="D195" s="4">
        <f>IF($A195="","",ROSTER!E195)</f>
        <v/>
      </c>
      <c r="E195" s="4">
        <f>IF($A195="","",ROSTER!F195)</f>
        <v/>
      </c>
      <c r="F195" s="11">
        <f>IF($A195="","",COUNTIFS(tblPCSInput[Call Date/Time],"&gt;="&amp;(SETUP!$B$5),tblPCSInput[Call Date/Time],"&lt;"&amp;(SETUP!$B$5+1),tblPCSInput[Call Direction],"I",tblPCSInput[Agent ID],$A195,tblPCSInput[PCSStatus],1))</f>
        <v/>
      </c>
      <c r="G195" s="11">
        <f>IF($A195="","",COUNTIFS(tblPCSInput[Call Date/Time],"&gt;="&amp;(SETUP!$B$5),tblPCSInput[Call Date/Time],"&lt;"&amp;(SETUP!$B$5+1),tblPCSInput[Call Direction],"I",tblPCSInput[Agent ID],$A195,tblPCSInput[Question 1],"&lt;&gt;"))</f>
        <v/>
      </c>
      <c r="H195" s="11">
        <f>IF($A195="","",COUNTIFS(tblPCSInput[Call Date/Time],"&gt;="&amp;(SETUP!$B$5),tblPCSInput[Call Date/Time],"&lt;"&amp;(SETUP!$B$5+1),tblPCSInput[Call Direction],"I",tblPCSInput[Agent ID],$A195,tblPCSInput[Valid Q1],"&gt;=1"))</f>
        <v/>
      </c>
      <c r="I195" s="12">
        <f>IFERROR(SUMIFS(tblPCSInput[Valid Q1],tblPCSInput[Call Date/Time],"&gt;="&amp;SETUP!$B$5,tblPCSInput[Call Date/Time],"&lt;"&amp;SETUP!$B$5+1,tblPCSInput[Call Direction],"I",tblPCSInput[Agent ID],$A195)/COUNTIFS(tblPCSInput[Call Date/Time],"&gt;="&amp;(SETUP!$B$5),tblPCSInput[Call Date/Time],"&lt;"&amp;(SETUP!$B$5+1),tblPCSInput[Call Direction],"I",tblPCSInput[Agent ID],$A195,tblPCSInput[Valid Q1],"&gt;=1"),"")</f>
        <v/>
      </c>
      <c r="J195" s="11">
        <f>IF(I195="","",COUNTIFS(tblPCSInput[Call Date/Time],"&gt;="&amp;(SETUP!$B$5),tblPCSInput[Call Date/Time],"&lt;"&amp;(SETUP!$B$5+1),tblPCSInput[Call Direction],"I",tblPCSInput[Agent ID],$A195,tblPCSInput[Valid Q1],"&lt;=3",tblPCSInput[Valid Q1],"&gt;=1"))</f>
        <v/>
      </c>
      <c r="K195" s="11">
        <f>IF(I195="","",COUNTIFS(tblPCSInput[Call Date/Time],"&gt;="&amp;(SETUP!$B$5),tblPCSInput[Call Date/Time],"&lt;"&amp;(SETUP!$B$5+1),tblPCSInput[Call Direction],"I",tblPCSInput[Agent ID],$A195,tblPCSInput[Valid Q1],"&gt;3"))</f>
        <v/>
      </c>
      <c r="L195" s="13">
        <f>IFERROR(G195/F195,"")</f>
        <v/>
      </c>
      <c r="M195" s="13">
        <f>IFERROR(H195/F195,"")</f>
        <v/>
      </c>
      <c r="N195" s="11">
        <f>IF($A195="","",MAX(0,G195-H195))</f>
        <v/>
      </c>
      <c r="O195" s="4">
        <f>IF($A195="","",IF(H195=0,"NO VALID SURVEY",IF(H195&lt;5,"LOW SAMPLE","OK")))</f>
        <v/>
      </c>
      <c r="P195" s="11">
        <f>IF($A195="","",COUNTIFS(tblPCSInput[Call Date/Time],"&gt;="&amp;(SETUP!$B$6),tblPCSInput[Call Date/Time],"&lt;"&amp;(SETUP!$B$7),tblPCSInput[Call Direction],"I",tblPCSInput[Agent ID],$A195,tblPCSInput[PCSStatus],1))</f>
        <v/>
      </c>
      <c r="Q195" s="11">
        <f>IF($A195="","",COUNTIFS(tblPCSInput[Call Date/Time],"&gt;="&amp;(SETUP!$B$6),tblPCSInput[Call Date/Time],"&lt;"&amp;(SETUP!$B$7),tblPCSInput[Call Direction],"I",tblPCSInput[Agent ID],$A195,tblPCSInput[Question 1],"&lt;&gt;"))</f>
        <v/>
      </c>
      <c r="R195" s="11">
        <f>IF($A195="","",COUNTIFS(tblPCSInput[Call Date/Time],"&gt;="&amp;(SETUP!$B$6),tblPCSInput[Call Date/Time],"&lt;"&amp;(SETUP!$B$7),tblPCSInput[Call Direction],"I",tblPCSInput[Agent ID],$A195,tblPCSInput[Valid Q1],"&gt;=1"))</f>
        <v/>
      </c>
      <c r="S195" s="12">
        <f>IFERROR(SUMIFS(tblPCSInput[Valid Q1],tblPCSInput[Call Date/Time],"&gt;="&amp;SETUP!$B$6,tblPCSInput[Call Date/Time],"&lt;"&amp;SETUP!$B$7,tblPCSInput[Call Direction],"I",tblPCSInput[Agent ID],$A195)/COUNTIFS(tblPCSInput[Call Date/Time],"&gt;="&amp;(SETUP!$B$6),tblPCSInput[Call Date/Time],"&lt;"&amp;(SETUP!$B$7),tblPCSInput[Call Direction],"I",tblPCSInput[Agent ID],$A195,tblPCSInput[Valid Q1],"&gt;=1"),"")</f>
        <v/>
      </c>
      <c r="T195" s="11">
        <f>IF(S195="","",COUNTIFS(tblPCSInput[Call Date/Time],"&gt;="&amp;(SETUP!$B$6),tblPCSInput[Call Date/Time],"&lt;"&amp;(SETUP!$B$7),tblPCSInput[Call Direction],"I",tblPCSInput[Agent ID],$A195,tblPCSInput[Valid Q1],"&lt;=3",tblPCSInput[Valid Q1],"&gt;=1"))</f>
        <v/>
      </c>
      <c r="U195" s="11">
        <f>IF(S195="","",COUNTIFS(tblPCSInput[Call Date/Time],"&gt;="&amp;(SETUP!$B$6),tblPCSInput[Call Date/Time],"&lt;"&amp;(SETUP!$B$7),tblPCSInput[Call Direction],"I",tblPCSInput[Agent ID],$A195,tblPCSInput[Valid Q1],"&gt;3"))</f>
        <v/>
      </c>
      <c r="V195" s="13">
        <f>IFERROR(Q195/P195,"")</f>
        <v/>
      </c>
      <c r="W195" s="13">
        <f>IFERROR(R195/P195,"")</f>
        <v/>
      </c>
    </row>
    <row r="196" spans="1:23">
      <c r="A196" s="4">
        <f>IF(ROSTER!A196="","",ROSTER!A196)</f>
        <v/>
      </c>
      <c r="B196" s="4">
        <f>IF($A196="","",ROSTER!C196)</f>
        <v/>
      </c>
      <c r="C196" s="4">
        <f>IF($A196="","",ROSTER!D196)</f>
        <v/>
      </c>
      <c r="D196" s="4">
        <f>IF($A196="","",ROSTER!E196)</f>
        <v/>
      </c>
      <c r="E196" s="4">
        <f>IF($A196="","",ROSTER!F196)</f>
        <v/>
      </c>
      <c r="F196" s="11">
        <f>IF($A196="","",COUNTIFS(tblPCSInput[Call Date/Time],"&gt;="&amp;(SETUP!$B$5),tblPCSInput[Call Date/Time],"&lt;"&amp;(SETUP!$B$5+1),tblPCSInput[Call Direction],"I",tblPCSInput[Agent ID],$A196,tblPCSInput[PCSStatus],1))</f>
        <v/>
      </c>
      <c r="G196" s="11">
        <f>IF($A196="","",COUNTIFS(tblPCSInput[Call Date/Time],"&gt;="&amp;(SETUP!$B$5),tblPCSInput[Call Date/Time],"&lt;"&amp;(SETUP!$B$5+1),tblPCSInput[Call Direction],"I",tblPCSInput[Agent ID],$A196,tblPCSInput[Question 1],"&lt;&gt;"))</f>
        <v/>
      </c>
      <c r="H196" s="11">
        <f>IF($A196="","",COUNTIFS(tblPCSInput[Call Date/Time],"&gt;="&amp;(SETUP!$B$5),tblPCSInput[Call Date/Time],"&lt;"&amp;(SETUP!$B$5+1),tblPCSInput[Call Direction],"I",tblPCSInput[Agent ID],$A196,tblPCSInput[Valid Q1],"&gt;=1"))</f>
        <v/>
      </c>
      <c r="I196" s="12">
        <f>IFERROR(SUMIFS(tblPCSInput[Valid Q1],tblPCSInput[Call Date/Time],"&gt;="&amp;SETUP!$B$5,tblPCSInput[Call Date/Time],"&lt;"&amp;SETUP!$B$5+1,tblPCSInput[Call Direction],"I",tblPCSInput[Agent ID],$A196)/COUNTIFS(tblPCSInput[Call Date/Time],"&gt;="&amp;(SETUP!$B$5),tblPCSInput[Call Date/Time],"&lt;"&amp;(SETUP!$B$5+1),tblPCSInput[Call Direction],"I",tblPCSInput[Agent ID],$A196,tblPCSInput[Valid Q1],"&gt;=1"),"")</f>
        <v/>
      </c>
      <c r="J196" s="11">
        <f>IF(I196="","",COUNTIFS(tblPCSInput[Call Date/Time],"&gt;="&amp;(SETUP!$B$5),tblPCSInput[Call Date/Time],"&lt;"&amp;(SETUP!$B$5+1),tblPCSInput[Call Direction],"I",tblPCSInput[Agent ID],$A196,tblPCSInput[Valid Q1],"&lt;=3",tblPCSInput[Valid Q1],"&gt;=1"))</f>
        <v/>
      </c>
      <c r="K196" s="11">
        <f>IF(I196="","",COUNTIFS(tblPCSInput[Call Date/Time],"&gt;="&amp;(SETUP!$B$5),tblPCSInput[Call Date/Time],"&lt;"&amp;(SETUP!$B$5+1),tblPCSInput[Call Direction],"I",tblPCSInput[Agent ID],$A196,tblPCSInput[Valid Q1],"&gt;3"))</f>
        <v/>
      </c>
      <c r="L196" s="13">
        <f>IFERROR(G196/F196,"")</f>
        <v/>
      </c>
      <c r="M196" s="13">
        <f>IFERROR(H196/F196,"")</f>
        <v/>
      </c>
      <c r="N196" s="11">
        <f>IF($A196="","",MAX(0,G196-H196))</f>
        <v/>
      </c>
      <c r="O196" s="4">
        <f>IF($A196="","",IF(H196=0,"NO VALID SURVEY",IF(H196&lt;5,"LOW SAMPLE","OK")))</f>
        <v/>
      </c>
      <c r="P196" s="11">
        <f>IF($A196="","",COUNTIFS(tblPCSInput[Call Date/Time],"&gt;="&amp;(SETUP!$B$6),tblPCSInput[Call Date/Time],"&lt;"&amp;(SETUP!$B$7),tblPCSInput[Call Direction],"I",tblPCSInput[Agent ID],$A196,tblPCSInput[PCSStatus],1))</f>
        <v/>
      </c>
      <c r="Q196" s="11">
        <f>IF($A196="","",COUNTIFS(tblPCSInput[Call Date/Time],"&gt;="&amp;(SETUP!$B$6),tblPCSInput[Call Date/Time],"&lt;"&amp;(SETUP!$B$7),tblPCSInput[Call Direction],"I",tblPCSInput[Agent ID],$A196,tblPCSInput[Question 1],"&lt;&gt;"))</f>
        <v/>
      </c>
      <c r="R196" s="11">
        <f>IF($A196="","",COUNTIFS(tblPCSInput[Call Date/Time],"&gt;="&amp;(SETUP!$B$6),tblPCSInput[Call Date/Time],"&lt;"&amp;(SETUP!$B$7),tblPCSInput[Call Direction],"I",tblPCSInput[Agent ID],$A196,tblPCSInput[Valid Q1],"&gt;=1"))</f>
        <v/>
      </c>
      <c r="S196" s="12">
        <f>IFERROR(SUMIFS(tblPCSInput[Valid Q1],tblPCSInput[Call Date/Time],"&gt;="&amp;SETUP!$B$6,tblPCSInput[Call Date/Time],"&lt;"&amp;SETUP!$B$7,tblPCSInput[Call Direction],"I",tblPCSInput[Agent ID],$A196)/COUNTIFS(tblPCSInput[Call Date/Time],"&gt;="&amp;(SETUP!$B$6),tblPCSInput[Call Date/Time],"&lt;"&amp;(SETUP!$B$7),tblPCSInput[Call Direction],"I",tblPCSInput[Agent ID],$A196,tblPCSInput[Valid Q1],"&gt;=1"),"")</f>
        <v/>
      </c>
      <c r="T196" s="11">
        <f>IF(S196="","",COUNTIFS(tblPCSInput[Call Date/Time],"&gt;="&amp;(SETUP!$B$6),tblPCSInput[Call Date/Time],"&lt;"&amp;(SETUP!$B$7),tblPCSInput[Call Direction],"I",tblPCSInput[Agent ID],$A196,tblPCSInput[Valid Q1],"&lt;=3",tblPCSInput[Valid Q1],"&gt;=1"))</f>
        <v/>
      </c>
      <c r="U196" s="11">
        <f>IF(S196="","",COUNTIFS(tblPCSInput[Call Date/Time],"&gt;="&amp;(SETUP!$B$6),tblPCSInput[Call Date/Time],"&lt;"&amp;(SETUP!$B$7),tblPCSInput[Call Direction],"I",tblPCSInput[Agent ID],$A196,tblPCSInput[Valid Q1],"&gt;3"))</f>
        <v/>
      </c>
      <c r="V196" s="13">
        <f>IFERROR(Q196/P196,"")</f>
        <v/>
      </c>
      <c r="W196" s="13">
        <f>IFERROR(R196/P196,"")</f>
        <v/>
      </c>
    </row>
    <row r="197" spans="1:23">
      <c r="A197" s="4">
        <f>IF(ROSTER!A197="","",ROSTER!A197)</f>
        <v/>
      </c>
      <c r="B197" s="4">
        <f>IF($A197="","",ROSTER!C197)</f>
        <v/>
      </c>
      <c r="C197" s="4">
        <f>IF($A197="","",ROSTER!D197)</f>
        <v/>
      </c>
      <c r="D197" s="4">
        <f>IF($A197="","",ROSTER!E197)</f>
        <v/>
      </c>
      <c r="E197" s="4">
        <f>IF($A197="","",ROSTER!F197)</f>
        <v/>
      </c>
      <c r="F197" s="11">
        <f>IF($A197="","",COUNTIFS(tblPCSInput[Call Date/Time],"&gt;="&amp;(SETUP!$B$5),tblPCSInput[Call Date/Time],"&lt;"&amp;(SETUP!$B$5+1),tblPCSInput[Call Direction],"I",tblPCSInput[Agent ID],$A197,tblPCSInput[PCSStatus],1))</f>
        <v/>
      </c>
      <c r="G197" s="11">
        <f>IF($A197="","",COUNTIFS(tblPCSInput[Call Date/Time],"&gt;="&amp;(SETUP!$B$5),tblPCSInput[Call Date/Time],"&lt;"&amp;(SETUP!$B$5+1),tblPCSInput[Call Direction],"I",tblPCSInput[Agent ID],$A197,tblPCSInput[Question 1],"&lt;&gt;"))</f>
        <v/>
      </c>
      <c r="H197" s="11">
        <f>IF($A197="","",COUNTIFS(tblPCSInput[Call Date/Time],"&gt;="&amp;(SETUP!$B$5),tblPCSInput[Call Date/Time],"&lt;"&amp;(SETUP!$B$5+1),tblPCSInput[Call Direction],"I",tblPCSInput[Agent ID],$A197,tblPCSInput[Valid Q1],"&gt;=1"))</f>
        <v/>
      </c>
      <c r="I197" s="12">
        <f>IFERROR(SUMIFS(tblPCSInput[Valid Q1],tblPCSInput[Call Date/Time],"&gt;="&amp;SETUP!$B$5,tblPCSInput[Call Date/Time],"&lt;"&amp;SETUP!$B$5+1,tblPCSInput[Call Direction],"I",tblPCSInput[Agent ID],$A197)/COUNTIFS(tblPCSInput[Call Date/Time],"&gt;="&amp;(SETUP!$B$5),tblPCSInput[Call Date/Time],"&lt;"&amp;(SETUP!$B$5+1),tblPCSInput[Call Direction],"I",tblPCSInput[Agent ID],$A197,tblPCSInput[Valid Q1],"&gt;=1"),"")</f>
        <v/>
      </c>
      <c r="J197" s="11">
        <f>IF(I197="","",COUNTIFS(tblPCSInput[Call Date/Time],"&gt;="&amp;(SETUP!$B$5),tblPCSInput[Call Date/Time],"&lt;"&amp;(SETUP!$B$5+1),tblPCSInput[Call Direction],"I",tblPCSInput[Agent ID],$A197,tblPCSInput[Valid Q1],"&lt;=3",tblPCSInput[Valid Q1],"&gt;=1"))</f>
        <v/>
      </c>
      <c r="K197" s="11">
        <f>IF(I197="","",COUNTIFS(tblPCSInput[Call Date/Time],"&gt;="&amp;(SETUP!$B$5),tblPCSInput[Call Date/Time],"&lt;"&amp;(SETUP!$B$5+1),tblPCSInput[Call Direction],"I",tblPCSInput[Agent ID],$A197,tblPCSInput[Valid Q1],"&gt;3"))</f>
        <v/>
      </c>
      <c r="L197" s="13">
        <f>IFERROR(G197/F197,"")</f>
        <v/>
      </c>
      <c r="M197" s="13">
        <f>IFERROR(H197/F197,"")</f>
        <v/>
      </c>
      <c r="N197" s="11">
        <f>IF($A197="","",MAX(0,G197-H197))</f>
        <v/>
      </c>
      <c r="O197" s="4">
        <f>IF($A197="","",IF(H197=0,"NO VALID SURVEY",IF(H197&lt;5,"LOW SAMPLE","OK")))</f>
        <v/>
      </c>
      <c r="P197" s="11">
        <f>IF($A197="","",COUNTIFS(tblPCSInput[Call Date/Time],"&gt;="&amp;(SETUP!$B$6),tblPCSInput[Call Date/Time],"&lt;"&amp;(SETUP!$B$7),tblPCSInput[Call Direction],"I",tblPCSInput[Agent ID],$A197,tblPCSInput[PCSStatus],1))</f>
        <v/>
      </c>
      <c r="Q197" s="11">
        <f>IF($A197="","",COUNTIFS(tblPCSInput[Call Date/Time],"&gt;="&amp;(SETUP!$B$6),tblPCSInput[Call Date/Time],"&lt;"&amp;(SETUP!$B$7),tblPCSInput[Call Direction],"I",tblPCSInput[Agent ID],$A197,tblPCSInput[Question 1],"&lt;&gt;"))</f>
        <v/>
      </c>
      <c r="R197" s="11">
        <f>IF($A197="","",COUNTIFS(tblPCSInput[Call Date/Time],"&gt;="&amp;(SETUP!$B$6),tblPCSInput[Call Date/Time],"&lt;"&amp;(SETUP!$B$7),tblPCSInput[Call Direction],"I",tblPCSInput[Agent ID],$A197,tblPCSInput[Valid Q1],"&gt;=1"))</f>
        <v/>
      </c>
      <c r="S197" s="12">
        <f>IFERROR(SUMIFS(tblPCSInput[Valid Q1],tblPCSInput[Call Date/Time],"&gt;="&amp;SETUP!$B$6,tblPCSInput[Call Date/Time],"&lt;"&amp;SETUP!$B$7,tblPCSInput[Call Direction],"I",tblPCSInput[Agent ID],$A197)/COUNTIFS(tblPCSInput[Call Date/Time],"&gt;="&amp;(SETUP!$B$6),tblPCSInput[Call Date/Time],"&lt;"&amp;(SETUP!$B$7),tblPCSInput[Call Direction],"I",tblPCSInput[Agent ID],$A197,tblPCSInput[Valid Q1],"&gt;=1"),"")</f>
        <v/>
      </c>
      <c r="T197" s="11">
        <f>IF(S197="","",COUNTIFS(tblPCSInput[Call Date/Time],"&gt;="&amp;(SETUP!$B$6),tblPCSInput[Call Date/Time],"&lt;"&amp;(SETUP!$B$7),tblPCSInput[Call Direction],"I",tblPCSInput[Agent ID],$A197,tblPCSInput[Valid Q1],"&lt;=3",tblPCSInput[Valid Q1],"&gt;=1"))</f>
        <v/>
      </c>
      <c r="U197" s="11">
        <f>IF(S197="","",COUNTIFS(tblPCSInput[Call Date/Time],"&gt;="&amp;(SETUP!$B$6),tblPCSInput[Call Date/Time],"&lt;"&amp;(SETUP!$B$7),tblPCSInput[Call Direction],"I",tblPCSInput[Agent ID],$A197,tblPCSInput[Valid Q1],"&gt;3"))</f>
        <v/>
      </c>
      <c r="V197" s="13">
        <f>IFERROR(Q197/P197,"")</f>
        <v/>
      </c>
      <c r="W197" s="13">
        <f>IFERROR(R197/P197,"")</f>
        <v/>
      </c>
    </row>
    <row r="198" spans="1:23">
      <c r="A198" s="4">
        <f>IF(ROSTER!A198="","",ROSTER!A198)</f>
        <v/>
      </c>
      <c r="B198" s="4">
        <f>IF($A198="","",ROSTER!C198)</f>
        <v/>
      </c>
      <c r="C198" s="4">
        <f>IF($A198="","",ROSTER!D198)</f>
        <v/>
      </c>
      <c r="D198" s="4">
        <f>IF($A198="","",ROSTER!E198)</f>
        <v/>
      </c>
      <c r="E198" s="4">
        <f>IF($A198="","",ROSTER!F198)</f>
        <v/>
      </c>
      <c r="F198" s="11">
        <f>IF($A198="","",COUNTIFS(tblPCSInput[Call Date/Time],"&gt;="&amp;(SETUP!$B$5),tblPCSInput[Call Date/Time],"&lt;"&amp;(SETUP!$B$5+1),tblPCSInput[Call Direction],"I",tblPCSInput[Agent ID],$A198,tblPCSInput[PCSStatus],1))</f>
        <v/>
      </c>
      <c r="G198" s="11">
        <f>IF($A198="","",COUNTIFS(tblPCSInput[Call Date/Time],"&gt;="&amp;(SETUP!$B$5),tblPCSInput[Call Date/Time],"&lt;"&amp;(SETUP!$B$5+1),tblPCSInput[Call Direction],"I",tblPCSInput[Agent ID],$A198,tblPCSInput[Question 1],"&lt;&gt;"))</f>
        <v/>
      </c>
      <c r="H198" s="11">
        <f>IF($A198="","",COUNTIFS(tblPCSInput[Call Date/Time],"&gt;="&amp;(SETUP!$B$5),tblPCSInput[Call Date/Time],"&lt;"&amp;(SETUP!$B$5+1),tblPCSInput[Call Direction],"I",tblPCSInput[Agent ID],$A198,tblPCSInput[Valid Q1],"&gt;=1"))</f>
        <v/>
      </c>
      <c r="I198" s="12">
        <f>IFERROR(SUMIFS(tblPCSInput[Valid Q1],tblPCSInput[Call Date/Time],"&gt;="&amp;SETUP!$B$5,tblPCSInput[Call Date/Time],"&lt;"&amp;SETUP!$B$5+1,tblPCSInput[Call Direction],"I",tblPCSInput[Agent ID],$A198)/COUNTIFS(tblPCSInput[Call Date/Time],"&gt;="&amp;(SETUP!$B$5),tblPCSInput[Call Date/Time],"&lt;"&amp;(SETUP!$B$5+1),tblPCSInput[Call Direction],"I",tblPCSInput[Agent ID],$A198,tblPCSInput[Valid Q1],"&gt;=1"),"")</f>
        <v/>
      </c>
      <c r="J198" s="11">
        <f>IF(I198="","",COUNTIFS(tblPCSInput[Call Date/Time],"&gt;="&amp;(SETUP!$B$5),tblPCSInput[Call Date/Time],"&lt;"&amp;(SETUP!$B$5+1),tblPCSInput[Call Direction],"I",tblPCSInput[Agent ID],$A198,tblPCSInput[Valid Q1],"&lt;=3",tblPCSInput[Valid Q1],"&gt;=1"))</f>
        <v/>
      </c>
      <c r="K198" s="11">
        <f>IF(I198="","",COUNTIFS(tblPCSInput[Call Date/Time],"&gt;="&amp;(SETUP!$B$5),tblPCSInput[Call Date/Time],"&lt;"&amp;(SETUP!$B$5+1),tblPCSInput[Call Direction],"I",tblPCSInput[Agent ID],$A198,tblPCSInput[Valid Q1],"&gt;3"))</f>
        <v/>
      </c>
      <c r="L198" s="13">
        <f>IFERROR(G198/F198,"")</f>
        <v/>
      </c>
      <c r="M198" s="13">
        <f>IFERROR(H198/F198,"")</f>
        <v/>
      </c>
      <c r="N198" s="11">
        <f>IF($A198="","",MAX(0,G198-H198))</f>
        <v/>
      </c>
      <c r="O198" s="4">
        <f>IF($A198="","",IF(H198=0,"NO VALID SURVEY",IF(H198&lt;5,"LOW SAMPLE","OK")))</f>
        <v/>
      </c>
      <c r="P198" s="11">
        <f>IF($A198="","",COUNTIFS(tblPCSInput[Call Date/Time],"&gt;="&amp;(SETUP!$B$6),tblPCSInput[Call Date/Time],"&lt;"&amp;(SETUP!$B$7),tblPCSInput[Call Direction],"I",tblPCSInput[Agent ID],$A198,tblPCSInput[PCSStatus],1))</f>
        <v/>
      </c>
      <c r="Q198" s="11">
        <f>IF($A198="","",COUNTIFS(tblPCSInput[Call Date/Time],"&gt;="&amp;(SETUP!$B$6),tblPCSInput[Call Date/Time],"&lt;"&amp;(SETUP!$B$7),tblPCSInput[Call Direction],"I",tblPCSInput[Agent ID],$A198,tblPCSInput[Question 1],"&lt;&gt;"))</f>
        <v/>
      </c>
      <c r="R198" s="11">
        <f>IF($A198="","",COUNTIFS(tblPCSInput[Call Date/Time],"&gt;="&amp;(SETUP!$B$6),tblPCSInput[Call Date/Time],"&lt;"&amp;(SETUP!$B$7),tblPCSInput[Call Direction],"I",tblPCSInput[Agent ID],$A198,tblPCSInput[Valid Q1],"&gt;=1"))</f>
        <v/>
      </c>
      <c r="S198" s="12">
        <f>IFERROR(SUMIFS(tblPCSInput[Valid Q1],tblPCSInput[Call Date/Time],"&gt;="&amp;SETUP!$B$6,tblPCSInput[Call Date/Time],"&lt;"&amp;SETUP!$B$7,tblPCSInput[Call Direction],"I",tblPCSInput[Agent ID],$A198)/COUNTIFS(tblPCSInput[Call Date/Time],"&gt;="&amp;(SETUP!$B$6),tblPCSInput[Call Date/Time],"&lt;"&amp;(SETUP!$B$7),tblPCSInput[Call Direction],"I",tblPCSInput[Agent ID],$A198,tblPCSInput[Valid Q1],"&gt;=1"),"")</f>
        <v/>
      </c>
      <c r="T198" s="11">
        <f>IF(S198="","",COUNTIFS(tblPCSInput[Call Date/Time],"&gt;="&amp;(SETUP!$B$6),tblPCSInput[Call Date/Time],"&lt;"&amp;(SETUP!$B$7),tblPCSInput[Call Direction],"I",tblPCSInput[Agent ID],$A198,tblPCSInput[Valid Q1],"&lt;=3",tblPCSInput[Valid Q1],"&gt;=1"))</f>
        <v/>
      </c>
      <c r="U198" s="11">
        <f>IF(S198="","",COUNTIFS(tblPCSInput[Call Date/Time],"&gt;="&amp;(SETUP!$B$6),tblPCSInput[Call Date/Time],"&lt;"&amp;(SETUP!$B$7),tblPCSInput[Call Direction],"I",tblPCSInput[Agent ID],$A198,tblPCSInput[Valid Q1],"&gt;3"))</f>
        <v/>
      </c>
      <c r="V198" s="13">
        <f>IFERROR(Q198/P198,"")</f>
        <v/>
      </c>
      <c r="W198" s="13">
        <f>IFERROR(R198/P198,"")</f>
        <v/>
      </c>
    </row>
    <row r="199" spans="1:23">
      <c r="A199" s="4">
        <f>IF(ROSTER!A199="","",ROSTER!A199)</f>
        <v/>
      </c>
      <c r="B199" s="4">
        <f>IF($A199="","",ROSTER!C199)</f>
        <v/>
      </c>
      <c r="C199" s="4">
        <f>IF($A199="","",ROSTER!D199)</f>
        <v/>
      </c>
      <c r="D199" s="4">
        <f>IF($A199="","",ROSTER!E199)</f>
        <v/>
      </c>
      <c r="E199" s="4">
        <f>IF($A199="","",ROSTER!F199)</f>
        <v/>
      </c>
      <c r="F199" s="11">
        <f>IF($A199="","",COUNTIFS(tblPCSInput[Call Date/Time],"&gt;="&amp;(SETUP!$B$5),tblPCSInput[Call Date/Time],"&lt;"&amp;(SETUP!$B$5+1),tblPCSInput[Call Direction],"I",tblPCSInput[Agent ID],$A199,tblPCSInput[PCSStatus],1))</f>
        <v/>
      </c>
      <c r="G199" s="11">
        <f>IF($A199="","",COUNTIFS(tblPCSInput[Call Date/Time],"&gt;="&amp;(SETUP!$B$5),tblPCSInput[Call Date/Time],"&lt;"&amp;(SETUP!$B$5+1),tblPCSInput[Call Direction],"I",tblPCSInput[Agent ID],$A199,tblPCSInput[Question 1],"&lt;&gt;"))</f>
        <v/>
      </c>
      <c r="H199" s="11">
        <f>IF($A199="","",COUNTIFS(tblPCSInput[Call Date/Time],"&gt;="&amp;(SETUP!$B$5),tblPCSInput[Call Date/Time],"&lt;"&amp;(SETUP!$B$5+1),tblPCSInput[Call Direction],"I",tblPCSInput[Agent ID],$A199,tblPCSInput[Valid Q1],"&gt;=1"))</f>
        <v/>
      </c>
      <c r="I199" s="12">
        <f>IFERROR(SUMIFS(tblPCSInput[Valid Q1],tblPCSInput[Call Date/Time],"&gt;="&amp;SETUP!$B$5,tblPCSInput[Call Date/Time],"&lt;"&amp;SETUP!$B$5+1,tblPCSInput[Call Direction],"I",tblPCSInput[Agent ID],$A199)/COUNTIFS(tblPCSInput[Call Date/Time],"&gt;="&amp;(SETUP!$B$5),tblPCSInput[Call Date/Time],"&lt;"&amp;(SETUP!$B$5+1),tblPCSInput[Call Direction],"I",tblPCSInput[Agent ID],$A199,tblPCSInput[Valid Q1],"&gt;=1"),"")</f>
        <v/>
      </c>
      <c r="J199" s="11">
        <f>IF(I199="","",COUNTIFS(tblPCSInput[Call Date/Time],"&gt;="&amp;(SETUP!$B$5),tblPCSInput[Call Date/Time],"&lt;"&amp;(SETUP!$B$5+1),tblPCSInput[Call Direction],"I",tblPCSInput[Agent ID],$A199,tblPCSInput[Valid Q1],"&lt;=3",tblPCSInput[Valid Q1],"&gt;=1"))</f>
        <v/>
      </c>
      <c r="K199" s="11">
        <f>IF(I199="","",COUNTIFS(tblPCSInput[Call Date/Time],"&gt;="&amp;(SETUP!$B$5),tblPCSInput[Call Date/Time],"&lt;"&amp;(SETUP!$B$5+1),tblPCSInput[Call Direction],"I",tblPCSInput[Agent ID],$A199,tblPCSInput[Valid Q1],"&gt;3"))</f>
        <v/>
      </c>
      <c r="L199" s="13">
        <f>IFERROR(G199/F199,"")</f>
        <v/>
      </c>
      <c r="M199" s="13">
        <f>IFERROR(H199/F199,"")</f>
        <v/>
      </c>
      <c r="N199" s="11">
        <f>IF($A199="","",MAX(0,G199-H199))</f>
        <v/>
      </c>
      <c r="O199" s="4">
        <f>IF($A199="","",IF(H199=0,"NO VALID SURVEY",IF(H199&lt;5,"LOW SAMPLE","OK")))</f>
        <v/>
      </c>
      <c r="P199" s="11">
        <f>IF($A199="","",COUNTIFS(tblPCSInput[Call Date/Time],"&gt;="&amp;(SETUP!$B$6),tblPCSInput[Call Date/Time],"&lt;"&amp;(SETUP!$B$7),tblPCSInput[Call Direction],"I",tblPCSInput[Agent ID],$A199,tblPCSInput[PCSStatus],1))</f>
        <v/>
      </c>
      <c r="Q199" s="11">
        <f>IF($A199="","",COUNTIFS(tblPCSInput[Call Date/Time],"&gt;="&amp;(SETUP!$B$6),tblPCSInput[Call Date/Time],"&lt;"&amp;(SETUP!$B$7),tblPCSInput[Call Direction],"I",tblPCSInput[Agent ID],$A199,tblPCSInput[Question 1],"&lt;&gt;"))</f>
        <v/>
      </c>
      <c r="R199" s="11">
        <f>IF($A199="","",COUNTIFS(tblPCSInput[Call Date/Time],"&gt;="&amp;(SETUP!$B$6),tblPCSInput[Call Date/Time],"&lt;"&amp;(SETUP!$B$7),tblPCSInput[Call Direction],"I",tblPCSInput[Agent ID],$A199,tblPCSInput[Valid Q1],"&gt;=1"))</f>
        <v/>
      </c>
      <c r="S199" s="12">
        <f>IFERROR(SUMIFS(tblPCSInput[Valid Q1],tblPCSInput[Call Date/Time],"&gt;="&amp;SETUP!$B$6,tblPCSInput[Call Date/Time],"&lt;"&amp;SETUP!$B$7,tblPCSInput[Call Direction],"I",tblPCSInput[Agent ID],$A199)/COUNTIFS(tblPCSInput[Call Date/Time],"&gt;="&amp;(SETUP!$B$6),tblPCSInput[Call Date/Time],"&lt;"&amp;(SETUP!$B$7),tblPCSInput[Call Direction],"I",tblPCSInput[Agent ID],$A199,tblPCSInput[Valid Q1],"&gt;=1"),"")</f>
        <v/>
      </c>
      <c r="T199" s="11">
        <f>IF(S199="","",COUNTIFS(tblPCSInput[Call Date/Time],"&gt;="&amp;(SETUP!$B$6),tblPCSInput[Call Date/Time],"&lt;"&amp;(SETUP!$B$7),tblPCSInput[Call Direction],"I",tblPCSInput[Agent ID],$A199,tblPCSInput[Valid Q1],"&lt;=3",tblPCSInput[Valid Q1],"&gt;=1"))</f>
        <v/>
      </c>
      <c r="U199" s="11">
        <f>IF(S199="","",COUNTIFS(tblPCSInput[Call Date/Time],"&gt;="&amp;(SETUP!$B$6),tblPCSInput[Call Date/Time],"&lt;"&amp;(SETUP!$B$7),tblPCSInput[Call Direction],"I",tblPCSInput[Agent ID],$A199,tblPCSInput[Valid Q1],"&gt;3"))</f>
        <v/>
      </c>
      <c r="V199" s="13">
        <f>IFERROR(Q199/P199,"")</f>
        <v/>
      </c>
      <c r="W199" s="13">
        <f>IFERROR(R199/P199,"")</f>
        <v/>
      </c>
    </row>
    <row r="200" spans="1:23">
      <c r="A200" s="4">
        <f>IF(ROSTER!A200="","",ROSTER!A200)</f>
        <v/>
      </c>
      <c r="B200" s="4">
        <f>IF($A200="","",ROSTER!C200)</f>
        <v/>
      </c>
      <c r="C200" s="4">
        <f>IF($A200="","",ROSTER!D200)</f>
        <v/>
      </c>
      <c r="D200" s="4">
        <f>IF($A200="","",ROSTER!E200)</f>
        <v/>
      </c>
      <c r="E200" s="4">
        <f>IF($A200="","",ROSTER!F200)</f>
        <v/>
      </c>
      <c r="F200" s="11">
        <f>IF($A200="","",COUNTIFS(tblPCSInput[Call Date/Time],"&gt;="&amp;(SETUP!$B$5),tblPCSInput[Call Date/Time],"&lt;"&amp;(SETUP!$B$5+1),tblPCSInput[Call Direction],"I",tblPCSInput[Agent ID],$A200,tblPCSInput[PCSStatus],1))</f>
        <v/>
      </c>
      <c r="G200" s="11">
        <f>IF($A200="","",COUNTIFS(tblPCSInput[Call Date/Time],"&gt;="&amp;(SETUP!$B$5),tblPCSInput[Call Date/Time],"&lt;"&amp;(SETUP!$B$5+1),tblPCSInput[Call Direction],"I",tblPCSInput[Agent ID],$A200,tblPCSInput[Question 1],"&lt;&gt;"))</f>
        <v/>
      </c>
      <c r="H200" s="11">
        <f>IF($A200="","",COUNTIFS(tblPCSInput[Call Date/Time],"&gt;="&amp;(SETUP!$B$5),tblPCSInput[Call Date/Time],"&lt;"&amp;(SETUP!$B$5+1),tblPCSInput[Call Direction],"I",tblPCSInput[Agent ID],$A200,tblPCSInput[Valid Q1],"&gt;=1"))</f>
        <v/>
      </c>
      <c r="I200" s="12">
        <f>IFERROR(SUMIFS(tblPCSInput[Valid Q1],tblPCSInput[Call Date/Time],"&gt;="&amp;SETUP!$B$5,tblPCSInput[Call Date/Time],"&lt;"&amp;SETUP!$B$5+1,tblPCSInput[Call Direction],"I",tblPCSInput[Agent ID],$A200)/COUNTIFS(tblPCSInput[Call Date/Time],"&gt;="&amp;(SETUP!$B$5),tblPCSInput[Call Date/Time],"&lt;"&amp;(SETUP!$B$5+1),tblPCSInput[Call Direction],"I",tblPCSInput[Agent ID],$A200,tblPCSInput[Valid Q1],"&gt;=1"),"")</f>
        <v/>
      </c>
      <c r="J200" s="11">
        <f>IF(I200="","",COUNTIFS(tblPCSInput[Call Date/Time],"&gt;="&amp;(SETUP!$B$5),tblPCSInput[Call Date/Time],"&lt;"&amp;(SETUP!$B$5+1),tblPCSInput[Call Direction],"I",tblPCSInput[Agent ID],$A200,tblPCSInput[Valid Q1],"&lt;=3",tblPCSInput[Valid Q1],"&gt;=1"))</f>
        <v/>
      </c>
      <c r="K200" s="11">
        <f>IF(I200="","",COUNTIFS(tblPCSInput[Call Date/Time],"&gt;="&amp;(SETUP!$B$5),tblPCSInput[Call Date/Time],"&lt;"&amp;(SETUP!$B$5+1),tblPCSInput[Call Direction],"I",tblPCSInput[Agent ID],$A200,tblPCSInput[Valid Q1],"&gt;3"))</f>
        <v/>
      </c>
      <c r="L200" s="13">
        <f>IFERROR(G200/F200,"")</f>
        <v/>
      </c>
      <c r="M200" s="13">
        <f>IFERROR(H200/F200,"")</f>
        <v/>
      </c>
      <c r="N200" s="11">
        <f>IF($A200="","",MAX(0,G200-H200))</f>
        <v/>
      </c>
      <c r="O200" s="4">
        <f>IF($A200="","",IF(H200=0,"NO VALID SURVEY",IF(H200&lt;5,"LOW SAMPLE","OK")))</f>
        <v/>
      </c>
      <c r="P200" s="11">
        <f>IF($A200="","",COUNTIFS(tblPCSInput[Call Date/Time],"&gt;="&amp;(SETUP!$B$6),tblPCSInput[Call Date/Time],"&lt;"&amp;(SETUP!$B$7),tblPCSInput[Call Direction],"I",tblPCSInput[Agent ID],$A200,tblPCSInput[PCSStatus],1))</f>
        <v/>
      </c>
      <c r="Q200" s="11">
        <f>IF($A200="","",COUNTIFS(tblPCSInput[Call Date/Time],"&gt;="&amp;(SETUP!$B$6),tblPCSInput[Call Date/Time],"&lt;"&amp;(SETUP!$B$7),tblPCSInput[Call Direction],"I",tblPCSInput[Agent ID],$A200,tblPCSInput[Question 1],"&lt;&gt;"))</f>
        <v/>
      </c>
      <c r="R200" s="11">
        <f>IF($A200="","",COUNTIFS(tblPCSInput[Call Date/Time],"&gt;="&amp;(SETUP!$B$6),tblPCSInput[Call Date/Time],"&lt;"&amp;(SETUP!$B$7),tblPCSInput[Call Direction],"I",tblPCSInput[Agent ID],$A200,tblPCSInput[Valid Q1],"&gt;=1"))</f>
        <v/>
      </c>
      <c r="S200" s="12">
        <f>IFERROR(SUMIFS(tblPCSInput[Valid Q1],tblPCSInput[Call Date/Time],"&gt;="&amp;SETUP!$B$6,tblPCSInput[Call Date/Time],"&lt;"&amp;SETUP!$B$7,tblPCSInput[Call Direction],"I",tblPCSInput[Agent ID],$A200)/COUNTIFS(tblPCSInput[Call Date/Time],"&gt;="&amp;(SETUP!$B$6),tblPCSInput[Call Date/Time],"&lt;"&amp;(SETUP!$B$7),tblPCSInput[Call Direction],"I",tblPCSInput[Agent ID],$A200,tblPCSInput[Valid Q1],"&gt;=1"),"")</f>
        <v/>
      </c>
      <c r="T200" s="11">
        <f>IF(S200="","",COUNTIFS(tblPCSInput[Call Date/Time],"&gt;="&amp;(SETUP!$B$6),tblPCSInput[Call Date/Time],"&lt;"&amp;(SETUP!$B$7),tblPCSInput[Call Direction],"I",tblPCSInput[Agent ID],$A200,tblPCSInput[Valid Q1],"&lt;=3",tblPCSInput[Valid Q1],"&gt;=1"))</f>
        <v/>
      </c>
      <c r="U200" s="11">
        <f>IF(S200="","",COUNTIFS(tblPCSInput[Call Date/Time],"&gt;="&amp;(SETUP!$B$6),tblPCSInput[Call Date/Time],"&lt;"&amp;(SETUP!$B$7),tblPCSInput[Call Direction],"I",tblPCSInput[Agent ID],$A200,tblPCSInput[Valid Q1],"&gt;3"))</f>
        <v/>
      </c>
      <c r="V200" s="13">
        <f>IFERROR(Q200/P200,"")</f>
        <v/>
      </c>
      <c r="W200" s="13">
        <f>IFERROR(R200/P200,"")</f>
        <v/>
      </c>
    </row>
    <row r="201" spans="1:23">
      <c r="A201" s="4">
        <f>IF(ROSTER!A201="","",ROSTER!A201)</f>
        <v/>
      </c>
      <c r="B201" s="4">
        <f>IF($A201="","",ROSTER!C201)</f>
        <v/>
      </c>
      <c r="C201" s="4">
        <f>IF($A201="","",ROSTER!D201)</f>
        <v/>
      </c>
      <c r="D201" s="4">
        <f>IF($A201="","",ROSTER!E201)</f>
        <v/>
      </c>
      <c r="E201" s="4">
        <f>IF($A201="","",ROSTER!F201)</f>
        <v/>
      </c>
      <c r="F201" s="11">
        <f>IF($A201="","",COUNTIFS(tblPCSInput[Call Date/Time],"&gt;="&amp;(SETUP!$B$5),tblPCSInput[Call Date/Time],"&lt;"&amp;(SETUP!$B$5+1),tblPCSInput[Call Direction],"I",tblPCSInput[Agent ID],$A201,tblPCSInput[PCSStatus],1))</f>
        <v/>
      </c>
      <c r="G201" s="11">
        <f>IF($A201="","",COUNTIFS(tblPCSInput[Call Date/Time],"&gt;="&amp;(SETUP!$B$5),tblPCSInput[Call Date/Time],"&lt;"&amp;(SETUP!$B$5+1),tblPCSInput[Call Direction],"I",tblPCSInput[Agent ID],$A201,tblPCSInput[Question 1],"&lt;&gt;"))</f>
        <v/>
      </c>
      <c r="H201" s="11">
        <f>IF($A201="","",COUNTIFS(tblPCSInput[Call Date/Time],"&gt;="&amp;(SETUP!$B$5),tblPCSInput[Call Date/Time],"&lt;"&amp;(SETUP!$B$5+1),tblPCSInput[Call Direction],"I",tblPCSInput[Agent ID],$A201,tblPCSInput[Valid Q1],"&gt;=1"))</f>
        <v/>
      </c>
      <c r="I201" s="12">
        <f>IFERROR(SUMIFS(tblPCSInput[Valid Q1],tblPCSInput[Call Date/Time],"&gt;="&amp;SETUP!$B$5,tblPCSInput[Call Date/Time],"&lt;"&amp;SETUP!$B$5+1,tblPCSInput[Call Direction],"I",tblPCSInput[Agent ID],$A201)/COUNTIFS(tblPCSInput[Call Date/Time],"&gt;="&amp;(SETUP!$B$5),tblPCSInput[Call Date/Time],"&lt;"&amp;(SETUP!$B$5+1),tblPCSInput[Call Direction],"I",tblPCSInput[Agent ID],$A201,tblPCSInput[Valid Q1],"&gt;=1"),"")</f>
        <v/>
      </c>
      <c r="J201" s="11">
        <f>IF(I201="","",COUNTIFS(tblPCSInput[Call Date/Time],"&gt;="&amp;(SETUP!$B$5),tblPCSInput[Call Date/Time],"&lt;"&amp;(SETUP!$B$5+1),tblPCSInput[Call Direction],"I",tblPCSInput[Agent ID],$A201,tblPCSInput[Valid Q1],"&lt;=3",tblPCSInput[Valid Q1],"&gt;=1"))</f>
        <v/>
      </c>
      <c r="K201" s="11">
        <f>IF(I201="","",COUNTIFS(tblPCSInput[Call Date/Time],"&gt;="&amp;(SETUP!$B$5),tblPCSInput[Call Date/Time],"&lt;"&amp;(SETUP!$B$5+1),tblPCSInput[Call Direction],"I",tblPCSInput[Agent ID],$A201,tblPCSInput[Valid Q1],"&gt;3"))</f>
        <v/>
      </c>
      <c r="L201" s="13">
        <f>IFERROR(G201/F201,"")</f>
        <v/>
      </c>
      <c r="M201" s="13">
        <f>IFERROR(H201/F201,"")</f>
        <v/>
      </c>
      <c r="N201" s="11">
        <f>IF($A201="","",MAX(0,G201-H201))</f>
        <v/>
      </c>
      <c r="O201" s="4">
        <f>IF($A201="","",IF(H201=0,"NO VALID SURVEY",IF(H201&lt;5,"LOW SAMPLE","OK")))</f>
        <v/>
      </c>
      <c r="P201" s="11">
        <f>IF($A201="","",COUNTIFS(tblPCSInput[Call Date/Time],"&gt;="&amp;(SETUP!$B$6),tblPCSInput[Call Date/Time],"&lt;"&amp;(SETUP!$B$7),tblPCSInput[Call Direction],"I",tblPCSInput[Agent ID],$A201,tblPCSInput[PCSStatus],1))</f>
        <v/>
      </c>
      <c r="Q201" s="11">
        <f>IF($A201="","",COUNTIFS(tblPCSInput[Call Date/Time],"&gt;="&amp;(SETUP!$B$6),tblPCSInput[Call Date/Time],"&lt;"&amp;(SETUP!$B$7),tblPCSInput[Call Direction],"I",tblPCSInput[Agent ID],$A201,tblPCSInput[Question 1],"&lt;&gt;"))</f>
        <v/>
      </c>
      <c r="R201" s="11">
        <f>IF($A201="","",COUNTIFS(tblPCSInput[Call Date/Time],"&gt;="&amp;(SETUP!$B$6),tblPCSInput[Call Date/Time],"&lt;"&amp;(SETUP!$B$7),tblPCSInput[Call Direction],"I",tblPCSInput[Agent ID],$A201,tblPCSInput[Valid Q1],"&gt;=1"))</f>
        <v/>
      </c>
      <c r="S201" s="12">
        <f>IFERROR(SUMIFS(tblPCSInput[Valid Q1],tblPCSInput[Call Date/Time],"&gt;="&amp;SETUP!$B$6,tblPCSInput[Call Date/Time],"&lt;"&amp;SETUP!$B$7,tblPCSInput[Call Direction],"I",tblPCSInput[Agent ID],$A201)/COUNTIFS(tblPCSInput[Call Date/Time],"&gt;="&amp;(SETUP!$B$6),tblPCSInput[Call Date/Time],"&lt;"&amp;(SETUP!$B$7),tblPCSInput[Call Direction],"I",tblPCSInput[Agent ID],$A201,tblPCSInput[Valid Q1],"&gt;=1"),"")</f>
        <v/>
      </c>
      <c r="T201" s="11">
        <f>IF(S201="","",COUNTIFS(tblPCSInput[Call Date/Time],"&gt;="&amp;(SETUP!$B$6),tblPCSInput[Call Date/Time],"&lt;"&amp;(SETUP!$B$7),tblPCSInput[Call Direction],"I",tblPCSInput[Agent ID],$A201,tblPCSInput[Valid Q1],"&lt;=3",tblPCSInput[Valid Q1],"&gt;=1"))</f>
        <v/>
      </c>
      <c r="U201" s="11">
        <f>IF(S201="","",COUNTIFS(tblPCSInput[Call Date/Time],"&gt;="&amp;(SETUP!$B$6),tblPCSInput[Call Date/Time],"&lt;"&amp;(SETUP!$B$7),tblPCSInput[Call Direction],"I",tblPCSInput[Agent ID],$A201,tblPCSInput[Valid Q1],"&gt;3"))</f>
        <v/>
      </c>
      <c r="V201" s="13">
        <f>IFERROR(Q201/P201,"")</f>
        <v/>
      </c>
      <c r="W201" s="13">
        <f>IFERROR(R201/P201,"")</f>
        <v/>
      </c>
    </row>
    <row r="202" spans="1:23">
      <c r="A202" s="4">
        <f>IF(ROSTER!A202="","",ROSTER!A202)</f>
        <v/>
      </c>
      <c r="B202" s="4">
        <f>IF($A202="","",ROSTER!C202)</f>
        <v/>
      </c>
      <c r="C202" s="4">
        <f>IF($A202="","",ROSTER!D202)</f>
        <v/>
      </c>
      <c r="D202" s="4">
        <f>IF($A202="","",ROSTER!E202)</f>
        <v/>
      </c>
      <c r="E202" s="4">
        <f>IF($A202="","",ROSTER!F202)</f>
        <v/>
      </c>
      <c r="F202" s="11">
        <f>IF($A202="","",COUNTIFS(tblPCSInput[Call Date/Time],"&gt;="&amp;(SETUP!$B$5),tblPCSInput[Call Date/Time],"&lt;"&amp;(SETUP!$B$5+1),tblPCSInput[Call Direction],"I",tblPCSInput[Agent ID],$A202,tblPCSInput[PCSStatus],1))</f>
        <v/>
      </c>
      <c r="G202" s="11">
        <f>IF($A202="","",COUNTIFS(tblPCSInput[Call Date/Time],"&gt;="&amp;(SETUP!$B$5),tblPCSInput[Call Date/Time],"&lt;"&amp;(SETUP!$B$5+1),tblPCSInput[Call Direction],"I",tblPCSInput[Agent ID],$A202,tblPCSInput[Question 1],"&lt;&gt;"))</f>
        <v/>
      </c>
      <c r="H202" s="11">
        <f>IF($A202="","",COUNTIFS(tblPCSInput[Call Date/Time],"&gt;="&amp;(SETUP!$B$5),tblPCSInput[Call Date/Time],"&lt;"&amp;(SETUP!$B$5+1),tblPCSInput[Call Direction],"I",tblPCSInput[Agent ID],$A202,tblPCSInput[Valid Q1],"&gt;=1"))</f>
        <v/>
      </c>
      <c r="I202" s="12">
        <f>IFERROR(SUMIFS(tblPCSInput[Valid Q1],tblPCSInput[Call Date/Time],"&gt;="&amp;SETUP!$B$5,tblPCSInput[Call Date/Time],"&lt;"&amp;SETUP!$B$5+1,tblPCSInput[Call Direction],"I",tblPCSInput[Agent ID],$A202)/COUNTIFS(tblPCSInput[Call Date/Time],"&gt;="&amp;(SETUP!$B$5),tblPCSInput[Call Date/Time],"&lt;"&amp;(SETUP!$B$5+1),tblPCSInput[Call Direction],"I",tblPCSInput[Agent ID],$A202,tblPCSInput[Valid Q1],"&gt;=1"),"")</f>
        <v/>
      </c>
      <c r="J202" s="11">
        <f>IF(I202="","",COUNTIFS(tblPCSInput[Call Date/Time],"&gt;="&amp;(SETUP!$B$5),tblPCSInput[Call Date/Time],"&lt;"&amp;(SETUP!$B$5+1),tblPCSInput[Call Direction],"I",tblPCSInput[Agent ID],$A202,tblPCSInput[Valid Q1],"&lt;=3",tblPCSInput[Valid Q1],"&gt;=1"))</f>
        <v/>
      </c>
      <c r="K202" s="11">
        <f>IF(I202="","",COUNTIFS(tblPCSInput[Call Date/Time],"&gt;="&amp;(SETUP!$B$5),tblPCSInput[Call Date/Time],"&lt;"&amp;(SETUP!$B$5+1),tblPCSInput[Call Direction],"I",tblPCSInput[Agent ID],$A202,tblPCSInput[Valid Q1],"&gt;3"))</f>
        <v/>
      </c>
      <c r="L202" s="13">
        <f>IFERROR(G202/F202,"")</f>
        <v/>
      </c>
      <c r="M202" s="13">
        <f>IFERROR(H202/F202,"")</f>
        <v/>
      </c>
      <c r="N202" s="11">
        <f>IF($A202="","",MAX(0,G202-H202))</f>
        <v/>
      </c>
      <c r="O202" s="4">
        <f>IF($A202="","",IF(H202=0,"NO VALID SURVEY",IF(H202&lt;5,"LOW SAMPLE","OK")))</f>
        <v/>
      </c>
      <c r="P202" s="11">
        <f>IF($A202="","",COUNTIFS(tblPCSInput[Call Date/Time],"&gt;="&amp;(SETUP!$B$6),tblPCSInput[Call Date/Time],"&lt;"&amp;(SETUP!$B$7),tblPCSInput[Call Direction],"I",tblPCSInput[Agent ID],$A202,tblPCSInput[PCSStatus],1))</f>
        <v/>
      </c>
      <c r="Q202" s="11">
        <f>IF($A202="","",COUNTIFS(tblPCSInput[Call Date/Time],"&gt;="&amp;(SETUP!$B$6),tblPCSInput[Call Date/Time],"&lt;"&amp;(SETUP!$B$7),tblPCSInput[Call Direction],"I",tblPCSInput[Agent ID],$A202,tblPCSInput[Question 1],"&lt;&gt;"))</f>
        <v/>
      </c>
      <c r="R202" s="11">
        <f>IF($A202="","",COUNTIFS(tblPCSInput[Call Date/Time],"&gt;="&amp;(SETUP!$B$6),tblPCSInput[Call Date/Time],"&lt;"&amp;(SETUP!$B$7),tblPCSInput[Call Direction],"I",tblPCSInput[Agent ID],$A202,tblPCSInput[Valid Q1],"&gt;=1"))</f>
        <v/>
      </c>
      <c r="S202" s="12">
        <f>IFERROR(SUMIFS(tblPCSInput[Valid Q1],tblPCSInput[Call Date/Time],"&gt;="&amp;SETUP!$B$6,tblPCSInput[Call Date/Time],"&lt;"&amp;SETUP!$B$7,tblPCSInput[Call Direction],"I",tblPCSInput[Agent ID],$A202)/COUNTIFS(tblPCSInput[Call Date/Time],"&gt;="&amp;(SETUP!$B$6),tblPCSInput[Call Date/Time],"&lt;"&amp;(SETUP!$B$7),tblPCSInput[Call Direction],"I",tblPCSInput[Agent ID],$A202,tblPCSInput[Valid Q1],"&gt;=1"),"")</f>
        <v/>
      </c>
      <c r="T202" s="11">
        <f>IF(S202="","",COUNTIFS(tblPCSInput[Call Date/Time],"&gt;="&amp;(SETUP!$B$6),tblPCSInput[Call Date/Time],"&lt;"&amp;(SETUP!$B$7),tblPCSInput[Call Direction],"I",tblPCSInput[Agent ID],$A202,tblPCSInput[Valid Q1],"&lt;=3",tblPCSInput[Valid Q1],"&gt;=1"))</f>
        <v/>
      </c>
      <c r="U202" s="11">
        <f>IF(S202="","",COUNTIFS(tblPCSInput[Call Date/Time],"&gt;="&amp;(SETUP!$B$6),tblPCSInput[Call Date/Time],"&lt;"&amp;(SETUP!$B$7),tblPCSInput[Call Direction],"I",tblPCSInput[Agent ID],$A202,tblPCSInput[Valid Q1],"&gt;3"))</f>
        <v/>
      </c>
      <c r="V202" s="13">
        <f>IFERROR(Q202/P202,"")</f>
        <v/>
      </c>
      <c r="W202" s="13">
        <f>IFERROR(R202/P202,"")</f>
        <v/>
      </c>
    </row>
    <row r="203" spans="1:23">
      <c r="A203" s="4">
        <f>IF(ROSTER!A203="","",ROSTER!A203)</f>
        <v/>
      </c>
      <c r="B203" s="4">
        <f>IF($A203="","",ROSTER!C203)</f>
        <v/>
      </c>
      <c r="C203" s="4">
        <f>IF($A203="","",ROSTER!D203)</f>
        <v/>
      </c>
      <c r="D203" s="4">
        <f>IF($A203="","",ROSTER!E203)</f>
        <v/>
      </c>
      <c r="E203" s="4">
        <f>IF($A203="","",ROSTER!F203)</f>
        <v/>
      </c>
      <c r="F203" s="11">
        <f>IF($A203="","",COUNTIFS(tblPCSInput[Call Date/Time],"&gt;="&amp;(SETUP!$B$5),tblPCSInput[Call Date/Time],"&lt;"&amp;(SETUP!$B$5+1),tblPCSInput[Call Direction],"I",tblPCSInput[Agent ID],$A203,tblPCSInput[PCSStatus],1))</f>
        <v/>
      </c>
      <c r="G203" s="11">
        <f>IF($A203="","",COUNTIFS(tblPCSInput[Call Date/Time],"&gt;="&amp;(SETUP!$B$5),tblPCSInput[Call Date/Time],"&lt;"&amp;(SETUP!$B$5+1),tblPCSInput[Call Direction],"I",tblPCSInput[Agent ID],$A203,tblPCSInput[Question 1],"&lt;&gt;"))</f>
        <v/>
      </c>
      <c r="H203" s="11">
        <f>IF($A203="","",COUNTIFS(tblPCSInput[Call Date/Time],"&gt;="&amp;(SETUP!$B$5),tblPCSInput[Call Date/Time],"&lt;"&amp;(SETUP!$B$5+1),tblPCSInput[Call Direction],"I",tblPCSInput[Agent ID],$A203,tblPCSInput[Valid Q1],"&gt;=1"))</f>
        <v/>
      </c>
      <c r="I203" s="12">
        <f>IFERROR(SUMIFS(tblPCSInput[Valid Q1],tblPCSInput[Call Date/Time],"&gt;="&amp;SETUP!$B$5,tblPCSInput[Call Date/Time],"&lt;"&amp;SETUP!$B$5+1,tblPCSInput[Call Direction],"I",tblPCSInput[Agent ID],$A203)/COUNTIFS(tblPCSInput[Call Date/Time],"&gt;="&amp;(SETUP!$B$5),tblPCSInput[Call Date/Time],"&lt;"&amp;(SETUP!$B$5+1),tblPCSInput[Call Direction],"I",tblPCSInput[Agent ID],$A203,tblPCSInput[Valid Q1],"&gt;=1"),"")</f>
        <v/>
      </c>
      <c r="J203" s="11">
        <f>IF(I203="","",COUNTIFS(tblPCSInput[Call Date/Time],"&gt;="&amp;(SETUP!$B$5),tblPCSInput[Call Date/Time],"&lt;"&amp;(SETUP!$B$5+1),tblPCSInput[Call Direction],"I",tblPCSInput[Agent ID],$A203,tblPCSInput[Valid Q1],"&lt;=3",tblPCSInput[Valid Q1],"&gt;=1"))</f>
        <v/>
      </c>
      <c r="K203" s="11">
        <f>IF(I203="","",COUNTIFS(tblPCSInput[Call Date/Time],"&gt;="&amp;(SETUP!$B$5),tblPCSInput[Call Date/Time],"&lt;"&amp;(SETUP!$B$5+1),tblPCSInput[Call Direction],"I",tblPCSInput[Agent ID],$A203,tblPCSInput[Valid Q1],"&gt;3"))</f>
        <v/>
      </c>
      <c r="L203" s="13">
        <f>IFERROR(G203/F203,"")</f>
        <v/>
      </c>
      <c r="M203" s="13">
        <f>IFERROR(H203/F203,"")</f>
        <v/>
      </c>
      <c r="N203" s="11">
        <f>IF($A203="","",MAX(0,G203-H203))</f>
        <v/>
      </c>
      <c r="O203" s="4">
        <f>IF($A203="","",IF(H203=0,"NO VALID SURVEY",IF(H203&lt;5,"LOW SAMPLE","OK")))</f>
        <v/>
      </c>
      <c r="P203" s="11">
        <f>IF($A203="","",COUNTIFS(tblPCSInput[Call Date/Time],"&gt;="&amp;(SETUP!$B$6),tblPCSInput[Call Date/Time],"&lt;"&amp;(SETUP!$B$7),tblPCSInput[Call Direction],"I",tblPCSInput[Agent ID],$A203,tblPCSInput[PCSStatus],1))</f>
        <v/>
      </c>
      <c r="Q203" s="11">
        <f>IF($A203="","",COUNTIFS(tblPCSInput[Call Date/Time],"&gt;="&amp;(SETUP!$B$6),tblPCSInput[Call Date/Time],"&lt;"&amp;(SETUP!$B$7),tblPCSInput[Call Direction],"I",tblPCSInput[Agent ID],$A203,tblPCSInput[Question 1],"&lt;&gt;"))</f>
        <v/>
      </c>
      <c r="R203" s="11">
        <f>IF($A203="","",COUNTIFS(tblPCSInput[Call Date/Time],"&gt;="&amp;(SETUP!$B$6),tblPCSInput[Call Date/Time],"&lt;"&amp;(SETUP!$B$7),tblPCSInput[Call Direction],"I",tblPCSInput[Agent ID],$A203,tblPCSInput[Valid Q1],"&gt;=1"))</f>
        <v/>
      </c>
      <c r="S203" s="12">
        <f>IFERROR(SUMIFS(tblPCSInput[Valid Q1],tblPCSInput[Call Date/Time],"&gt;="&amp;SETUP!$B$6,tblPCSInput[Call Date/Time],"&lt;"&amp;SETUP!$B$7,tblPCSInput[Call Direction],"I",tblPCSInput[Agent ID],$A203)/COUNTIFS(tblPCSInput[Call Date/Time],"&gt;="&amp;(SETUP!$B$6),tblPCSInput[Call Date/Time],"&lt;"&amp;(SETUP!$B$7),tblPCSInput[Call Direction],"I",tblPCSInput[Agent ID],$A203,tblPCSInput[Valid Q1],"&gt;=1"),"")</f>
        <v/>
      </c>
      <c r="T203" s="11">
        <f>IF(S203="","",COUNTIFS(tblPCSInput[Call Date/Time],"&gt;="&amp;(SETUP!$B$6),tblPCSInput[Call Date/Time],"&lt;"&amp;(SETUP!$B$7),tblPCSInput[Call Direction],"I",tblPCSInput[Agent ID],$A203,tblPCSInput[Valid Q1],"&lt;=3",tblPCSInput[Valid Q1],"&gt;=1"))</f>
        <v/>
      </c>
      <c r="U203" s="11">
        <f>IF(S203="","",COUNTIFS(tblPCSInput[Call Date/Time],"&gt;="&amp;(SETUP!$B$6),tblPCSInput[Call Date/Time],"&lt;"&amp;(SETUP!$B$7),tblPCSInput[Call Direction],"I",tblPCSInput[Agent ID],$A203,tblPCSInput[Valid Q1],"&gt;3"))</f>
        <v/>
      </c>
      <c r="V203" s="13">
        <f>IFERROR(Q203/P203,"")</f>
        <v/>
      </c>
      <c r="W203" s="13">
        <f>IFERROR(R203/P203,"")</f>
        <v/>
      </c>
    </row>
    <row r="204" spans="1:23">
      <c r="A204" s="4">
        <f>IF(ROSTER!A204="","",ROSTER!A204)</f>
        <v/>
      </c>
      <c r="B204" s="4">
        <f>IF($A204="","",ROSTER!C204)</f>
        <v/>
      </c>
      <c r="C204" s="4">
        <f>IF($A204="","",ROSTER!D204)</f>
        <v/>
      </c>
      <c r="D204" s="4">
        <f>IF($A204="","",ROSTER!E204)</f>
        <v/>
      </c>
      <c r="E204" s="4">
        <f>IF($A204="","",ROSTER!F204)</f>
        <v/>
      </c>
      <c r="F204" s="11">
        <f>IF($A204="","",COUNTIFS(tblPCSInput[Call Date/Time],"&gt;="&amp;(SETUP!$B$5),tblPCSInput[Call Date/Time],"&lt;"&amp;(SETUP!$B$5+1),tblPCSInput[Call Direction],"I",tblPCSInput[Agent ID],$A204,tblPCSInput[PCSStatus],1))</f>
        <v/>
      </c>
      <c r="G204" s="11">
        <f>IF($A204="","",COUNTIFS(tblPCSInput[Call Date/Time],"&gt;="&amp;(SETUP!$B$5),tblPCSInput[Call Date/Time],"&lt;"&amp;(SETUP!$B$5+1),tblPCSInput[Call Direction],"I",tblPCSInput[Agent ID],$A204,tblPCSInput[Question 1],"&lt;&gt;"))</f>
        <v/>
      </c>
      <c r="H204" s="11">
        <f>IF($A204="","",COUNTIFS(tblPCSInput[Call Date/Time],"&gt;="&amp;(SETUP!$B$5),tblPCSInput[Call Date/Time],"&lt;"&amp;(SETUP!$B$5+1),tblPCSInput[Call Direction],"I",tblPCSInput[Agent ID],$A204,tblPCSInput[Valid Q1],"&gt;=1"))</f>
        <v/>
      </c>
      <c r="I204" s="12">
        <f>IFERROR(SUMIFS(tblPCSInput[Valid Q1],tblPCSInput[Call Date/Time],"&gt;="&amp;SETUP!$B$5,tblPCSInput[Call Date/Time],"&lt;"&amp;SETUP!$B$5+1,tblPCSInput[Call Direction],"I",tblPCSInput[Agent ID],$A204)/COUNTIFS(tblPCSInput[Call Date/Time],"&gt;="&amp;(SETUP!$B$5),tblPCSInput[Call Date/Time],"&lt;"&amp;(SETUP!$B$5+1),tblPCSInput[Call Direction],"I",tblPCSInput[Agent ID],$A204,tblPCSInput[Valid Q1],"&gt;=1"),"")</f>
        <v/>
      </c>
      <c r="J204" s="11">
        <f>IF(I204="","",COUNTIFS(tblPCSInput[Call Date/Time],"&gt;="&amp;(SETUP!$B$5),tblPCSInput[Call Date/Time],"&lt;"&amp;(SETUP!$B$5+1),tblPCSInput[Call Direction],"I",tblPCSInput[Agent ID],$A204,tblPCSInput[Valid Q1],"&lt;=3",tblPCSInput[Valid Q1],"&gt;=1"))</f>
        <v/>
      </c>
      <c r="K204" s="11">
        <f>IF(I204="","",COUNTIFS(tblPCSInput[Call Date/Time],"&gt;="&amp;(SETUP!$B$5),tblPCSInput[Call Date/Time],"&lt;"&amp;(SETUP!$B$5+1),tblPCSInput[Call Direction],"I",tblPCSInput[Agent ID],$A204,tblPCSInput[Valid Q1],"&gt;3"))</f>
        <v/>
      </c>
      <c r="L204" s="13">
        <f>IFERROR(G204/F204,"")</f>
        <v/>
      </c>
      <c r="M204" s="13">
        <f>IFERROR(H204/F204,"")</f>
        <v/>
      </c>
      <c r="N204" s="11">
        <f>IF($A204="","",MAX(0,G204-H204))</f>
        <v/>
      </c>
      <c r="O204" s="4">
        <f>IF($A204="","",IF(H204=0,"NO VALID SURVEY",IF(H204&lt;5,"LOW SAMPLE","OK")))</f>
        <v/>
      </c>
      <c r="P204" s="11">
        <f>IF($A204="","",COUNTIFS(tblPCSInput[Call Date/Time],"&gt;="&amp;(SETUP!$B$6),tblPCSInput[Call Date/Time],"&lt;"&amp;(SETUP!$B$7),tblPCSInput[Call Direction],"I",tblPCSInput[Agent ID],$A204,tblPCSInput[PCSStatus],1))</f>
        <v/>
      </c>
      <c r="Q204" s="11">
        <f>IF($A204="","",COUNTIFS(tblPCSInput[Call Date/Time],"&gt;="&amp;(SETUP!$B$6),tblPCSInput[Call Date/Time],"&lt;"&amp;(SETUP!$B$7),tblPCSInput[Call Direction],"I",tblPCSInput[Agent ID],$A204,tblPCSInput[Question 1],"&lt;&gt;"))</f>
        <v/>
      </c>
      <c r="R204" s="11">
        <f>IF($A204="","",COUNTIFS(tblPCSInput[Call Date/Time],"&gt;="&amp;(SETUP!$B$6),tblPCSInput[Call Date/Time],"&lt;"&amp;(SETUP!$B$7),tblPCSInput[Call Direction],"I",tblPCSInput[Agent ID],$A204,tblPCSInput[Valid Q1],"&gt;=1"))</f>
        <v/>
      </c>
      <c r="S204" s="12">
        <f>IFERROR(SUMIFS(tblPCSInput[Valid Q1],tblPCSInput[Call Date/Time],"&gt;="&amp;SETUP!$B$6,tblPCSInput[Call Date/Time],"&lt;"&amp;SETUP!$B$7,tblPCSInput[Call Direction],"I",tblPCSInput[Agent ID],$A204)/COUNTIFS(tblPCSInput[Call Date/Time],"&gt;="&amp;(SETUP!$B$6),tblPCSInput[Call Date/Time],"&lt;"&amp;(SETUP!$B$7),tblPCSInput[Call Direction],"I",tblPCSInput[Agent ID],$A204,tblPCSInput[Valid Q1],"&gt;=1"),"")</f>
        <v/>
      </c>
      <c r="T204" s="11">
        <f>IF(S204="","",COUNTIFS(tblPCSInput[Call Date/Time],"&gt;="&amp;(SETUP!$B$6),tblPCSInput[Call Date/Time],"&lt;"&amp;(SETUP!$B$7),tblPCSInput[Call Direction],"I",tblPCSInput[Agent ID],$A204,tblPCSInput[Valid Q1],"&lt;=3",tblPCSInput[Valid Q1],"&gt;=1"))</f>
        <v/>
      </c>
      <c r="U204" s="11">
        <f>IF(S204="","",COUNTIFS(tblPCSInput[Call Date/Time],"&gt;="&amp;(SETUP!$B$6),tblPCSInput[Call Date/Time],"&lt;"&amp;(SETUP!$B$7),tblPCSInput[Call Direction],"I",tblPCSInput[Agent ID],$A204,tblPCSInput[Valid Q1],"&gt;3"))</f>
        <v/>
      </c>
      <c r="V204" s="13">
        <f>IFERROR(Q204/P204,"")</f>
        <v/>
      </c>
      <c r="W204" s="13">
        <f>IFERROR(R204/P204,"")</f>
        <v/>
      </c>
    </row>
    <row r="205" spans="1:23">
      <c r="A205" s="4">
        <f>IF(ROSTER!A205="","",ROSTER!A205)</f>
        <v/>
      </c>
      <c r="B205" s="4">
        <f>IF($A205="","",ROSTER!C205)</f>
        <v/>
      </c>
      <c r="C205" s="4">
        <f>IF($A205="","",ROSTER!D205)</f>
        <v/>
      </c>
      <c r="D205" s="4">
        <f>IF($A205="","",ROSTER!E205)</f>
        <v/>
      </c>
      <c r="E205" s="4">
        <f>IF($A205="","",ROSTER!F205)</f>
        <v/>
      </c>
      <c r="F205" s="11">
        <f>IF($A205="","",COUNTIFS(tblPCSInput[Call Date/Time],"&gt;="&amp;(SETUP!$B$5),tblPCSInput[Call Date/Time],"&lt;"&amp;(SETUP!$B$5+1),tblPCSInput[Call Direction],"I",tblPCSInput[Agent ID],$A205,tblPCSInput[PCSStatus],1))</f>
        <v/>
      </c>
      <c r="G205" s="11">
        <f>IF($A205="","",COUNTIFS(tblPCSInput[Call Date/Time],"&gt;="&amp;(SETUP!$B$5),tblPCSInput[Call Date/Time],"&lt;"&amp;(SETUP!$B$5+1),tblPCSInput[Call Direction],"I",tblPCSInput[Agent ID],$A205,tblPCSInput[Question 1],"&lt;&gt;"))</f>
        <v/>
      </c>
      <c r="H205" s="11">
        <f>IF($A205="","",COUNTIFS(tblPCSInput[Call Date/Time],"&gt;="&amp;(SETUP!$B$5),tblPCSInput[Call Date/Time],"&lt;"&amp;(SETUP!$B$5+1),tblPCSInput[Call Direction],"I",tblPCSInput[Agent ID],$A205,tblPCSInput[Valid Q1],"&gt;=1"))</f>
        <v/>
      </c>
      <c r="I205" s="12">
        <f>IFERROR(SUMIFS(tblPCSInput[Valid Q1],tblPCSInput[Call Date/Time],"&gt;="&amp;SETUP!$B$5,tblPCSInput[Call Date/Time],"&lt;"&amp;SETUP!$B$5+1,tblPCSInput[Call Direction],"I",tblPCSInput[Agent ID],$A205)/COUNTIFS(tblPCSInput[Call Date/Time],"&gt;="&amp;(SETUP!$B$5),tblPCSInput[Call Date/Time],"&lt;"&amp;(SETUP!$B$5+1),tblPCSInput[Call Direction],"I",tblPCSInput[Agent ID],$A205,tblPCSInput[Valid Q1],"&gt;=1"),"")</f>
        <v/>
      </c>
      <c r="J205" s="11">
        <f>IF(I205="","",COUNTIFS(tblPCSInput[Call Date/Time],"&gt;="&amp;(SETUP!$B$5),tblPCSInput[Call Date/Time],"&lt;"&amp;(SETUP!$B$5+1),tblPCSInput[Call Direction],"I",tblPCSInput[Agent ID],$A205,tblPCSInput[Valid Q1],"&lt;=3",tblPCSInput[Valid Q1],"&gt;=1"))</f>
        <v/>
      </c>
      <c r="K205" s="11">
        <f>IF(I205="","",COUNTIFS(tblPCSInput[Call Date/Time],"&gt;="&amp;(SETUP!$B$5),tblPCSInput[Call Date/Time],"&lt;"&amp;(SETUP!$B$5+1),tblPCSInput[Call Direction],"I",tblPCSInput[Agent ID],$A205,tblPCSInput[Valid Q1],"&gt;3"))</f>
        <v/>
      </c>
      <c r="L205" s="13">
        <f>IFERROR(G205/F205,"")</f>
        <v/>
      </c>
      <c r="M205" s="13">
        <f>IFERROR(H205/F205,"")</f>
        <v/>
      </c>
      <c r="N205" s="11">
        <f>IF($A205="","",MAX(0,G205-H205))</f>
        <v/>
      </c>
      <c r="O205" s="4">
        <f>IF($A205="","",IF(H205=0,"NO VALID SURVEY",IF(H205&lt;5,"LOW SAMPLE","OK")))</f>
        <v/>
      </c>
      <c r="P205" s="11">
        <f>IF($A205="","",COUNTIFS(tblPCSInput[Call Date/Time],"&gt;="&amp;(SETUP!$B$6),tblPCSInput[Call Date/Time],"&lt;"&amp;(SETUP!$B$7),tblPCSInput[Call Direction],"I",tblPCSInput[Agent ID],$A205,tblPCSInput[PCSStatus],1))</f>
        <v/>
      </c>
      <c r="Q205" s="11">
        <f>IF($A205="","",COUNTIFS(tblPCSInput[Call Date/Time],"&gt;="&amp;(SETUP!$B$6),tblPCSInput[Call Date/Time],"&lt;"&amp;(SETUP!$B$7),tblPCSInput[Call Direction],"I",tblPCSInput[Agent ID],$A205,tblPCSInput[Question 1],"&lt;&gt;"))</f>
        <v/>
      </c>
      <c r="R205" s="11">
        <f>IF($A205="","",COUNTIFS(tblPCSInput[Call Date/Time],"&gt;="&amp;(SETUP!$B$6),tblPCSInput[Call Date/Time],"&lt;"&amp;(SETUP!$B$7),tblPCSInput[Call Direction],"I",tblPCSInput[Agent ID],$A205,tblPCSInput[Valid Q1],"&gt;=1"))</f>
        <v/>
      </c>
      <c r="S205" s="12">
        <f>IFERROR(SUMIFS(tblPCSInput[Valid Q1],tblPCSInput[Call Date/Time],"&gt;="&amp;SETUP!$B$6,tblPCSInput[Call Date/Time],"&lt;"&amp;SETUP!$B$7,tblPCSInput[Call Direction],"I",tblPCSInput[Agent ID],$A205)/COUNTIFS(tblPCSInput[Call Date/Time],"&gt;="&amp;(SETUP!$B$6),tblPCSInput[Call Date/Time],"&lt;"&amp;(SETUP!$B$7),tblPCSInput[Call Direction],"I",tblPCSInput[Agent ID],$A205,tblPCSInput[Valid Q1],"&gt;=1"),"")</f>
        <v/>
      </c>
      <c r="T205" s="11">
        <f>IF(S205="","",COUNTIFS(tblPCSInput[Call Date/Time],"&gt;="&amp;(SETUP!$B$6),tblPCSInput[Call Date/Time],"&lt;"&amp;(SETUP!$B$7),tblPCSInput[Call Direction],"I",tblPCSInput[Agent ID],$A205,tblPCSInput[Valid Q1],"&lt;=3",tblPCSInput[Valid Q1],"&gt;=1"))</f>
        <v/>
      </c>
      <c r="U205" s="11">
        <f>IF(S205="","",COUNTIFS(tblPCSInput[Call Date/Time],"&gt;="&amp;(SETUP!$B$6),tblPCSInput[Call Date/Time],"&lt;"&amp;(SETUP!$B$7),tblPCSInput[Call Direction],"I",tblPCSInput[Agent ID],$A205,tblPCSInput[Valid Q1],"&gt;3"))</f>
        <v/>
      </c>
      <c r="V205" s="13">
        <f>IFERROR(Q205/P205,"")</f>
        <v/>
      </c>
      <c r="W205" s="13">
        <f>IFERROR(R205/P205,"")</f>
        <v/>
      </c>
    </row>
    <row r="206" spans="1:23">
      <c r="A206" s="4">
        <f>IF(ROSTER!A206="","",ROSTER!A206)</f>
        <v/>
      </c>
      <c r="B206" s="4">
        <f>IF($A206="","",ROSTER!C206)</f>
        <v/>
      </c>
      <c r="C206" s="4">
        <f>IF($A206="","",ROSTER!D206)</f>
        <v/>
      </c>
      <c r="D206" s="4">
        <f>IF($A206="","",ROSTER!E206)</f>
        <v/>
      </c>
      <c r="E206" s="4">
        <f>IF($A206="","",ROSTER!F206)</f>
        <v/>
      </c>
      <c r="F206" s="11">
        <f>IF($A206="","",COUNTIFS(tblPCSInput[Call Date/Time],"&gt;="&amp;(SETUP!$B$5),tblPCSInput[Call Date/Time],"&lt;"&amp;(SETUP!$B$5+1),tblPCSInput[Call Direction],"I",tblPCSInput[Agent ID],$A206,tblPCSInput[PCSStatus],1))</f>
        <v/>
      </c>
      <c r="G206" s="11">
        <f>IF($A206="","",COUNTIFS(tblPCSInput[Call Date/Time],"&gt;="&amp;(SETUP!$B$5),tblPCSInput[Call Date/Time],"&lt;"&amp;(SETUP!$B$5+1),tblPCSInput[Call Direction],"I",tblPCSInput[Agent ID],$A206,tblPCSInput[Question 1],"&lt;&gt;"))</f>
        <v/>
      </c>
      <c r="H206" s="11">
        <f>IF($A206="","",COUNTIFS(tblPCSInput[Call Date/Time],"&gt;="&amp;(SETUP!$B$5),tblPCSInput[Call Date/Time],"&lt;"&amp;(SETUP!$B$5+1),tblPCSInput[Call Direction],"I",tblPCSInput[Agent ID],$A206,tblPCSInput[Valid Q1],"&gt;=1"))</f>
        <v/>
      </c>
      <c r="I206" s="12">
        <f>IFERROR(SUMIFS(tblPCSInput[Valid Q1],tblPCSInput[Call Date/Time],"&gt;="&amp;SETUP!$B$5,tblPCSInput[Call Date/Time],"&lt;"&amp;SETUP!$B$5+1,tblPCSInput[Call Direction],"I",tblPCSInput[Agent ID],$A206)/COUNTIFS(tblPCSInput[Call Date/Time],"&gt;="&amp;(SETUP!$B$5),tblPCSInput[Call Date/Time],"&lt;"&amp;(SETUP!$B$5+1),tblPCSInput[Call Direction],"I",tblPCSInput[Agent ID],$A206,tblPCSInput[Valid Q1],"&gt;=1"),"")</f>
        <v/>
      </c>
      <c r="J206" s="11">
        <f>IF(I206="","",COUNTIFS(tblPCSInput[Call Date/Time],"&gt;="&amp;(SETUP!$B$5),tblPCSInput[Call Date/Time],"&lt;"&amp;(SETUP!$B$5+1),tblPCSInput[Call Direction],"I",tblPCSInput[Agent ID],$A206,tblPCSInput[Valid Q1],"&lt;=3",tblPCSInput[Valid Q1],"&gt;=1"))</f>
        <v/>
      </c>
      <c r="K206" s="11">
        <f>IF(I206="","",COUNTIFS(tblPCSInput[Call Date/Time],"&gt;="&amp;(SETUP!$B$5),tblPCSInput[Call Date/Time],"&lt;"&amp;(SETUP!$B$5+1),tblPCSInput[Call Direction],"I",tblPCSInput[Agent ID],$A206,tblPCSInput[Valid Q1],"&gt;3"))</f>
        <v/>
      </c>
      <c r="L206" s="13">
        <f>IFERROR(G206/F206,"")</f>
        <v/>
      </c>
      <c r="M206" s="13">
        <f>IFERROR(H206/F206,"")</f>
        <v/>
      </c>
      <c r="N206" s="11">
        <f>IF($A206="","",MAX(0,G206-H206))</f>
        <v/>
      </c>
      <c r="O206" s="4">
        <f>IF($A206="","",IF(H206=0,"NO VALID SURVEY",IF(H206&lt;5,"LOW SAMPLE","OK")))</f>
        <v/>
      </c>
      <c r="P206" s="11">
        <f>IF($A206="","",COUNTIFS(tblPCSInput[Call Date/Time],"&gt;="&amp;(SETUP!$B$6),tblPCSInput[Call Date/Time],"&lt;"&amp;(SETUP!$B$7),tblPCSInput[Call Direction],"I",tblPCSInput[Agent ID],$A206,tblPCSInput[PCSStatus],1))</f>
        <v/>
      </c>
      <c r="Q206" s="11">
        <f>IF($A206="","",COUNTIFS(tblPCSInput[Call Date/Time],"&gt;="&amp;(SETUP!$B$6),tblPCSInput[Call Date/Time],"&lt;"&amp;(SETUP!$B$7),tblPCSInput[Call Direction],"I",tblPCSInput[Agent ID],$A206,tblPCSInput[Question 1],"&lt;&gt;"))</f>
        <v/>
      </c>
      <c r="R206" s="11">
        <f>IF($A206="","",COUNTIFS(tblPCSInput[Call Date/Time],"&gt;="&amp;(SETUP!$B$6),tblPCSInput[Call Date/Time],"&lt;"&amp;(SETUP!$B$7),tblPCSInput[Call Direction],"I",tblPCSInput[Agent ID],$A206,tblPCSInput[Valid Q1],"&gt;=1"))</f>
        <v/>
      </c>
      <c r="S206" s="12">
        <f>IFERROR(SUMIFS(tblPCSInput[Valid Q1],tblPCSInput[Call Date/Time],"&gt;="&amp;SETUP!$B$6,tblPCSInput[Call Date/Time],"&lt;"&amp;SETUP!$B$7,tblPCSInput[Call Direction],"I",tblPCSInput[Agent ID],$A206)/COUNTIFS(tblPCSInput[Call Date/Time],"&gt;="&amp;(SETUP!$B$6),tblPCSInput[Call Date/Time],"&lt;"&amp;(SETUP!$B$7),tblPCSInput[Call Direction],"I",tblPCSInput[Agent ID],$A206,tblPCSInput[Valid Q1],"&gt;=1"),"")</f>
        <v/>
      </c>
      <c r="T206" s="11">
        <f>IF(S206="","",COUNTIFS(tblPCSInput[Call Date/Time],"&gt;="&amp;(SETUP!$B$6),tblPCSInput[Call Date/Time],"&lt;"&amp;(SETUP!$B$7),tblPCSInput[Call Direction],"I",tblPCSInput[Agent ID],$A206,tblPCSInput[Valid Q1],"&lt;=3",tblPCSInput[Valid Q1],"&gt;=1"))</f>
        <v/>
      </c>
      <c r="U206" s="11">
        <f>IF(S206="","",COUNTIFS(tblPCSInput[Call Date/Time],"&gt;="&amp;(SETUP!$B$6),tblPCSInput[Call Date/Time],"&lt;"&amp;(SETUP!$B$7),tblPCSInput[Call Direction],"I",tblPCSInput[Agent ID],$A206,tblPCSInput[Valid Q1],"&gt;3"))</f>
        <v/>
      </c>
      <c r="V206" s="13">
        <f>IFERROR(Q206/P206,"")</f>
        <v/>
      </c>
      <c r="W206" s="13">
        <f>IFERROR(R206/P206,"")</f>
        <v/>
      </c>
    </row>
    <row r="207" spans="1:23">
      <c r="A207" s="4">
        <f>IF(ROSTER!A207="","",ROSTER!A207)</f>
        <v/>
      </c>
      <c r="B207" s="4">
        <f>IF($A207="","",ROSTER!C207)</f>
        <v/>
      </c>
      <c r="C207" s="4">
        <f>IF($A207="","",ROSTER!D207)</f>
        <v/>
      </c>
      <c r="D207" s="4">
        <f>IF($A207="","",ROSTER!E207)</f>
        <v/>
      </c>
      <c r="E207" s="4">
        <f>IF($A207="","",ROSTER!F207)</f>
        <v/>
      </c>
      <c r="F207" s="11">
        <f>IF($A207="","",COUNTIFS(tblPCSInput[Call Date/Time],"&gt;="&amp;(SETUP!$B$5),tblPCSInput[Call Date/Time],"&lt;"&amp;(SETUP!$B$5+1),tblPCSInput[Call Direction],"I",tblPCSInput[Agent ID],$A207,tblPCSInput[PCSStatus],1))</f>
        <v/>
      </c>
      <c r="G207" s="11">
        <f>IF($A207="","",COUNTIFS(tblPCSInput[Call Date/Time],"&gt;="&amp;(SETUP!$B$5),tblPCSInput[Call Date/Time],"&lt;"&amp;(SETUP!$B$5+1),tblPCSInput[Call Direction],"I",tblPCSInput[Agent ID],$A207,tblPCSInput[Question 1],"&lt;&gt;"))</f>
        <v/>
      </c>
      <c r="H207" s="11">
        <f>IF($A207="","",COUNTIFS(tblPCSInput[Call Date/Time],"&gt;="&amp;(SETUP!$B$5),tblPCSInput[Call Date/Time],"&lt;"&amp;(SETUP!$B$5+1),tblPCSInput[Call Direction],"I",tblPCSInput[Agent ID],$A207,tblPCSInput[Valid Q1],"&gt;=1"))</f>
        <v/>
      </c>
      <c r="I207" s="12">
        <f>IFERROR(SUMIFS(tblPCSInput[Valid Q1],tblPCSInput[Call Date/Time],"&gt;="&amp;SETUP!$B$5,tblPCSInput[Call Date/Time],"&lt;"&amp;SETUP!$B$5+1,tblPCSInput[Call Direction],"I",tblPCSInput[Agent ID],$A207)/COUNTIFS(tblPCSInput[Call Date/Time],"&gt;="&amp;(SETUP!$B$5),tblPCSInput[Call Date/Time],"&lt;"&amp;(SETUP!$B$5+1),tblPCSInput[Call Direction],"I",tblPCSInput[Agent ID],$A207,tblPCSInput[Valid Q1],"&gt;=1"),"")</f>
        <v/>
      </c>
      <c r="J207" s="11">
        <f>IF(I207="","",COUNTIFS(tblPCSInput[Call Date/Time],"&gt;="&amp;(SETUP!$B$5),tblPCSInput[Call Date/Time],"&lt;"&amp;(SETUP!$B$5+1),tblPCSInput[Call Direction],"I",tblPCSInput[Agent ID],$A207,tblPCSInput[Valid Q1],"&lt;=3",tblPCSInput[Valid Q1],"&gt;=1"))</f>
        <v/>
      </c>
      <c r="K207" s="11">
        <f>IF(I207="","",COUNTIFS(tblPCSInput[Call Date/Time],"&gt;="&amp;(SETUP!$B$5),tblPCSInput[Call Date/Time],"&lt;"&amp;(SETUP!$B$5+1),tblPCSInput[Call Direction],"I",tblPCSInput[Agent ID],$A207,tblPCSInput[Valid Q1],"&gt;3"))</f>
        <v/>
      </c>
      <c r="L207" s="13">
        <f>IFERROR(G207/F207,"")</f>
        <v/>
      </c>
      <c r="M207" s="13">
        <f>IFERROR(H207/F207,"")</f>
        <v/>
      </c>
      <c r="N207" s="11">
        <f>IF($A207="","",MAX(0,G207-H207))</f>
        <v/>
      </c>
      <c r="O207" s="4">
        <f>IF($A207="","",IF(H207=0,"NO VALID SURVEY",IF(H207&lt;5,"LOW SAMPLE","OK")))</f>
        <v/>
      </c>
      <c r="P207" s="11">
        <f>IF($A207="","",COUNTIFS(tblPCSInput[Call Date/Time],"&gt;="&amp;(SETUP!$B$6),tblPCSInput[Call Date/Time],"&lt;"&amp;(SETUP!$B$7),tblPCSInput[Call Direction],"I",tblPCSInput[Agent ID],$A207,tblPCSInput[PCSStatus],1))</f>
        <v/>
      </c>
      <c r="Q207" s="11">
        <f>IF($A207="","",COUNTIFS(tblPCSInput[Call Date/Time],"&gt;="&amp;(SETUP!$B$6),tblPCSInput[Call Date/Time],"&lt;"&amp;(SETUP!$B$7),tblPCSInput[Call Direction],"I",tblPCSInput[Agent ID],$A207,tblPCSInput[Question 1],"&lt;&gt;"))</f>
        <v/>
      </c>
      <c r="R207" s="11">
        <f>IF($A207="","",COUNTIFS(tblPCSInput[Call Date/Time],"&gt;="&amp;(SETUP!$B$6),tblPCSInput[Call Date/Time],"&lt;"&amp;(SETUP!$B$7),tblPCSInput[Call Direction],"I",tblPCSInput[Agent ID],$A207,tblPCSInput[Valid Q1],"&gt;=1"))</f>
        <v/>
      </c>
      <c r="S207" s="12">
        <f>IFERROR(SUMIFS(tblPCSInput[Valid Q1],tblPCSInput[Call Date/Time],"&gt;="&amp;SETUP!$B$6,tblPCSInput[Call Date/Time],"&lt;"&amp;SETUP!$B$7,tblPCSInput[Call Direction],"I",tblPCSInput[Agent ID],$A207)/COUNTIFS(tblPCSInput[Call Date/Time],"&gt;="&amp;(SETUP!$B$6),tblPCSInput[Call Date/Time],"&lt;"&amp;(SETUP!$B$7),tblPCSInput[Call Direction],"I",tblPCSInput[Agent ID],$A207,tblPCSInput[Valid Q1],"&gt;=1"),"")</f>
        <v/>
      </c>
      <c r="T207" s="11">
        <f>IF(S207="","",COUNTIFS(tblPCSInput[Call Date/Time],"&gt;="&amp;(SETUP!$B$6),tblPCSInput[Call Date/Time],"&lt;"&amp;(SETUP!$B$7),tblPCSInput[Call Direction],"I",tblPCSInput[Agent ID],$A207,tblPCSInput[Valid Q1],"&lt;=3",tblPCSInput[Valid Q1],"&gt;=1"))</f>
        <v/>
      </c>
      <c r="U207" s="11">
        <f>IF(S207="","",COUNTIFS(tblPCSInput[Call Date/Time],"&gt;="&amp;(SETUP!$B$6),tblPCSInput[Call Date/Time],"&lt;"&amp;(SETUP!$B$7),tblPCSInput[Call Direction],"I",tblPCSInput[Agent ID],$A207,tblPCSInput[Valid Q1],"&gt;3"))</f>
        <v/>
      </c>
      <c r="V207" s="13">
        <f>IFERROR(Q207/P207,"")</f>
        <v/>
      </c>
      <c r="W207" s="13">
        <f>IFERROR(R207/P207,"")</f>
        <v/>
      </c>
    </row>
    <row r="208" spans="1:23">
      <c r="A208" s="4">
        <f>IF(ROSTER!A208="","",ROSTER!A208)</f>
        <v/>
      </c>
      <c r="B208" s="4">
        <f>IF($A208="","",ROSTER!C208)</f>
        <v/>
      </c>
      <c r="C208" s="4">
        <f>IF($A208="","",ROSTER!D208)</f>
        <v/>
      </c>
      <c r="D208" s="4">
        <f>IF($A208="","",ROSTER!E208)</f>
        <v/>
      </c>
      <c r="E208" s="4">
        <f>IF($A208="","",ROSTER!F208)</f>
        <v/>
      </c>
      <c r="F208" s="11">
        <f>IF($A208="","",COUNTIFS(tblPCSInput[Call Date/Time],"&gt;="&amp;(SETUP!$B$5),tblPCSInput[Call Date/Time],"&lt;"&amp;(SETUP!$B$5+1),tblPCSInput[Call Direction],"I",tblPCSInput[Agent ID],$A208,tblPCSInput[PCSStatus],1))</f>
        <v/>
      </c>
      <c r="G208" s="11">
        <f>IF($A208="","",COUNTIFS(tblPCSInput[Call Date/Time],"&gt;="&amp;(SETUP!$B$5),tblPCSInput[Call Date/Time],"&lt;"&amp;(SETUP!$B$5+1),tblPCSInput[Call Direction],"I",tblPCSInput[Agent ID],$A208,tblPCSInput[Question 1],"&lt;&gt;"))</f>
        <v/>
      </c>
      <c r="H208" s="11">
        <f>IF($A208="","",COUNTIFS(tblPCSInput[Call Date/Time],"&gt;="&amp;(SETUP!$B$5),tblPCSInput[Call Date/Time],"&lt;"&amp;(SETUP!$B$5+1),tblPCSInput[Call Direction],"I",tblPCSInput[Agent ID],$A208,tblPCSInput[Valid Q1],"&gt;=1"))</f>
        <v/>
      </c>
      <c r="I208" s="12">
        <f>IFERROR(SUMIFS(tblPCSInput[Valid Q1],tblPCSInput[Call Date/Time],"&gt;="&amp;SETUP!$B$5,tblPCSInput[Call Date/Time],"&lt;"&amp;SETUP!$B$5+1,tblPCSInput[Call Direction],"I",tblPCSInput[Agent ID],$A208)/COUNTIFS(tblPCSInput[Call Date/Time],"&gt;="&amp;(SETUP!$B$5),tblPCSInput[Call Date/Time],"&lt;"&amp;(SETUP!$B$5+1),tblPCSInput[Call Direction],"I",tblPCSInput[Agent ID],$A208,tblPCSInput[Valid Q1],"&gt;=1"),"")</f>
        <v/>
      </c>
      <c r="J208" s="11">
        <f>IF(I208="","",COUNTIFS(tblPCSInput[Call Date/Time],"&gt;="&amp;(SETUP!$B$5),tblPCSInput[Call Date/Time],"&lt;"&amp;(SETUP!$B$5+1),tblPCSInput[Call Direction],"I",tblPCSInput[Agent ID],$A208,tblPCSInput[Valid Q1],"&lt;=3",tblPCSInput[Valid Q1],"&gt;=1"))</f>
        <v/>
      </c>
      <c r="K208" s="11">
        <f>IF(I208="","",COUNTIFS(tblPCSInput[Call Date/Time],"&gt;="&amp;(SETUP!$B$5),tblPCSInput[Call Date/Time],"&lt;"&amp;(SETUP!$B$5+1),tblPCSInput[Call Direction],"I",tblPCSInput[Agent ID],$A208,tblPCSInput[Valid Q1],"&gt;3"))</f>
        <v/>
      </c>
      <c r="L208" s="13">
        <f>IFERROR(G208/F208,"")</f>
        <v/>
      </c>
      <c r="M208" s="13">
        <f>IFERROR(H208/F208,"")</f>
        <v/>
      </c>
      <c r="N208" s="11">
        <f>IF($A208="","",MAX(0,G208-H208))</f>
        <v/>
      </c>
      <c r="O208" s="4">
        <f>IF($A208="","",IF(H208=0,"NO VALID SURVEY",IF(H208&lt;5,"LOW SAMPLE","OK")))</f>
        <v/>
      </c>
      <c r="P208" s="11">
        <f>IF($A208="","",COUNTIFS(tblPCSInput[Call Date/Time],"&gt;="&amp;(SETUP!$B$6),tblPCSInput[Call Date/Time],"&lt;"&amp;(SETUP!$B$7),tblPCSInput[Call Direction],"I",tblPCSInput[Agent ID],$A208,tblPCSInput[PCSStatus],1))</f>
        <v/>
      </c>
      <c r="Q208" s="11">
        <f>IF($A208="","",COUNTIFS(tblPCSInput[Call Date/Time],"&gt;="&amp;(SETUP!$B$6),tblPCSInput[Call Date/Time],"&lt;"&amp;(SETUP!$B$7),tblPCSInput[Call Direction],"I",tblPCSInput[Agent ID],$A208,tblPCSInput[Question 1],"&lt;&gt;"))</f>
        <v/>
      </c>
      <c r="R208" s="11">
        <f>IF($A208="","",COUNTIFS(tblPCSInput[Call Date/Time],"&gt;="&amp;(SETUP!$B$6),tblPCSInput[Call Date/Time],"&lt;"&amp;(SETUP!$B$7),tblPCSInput[Call Direction],"I",tblPCSInput[Agent ID],$A208,tblPCSInput[Valid Q1],"&gt;=1"))</f>
        <v/>
      </c>
      <c r="S208" s="12">
        <f>IFERROR(SUMIFS(tblPCSInput[Valid Q1],tblPCSInput[Call Date/Time],"&gt;="&amp;SETUP!$B$6,tblPCSInput[Call Date/Time],"&lt;"&amp;SETUP!$B$7,tblPCSInput[Call Direction],"I",tblPCSInput[Agent ID],$A208)/COUNTIFS(tblPCSInput[Call Date/Time],"&gt;="&amp;(SETUP!$B$6),tblPCSInput[Call Date/Time],"&lt;"&amp;(SETUP!$B$7),tblPCSInput[Call Direction],"I",tblPCSInput[Agent ID],$A208,tblPCSInput[Valid Q1],"&gt;=1"),"")</f>
        <v/>
      </c>
      <c r="T208" s="11">
        <f>IF(S208="","",COUNTIFS(tblPCSInput[Call Date/Time],"&gt;="&amp;(SETUP!$B$6),tblPCSInput[Call Date/Time],"&lt;"&amp;(SETUP!$B$7),tblPCSInput[Call Direction],"I",tblPCSInput[Agent ID],$A208,tblPCSInput[Valid Q1],"&lt;=3",tblPCSInput[Valid Q1],"&gt;=1"))</f>
        <v/>
      </c>
      <c r="U208" s="11">
        <f>IF(S208="","",COUNTIFS(tblPCSInput[Call Date/Time],"&gt;="&amp;(SETUP!$B$6),tblPCSInput[Call Date/Time],"&lt;"&amp;(SETUP!$B$7),tblPCSInput[Call Direction],"I",tblPCSInput[Agent ID],$A208,tblPCSInput[Valid Q1],"&gt;3"))</f>
        <v/>
      </c>
      <c r="V208" s="13">
        <f>IFERROR(Q208/P208,"")</f>
        <v/>
      </c>
      <c r="W208" s="13">
        <f>IFERROR(R208/P208,"")</f>
        <v/>
      </c>
    </row>
    <row r="209" spans="1:23">
      <c r="A209" s="4">
        <f>IF(ROSTER!A209="","",ROSTER!A209)</f>
        <v/>
      </c>
      <c r="B209" s="4">
        <f>IF($A209="","",ROSTER!C209)</f>
        <v/>
      </c>
      <c r="C209" s="4">
        <f>IF($A209="","",ROSTER!D209)</f>
        <v/>
      </c>
      <c r="D209" s="4">
        <f>IF($A209="","",ROSTER!E209)</f>
        <v/>
      </c>
      <c r="E209" s="4">
        <f>IF($A209="","",ROSTER!F209)</f>
        <v/>
      </c>
      <c r="F209" s="11">
        <f>IF($A209="","",COUNTIFS(tblPCSInput[Call Date/Time],"&gt;="&amp;(SETUP!$B$5),tblPCSInput[Call Date/Time],"&lt;"&amp;(SETUP!$B$5+1),tblPCSInput[Call Direction],"I",tblPCSInput[Agent ID],$A209,tblPCSInput[PCSStatus],1))</f>
        <v/>
      </c>
      <c r="G209" s="11">
        <f>IF($A209="","",COUNTIFS(tblPCSInput[Call Date/Time],"&gt;="&amp;(SETUP!$B$5),tblPCSInput[Call Date/Time],"&lt;"&amp;(SETUP!$B$5+1),tblPCSInput[Call Direction],"I",tblPCSInput[Agent ID],$A209,tblPCSInput[Question 1],"&lt;&gt;"))</f>
        <v/>
      </c>
      <c r="H209" s="11">
        <f>IF($A209="","",COUNTIFS(tblPCSInput[Call Date/Time],"&gt;="&amp;(SETUP!$B$5),tblPCSInput[Call Date/Time],"&lt;"&amp;(SETUP!$B$5+1),tblPCSInput[Call Direction],"I",tblPCSInput[Agent ID],$A209,tblPCSInput[Valid Q1],"&gt;=1"))</f>
        <v/>
      </c>
      <c r="I209" s="12">
        <f>IFERROR(SUMIFS(tblPCSInput[Valid Q1],tblPCSInput[Call Date/Time],"&gt;="&amp;SETUP!$B$5,tblPCSInput[Call Date/Time],"&lt;"&amp;SETUP!$B$5+1,tblPCSInput[Call Direction],"I",tblPCSInput[Agent ID],$A209)/COUNTIFS(tblPCSInput[Call Date/Time],"&gt;="&amp;(SETUP!$B$5),tblPCSInput[Call Date/Time],"&lt;"&amp;(SETUP!$B$5+1),tblPCSInput[Call Direction],"I",tblPCSInput[Agent ID],$A209,tblPCSInput[Valid Q1],"&gt;=1"),"")</f>
        <v/>
      </c>
      <c r="J209" s="11">
        <f>IF(I209="","",COUNTIFS(tblPCSInput[Call Date/Time],"&gt;="&amp;(SETUP!$B$5),tblPCSInput[Call Date/Time],"&lt;"&amp;(SETUP!$B$5+1),tblPCSInput[Call Direction],"I",tblPCSInput[Agent ID],$A209,tblPCSInput[Valid Q1],"&lt;=3",tblPCSInput[Valid Q1],"&gt;=1"))</f>
        <v/>
      </c>
      <c r="K209" s="11">
        <f>IF(I209="","",COUNTIFS(tblPCSInput[Call Date/Time],"&gt;="&amp;(SETUP!$B$5),tblPCSInput[Call Date/Time],"&lt;"&amp;(SETUP!$B$5+1),tblPCSInput[Call Direction],"I",tblPCSInput[Agent ID],$A209,tblPCSInput[Valid Q1],"&gt;3"))</f>
        <v/>
      </c>
      <c r="L209" s="13">
        <f>IFERROR(G209/F209,"")</f>
        <v/>
      </c>
      <c r="M209" s="13">
        <f>IFERROR(H209/F209,"")</f>
        <v/>
      </c>
      <c r="N209" s="11">
        <f>IF($A209="","",MAX(0,G209-H209))</f>
        <v/>
      </c>
      <c r="O209" s="4">
        <f>IF($A209="","",IF(H209=0,"NO VALID SURVEY",IF(H209&lt;5,"LOW SAMPLE","OK")))</f>
        <v/>
      </c>
      <c r="P209" s="11">
        <f>IF($A209="","",COUNTIFS(tblPCSInput[Call Date/Time],"&gt;="&amp;(SETUP!$B$6),tblPCSInput[Call Date/Time],"&lt;"&amp;(SETUP!$B$7),tblPCSInput[Call Direction],"I",tblPCSInput[Agent ID],$A209,tblPCSInput[PCSStatus],1))</f>
        <v/>
      </c>
      <c r="Q209" s="11">
        <f>IF($A209="","",COUNTIFS(tblPCSInput[Call Date/Time],"&gt;="&amp;(SETUP!$B$6),tblPCSInput[Call Date/Time],"&lt;"&amp;(SETUP!$B$7),tblPCSInput[Call Direction],"I",tblPCSInput[Agent ID],$A209,tblPCSInput[Question 1],"&lt;&gt;"))</f>
        <v/>
      </c>
      <c r="R209" s="11">
        <f>IF($A209="","",COUNTIFS(tblPCSInput[Call Date/Time],"&gt;="&amp;(SETUP!$B$6),tblPCSInput[Call Date/Time],"&lt;"&amp;(SETUP!$B$7),tblPCSInput[Call Direction],"I",tblPCSInput[Agent ID],$A209,tblPCSInput[Valid Q1],"&gt;=1"))</f>
        <v/>
      </c>
      <c r="S209" s="12">
        <f>IFERROR(SUMIFS(tblPCSInput[Valid Q1],tblPCSInput[Call Date/Time],"&gt;="&amp;SETUP!$B$6,tblPCSInput[Call Date/Time],"&lt;"&amp;SETUP!$B$7,tblPCSInput[Call Direction],"I",tblPCSInput[Agent ID],$A209)/COUNTIFS(tblPCSInput[Call Date/Time],"&gt;="&amp;(SETUP!$B$6),tblPCSInput[Call Date/Time],"&lt;"&amp;(SETUP!$B$7),tblPCSInput[Call Direction],"I",tblPCSInput[Agent ID],$A209,tblPCSInput[Valid Q1],"&gt;=1"),"")</f>
        <v/>
      </c>
      <c r="T209" s="11">
        <f>IF(S209="","",COUNTIFS(tblPCSInput[Call Date/Time],"&gt;="&amp;(SETUP!$B$6),tblPCSInput[Call Date/Time],"&lt;"&amp;(SETUP!$B$7),tblPCSInput[Call Direction],"I",tblPCSInput[Agent ID],$A209,tblPCSInput[Valid Q1],"&lt;=3",tblPCSInput[Valid Q1],"&gt;=1"))</f>
        <v/>
      </c>
      <c r="U209" s="11">
        <f>IF(S209="","",COUNTIFS(tblPCSInput[Call Date/Time],"&gt;="&amp;(SETUP!$B$6),tblPCSInput[Call Date/Time],"&lt;"&amp;(SETUP!$B$7),tblPCSInput[Call Direction],"I",tblPCSInput[Agent ID],$A209,tblPCSInput[Valid Q1],"&gt;3"))</f>
        <v/>
      </c>
      <c r="V209" s="13">
        <f>IFERROR(Q209/P209,"")</f>
        <v/>
      </c>
      <c r="W209" s="13">
        <f>IFERROR(R209/P209,"")</f>
        <v/>
      </c>
    </row>
    <row r="210" spans="1:23">
      <c r="A210" s="4">
        <f>IF(ROSTER!A210="","",ROSTER!A210)</f>
        <v/>
      </c>
      <c r="B210" s="4">
        <f>IF($A210="","",ROSTER!C210)</f>
        <v/>
      </c>
      <c r="C210" s="4">
        <f>IF($A210="","",ROSTER!D210)</f>
        <v/>
      </c>
      <c r="D210" s="4">
        <f>IF($A210="","",ROSTER!E210)</f>
        <v/>
      </c>
      <c r="E210" s="4">
        <f>IF($A210="","",ROSTER!F210)</f>
        <v/>
      </c>
      <c r="F210" s="11">
        <f>IF($A210="","",COUNTIFS(tblPCSInput[Call Date/Time],"&gt;="&amp;(SETUP!$B$5),tblPCSInput[Call Date/Time],"&lt;"&amp;(SETUP!$B$5+1),tblPCSInput[Call Direction],"I",tblPCSInput[Agent ID],$A210,tblPCSInput[PCSStatus],1))</f>
        <v/>
      </c>
      <c r="G210" s="11">
        <f>IF($A210="","",COUNTIFS(tblPCSInput[Call Date/Time],"&gt;="&amp;(SETUP!$B$5),tblPCSInput[Call Date/Time],"&lt;"&amp;(SETUP!$B$5+1),tblPCSInput[Call Direction],"I",tblPCSInput[Agent ID],$A210,tblPCSInput[Question 1],"&lt;&gt;"))</f>
        <v/>
      </c>
      <c r="H210" s="11">
        <f>IF($A210="","",COUNTIFS(tblPCSInput[Call Date/Time],"&gt;="&amp;(SETUP!$B$5),tblPCSInput[Call Date/Time],"&lt;"&amp;(SETUP!$B$5+1),tblPCSInput[Call Direction],"I",tblPCSInput[Agent ID],$A210,tblPCSInput[Valid Q1],"&gt;=1"))</f>
        <v/>
      </c>
      <c r="I210" s="12">
        <f>IFERROR(SUMIFS(tblPCSInput[Valid Q1],tblPCSInput[Call Date/Time],"&gt;="&amp;SETUP!$B$5,tblPCSInput[Call Date/Time],"&lt;"&amp;SETUP!$B$5+1,tblPCSInput[Call Direction],"I",tblPCSInput[Agent ID],$A210)/COUNTIFS(tblPCSInput[Call Date/Time],"&gt;="&amp;(SETUP!$B$5),tblPCSInput[Call Date/Time],"&lt;"&amp;(SETUP!$B$5+1),tblPCSInput[Call Direction],"I",tblPCSInput[Agent ID],$A210,tblPCSInput[Valid Q1],"&gt;=1"),"")</f>
        <v/>
      </c>
      <c r="J210" s="11">
        <f>IF(I210="","",COUNTIFS(tblPCSInput[Call Date/Time],"&gt;="&amp;(SETUP!$B$5),tblPCSInput[Call Date/Time],"&lt;"&amp;(SETUP!$B$5+1),tblPCSInput[Call Direction],"I",tblPCSInput[Agent ID],$A210,tblPCSInput[Valid Q1],"&lt;=3",tblPCSInput[Valid Q1],"&gt;=1"))</f>
        <v/>
      </c>
      <c r="K210" s="11">
        <f>IF(I210="","",COUNTIFS(tblPCSInput[Call Date/Time],"&gt;="&amp;(SETUP!$B$5),tblPCSInput[Call Date/Time],"&lt;"&amp;(SETUP!$B$5+1),tblPCSInput[Call Direction],"I",tblPCSInput[Agent ID],$A210,tblPCSInput[Valid Q1],"&gt;3"))</f>
        <v/>
      </c>
      <c r="L210" s="13">
        <f>IFERROR(G210/F210,"")</f>
        <v/>
      </c>
      <c r="M210" s="13">
        <f>IFERROR(H210/F210,"")</f>
        <v/>
      </c>
      <c r="N210" s="11">
        <f>IF($A210="","",MAX(0,G210-H210))</f>
        <v/>
      </c>
      <c r="O210" s="4">
        <f>IF($A210="","",IF(H210=0,"NO VALID SURVEY",IF(H210&lt;5,"LOW SAMPLE","OK")))</f>
        <v/>
      </c>
      <c r="P210" s="11">
        <f>IF($A210="","",COUNTIFS(tblPCSInput[Call Date/Time],"&gt;="&amp;(SETUP!$B$6),tblPCSInput[Call Date/Time],"&lt;"&amp;(SETUP!$B$7),tblPCSInput[Call Direction],"I",tblPCSInput[Agent ID],$A210,tblPCSInput[PCSStatus],1))</f>
        <v/>
      </c>
      <c r="Q210" s="11">
        <f>IF($A210="","",COUNTIFS(tblPCSInput[Call Date/Time],"&gt;="&amp;(SETUP!$B$6),tblPCSInput[Call Date/Time],"&lt;"&amp;(SETUP!$B$7),tblPCSInput[Call Direction],"I",tblPCSInput[Agent ID],$A210,tblPCSInput[Question 1],"&lt;&gt;"))</f>
        <v/>
      </c>
      <c r="R210" s="11">
        <f>IF($A210="","",COUNTIFS(tblPCSInput[Call Date/Time],"&gt;="&amp;(SETUP!$B$6),tblPCSInput[Call Date/Time],"&lt;"&amp;(SETUP!$B$7),tblPCSInput[Call Direction],"I",tblPCSInput[Agent ID],$A210,tblPCSInput[Valid Q1],"&gt;=1"))</f>
        <v/>
      </c>
      <c r="S210" s="12">
        <f>IFERROR(SUMIFS(tblPCSInput[Valid Q1],tblPCSInput[Call Date/Time],"&gt;="&amp;SETUP!$B$6,tblPCSInput[Call Date/Time],"&lt;"&amp;SETUP!$B$7,tblPCSInput[Call Direction],"I",tblPCSInput[Agent ID],$A210)/COUNTIFS(tblPCSInput[Call Date/Time],"&gt;="&amp;(SETUP!$B$6),tblPCSInput[Call Date/Time],"&lt;"&amp;(SETUP!$B$7),tblPCSInput[Call Direction],"I",tblPCSInput[Agent ID],$A210,tblPCSInput[Valid Q1],"&gt;=1"),"")</f>
        <v/>
      </c>
      <c r="T210" s="11">
        <f>IF(S210="","",COUNTIFS(tblPCSInput[Call Date/Time],"&gt;="&amp;(SETUP!$B$6),tblPCSInput[Call Date/Time],"&lt;"&amp;(SETUP!$B$7),tblPCSInput[Call Direction],"I",tblPCSInput[Agent ID],$A210,tblPCSInput[Valid Q1],"&lt;=3",tblPCSInput[Valid Q1],"&gt;=1"))</f>
        <v/>
      </c>
      <c r="U210" s="11">
        <f>IF(S210="","",COUNTIFS(tblPCSInput[Call Date/Time],"&gt;="&amp;(SETUP!$B$6),tblPCSInput[Call Date/Time],"&lt;"&amp;(SETUP!$B$7),tblPCSInput[Call Direction],"I",tblPCSInput[Agent ID],$A210,tblPCSInput[Valid Q1],"&gt;3"))</f>
        <v/>
      </c>
      <c r="V210" s="13">
        <f>IFERROR(Q210/P210,"")</f>
        <v/>
      </c>
      <c r="W210" s="13">
        <f>IFERROR(R210/P210,"")</f>
        <v/>
      </c>
    </row>
    <row r="211" spans="1:23">
      <c r="A211" s="4">
        <f>IF(ROSTER!A211="","",ROSTER!A211)</f>
        <v/>
      </c>
      <c r="B211" s="4">
        <f>IF($A211="","",ROSTER!C211)</f>
        <v/>
      </c>
      <c r="C211" s="4">
        <f>IF($A211="","",ROSTER!D211)</f>
        <v/>
      </c>
      <c r="D211" s="4">
        <f>IF($A211="","",ROSTER!E211)</f>
        <v/>
      </c>
      <c r="E211" s="4">
        <f>IF($A211="","",ROSTER!F211)</f>
        <v/>
      </c>
      <c r="F211" s="11">
        <f>IF($A211="","",COUNTIFS(tblPCSInput[Call Date/Time],"&gt;="&amp;(SETUP!$B$5),tblPCSInput[Call Date/Time],"&lt;"&amp;(SETUP!$B$5+1),tblPCSInput[Call Direction],"I",tblPCSInput[Agent ID],$A211,tblPCSInput[PCSStatus],1))</f>
        <v/>
      </c>
      <c r="G211" s="11">
        <f>IF($A211="","",COUNTIFS(tblPCSInput[Call Date/Time],"&gt;="&amp;(SETUP!$B$5),tblPCSInput[Call Date/Time],"&lt;"&amp;(SETUP!$B$5+1),tblPCSInput[Call Direction],"I",tblPCSInput[Agent ID],$A211,tblPCSInput[Question 1],"&lt;&gt;"))</f>
        <v/>
      </c>
      <c r="H211" s="11">
        <f>IF($A211="","",COUNTIFS(tblPCSInput[Call Date/Time],"&gt;="&amp;(SETUP!$B$5),tblPCSInput[Call Date/Time],"&lt;"&amp;(SETUP!$B$5+1),tblPCSInput[Call Direction],"I",tblPCSInput[Agent ID],$A211,tblPCSInput[Valid Q1],"&gt;=1"))</f>
        <v/>
      </c>
      <c r="I211" s="12">
        <f>IFERROR(SUMIFS(tblPCSInput[Valid Q1],tblPCSInput[Call Date/Time],"&gt;="&amp;SETUP!$B$5,tblPCSInput[Call Date/Time],"&lt;"&amp;SETUP!$B$5+1,tblPCSInput[Call Direction],"I",tblPCSInput[Agent ID],$A211)/COUNTIFS(tblPCSInput[Call Date/Time],"&gt;="&amp;(SETUP!$B$5),tblPCSInput[Call Date/Time],"&lt;"&amp;(SETUP!$B$5+1),tblPCSInput[Call Direction],"I",tblPCSInput[Agent ID],$A211,tblPCSInput[Valid Q1],"&gt;=1"),"")</f>
        <v/>
      </c>
      <c r="J211" s="11">
        <f>IF(I211="","",COUNTIFS(tblPCSInput[Call Date/Time],"&gt;="&amp;(SETUP!$B$5),tblPCSInput[Call Date/Time],"&lt;"&amp;(SETUP!$B$5+1),tblPCSInput[Call Direction],"I",tblPCSInput[Agent ID],$A211,tblPCSInput[Valid Q1],"&lt;=3",tblPCSInput[Valid Q1],"&gt;=1"))</f>
        <v/>
      </c>
      <c r="K211" s="11">
        <f>IF(I211="","",COUNTIFS(tblPCSInput[Call Date/Time],"&gt;="&amp;(SETUP!$B$5),tblPCSInput[Call Date/Time],"&lt;"&amp;(SETUP!$B$5+1),tblPCSInput[Call Direction],"I",tblPCSInput[Agent ID],$A211,tblPCSInput[Valid Q1],"&gt;3"))</f>
        <v/>
      </c>
      <c r="L211" s="13">
        <f>IFERROR(G211/F211,"")</f>
        <v/>
      </c>
      <c r="M211" s="13">
        <f>IFERROR(H211/F211,"")</f>
        <v/>
      </c>
      <c r="N211" s="11">
        <f>IF($A211="","",MAX(0,G211-H211))</f>
        <v/>
      </c>
      <c r="O211" s="4">
        <f>IF($A211="","",IF(H211=0,"NO VALID SURVEY",IF(H211&lt;5,"LOW SAMPLE","OK")))</f>
        <v/>
      </c>
      <c r="P211" s="11">
        <f>IF($A211="","",COUNTIFS(tblPCSInput[Call Date/Time],"&gt;="&amp;(SETUP!$B$6),tblPCSInput[Call Date/Time],"&lt;"&amp;(SETUP!$B$7),tblPCSInput[Call Direction],"I",tblPCSInput[Agent ID],$A211,tblPCSInput[PCSStatus],1))</f>
        <v/>
      </c>
      <c r="Q211" s="11">
        <f>IF($A211="","",COUNTIFS(tblPCSInput[Call Date/Time],"&gt;="&amp;(SETUP!$B$6),tblPCSInput[Call Date/Time],"&lt;"&amp;(SETUP!$B$7),tblPCSInput[Call Direction],"I",tblPCSInput[Agent ID],$A211,tblPCSInput[Question 1],"&lt;&gt;"))</f>
        <v/>
      </c>
      <c r="R211" s="11">
        <f>IF($A211="","",COUNTIFS(tblPCSInput[Call Date/Time],"&gt;="&amp;(SETUP!$B$6),tblPCSInput[Call Date/Time],"&lt;"&amp;(SETUP!$B$7),tblPCSInput[Call Direction],"I",tblPCSInput[Agent ID],$A211,tblPCSInput[Valid Q1],"&gt;=1"))</f>
        <v/>
      </c>
      <c r="S211" s="12">
        <f>IFERROR(SUMIFS(tblPCSInput[Valid Q1],tblPCSInput[Call Date/Time],"&gt;="&amp;SETUP!$B$6,tblPCSInput[Call Date/Time],"&lt;"&amp;SETUP!$B$7,tblPCSInput[Call Direction],"I",tblPCSInput[Agent ID],$A211)/COUNTIFS(tblPCSInput[Call Date/Time],"&gt;="&amp;(SETUP!$B$6),tblPCSInput[Call Date/Time],"&lt;"&amp;(SETUP!$B$7),tblPCSInput[Call Direction],"I",tblPCSInput[Agent ID],$A211,tblPCSInput[Valid Q1],"&gt;=1"),"")</f>
        <v/>
      </c>
      <c r="T211" s="11">
        <f>IF(S211="","",COUNTIFS(tblPCSInput[Call Date/Time],"&gt;="&amp;(SETUP!$B$6),tblPCSInput[Call Date/Time],"&lt;"&amp;(SETUP!$B$7),tblPCSInput[Call Direction],"I",tblPCSInput[Agent ID],$A211,tblPCSInput[Valid Q1],"&lt;=3",tblPCSInput[Valid Q1],"&gt;=1"))</f>
        <v/>
      </c>
      <c r="U211" s="11">
        <f>IF(S211="","",COUNTIFS(tblPCSInput[Call Date/Time],"&gt;="&amp;(SETUP!$B$6),tblPCSInput[Call Date/Time],"&lt;"&amp;(SETUP!$B$7),tblPCSInput[Call Direction],"I",tblPCSInput[Agent ID],$A211,tblPCSInput[Valid Q1],"&gt;3"))</f>
        <v/>
      </c>
      <c r="V211" s="13">
        <f>IFERROR(Q211/P211,"")</f>
        <v/>
      </c>
      <c r="W211" s="13">
        <f>IFERROR(R211/P211,"")</f>
        <v/>
      </c>
    </row>
    <row r="212" spans="1:23">
      <c r="A212" s="4">
        <f>IF(ROSTER!A212="","",ROSTER!A212)</f>
        <v/>
      </c>
      <c r="B212" s="4">
        <f>IF($A212="","",ROSTER!C212)</f>
        <v/>
      </c>
      <c r="C212" s="4">
        <f>IF($A212="","",ROSTER!D212)</f>
        <v/>
      </c>
      <c r="D212" s="4">
        <f>IF($A212="","",ROSTER!E212)</f>
        <v/>
      </c>
      <c r="E212" s="4">
        <f>IF($A212="","",ROSTER!F212)</f>
        <v/>
      </c>
      <c r="F212" s="11">
        <f>IF($A212="","",COUNTIFS(tblPCSInput[Call Date/Time],"&gt;="&amp;(SETUP!$B$5),tblPCSInput[Call Date/Time],"&lt;"&amp;(SETUP!$B$5+1),tblPCSInput[Call Direction],"I",tblPCSInput[Agent ID],$A212,tblPCSInput[PCSStatus],1))</f>
        <v/>
      </c>
      <c r="G212" s="11">
        <f>IF($A212="","",COUNTIFS(tblPCSInput[Call Date/Time],"&gt;="&amp;(SETUP!$B$5),tblPCSInput[Call Date/Time],"&lt;"&amp;(SETUP!$B$5+1),tblPCSInput[Call Direction],"I",tblPCSInput[Agent ID],$A212,tblPCSInput[Question 1],"&lt;&gt;"))</f>
        <v/>
      </c>
      <c r="H212" s="11">
        <f>IF($A212="","",COUNTIFS(tblPCSInput[Call Date/Time],"&gt;="&amp;(SETUP!$B$5),tblPCSInput[Call Date/Time],"&lt;"&amp;(SETUP!$B$5+1),tblPCSInput[Call Direction],"I",tblPCSInput[Agent ID],$A212,tblPCSInput[Valid Q1],"&gt;=1"))</f>
        <v/>
      </c>
      <c r="I212" s="12">
        <f>IFERROR(SUMIFS(tblPCSInput[Valid Q1],tblPCSInput[Call Date/Time],"&gt;="&amp;SETUP!$B$5,tblPCSInput[Call Date/Time],"&lt;"&amp;SETUP!$B$5+1,tblPCSInput[Call Direction],"I",tblPCSInput[Agent ID],$A212)/COUNTIFS(tblPCSInput[Call Date/Time],"&gt;="&amp;(SETUP!$B$5),tblPCSInput[Call Date/Time],"&lt;"&amp;(SETUP!$B$5+1),tblPCSInput[Call Direction],"I",tblPCSInput[Agent ID],$A212,tblPCSInput[Valid Q1],"&gt;=1"),"")</f>
        <v/>
      </c>
      <c r="J212" s="11">
        <f>IF(I212="","",COUNTIFS(tblPCSInput[Call Date/Time],"&gt;="&amp;(SETUP!$B$5),tblPCSInput[Call Date/Time],"&lt;"&amp;(SETUP!$B$5+1),tblPCSInput[Call Direction],"I",tblPCSInput[Agent ID],$A212,tblPCSInput[Valid Q1],"&lt;=3",tblPCSInput[Valid Q1],"&gt;=1"))</f>
        <v/>
      </c>
      <c r="K212" s="11">
        <f>IF(I212="","",COUNTIFS(tblPCSInput[Call Date/Time],"&gt;="&amp;(SETUP!$B$5),tblPCSInput[Call Date/Time],"&lt;"&amp;(SETUP!$B$5+1),tblPCSInput[Call Direction],"I",tblPCSInput[Agent ID],$A212,tblPCSInput[Valid Q1],"&gt;3"))</f>
        <v/>
      </c>
      <c r="L212" s="13">
        <f>IFERROR(G212/F212,"")</f>
        <v/>
      </c>
      <c r="M212" s="13">
        <f>IFERROR(H212/F212,"")</f>
        <v/>
      </c>
      <c r="N212" s="11">
        <f>IF($A212="","",MAX(0,G212-H212))</f>
        <v/>
      </c>
      <c r="O212" s="4">
        <f>IF($A212="","",IF(H212=0,"NO VALID SURVEY",IF(H212&lt;5,"LOW SAMPLE","OK")))</f>
        <v/>
      </c>
      <c r="P212" s="11">
        <f>IF($A212="","",COUNTIFS(tblPCSInput[Call Date/Time],"&gt;="&amp;(SETUP!$B$6),tblPCSInput[Call Date/Time],"&lt;"&amp;(SETUP!$B$7),tblPCSInput[Call Direction],"I",tblPCSInput[Agent ID],$A212,tblPCSInput[PCSStatus],1))</f>
        <v/>
      </c>
      <c r="Q212" s="11">
        <f>IF($A212="","",COUNTIFS(tblPCSInput[Call Date/Time],"&gt;="&amp;(SETUP!$B$6),tblPCSInput[Call Date/Time],"&lt;"&amp;(SETUP!$B$7),tblPCSInput[Call Direction],"I",tblPCSInput[Agent ID],$A212,tblPCSInput[Question 1],"&lt;&gt;"))</f>
        <v/>
      </c>
      <c r="R212" s="11">
        <f>IF($A212="","",COUNTIFS(tblPCSInput[Call Date/Time],"&gt;="&amp;(SETUP!$B$6),tblPCSInput[Call Date/Time],"&lt;"&amp;(SETUP!$B$7),tblPCSInput[Call Direction],"I",tblPCSInput[Agent ID],$A212,tblPCSInput[Valid Q1],"&gt;=1"))</f>
        <v/>
      </c>
      <c r="S212" s="12">
        <f>IFERROR(SUMIFS(tblPCSInput[Valid Q1],tblPCSInput[Call Date/Time],"&gt;="&amp;SETUP!$B$6,tblPCSInput[Call Date/Time],"&lt;"&amp;SETUP!$B$7,tblPCSInput[Call Direction],"I",tblPCSInput[Agent ID],$A212)/COUNTIFS(tblPCSInput[Call Date/Time],"&gt;="&amp;(SETUP!$B$6),tblPCSInput[Call Date/Time],"&lt;"&amp;(SETUP!$B$7),tblPCSInput[Call Direction],"I",tblPCSInput[Agent ID],$A212,tblPCSInput[Valid Q1],"&gt;=1"),"")</f>
        <v/>
      </c>
      <c r="T212" s="11">
        <f>IF(S212="","",COUNTIFS(tblPCSInput[Call Date/Time],"&gt;="&amp;(SETUP!$B$6),tblPCSInput[Call Date/Time],"&lt;"&amp;(SETUP!$B$7),tblPCSInput[Call Direction],"I",tblPCSInput[Agent ID],$A212,tblPCSInput[Valid Q1],"&lt;=3",tblPCSInput[Valid Q1],"&gt;=1"))</f>
        <v/>
      </c>
      <c r="U212" s="11">
        <f>IF(S212="","",COUNTIFS(tblPCSInput[Call Date/Time],"&gt;="&amp;(SETUP!$B$6),tblPCSInput[Call Date/Time],"&lt;"&amp;(SETUP!$B$7),tblPCSInput[Call Direction],"I",tblPCSInput[Agent ID],$A212,tblPCSInput[Valid Q1],"&gt;3"))</f>
        <v/>
      </c>
      <c r="V212" s="13">
        <f>IFERROR(Q212/P212,"")</f>
        <v/>
      </c>
      <c r="W212" s="13">
        <f>IFERROR(R212/P212,"")</f>
        <v/>
      </c>
    </row>
    <row r="213" spans="1:23">
      <c r="A213" s="4">
        <f>IF(ROSTER!A213="","",ROSTER!A213)</f>
        <v/>
      </c>
      <c r="B213" s="4">
        <f>IF($A213="","",ROSTER!C213)</f>
        <v/>
      </c>
      <c r="C213" s="4">
        <f>IF($A213="","",ROSTER!D213)</f>
        <v/>
      </c>
      <c r="D213" s="4">
        <f>IF($A213="","",ROSTER!E213)</f>
        <v/>
      </c>
      <c r="E213" s="4">
        <f>IF($A213="","",ROSTER!F213)</f>
        <v/>
      </c>
      <c r="F213" s="11">
        <f>IF($A213="","",COUNTIFS(tblPCSInput[Call Date/Time],"&gt;="&amp;(SETUP!$B$5),tblPCSInput[Call Date/Time],"&lt;"&amp;(SETUP!$B$5+1),tblPCSInput[Call Direction],"I",tblPCSInput[Agent ID],$A213,tblPCSInput[PCSStatus],1))</f>
        <v/>
      </c>
      <c r="G213" s="11">
        <f>IF($A213="","",COUNTIFS(tblPCSInput[Call Date/Time],"&gt;="&amp;(SETUP!$B$5),tblPCSInput[Call Date/Time],"&lt;"&amp;(SETUP!$B$5+1),tblPCSInput[Call Direction],"I",tblPCSInput[Agent ID],$A213,tblPCSInput[Question 1],"&lt;&gt;"))</f>
        <v/>
      </c>
      <c r="H213" s="11">
        <f>IF($A213="","",COUNTIFS(tblPCSInput[Call Date/Time],"&gt;="&amp;(SETUP!$B$5),tblPCSInput[Call Date/Time],"&lt;"&amp;(SETUP!$B$5+1),tblPCSInput[Call Direction],"I",tblPCSInput[Agent ID],$A213,tblPCSInput[Valid Q1],"&gt;=1"))</f>
        <v/>
      </c>
      <c r="I213" s="12">
        <f>IFERROR(SUMIFS(tblPCSInput[Valid Q1],tblPCSInput[Call Date/Time],"&gt;="&amp;SETUP!$B$5,tblPCSInput[Call Date/Time],"&lt;"&amp;SETUP!$B$5+1,tblPCSInput[Call Direction],"I",tblPCSInput[Agent ID],$A213)/COUNTIFS(tblPCSInput[Call Date/Time],"&gt;="&amp;(SETUP!$B$5),tblPCSInput[Call Date/Time],"&lt;"&amp;(SETUP!$B$5+1),tblPCSInput[Call Direction],"I",tblPCSInput[Agent ID],$A213,tblPCSInput[Valid Q1],"&gt;=1"),"")</f>
        <v/>
      </c>
      <c r="J213" s="11">
        <f>IF(I213="","",COUNTIFS(tblPCSInput[Call Date/Time],"&gt;="&amp;(SETUP!$B$5),tblPCSInput[Call Date/Time],"&lt;"&amp;(SETUP!$B$5+1),tblPCSInput[Call Direction],"I",tblPCSInput[Agent ID],$A213,tblPCSInput[Valid Q1],"&lt;=3",tblPCSInput[Valid Q1],"&gt;=1"))</f>
        <v/>
      </c>
      <c r="K213" s="11">
        <f>IF(I213="","",COUNTIFS(tblPCSInput[Call Date/Time],"&gt;="&amp;(SETUP!$B$5),tblPCSInput[Call Date/Time],"&lt;"&amp;(SETUP!$B$5+1),tblPCSInput[Call Direction],"I",tblPCSInput[Agent ID],$A213,tblPCSInput[Valid Q1],"&gt;3"))</f>
        <v/>
      </c>
      <c r="L213" s="13">
        <f>IFERROR(G213/F213,"")</f>
        <v/>
      </c>
      <c r="M213" s="13">
        <f>IFERROR(H213/F213,"")</f>
        <v/>
      </c>
      <c r="N213" s="11">
        <f>IF($A213="","",MAX(0,G213-H213))</f>
        <v/>
      </c>
      <c r="O213" s="4">
        <f>IF($A213="","",IF(H213=0,"NO VALID SURVEY",IF(H213&lt;5,"LOW SAMPLE","OK")))</f>
        <v/>
      </c>
      <c r="P213" s="11">
        <f>IF($A213="","",COUNTIFS(tblPCSInput[Call Date/Time],"&gt;="&amp;(SETUP!$B$6),tblPCSInput[Call Date/Time],"&lt;"&amp;(SETUP!$B$7),tblPCSInput[Call Direction],"I",tblPCSInput[Agent ID],$A213,tblPCSInput[PCSStatus],1))</f>
        <v/>
      </c>
      <c r="Q213" s="11">
        <f>IF($A213="","",COUNTIFS(tblPCSInput[Call Date/Time],"&gt;="&amp;(SETUP!$B$6),tblPCSInput[Call Date/Time],"&lt;"&amp;(SETUP!$B$7),tblPCSInput[Call Direction],"I",tblPCSInput[Agent ID],$A213,tblPCSInput[Question 1],"&lt;&gt;"))</f>
        <v/>
      </c>
      <c r="R213" s="11">
        <f>IF($A213="","",COUNTIFS(tblPCSInput[Call Date/Time],"&gt;="&amp;(SETUP!$B$6),tblPCSInput[Call Date/Time],"&lt;"&amp;(SETUP!$B$7),tblPCSInput[Call Direction],"I",tblPCSInput[Agent ID],$A213,tblPCSInput[Valid Q1],"&gt;=1"))</f>
        <v/>
      </c>
      <c r="S213" s="12">
        <f>IFERROR(SUMIFS(tblPCSInput[Valid Q1],tblPCSInput[Call Date/Time],"&gt;="&amp;SETUP!$B$6,tblPCSInput[Call Date/Time],"&lt;"&amp;SETUP!$B$7,tblPCSInput[Call Direction],"I",tblPCSInput[Agent ID],$A213)/COUNTIFS(tblPCSInput[Call Date/Time],"&gt;="&amp;(SETUP!$B$6),tblPCSInput[Call Date/Time],"&lt;"&amp;(SETUP!$B$7),tblPCSInput[Call Direction],"I",tblPCSInput[Agent ID],$A213,tblPCSInput[Valid Q1],"&gt;=1"),"")</f>
        <v/>
      </c>
      <c r="T213" s="11">
        <f>IF(S213="","",COUNTIFS(tblPCSInput[Call Date/Time],"&gt;="&amp;(SETUP!$B$6),tblPCSInput[Call Date/Time],"&lt;"&amp;(SETUP!$B$7),tblPCSInput[Call Direction],"I",tblPCSInput[Agent ID],$A213,tblPCSInput[Valid Q1],"&lt;=3",tblPCSInput[Valid Q1],"&gt;=1"))</f>
        <v/>
      </c>
      <c r="U213" s="11">
        <f>IF(S213="","",COUNTIFS(tblPCSInput[Call Date/Time],"&gt;="&amp;(SETUP!$B$6),tblPCSInput[Call Date/Time],"&lt;"&amp;(SETUP!$B$7),tblPCSInput[Call Direction],"I",tblPCSInput[Agent ID],$A213,tblPCSInput[Valid Q1],"&gt;3"))</f>
        <v/>
      </c>
      <c r="V213" s="13">
        <f>IFERROR(Q213/P213,"")</f>
        <v/>
      </c>
      <c r="W213" s="13">
        <f>IFERROR(R213/P213,"")</f>
        <v/>
      </c>
    </row>
    <row r="214" spans="1:23">
      <c r="A214" s="4">
        <f>IF(ROSTER!A214="","",ROSTER!A214)</f>
        <v/>
      </c>
      <c r="B214" s="4">
        <f>IF($A214="","",ROSTER!C214)</f>
        <v/>
      </c>
      <c r="C214" s="4">
        <f>IF($A214="","",ROSTER!D214)</f>
        <v/>
      </c>
      <c r="D214" s="4">
        <f>IF($A214="","",ROSTER!E214)</f>
        <v/>
      </c>
      <c r="E214" s="4">
        <f>IF($A214="","",ROSTER!F214)</f>
        <v/>
      </c>
      <c r="F214" s="11">
        <f>IF($A214="","",COUNTIFS(tblPCSInput[Call Date/Time],"&gt;="&amp;(SETUP!$B$5),tblPCSInput[Call Date/Time],"&lt;"&amp;(SETUP!$B$5+1),tblPCSInput[Call Direction],"I",tblPCSInput[Agent ID],$A214,tblPCSInput[PCSStatus],1))</f>
        <v/>
      </c>
      <c r="G214" s="11">
        <f>IF($A214="","",COUNTIFS(tblPCSInput[Call Date/Time],"&gt;="&amp;(SETUP!$B$5),tblPCSInput[Call Date/Time],"&lt;"&amp;(SETUP!$B$5+1),tblPCSInput[Call Direction],"I",tblPCSInput[Agent ID],$A214,tblPCSInput[Question 1],"&lt;&gt;"))</f>
        <v/>
      </c>
      <c r="H214" s="11">
        <f>IF($A214="","",COUNTIFS(tblPCSInput[Call Date/Time],"&gt;="&amp;(SETUP!$B$5),tblPCSInput[Call Date/Time],"&lt;"&amp;(SETUP!$B$5+1),tblPCSInput[Call Direction],"I",tblPCSInput[Agent ID],$A214,tblPCSInput[Valid Q1],"&gt;=1"))</f>
        <v/>
      </c>
      <c r="I214" s="12">
        <f>IFERROR(SUMIFS(tblPCSInput[Valid Q1],tblPCSInput[Call Date/Time],"&gt;="&amp;SETUP!$B$5,tblPCSInput[Call Date/Time],"&lt;"&amp;SETUP!$B$5+1,tblPCSInput[Call Direction],"I",tblPCSInput[Agent ID],$A214)/COUNTIFS(tblPCSInput[Call Date/Time],"&gt;="&amp;(SETUP!$B$5),tblPCSInput[Call Date/Time],"&lt;"&amp;(SETUP!$B$5+1),tblPCSInput[Call Direction],"I",tblPCSInput[Agent ID],$A214,tblPCSInput[Valid Q1],"&gt;=1"),"")</f>
        <v/>
      </c>
      <c r="J214" s="11">
        <f>IF(I214="","",COUNTIFS(tblPCSInput[Call Date/Time],"&gt;="&amp;(SETUP!$B$5),tblPCSInput[Call Date/Time],"&lt;"&amp;(SETUP!$B$5+1),tblPCSInput[Call Direction],"I",tblPCSInput[Agent ID],$A214,tblPCSInput[Valid Q1],"&lt;=3",tblPCSInput[Valid Q1],"&gt;=1"))</f>
        <v/>
      </c>
      <c r="K214" s="11">
        <f>IF(I214="","",COUNTIFS(tblPCSInput[Call Date/Time],"&gt;="&amp;(SETUP!$B$5),tblPCSInput[Call Date/Time],"&lt;"&amp;(SETUP!$B$5+1),tblPCSInput[Call Direction],"I",tblPCSInput[Agent ID],$A214,tblPCSInput[Valid Q1],"&gt;3"))</f>
        <v/>
      </c>
      <c r="L214" s="13">
        <f>IFERROR(G214/F214,"")</f>
        <v/>
      </c>
      <c r="M214" s="13">
        <f>IFERROR(H214/F214,"")</f>
        <v/>
      </c>
      <c r="N214" s="11">
        <f>IF($A214="","",MAX(0,G214-H214))</f>
        <v/>
      </c>
      <c r="O214" s="4">
        <f>IF($A214="","",IF(H214=0,"NO VALID SURVEY",IF(H214&lt;5,"LOW SAMPLE","OK")))</f>
        <v/>
      </c>
      <c r="P214" s="11">
        <f>IF($A214="","",COUNTIFS(tblPCSInput[Call Date/Time],"&gt;="&amp;(SETUP!$B$6),tblPCSInput[Call Date/Time],"&lt;"&amp;(SETUP!$B$7),tblPCSInput[Call Direction],"I",tblPCSInput[Agent ID],$A214,tblPCSInput[PCSStatus],1))</f>
        <v/>
      </c>
      <c r="Q214" s="11">
        <f>IF($A214="","",COUNTIFS(tblPCSInput[Call Date/Time],"&gt;="&amp;(SETUP!$B$6),tblPCSInput[Call Date/Time],"&lt;"&amp;(SETUP!$B$7),tblPCSInput[Call Direction],"I",tblPCSInput[Agent ID],$A214,tblPCSInput[Question 1],"&lt;&gt;"))</f>
        <v/>
      </c>
      <c r="R214" s="11">
        <f>IF($A214="","",COUNTIFS(tblPCSInput[Call Date/Time],"&gt;="&amp;(SETUP!$B$6),tblPCSInput[Call Date/Time],"&lt;"&amp;(SETUP!$B$7),tblPCSInput[Call Direction],"I",tblPCSInput[Agent ID],$A214,tblPCSInput[Valid Q1],"&gt;=1"))</f>
        <v/>
      </c>
      <c r="S214" s="12">
        <f>IFERROR(SUMIFS(tblPCSInput[Valid Q1],tblPCSInput[Call Date/Time],"&gt;="&amp;SETUP!$B$6,tblPCSInput[Call Date/Time],"&lt;"&amp;SETUP!$B$7,tblPCSInput[Call Direction],"I",tblPCSInput[Agent ID],$A214)/COUNTIFS(tblPCSInput[Call Date/Time],"&gt;="&amp;(SETUP!$B$6),tblPCSInput[Call Date/Time],"&lt;"&amp;(SETUP!$B$7),tblPCSInput[Call Direction],"I",tblPCSInput[Agent ID],$A214,tblPCSInput[Valid Q1],"&gt;=1"),"")</f>
        <v/>
      </c>
      <c r="T214" s="11">
        <f>IF(S214="","",COUNTIFS(tblPCSInput[Call Date/Time],"&gt;="&amp;(SETUP!$B$6),tblPCSInput[Call Date/Time],"&lt;"&amp;(SETUP!$B$7),tblPCSInput[Call Direction],"I",tblPCSInput[Agent ID],$A214,tblPCSInput[Valid Q1],"&lt;=3",tblPCSInput[Valid Q1],"&gt;=1"))</f>
        <v/>
      </c>
      <c r="U214" s="11">
        <f>IF(S214="","",COUNTIFS(tblPCSInput[Call Date/Time],"&gt;="&amp;(SETUP!$B$6),tblPCSInput[Call Date/Time],"&lt;"&amp;(SETUP!$B$7),tblPCSInput[Call Direction],"I",tblPCSInput[Agent ID],$A214,tblPCSInput[Valid Q1],"&gt;3"))</f>
        <v/>
      </c>
      <c r="V214" s="13">
        <f>IFERROR(Q214/P214,"")</f>
        <v/>
      </c>
      <c r="W214" s="13">
        <f>IFERROR(R214/P214,"")</f>
        <v/>
      </c>
    </row>
    <row r="215" spans="1:23">
      <c r="A215" s="4">
        <f>IF(ROSTER!A215="","",ROSTER!A215)</f>
        <v/>
      </c>
      <c r="B215" s="4">
        <f>IF($A215="","",ROSTER!C215)</f>
        <v/>
      </c>
      <c r="C215" s="4">
        <f>IF($A215="","",ROSTER!D215)</f>
        <v/>
      </c>
      <c r="D215" s="4">
        <f>IF($A215="","",ROSTER!E215)</f>
        <v/>
      </c>
      <c r="E215" s="4">
        <f>IF($A215="","",ROSTER!F215)</f>
        <v/>
      </c>
      <c r="F215" s="11">
        <f>IF($A215="","",COUNTIFS(tblPCSInput[Call Date/Time],"&gt;="&amp;(SETUP!$B$5),tblPCSInput[Call Date/Time],"&lt;"&amp;(SETUP!$B$5+1),tblPCSInput[Call Direction],"I",tblPCSInput[Agent ID],$A215,tblPCSInput[PCSStatus],1))</f>
        <v/>
      </c>
      <c r="G215" s="11">
        <f>IF($A215="","",COUNTIFS(tblPCSInput[Call Date/Time],"&gt;="&amp;(SETUP!$B$5),tblPCSInput[Call Date/Time],"&lt;"&amp;(SETUP!$B$5+1),tblPCSInput[Call Direction],"I",tblPCSInput[Agent ID],$A215,tblPCSInput[Question 1],"&lt;&gt;"))</f>
        <v/>
      </c>
      <c r="H215" s="11">
        <f>IF($A215="","",COUNTIFS(tblPCSInput[Call Date/Time],"&gt;="&amp;(SETUP!$B$5),tblPCSInput[Call Date/Time],"&lt;"&amp;(SETUP!$B$5+1),tblPCSInput[Call Direction],"I",tblPCSInput[Agent ID],$A215,tblPCSInput[Valid Q1],"&gt;=1"))</f>
        <v/>
      </c>
      <c r="I215" s="12">
        <f>IFERROR(SUMIFS(tblPCSInput[Valid Q1],tblPCSInput[Call Date/Time],"&gt;="&amp;SETUP!$B$5,tblPCSInput[Call Date/Time],"&lt;"&amp;SETUP!$B$5+1,tblPCSInput[Call Direction],"I",tblPCSInput[Agent ID],$A215)/COUNTIFS(tblPCSInput[Call Date/Time],"&gt;="&amp;(SETUP!$B$5),tblPCSInput[Call Date/Time],"&lt;"&amp;(SETUP!$B$5+1),tblPCSInput[Call Direction],"I",tblPCSInput[Agent ID],$A215,tblPCSInput[Valid Q1],"&gt;=1"),"")</f>
        <v/>
      </c>
      <c r="J215" s="11">
        <f>IF(I215="","",COUNTIFS(tblPCSInput[Call Date/Time],"&gt;="&amp;(SETUP!$B$5),tblPCSInput[Call Date/Time],"&lt;"&amp;(SETUP!$B$5+1),tblPCSInput[Call Direction],"I",tblPCSInput[Agent ID],$A215,tblPCSInput[Valid Q1],"&lt;=3",tblPCSInput[Valid Q1],"&gt;=1"))</f>
        <v/>
      </c>
      <c r="K215" s="11">
        <f>IF(I215="","",COUNTIFS(tblPCSInput[Call Date/Time],"&gt;="&amp;(SETUP!$B$5),tblPCSInput[Call Date/Time],"&lt;"&amp;(SETUP!$B$5+1),tblPCSInput[Call Direction],"I",tblPCSInput[Agent ID],$A215,tblPCSInput[Valid Q1],"&gt;3"))</f>
        <v/>
      </c>
      <c r="L215" s="13">
        <f>IFERROR(G215/F215,"")</f>
        <v/>
      </c>
      <c r="M215" s="13">
        <f>IFERROR(H215/F215,"")</f>
        <v/>
      </c>
      <c r="N215" s="11">
        <f>IF($A215="","",MAX(0,G215-H215))</f>
        <v/>
      </c>
      <c r="O215" s="4">
        <f>IF($A215="","",IF(H215=0,"NO VALID SURVEY",IF(H215&lt;5,"LOW SAMPLE","OK")))</f>
        <v/>
      </c>
      <c r="P215" s="11">
        <f>IF($A215="","",COUNTIFS(tblPCSInput[Call Date/Time],"&gt;="&amp;(SETUP!$B$6),tblPCSInput[Call Date/Time],"&lt;"&amp;(SETUP!$B$7),tblPCSInput[Call Direction],"I",tblPCSInput[Agent ID],$A215,tblPCSInput[PCSStatus],1))</f>
        <v/>
      </c>
      <c r="Q215" s="11">
        <f>IF($A215="","",COUNTIFS(tblPCSInput[Call Date/Time],"&gt;="&amp;(SETUP!$B$6),tblPCSInput[Call Date/Time],"&lt;"&amp;(SETUP!$B$7),tblPCSInput[Call Direction],"I",tblPCSInput[Agent ID],$A215,tblPCSInput[Question 1],"&lt;&gt;"))</f>
        <v/>
      </c>
      <c r="R215" s="11">
        <f>IF($A215="","",COUNTIFS(tblPCSInput[Call Date/Time],"&gt;="&amp;(SETUP!$B$6),tblPCSInput[Call Date/Time],"&lt;"&amp;(SETUP!$B$7),tblPCSInput[Call Direction],"I",tblPCSInput[Agent ID],$A215,tblPCSInput[Valid Q1],"&gt;=1"))</f>
        <v/>
      </c>
      <c r="S215" s="12">
        <f>IFERROR(SUMIFS(tblPCSInput[Valid Q1],tblPCSInput[Call Date/Time],"&gt;="&amp;SETUP!$B$6,tblPCSInput[Call Date/Time],"&lt;"&amp;SETUP!$B$7,tblPCSInput[Call Direction],"I",tblPCSInput[Agent ID],$A215)/COUNTIFS(tblPCSInput[Call Date/Time],"&gt;="&amp;(SETUP!$B$6),tblPCSInput[Call Date/Time],"&lt;"&amp;(SETUP!$B$7),tblPCSInput[Call Direction],"I",tblPCSInput[Agent ID],$A215,tblPCSInput[Valid Q1],"&gt;=1"),"")</f>
        <v/>
      </c>
      <c r="T215" s="11">
        <f>IF(S215="","",COUNTIFS(tblPCSInput[Call Date/Time],"&gt;="&amp;(SETUP!$B$6),tblPCSInput[Call Date/Time],"&lt;"&amp;(SETUP!$B$7),tblPCSInput[Call Direction],"I",tblPCSInput[Agent ID],$A215,tblPCSInput[Valid Q1],"&lt;=3",tblPCSInput[Valid Q1],"&gt;=1"))</f>
        <v/>
      </c>
      <c r="U215" s="11">
        <f>IF(S215="","",COUNTIFS(tblPCSInput[Call Date/Time],"&gt;="&amp;(SETUP!$B$6),tblPCSInput[Call Date/Time],"&lt;"&amp;(SETUP!$B$7),tblPCSInput[Call Direction],"I",tblPCSInput[Agent ID],$A215,tblPCSInput[Valid Q1],"&gt;3"))</f>
        <v/>
      </c>
      <c r="V215" s="13">
        <f>IFERROR(Q215/P215,"")</f>
        <v/>
      </c>
      <c r="W215" s="13">
        <f>IFERROR(R215/P215,"")</f>
        <v/>
      </c>
    </row>
    <row r="216" spans="1:23">
      <c r="A216" s="4">
        <f>IF(ROSTER!A216="","",ROSTER!A216)</f>
        <v/>
      </c>
      <c r="B216" s="4">
        <f>IF($A216="","",ROSTER!C216)</f>
        <v/>
      </c>
      <c r="C216" s="4">
        <f>IF($A216="","",ROSTER!D216)</f>
        <v/>
      </c>
      <c r="D216" s="4">
        <f>IF($A216="","",ROSTER!E216)</f>
        <v/>
      </c>
      <c r="E216" s="4">
        <f>IF($A216="","",ROSTER!F216)</f>
        <v/>
      </c>
      <c r="F216" s="11">
        <f>IF($A216="","",COUNTIFS(tblPCSInput[Call Date/Time],"&gt;="&amp;(SETUP!$B$5),tblPCSInput[Call Date/Time],"&lt;"&amp;(SETUP!$B$5+1),tblPCSInput[Call Direction],"I",tblPCSInput[Agent ID],$A216,tblPCSInput[PCSStatus],1))</f>
        <v/>
      </c>
      <c r="G216" s="11">
        <f>IF($A216="","",COUNTIFS(tblPCSInput[Call Date/Time],"&gt;="&amp;(SETUP!$B$5),tblPCSInput[Call Date/Time],"&lt;"&amp;(SETUP!$B$5+1),tblPCSInput[Call Direction],"I",tblPCSInput[Agent ID],$A216,tblPCSInput[Question 1],"&lt;&gt;"))</f>
        <v/>
      </c>
      <c r="H216" s="11">
        <f>IF($A216="","",COUNTIFS(tblPCSInput[Call Date/Time],"&gt;="&amp;(SETUP!$B$5),tblPCSInput[Call Date/Time],"&lt;"&amp;(SETUP!$B$5+1),tblPCSInput[Call Direction],"I",tblPCSInput[Agent ID],$A216,tblPCSInput[Valid Q1],"&gt;=1"))</f>
        <v/>
      </c>
      <c r="I216" s="12">
        <f>IFERROR(SUMIFS(tblPCSInput[Valid Q1],tblPCSInput[Call Date/Time],"&gt;="&amp;SETUP!$B$5,tblPCSInput[Call Date/Time],"&lt;"&amp;SETUP!$B$5+1,tblPCSInput[Call Direction],"I",tblPCSInput[Agent ID],$A216)/COUNTIFS(tblPCSInput[Call Date/Time],"&gt;="&amp;(SETUP!$B$5),tblPCSInput[Call Date/Time],"&lt;"&amp;(SETUP!$B$5+1),tblPCSInput[Call Direction],"I",tblPCSInput[Agent ID],$A216,tblPCSInput[Valid Q1],"&gt;=1"),"")</f>
        <v/>
      </c>
      <c r="J216" s="11">
        <f>IF(I216="","",COUNTIFS(tblPCSInput[Call Date/Time],"&gt;="&amp;(SETUP!$B$5),tblPCSInput[Call Date/Time],"&lt;"&amp;(SETUP!$B$5+1),tblPCSInput[Call Direction],"I",tblPCSInput[Agent ID],$A216,tblPCSInput[Valid Q1],"&lt;=3",tblPCSInput[Valid Q1],"&gt;=1"))</f>
        <v/>
      </c>
      <c r="K216" s="11">
        <f>IF(I216="","",COUNTIFS(tblPCSInput[Call Date/Time],"&gt;="&amp;(SETUP!$B$5),tblPCSInput[Call Date/Time],"&lt;"&amp;(SETUP!$B$5+1),tblPCSInput[Call Direction],"I",tblPCSInput[Agent ID],$A216,tblPCSInput[Valid Q1],"&gt;3"))</f>
        <v/>
      </c>
      <c r="L216" s="13">
        <f>IFERROR(G216/F216,"")</f>
        <v/>
      </c>
      <c r="M216" s="13">
        <f>IFERROR(H216/F216,"")</f>
        <v/>
      </c>
      <c r="N216" s="11">
        <f>IF($A216="","",MAX(0,G216-H216))</f>
        <v/>
      </c>
      <c r="O216" s="4">
        <f>IF($A216="","",IF(H216=0,"NO VALID SURVEY",IF(H216&lt;5,"LOW SAMPLE","OK")))</f>
        <v/>
      </c>
      <c r="P216" s="11">
        <f>IF($A216="","",COUNTIFS(tblPCSInput[Call Date/Time],"&gt;="&amp;(SETUP!$B$6),tblPCSInput[Call Date/Time],"&lt;"&amp;(SETUP!$B$7),tblPCSInput[Call Direction],"I",tblPCSInput[Agent ID],$A216,tblPCSInput[PCSStatus],1))</f>
        <v/>
      </c>
      <c r="Q216" s="11">
        <f>IF($A216="","",COUNTIFS(tblPCSInput[Call Date/Time],"&gt;="&amp;(SETUP!$B$6),tblPCSInput[Call Date/Time],"&lt;"&amp;(SETUP!$B$7),tblPCSInput[Call Direction],"I",tblPCSInput[Agent ID],$A216,tblPCSInput[Question 1],"&lt;&gt;"))</f>
        <v/>
      </c>
      <c r="R216" s="11">
        <f>IF($A216="","",COUNTIFS(tblPCSInput[Call Date/Time],"&gt;="&amp;(SETUP!$B$6),tblPCSInput[Call Date/Time],"&lt;"&amp;(SETUP!$B$7),tblPCSInput[Call Direction],"I",tblPCSInput[Agent ID],$A216,tblPCSInput[Valid Q1],"&gt;=1"))</f>
        <v/>
      </c>
      <c r="S216" s="12">
        <f>IFERROR(SUMIFS(tblPCSInput[Valid Q1],tblPCSInput[Call Date/Time],"&gt;="&amp;SETUP!$B$6,tblPCSInput[Call Date/Time],"&lt;"&amp;SETUP!$B$7,tblPCSInput[Call Direction],"I",tblPCSInput[Agent ID],$A216)/COUNTIFS(tblPCSInput[Call Date/Time],"&gt;="&amp;(SETUP!$B$6),tblPCSInput[Call Date/Time],"&lt;"&amp;(SETUP!$B$7),tblPCSInput[Call Direction],"I",tblPCSInput[Agent ID],$A216,tblPCSInput[Valid Q1],"&gt;=1"),"")</f>
        <v/>
      </c>
      <c r="T216" s="11">
        <f>IF(S216="","",COUNTIFS(tblPCSInput[Call Date/Time],"&gt;="&amp;(SETUP!$B$6),tblPCSInput[Call Date/Time],"&lt;"&amp;(SETUP!$B$7),tblPCSInput[Call Direction],"I",tblPCSInput[Agent ID],$A216,tblPCSInput[Valid Q1],"&lt;=3",tblPCSInput[Valid Q1],"&gt;=1"))</f>
        <v/>
      </c>
      <c r="U216" s="11">
        <f>IF(S216="","",COUNTIFS(tblPCSInput[Call Date/Time],"&gt;="&amp;(SETUP!$B$6),tblPCSInput[Call Date/Time],"&lt;"&amp;(SETUP!$B$7),tblPCSInput[Call Direction],"I",tblPCSInput[Agent ID],$A216,tblPCSInput[Valid Q1],"&gt;3"))</f>
        <v/>
      </c>
      <c r="V216" s="13">
        <f>IFERROR(Q216/P216,"")</f>
        <v/>
      </c>
      <c r="W216" s="13">
        <f>IFERROR(R216/P216,"")</f>
        <v/>
      </c>
    </row>
    <row r="217" spans="1:23">
      <c r="A217" s="4">
        <f>IF(ROSTER!A217="","",ROSTER!A217)</f>
        <v/>
      </c>
      <c r="B217" s="4">
        <f>IF($A217="","",ROSTER!C217)</f>
        <v/>
      </c>
      <c r="C217" s="4">
        <f>IF($A217="","",ROSTER!D217)</f>
        <v/>
      </c>
      <c r="D217" s="4">
        <f>IF($A217="","",ROSTER!E217)</f>
        <v/>
      </c>
      <c r="E217" s="4">
        <f>IF($A217="","",ROSTER!F217)</f>
        <v/>
      </c>
      <c r="F217" s="11">
        <f>IF($A217="","",COUNTIFS(tblPCSInput[Call Date/Time],"&gt;="&amp;(SETUP!$B$5),tblPCSInput[Call Date/Time],"&lt;"&amp;(SETUP!$B$5+1),tblPCSInput[Call Direction],"I",tblPCSInput[Agent ID],$A217,tblPCSInput[PCSStatus],1))</f>
        <v/>
      </c>
      <c r="G217" s="11">
        <f>IF($A217="","",COUNTIFS(tblPCSInput[Call Date/Time],"&gt;="&amp;(SETUP!$B$5),tblPCSInput[Call Date/Time],"&lt;"&amp;(SETUP!$B$5+1),tblPCSInput[Call Direction],"I",tblPCSInput[Agent ID],$A217,tblPCSInput[Question 1],"&lt;&gt;"))</f>
        <v/>
      </c>
      <c r="H217" s="11">
        <f>IF($A217="","",COUNTIFS(tblPCSInput[Call Date/Time],"&gt;="&amp;(SETUP!$B$5),tblPCSInput[Call Date/Time],"&lt;"&amp;(SETUP!$B$5+1),tblPCSInput[Call Direction],"I",tblPCSInput[Agent ID],$A217,tblPCSInput[Valid Q1],"&gt;=1"))</f>
        <v/>
      </c>
      <c r="I217" s="12">
        <f>IFERROR(SUMIFS(tblPCSInput[Valid Q1],tblPCSInput[Call Date/Time],"&gt;="&amp;SETUP!$B$5,tblPCSInput[Call Date/Time],"&lt;"&amp;SETUP!$B$5+1,tblPCSInput[Call Direction],"I",tblPCSInput[Agent ID],$A217)/COUNTIFS(tblPCSInput[Call Date/Time],"&gt;="&amp;(SETUP!$B$5),tblPCSInput[Call Date/Time],"&lt;"&amp;(SETUP!$B$5+1),tblPCSInput[Call Direction],"I",tblPCSInput[Agent ID],$A217,tblPCSInput[Valid Q1],"&gt;=1"),"")</f>
        <v/>
      </c>
      <c r="J217" s="11">
        <f>IF(I217="","",COUNTIFS(tblPCSInput[Call Date/Time],"&gt;="&amp;(SETUP!$B$5),tblPCSInput[Call Date/Time],"&lt;"&amp;(SETUP!$B$5+1),tblPCSInput[Call Direction],"I",tblPCSInput[Agent ID],$A217,tblPCSInput[Valid Q1],"&lt;=3",tblPCSInput[Valid Q1],"&gt;=1"))</f>
        <v/>
      </c>
      <c r="K217" s="11">
        <f>IF(I217="","",COUNTIFS(tblPCSInput[Call Date/Time],"&gt;="&amp;(SETUP!$B$5),tblPCSInput[Call Date/Time],"&lt;"&amp;(SETUP!$B$5+1),tblPCSInput[Call Direction],"I",tblPCSInput[Agent ID],$A217,tblPCSInput[Valid Q1],"&gt;3"))</f>
        <v/>
      </c>
      <c r="L217" s="13">
        <f>IFERROR(G217/F217,"")</f>
        <v/>
      </c>
      <c r="M217" s="13">
        <f>IFERROR(H217/F217,"")</f>
        <v/>
      </c>
      <c r="N217" s="11">
        <f>IF($A217="","",MAX(0,G217-H217))</f>
        <v/>
      </c>
      <c r="O217" s="4">
        <f>IF($A217="","",IF(H217=0,"NO VALID SURVEY",IF(H217&lt;5,"LOW SAMPLE","OK")))</f>
        <v/>
      </c>
      <c r="P217" s="11">
        <f>IF($A217="","",COUNTIFS(tblPCSInput[Call Date/Time],"&gt;="&amp;(SETUP!$B$6),tblPCSInput[Call Date/Time],"&lt;"&amp;(SETUP!$B$7),tblPCSInput[Call Direction],"I",tblPCSInput[Agent ID],$A217,tblPCSInput[PCSStatus],1))</f>
        <v/>
      </c>
      <c r="Q217" s="11">
        <f>IF($A217="","",COUNTIFS(tblPCSInput[Call Date/Time],"&gt;="&amp;(SETUP!$B$6),tblPCSInput[Call Date/Time],"&lt;"&amp;(SETUP!$B$7),tblPCSInput[Call Direction],"I",tblPCSInput[Agent ID],$A217,tblPCSInput[Question 1],"&lt;&gt;"))</f>
        <v/>
      </c>
      <c r="R217" s="11">
        <f>IF($A217="","",COUNTIFS(tblPCSInput[Call Date/Time],"&gt;="&amp;(SETUP!$B$6),tblPCSInput[Call Date/Time],"&lt;"&amp;(SETUP!$B$7),tblPCSInput[Call Direction],"I",tblPCSInput[Agent ID],$A217,tblPCSInput[Valid Q1],"&gt;=1"))</f>
        <v/>
      </c>
      <c r="S217" s="12">
        <f>IFERROR(SUMIFS(tblPCSInput[Valid Q1],tblPCSInput[Call Date/Time],"&gt;="&amp;SETUP!$B$6,tblPCSInput[Call Date/Time],"&lt;"&amp;SETUP!$B$7,tblPCSInput[Call Direction],"I",tblPCSInput[Agent ID],$A217)/COUNTIFS(tblPCSInput[Call Date/Time],"&gt;="&amp;(SETUP!$B$6),tblPCSInput[Call Date/Time],"&lt;"&amp;(SETUP!$B$7),tblPCSInput[Call Direction],"I",tblPCSInput[Agent ID],$A217,tblPCSInput[Valid Q1],"&gt;=1"),"")</f>
        <v/>
      </c>
      <c r="T217" s="11">
        <f>IF(S217="","",COUNTIFS(tblPCSInput[Call Date/Time],"&gt;="&amp;(SETUP!$B$6),tblPCSInput[Call Date/Time],"&lt;"&amp;(SETUP!$B$7),tblPCSInput[Call Direction],"I",tblPCSInput[Agent ID],$A217,tblPCSInput[Valid Q1],"&lt;=3",tblPCSInput[Valid Q1],"&gt;=1"))</f>
        <v/>
      </c>
      <c r="U217" s="11">
        <f>IF(S217="","",COUNTIFS(tblPCSInput[Call Date/Time],"&gt;="&amp;(SETUP!$B$6),tblPCSInput[Call Date/Time],"&lt;"&amp;(SETUP!$B$7),tblPCSInput[Call Direction],"I",tblPCSInput[Agent ID],$A217,tblPCSInput[Valid Q1],"&gt;3"))</f>
        <v/>
      </c>
      <c r="V217" s="13">
        <f>IFERROR(Q217/P217,"")</f>
        <v/>
      </c>
      <c r="W217" s="13">
        <f>IFERROR(R217/P217,"")</f>
        <v/>
      </c>
    </row>
    <row r="218" spans="1:23">
      <c r="A218" s="4">
        <f>IF(ROSTER!A218="","",ROSTER!A218)</f>
        <v/>
      </c>
      <c r="B218" s="4">
        <f>IF($A218="","",ROSTER!C218)</f>
        <v/>
      </c>
      <c r="C218" s="4">
        <f>IF($A218="","",ROSTER!D218)</f>
        <v/>
      </c>
      <c r="D218" s="4">
        <f>IF($A218="","",ROSTER!E218)</f>
        <v/>
      </c>
      <c r="E218" s="4">
        <f>IF($A218="","",ROSTER!F218)</f>
        <v/>
      </c>
      <c r="F218" s="11">
        <f>IF($A218="","",COUNTIFS(tblPCSInput[Call Date/Time],"&gt;="&amp;(SETUP!$B$5),tblPCSInput[Call Date/Time],"&lt;"&amp;(SETUP!$B$5+1),tblPCSInput[Call Direction],"I",tblPCSInput[Agent ID],$A218,tblPCSInput[PCSStatus],1))</f>
        <v/>
      </c>
      <c r="G218" s="11">
        <f>IF($A218="","",COUNTIFS(tblPCSInput[Call Date/Time],"&gt;="&amp;(SETUP!$B$5),tblPCSInput[Call Date/Time],"&lt;"&amp;(SETUP!$B$5+1),tblPCSInput[Call Direction],"I",tblPCSInput[Agent ID],$A218,tblPCSInput[Question 1],"&lt;&gt;"))</f>
        <v/>
      </c>
      <c r="H218" s="11">
        <f>IF($A218="","",COUNTIFS(tblPCSInput[Call Date/Time],"&gt;="&amp;(SETUP!$B$5),tblPCSInput[Call Date/Time],"&lt;"&amp;(SETUP!$B$5+1),tblPCSInput[Call Direction],"I",tblPCSInput[Agent ID],$A218,tblPCSInput[Valid Q1],"&gt;=1"))</f>
        <v/>
      </c>
      <c r="I218" s="12">
        <f>IFERROR(SUMIFS(tblPCSInput[Valid Q1],tblPCSInput[Call Date/Time],"&gt;="&amp;SETUP!$B$5,tblPCSInput[Call Date/Time],"&lt;"&amp;SETUP!$B$5+1,tblPCSInput[Call Direction],"I",tblPCSInput[Agent ID],$A218)/COUNTIFS(tblPCSInput[Call Date/Time],"&gt;="&amp;(SETUP!$B$5),tblPCSInput[Call Date/Time],"&lt;"&amp;(SETUP!$B$5+1),tblPCSInput[Call Direction],"I",tblPCSInput[Agent ID],$A218,tblPCSInput[Valid Q1],"&gt;=1"),"")</f>
        <v/>
      </c>
      <c r="J218" s="11">
        <f>IF(I218="","",COUNTIFS(tblPCSInput[Call Date/Time],"&gt;="&amp;(SETUP!$B$5),tblPCSInput[Call Date/Time],"&lt;"&amp;(SETUP!$B$5+1),tblPCSInput[Call Direction],"I",tblPCSInput[Agent ID],$A218,tblPCSInput[Valid Q1],"&lt;=3",tblPCSInput[Valid Q1],"&gt;=1"))</f>
        <v/>
      </c>
      <c r="K218" s="11">
        <f>IF(I218="","",COUNTIFS(tblPCSInput[Call Date/Time],"&gt;="&amp;(SETUP!$B$5),tblPCSInput[Call Date/Time],"&lt;"&amp;(SETUP!$B$5+1),tblPCSInput[Call Direction],"I",tblPCSInput[Agent ID],$A218,tblPCSInput[Valid Q1],"&gt;3"))</f>
        <v/>
      </c>
      <c r="L218" s="13">
        <f>IFERROR(G218/F218,"")</f>
        <v/>
      </c>
      <c r="M218" s="13">
        <f>IFERROR(H218/F218,"")</f>
        <v/>
      </c>
      <c r="N218" s="11">
        <f>IF($A218="","",MAX(0,G218-H218))</f>
        <v/>
      </c>
      <c r="O218" s="4">
        <f>IF($A218="","",IF(H218=0,"NO VALID SURVEY",IF(H218&lt;5,"LOW SAMPLE","OK")))</f>
        <v/>
      </c>
      <c r="P218" s="11">
        <f>IF($A218="","",COUNTIFS(tblPCSInput[Call Date/Time],"&gt;="&amp;(SETUP!$B$6),tblPCSInput[Call Date/Time],"&lt;"&amp;(SETUP!$B$7),tblPCSInput[Call Direction],"I",tblPCSInput[Agent ID],$A218,tblPCSInput[PCSStatus],1))</f>
        <v/>
      </c>
      <c r="Q218" s="11">
        <f>IF($A218="","",COUNTIFS(tblPCSInput[Call Date/Time],"&gt;="&amp;(SETUP!$B$6),tblPCSInput[Call Date/Time],"&lt;"&amp;(SETUP!$B$7),tblPCSInput[Call Direction],"I",tblPCSInput[Agent ID],$A218,tblPCSInput[Question 1],"&lt;&gt;"))</f>
        <v/>
      </c>
      <c r="R218" s="11">
        <f>IF($A218="","",COUNTIFS(tblPCSInput[Call Date/Time],"&gt;="&amp;(SETUP!$B$6),tblPCSInput[Call Date/Time],"&lt;"&amp;(SETUP!$B$7),tblPCSInput[Call Direction],"I",tblPCSInput[Agent ID],$A218,tblPCSInput[Valid Q1],"&gt;=1"))</f>
        <v/>
      </c>
      <c r="S218" s="12">
        <f>IFERROR(SUMIFS(tblPCSInput[Valid Q1],tblPCSInput[Call Date/Time],"&gt;="&amp;SETUP!$B$6,tblPCSInput[Call Date/Time],"&lt;"&amp;SETUP!$B$7,tblPCSInput[Call Direction],"I",tblPCSInput[Agent ID],$A218)/COUNTIFS(tblPCSInput[Call Date/Time],"&gt;="&amp;(SETUP!$B$6),tblPCSInput[Call Date/Time],"&lt;"&amp;(SETUP!$B$7),tblPCSInput[Call Direction],"I",tblPCSInput[Agent ID],$A218,tblPCSInput[Valid Q1],"&gt;=1"),"")</f>
        <v/>
      </c>
      <c r="T218" s="11">
        <f>IF(S218="","",COUNTIFS(tblPCSInput[Call Date/Time],"&gt;="&amp;(SETUP!$B$6),tblPCSInput[Call Date/Time],"&lt;"&amp;(SETUP!$B$7),tblPCSInput[Call Direction],"I",tblPCSInput[Agent ID],$A218,tblPCSInput[Valid Q1],"&lt;=3",tblPCSInput[Valid Q1],"&gt;=1"))</f>
        <v/>
      </c>
      <c r="U218" s="11">
        <f>IF(S218="","",COUNTIFS(tblPCSInput[Call Date/Time],"&gt;="&amp;(SETUP!$B$6),tblPCSInput[Call Date/Time],"&lt;"&amp;(SETUP!$B$7),tblPCSInput[Call Direction],"I",tblPCSInput[Agent ID],$A218,tblPCSInput[Valid Q1],"&gt;3"))</f>
        <v/>
      </c>
      <c r="V218" s="13">
        <f>IFERROR(Q218/P218,"")</f>
        <v/>
      </c>
      <c r="W218" s="13">
        <f>IFERROR(R218/P218,"")</f>
        <v/>
      </c>
    </row>
    <row r="219" spans="1:23">
      <c r="A219" s="4">
        <f>IF(ROSTER!A219="","",ROSTER!A219)</f>
        <v/>
      </c>
      <c r="B219" s="4">
        <f>IF($A219="","",ROSTER!C219)</f>
        <v/>
      </c>
      <c r="C219" s="4">
        <f>IF($A219="","",ROSTER!D219)</f>
        <v/>
      </c>
      <c r="D219" s="4">
        <f>IF($A219="","",ROSTER!E219)</f>
        <v/>
      </c>
      <c r="E219" s="4">
        <f>IF($A219="","",ROSTER!F219)</f>
        <v/>
      </c>
      <c r="F219" s="11">
        <f>IF($A219="","",COUNTIFS(tblPCSInput[Call Date/Time],"&gt;="&amp;(SETUP!$B$5),tblPCSInput[Call Date/Time],"&lt;"&amp;(SETUP!$B$5+1),tblPCSInput[Call Direction],"I",tblPCSInput[Agent ID],$A219,tblPCSInput[PCSStatus],1))</f>
        <v/>
      </c>
      <c r="G219" s="11">
        <f>IF($A219="","",COUNTIFS(tblPCSInput[Call Date/Time],"&gt;="&amp;(SETUP!$B$5),tblPCSInput[Call Date/Time],"&lt;"&amp;(SETUP!$B$5+1),tblPCSInput[Call Direction],"I",tblPCSInput[Agent ID],$A219,tblPCSInput[Question 1],"&lt;&gt;"))</f>
        <v/>
      </c>
      <c r="H219" s="11">
        <f>IF($A219="","",COUNTIFS(tblPCSInput[Call Date/Time],"&gt;="&amp;(SETUP!$B$5),tblPCSInput[Call Date/Time],"&lt;"&amp;(SETUP!$B$5+1),tblPCSInput[Call Direction],"I",tblPCSInput[Agent ID],$A219,tblPCSInput[Valid Q1],"&gt;=1"))</f>
        <v/>
      </c>
      <c r="I219" s="12">
        <f>IFERROR(SUMIFS(tblPCSInput[Valid Q1],tblPCSInput[Call Date/Time],"&gt;="&amp;SETUP!$B$5,tblPCSInput[Call Date/Time],"&lt;"&amp;SETUP!$B$5+1,tblPCSInput[Call Direction],"I",tblPCSInput[Agent ID],$A219)/COUNTIFS(tblPCSInput[Call Date/Time],"&gt;="&amp;(SETUP!$B$5),tblPCSInput[Call Date/Time],"&lt;"&amp;(SETUP!$B$5+1),tblPCSInput[Call Direction],"I",tblPCSInput[Agent ID],$A219,tblPCSInput[Valid Q1],"&gt;=1"),"")</f>
        <v/>
      </c>
      <c r="J219" s="11">
        <f>IF(I219="","",COUNTIFS(tblPCSInput[Call Date/Time],"&gt;="&amp;(SETUP!$B$5),tblPCSInput[Call Date/Time],"&lt;"&amp;(SETUP!$B$5+1),tblPCSInput[Call Direction],"I",tblPCSInput[Agent ID],$A219,tblPCSInput[Valid Q1],"&lt;=3",tblPCSInput[Valid Q1],"&gt;=1"))</f>
        <v/>
      </c>
      <c r="K219" s="11">
        <f>IF(I219="","",COUNTIFS(tblPCSInput[Call Date/Time],"&gt;="&amp;(SETUP!$B$5),tblPCSInput[Call Date/Time],"&lt;"&amp;(SETUP!$B$5+1),tblPCSInput[Call Direction],"I",tblPCSInput[Agent ID],$A219,tblPCSInput[Valid Q1],"&gt;3"))</f>
        <v/>
      </c>
      <c r="L219" s="13">
        <f>IFERROR(G219/F219,"")</f>
        <v/>
      </c>
      <c r="M219" s="13">
        <f>IFERROR(H219/F219,"")</f>
        <v/>
      </c>
      <c r="N219" s="11">
        <f>IF($A219="","",MAX(0,G219-H219))</f>
        <v/>
      </c>
      <c r="O219" s="4">
        <f>IF($A219="","",IF(H219=0,"NO VALID SURVEY",IF(H219&lt;5,"LOW SAMPLE","OK")))</f>
        <v/>
      </c>
      <c r="P219" s="11">
        <f>IF($A219="","",COUNTIFS(tblPCSInput[Call Date/Time],"&gt;="&amp;(SETUP!$B$6),tblPCSInput[Call Date/Time],"&lt;"&amp;(SETUP!$B$7),tblPCSInput[Call Direction],"I",tblPCSInput[Agent ID],$A219,tblPCSInput[PCSStatus],1))</f>
        <v/>
      </c>
      <c r="Q219" s="11">
        <f>IF($A219="","",COUNTIFS(tblPCSInput[Call Date/Time],"&gt;="&amp;(SETUP!$B$6),tblPCSInput[Call Date/Time],"&lt;"&amp;(SETUP!$B$7),tblPCSInput[Call Direction],"I",tblPCSInput[Agent ID],$A219,tblPCSInput[Question 1],"&lt;&gt;"))</f>
        <v/>
      </c>
      <c r="R219" s="11">
        <f>IF($A219="","",COUNTIFS(tblPCSInput[Call Date/Time],"&gt;="&amp;(SETUP!$B$6),tblPCSInput[Call Date/Time],"&lt;"&amp;(SETUP!$B$7),tblPCSInput[Call Direction],"I",tblPCSInput[Agent ID],$A219,tblPCSInput[Valid Q1],"&gt;=1"))</f>
        <v/>
      </c>
      <c r="S219" s="12">
        <f>IFERROR(SUMIFS(tblPCSInput[Valid Q1],tblPCSInput[Call Date/Time],"&gt;="&amp;SETUP!$B$6,tblPCSInput[Call Date/Time],"&lt;"&amp;SETUP!$B$7,tblPCSInput[Call Direction],"I",tblPCSInput[Agent ID],$A219)/COUNTIFS(tblPCSInput[Call Date/Time],"&gt;="&amp;(SETUP!$B$6),tblPCSInput[Call Date/Time],"&lt;"&amp;(SETUP!$B$7),tblPCSInput[Call Direction],"I",tblPCSInput[Agent ID],$A219,tblPCSInput[Valid Q1],"&gt;=1"),"")</f>
        <v/>
      </c>
      <c r="T219" s="11">
        <f>IF(S219="","",COUNTIFS(tblPCSInput[Call Date/Time],"&gt;="&amp;(SETUP!$B$6),tblPCSInput[Call Date/Time],"&lt;"&amp;(SETUP!$B$7),tblPCSInput[Call Direction],"I",tblPCSInput[Agent ID],$A219,tblPCSInput[Valid Q1],"&lt;=3",tblPCSInput[Valid Q1],"&gt;=1"))</f>
        <v/>
      </c>
      <c r="U219" s="11">
        <f>IF(S219="","",COUNTIFS(tblPCSInput[Call Date/Time],"&gt;="&amp;(SETUP!$B$6),tblPCSInput[Call Date/Time],"&lt;"&amp;(SETUP!$B$7),tblPCSInput[Call Direction],"I",tblPCSInput[Agent ID],$A219,tblPCSInput[Valid Q1],"&gt;3"))</f>
        <v/>
      </c>
      <c r="V219" s="13">
        <f>IFERROR(Q219/P219,"")</f>
        <v/>
      </c>
      <c r="W219" s="13">
        <f>IFERROR(R219/P219,"")</f>
        <v/>
      </c>
    </row>
    <row r="220" spans="1:23">
      <c r="A220" s="4">
        <f>IF(ROSTER!A220="","",ROSTER!A220)</f>
        <v/>
      </c>
      <c r="B220" s="4">
        <f>IF($A220="","",ROSTER!C220)</f>
        <v/>
      </c>
      <c r="C220" s="4">
        <f>IF($A220="","",ROSTER!D220)</f>
        <v/>
      </c>
      <c r="D220" s="4">
        <f>IF($A220="","",ROSTER!E220)</f>
        <v/>
      </c>
      <c r="E220" s="4">
        <f>IF($A220="","",ROSTER!F220)</f>
        <v/>
      </c>
      <c r="F220" s="11">
        <f>IF($A220="","",COUNTIFS(tblPCSInput[Call Date/Time],"&gt;="&amp;(SETUP!$B$5),tblPCSInput[Call Date/Time],"&lt;"&amp;(SETUP!$B$5+1),tblPCSInput[Call Direction],"I",tblPCSInput[Agent ID],$A220,tblPCSInput[PCSStatus],1))</f>
        <v/>
      </c>
      <c r="G220" s="11">
        <f>IF($A220="","",COUNTIFS(tblPCSInput[Call Date/Time],"&gt;="&amp;(SETUP!$B$5),tblPCSInput[Call Date/Time],"&lt;"&amp;(SETUP!$B$5+1),tblPCSInput[Call Direction],"I",tblPCSInput[Agent ID],$A220,tblPCSInput[Question 1],"&lt;&gt;"))</f>
        <v/>
      </c>
      <c r="H220" s="11">
        <f>IF($A220="","",COUNTIFS(tblPCSInput[Call Date/Time],"&gt;="&amp;(SETUP!$B$5),tblPCSInput[Call Date/Time],"&lt;"&amp;(SETUP!$B$5+1),tblPCSInput[Call Direction],"I",tblPCSInput[Agent ID],$A220,tblPCSInput[Valid Q1],"&gt;=1"))</f>
        <v/>
      </c>
      <c r="I220" s="12">
        <f>IFERROR(SUMIFS(tblPCSInput[Valid Q1],tblPCSInput[Call Date/Time],"&gt;="&amp;SETUP!$B$5,tblPCSInput[Call Date/Time],"&lt;"&amp;SETUP!$B$5+1,tblPCSInput[Call Direction],"I",tblPCSInput[Agent ID],$A220)/COUNTIFS(tblPCSInput[Call Date/Time],"&gt;="&amp;(SETUP!$B$5),tblPCSInput[Call Date/Time],"&lt;"&amp;(SETUP!$B$5+1),tblPCSInput[Call Direction],"I",tblPCSInput[Agent ID],$A220,tblPCSInput[Valid Q1],"&gt;=1"),"")</f>
        <v/>
      </c>
      <c r="J220" s="11">
        <f>IF(I220="","",COUNTIFS(tblPCSInput[Call Date/Time],"&gt;="&amp;(SETUP!$B$5),tblPCSInput[Call Date/Time],"&lt;"&amp;(SETUP!$B$5+1),tblPCSInput[Call Direction],"I",tblPCSInput[Agent ID],$A220,tblPCSInput[Valid Q1],"&lt;=3",tblPCSInput[Valid Q1],"&gt;=1"))</f>
        <v/>
      </c>
      <c r="K220" s="11">
        <f>IF(I220="","",COUNTIFS(tblPCSInput[Call Date/Time],"&gt;="&amp;(SETUP!$B$5),tblPCSInput[Call Date/Time],"&lt;"&amp;(SETUP!$B$5+1),tblPCSInput[Call Direction],"I",tblPCSInput[Agent ID],$A220,tblPCSInput[Valid Q1],"&gt;3"))</f>
        <v/>
      </c>
      <c r="L220" s="13">
        <f>IFERROR(G220/F220,"")</f>
        <v/>
      </c>
      <c r="M220" s="13">
        <f>IFERROR(H220/F220,"")</f>
        <v/>
      </c>
      <c r="N220" s="11">
        <f>IF($A220="","",MAX(0,G220-H220))</f>
        <v/>
      </c>
      <c r="O220" s="4">
        <f>IF($A220="","",IF(H220=0,"NO VALID SURVEY",IF(H220&lt;5,"LOW SAMPLE","OK")))</f>
        <v/>
      </c>
      <c r="P220" s="11">
        <f>IF($A220="","",COUNTIFS(tblPCSInput[Call Date/Time],"&gt;="&amp;(SETUP!$B$6),tblPCSInput[Call Date/Time],"&lt;"&amp;(SETUP!$B$7),tblPCSInput[Call Direction],"I",tblPCSInput[Agent ID],$A220,tblPCSInput[PCSStatus],1))</f>
        <v/>
      </c>
      <c r="Q220" s="11">
        <f>IF($A220="","",COUNTIFS(tblPCSInput[Call Date/Time],"&gt;="&amp;(SETUP!$B$6),tblPCSInput[Call Date/Time],"&lt;"&amp;(SETUP!$B$7),tblPCSInput[Call Direction],"I",tblPCSInput[Agent ID],$A220,tblPCSInput[Question 1],"&lt;&gt;"))</f>
        <v/>
      </c>
      <c r="R220" s="11">
        <f>IF($A220="","",COUNTIFS(tblPCSInput[Call Date/Time],"&gt;="&amp;(SETUP!$B$6),tblPCSInput[Call Date/Time],"&lt;"&amp;(SETUP!$B$7),tblPCSInput[Call Direction],"I",tblPCSInput[Agent ID],$A220,tblPCSInput[Valid Q1],"&gt;=1"))</f>
        <v/>
      </c>
      <c r="S220" s="12">
        <f>IFERROR(SUMIFS(tblPCSInput[Valid Q1],tblPCSInput[Call Date/Time],"&gt;="&amp;SETUP!$B$6,tblPCSInput[Call Date/Time],"&lt;"&amp;SETUP!$B$7,tblPCSInput[Call Direction],"I",tblPCSInput[Agent ID],$A220)/COUNTIFS(tblPCSInput[Call Date/Time],"&gt;="&amp;(SETUP!$B$6),tblPCSInput[Call Date/Time],"&lt;"&amp;(SETUP!$B$7),tblPCSInput[Call Direction],"I",tblPCSInput[Agent ID],$A220,tblPCSInput[Valid Q1],"&gt;=1"),"")</f>
        <v/>
      </c>
      <c r="T220" s="11">
        <f>IF(S220="","",COUNTIFS(tblPCSInput[Call Date/Time],"&gt;="&amp;(SETUP!$B$6),tblPCSInput[Call Date/Time],"&lt;"&amp;(SETUP!$B$7),tblPCSInput[Call Direction],"I",tblPCSInput[Agent ID],$A220,tblPCSInput[Valid Q1],"&lt;=3",tblPCSInput[Valid Q1],"&gt;=1"))</f>
        <v/>
      </c>
      <c r="U220" s="11">
        <f>IF(S220="","",COUNTIFS(tblPCSInput[Call Date/Time],"&gt;="&amp;(SETUP!$B$6),tblPCSInput[Call Date/Time],"&lt;"&amp;(SETUP!$B$7),tblPCSInput[Call Direction],"I",tblPCSInput[Agent ID],$A220,tblPCSInput[Valid Q1],"&gt;3"))</f>
        <v/>
      </c>
      <c r="V220" s="13">
        <f>IFERROR(Q220/P220,"")</f>
        <v/>
      </c>
      <c r="W220" s="13">
        <f>IFERROR(R220/P220,"")</f>
        <v/>
      </c>
    </row>
    <row r="221" spans="1:23">
      <c r="A221" s="4">
        <f>IF(ROSTER!A221="","",ROSTER!A221)</f>
        <v/>
      </c>
      <c r="B221" s="4">
        <f>IF($A221="","",ROSTER!C221)</f>
        <v/>
      </c>
      <c r="C221" s="4">
        <f>IF($A221="","",ROSTER!D221)</f>
        <v/>
      </c>
      <c r="D221" s="4">
        <f>IF($A221="","",ROSTER!E221)</f>
        <v/>
      </c>
      <c r="E221" s="4">
        <f>IF($A221="","",ROSTER!F221)</f>
        <v/>
      </c>
      <c r="F221" s="11">
        <f>IF($A221="","",COUNTIFS(tblPCSInput[Call Date/Time],"&gt;="&amp;(SETUP!$B$5),tblPCSInput[Call Date/Time],"&lt;"&amp;(SETUP!$B$5+1),tblPCSInput[Call Direction],"I",tblPCSInput[Agent ID],$A221,tblPCSInput[PCSStatus],1))</f>
        <v/>
      </c>
      <c r="G221" s="11">
        <f>IF($A221="","",COUNTIFS(tblPCSInput[Call Date/Time],"&gt;="&amp;(SETUP!$B$5),tblPCSInput[Call Date/Time],"&lt;"&amp;(SETUP!$B$5+1),tblPCSInput[Call Direction],"I",tblPCSInput[Agent ID],$A221,tblPCSInput[Question 1],"&lt;&gt;"))</f>
        <v/>
      </c>
      <c r="H221" s="11">
        <f>IF($A221="","",COUNTIFS(tblPCSInput[Call Date/Time],"&gt;="&amp;(SETUP!$B$5),tblPCSInput[Call Date/Time],"&lt;"&amp;(SETUP!$B$5+1),tblPCSInput[Call Direction],"I",tblPCSInput[Agent ID],$A221,tblPCSInput[Valid Q1],"&gt;=1"))</f>
        <v/>
      </c>
      <c r="I221" s="12">
        <f>IFERROR(SUMIFS(tblPCSInput[Valid Q1],tblPCSInput[Call Date/Time],"&gt;="&amp;SETUP!$B$5,tblPCSInput[Call Date/Time],"&lt;"&amp;SETUP!$B$5+1,tblPCSInput[Call Direction],"I",tblPCSInput[Agent ID],$A221)/COUNTIFS(tblPCSInput[Call Date/Time],"&gt;="&amp;(SETUP!$B$5),tblPCSInput[Call Date/Time],"&lt;"&amp;(SETUP!$B$5+1),tblPCSInput[Call Direction],"I",tblPCSInput[Agent ID],$A221,tblPCSInput[Valid Q1],"&gt;=1"),"")</f>
        <v/>
      </c>
      <c r="J221" s="11">
        <f>IF(I221="","",COUNTIFS(tblPCSInput[Call Date/Time],"&gt;="&amp;(SETUP!$B$5),tblPCSInput[Call Date/Time],"&lt;"&amp;(SETUP!$B$5+1),tblPCSInput[Call Direction],"I",tblPCSInput[Agent ID],$A221,tblPCSInput[Valid Q1],"&lt;=3",tblPCSInput[Valid Q1],"&gt;=1"))</f>
        <v/>
      </c>
      <c r="K221" s="11">
        <f>IF(I221="","",COUNTIFS(tblPCSInput[Call Date/Time],"&gt;="&amp;(SETUP!$B$5),tblPCSInput[Call Date/Time],"&lt;"&amp;(SETUP!$B$5+1),tblPCSInput[Call Direction],"I",tblPCSInput[Agent ID],$A221,tblPCSInput[Valid Q1],"&gt;3"))</f>
        <v/>
      </c>
      <c r="L221" s="13">
        <f>IFERROR(G221/F221,"")</f>
        <v/>
      </c>
      <c r="M221" s="13">
        <f>IFERROR(H221/F221,"")</f>
        <v/>
      </c>
      <c r="N221" s="11">
        <f>IF($A221="","",MAX(0,G221-H221))</f>
        <v/>
      </c>
      <c r="O221" s="4">
        <f>IF($A221="","",IF(H221=0,"NO VALID SURVEY",IF(H221&lt;5,"LOW SAMPLE","OK")))</f>
        <v/>
      </c>
      <c r="P221" s="11">
        <f>IF($A221="","",COUNTIFS(tblPCSInput[Call Date/Time],"&gt;="&amp;(SETUP!$B$6),tblPCSInput[Call Date/Time],"&lt;"&amp;(SETUP!$B$7),tblPCSInput[Call Direction],"I",tblPCSInput[Agent ID],$A221,tblPCSInput[PCSStatus],1))</f>
        <v/>
      </c>
      <c r="Q221" s="11">
        <f>IF($A221="","",COUNTIFS(tblPCSInput[Call Date/Time],"&gt;="&amp;(SETUP!$B$6),tblPCSInput[Call Date/Time],"&lt;"&amp;(SETUP!$B$7),tblPCSInput[Call Direction],"I",tblPCSInput[Agent ID],$A221,tblPCSInput[Question 1],"&lt;&gt;"))</f>
        <v/>
      </c>
      <c r="R221" s="11">
        <f>IF($A221="","",COUNTIFS(tblPCSInput[Call Date/Time],"&gt;="&amp;(SETUP!$B$6),tblPCSInput[Call Date/Time],"&lt;"&amp;(SETUP!$B$7),tblPCSInput[Call Direction],"I",tblPCSInput[Agent ID],$A221,tblPCSInput[Valid Q1],"&gt;=1"))</f>
        <v/>
      </c>
      <c r="S221" s="12">
        <f>IFERROR(SUMIFS(tblPCSInput[Valid Q1],tblPCSInput[Call Date/Time],"&gt;="&amp;SETUP!$B$6,tblPCSInput[Call Date/Time],"&lt;"&amp;SETUP!$B$7,tblPCSInput[Call Direction],"I",tblPCSInput[Agent ID],$A221)/COUNTIFS(tblPCSInput[Call Date/Time],"&gt;="&amp;(SETUP!$B$6),tblPCSInput[Call Date/Time],"&lt;"&amp;(SETUP!$B$7),tblPCSInput[Call Direction],"I",tblPCSInput[Agent ID],$A221,tblPCSInput[Valid Q1],"&gt;=1"),"")</f>
        <v/>
      </c>
      <c r="T221" s="11">
        <f>IF(S221="","",COUNTIFS(tblPCSInput[Call Date/Time],"&gt;="&amp;(SETUP!$B$6),tblPCSInput[Call Date/Time],"&lt;"&amp;(SETUP!$B$7),tblPCSInput[Call Direction],"I",tblPCSInput[Agent ID],$A221,tblPCSInput[Valid Q1],"&lt;=3",tblPCSInput[Valid Q1],"&gt;=1"))</f>
        <v/>
      </c>
      <c r="U221" s="11">
        <f>IF(S221="","",COUNTIFS(tblPCSInput[Call Date/Time],"&gt;="&amp;(SETUP!$B$6),tblPCSInput[Call Date/Time],"&lt;"&amp;(SETUP!$B$7),tblPCSInput[Call Direction],"I",tblPCSInput[Agent ID],$A221,tblPCSInput[Valid Q1],"&gt;3"))</f>
        <v/>
      </c>
      <c r="V221" s="13">
        <f>IFERROR(Q221/P221,"")</f>
        <v/>
      </c>
      <c r="W221" s="13">
        <f>IFERROR(R221/P221,"")</f>
        <v/>
      </c>
    </row>
    <row r="222" spans="1:23">
      <c r="A222" s="4">
        <f>IF(ROSTER!A222="","",ROSTER!A222)</f>
        <v/>
      </c>
      <c r="B222" s="4">
        <f>IF($A222="","",ROSTER!C222)</f>
        <v/>
      </c>
      <c r="C222" s="4">
        <f>IF($A222="","",ROSTER!D222)</f>
        <v/>
      </c>
      <c r="D222" s="4">
        <f>IF($A222="","",ROSTER!E222)</f>
        <v/>
      </c>
      <c r="E222" s="4">
        <f>IF($A222="","",ROSTER!F222)</f>
        <v/>
      </c>
      <c r="F222" s="11">
        <f>IF($A222="","",COUNTIFS(tblPCSInput[Call Date/Time],"&gt;="&amp;(SETUP!$B$5),tblPCSInput[Call Date/Time],"&lt;"&amp;(SETUP!$B$5+1),tblPCSInput[Call Direction],"I",tblPCSInput[Agent ID],$A222,tblPCSInput[PCSStatus],1))</f>
        <v/>
      </c>
      <c r="G222" s="11">
        <f>IF($A222="","",COUNTIFS(tblPCSInput[Call Date/Time],"&gt;="&amp;(SETUP!$B$5),tblPCSInput[Call Date/Time],"&lt;"&amp;(SETUP!$B$5+1),tblPCSInput[Call Direction],"I",tblPCSInput[Agent ID],$A222,tblPCSInput[Question 1],"&lt;&gt;"))</f>
        <v/>
      </c>
      <c r="H222" s="11">
        <f>IF($A222="","",COUNTIFS(tblPCSInput[Call Date/Time],"&gt;="&amp;(SETUP!$B$5),tblPCSInput[Call Date/Time],"&lt;"&amp;(SETUP!$B$5+1),tblPCSInput[Call Direction],"I",tblPCSInput[Agent ID],$A222,tblPCSInput[Valid Q1],"&gt;=1"))</f>
        <v/>
      </c>
      <c r="I222" s="12">
        <f>IFERROR(SUMIFS(tblPCSInput[Valid Q1],tblPCSInput[Call Date/Time],"&gt;="&amp;SETUP!$B$5,tblPCSInput[Call Date/Time],"&lt;"&amp;SETUP!$B$5+1,tblPCSInput[Call Direction],"I",tblPCSInput[Agent ID],$A222)/COUNTIFS(tblPCSInput[Call Date/Time],"&gt;="&amp;(SETUP!$B$5),tblPCSInput[Call Date/Time],"&lt;"&amp;(SETUP!$B$5+1),tblPCSInput[Call Direction],"I",tblPCSInput[Agent ID],$A222,tblPCSInput[Valid Q1],"&gt;=1"),"")</f>
        <v/>
      </c>
      <c r="J222" s="11">
        <f>IF(I222="","",COUNTIFS(tblPCSInput[Call Date/Time],"&gt;="&amp;(SETUP!$B$5),tblPCSInput[Call Date/Time],"&lt;"&amp;(SETUP!$B$5+1),tblPCSInput[Call Direction],"I",tblPCSInput[Agent ID],$A222,tblPCSInput[Valid Q1],"&lt;=3",tblPCSInput[Valid Q1],"&gt;=1"))</f>
        <v/>
      </c>
      <c r="K222" s="11">
        <f>IF(I222="","",COUNTIFS(tblPCSInput[Call Date/Time],"&gt;="&amp;(SETUP!$B$5),tblPCSInput[Call Date/Time],"&lt;"&amp;(SETUP!$B$5+1),tblPCSInput[Call Direction],"I",tblPCSInput[Agent ID],$A222,tblPCSInput[Valid Q1],"&gt;3"))</f>
        <v/>
      </c>
      <c r="L222" s="13">
        <f>IFERROR(G222/F222,"")</f>
        <v/>
      </c>
      <c r="M222" s="13">
        <f>IFERROR(H222/F222,"")</f>
        <v/>
      </c>
      <c r="N222" s="11">
        <f>IF($A222="","",MAX(0,G222-H222))</f>
        <v/>
      </c>
      <c r="O222" s="4">
        <f>IF($A222="","",IF(H222=0,"NO VALID SURVEY",IF(H222&lt;5,"LOW SAMPLE","OK")))</f>
        <v/>
      </c>
      <c r="P222" s="11">
        <f>IF($A222="","",COUNTIFS(tblPCSInput[Call Date/Time],"&gt;="&amp;(SETUP!$B$6),tblPCSInput[Call Date/Time],"&lt;"&amp;(SETUP!$B$7),tblPCSInput[Call Direction],"I",tblPCSInput[Agent ID],$A222,tblPCSInput[PCSStatus],1))</f>
        <v/>
      </c>
      <c r="Q222" s="11">
        <f>IF($A222="","",COUNTIFS(tblPCSInput[Call Date/Time],"&gt;="&amp;(SETUP!$B$6),tblPCSInput[Call Date/Time],"&lt;"&amp;(SETUP!$B$7),tblPCSInput[Call Direction],"I",tblPCSInput[Agent ID],$A222,tblPCSInput[Question 1],"&lt;&gt;"))</f>
        <v/>
      </c>
      <c r="R222" s="11">
        <f>IF($A222="","",COUNTIFS(tblPCSInput[Call Date/Time],"&gt;="&amp;(SETUP!$B$6),tblPCSInput[Call Date/Time],"&lt;"&amp;(SETUP!$B$7),tblPCSInput[Call Direction],"I",tblPCSInput[Agent ID],$A222,tblPCSInput[Valid Q1],"&gt;=1"))</f>
        <v/>
      </c>
      <c r="S222" s="12">
        <f>IFERROR(SUMIFS(tblPCSInput[Valid Q1],tblPCSInput[Call Date/Time],"&gt;="&amp;SETUP!$B$6,tblPCSInput[Call Date/Time],"&lt;"&amp;SETUP!$B$7,tblPCSInput[Call Direction],"I",tblPCSInput[Agent ID],$A222)/COUNTIFS(tblPCSInput[Call Date/Time],"&gt;="&amp;(SETUP!$B$6),tblPCSInput[Call Date/Time],"&lt;"&amp;(SETUP!$B$7),tblPCSInput[Call Direction],"I",tblPCSInput[Agent ID],$A222,tblPCSInput[Valid Q1],"&gt;=1"),"")</f>
        <v/>
      </c>
      <c r="T222" s="11">
        <f>IF(S222="","",COUNTIFS(tblPCSInput[Call Date/Time],"&gt;="&amp;(SETUP!$B$6),tblPCSInput[Call Date/Time],"&lt;"&amp;(SETUP!$B$7),tblPCSInput[Call Direction],"I",tblPCSInput[Agent ID],$A222,tblPCSInput[Valid Q1],"&lt;=3",tblPCSInput[Valid Q1],"&gt;=1"))</f>
        <v/>
      </c>
      <c r="U222" s="11">
        <f>IF(S222="","",COUNTIFS(tblPCSInput[Call Date/Time],"&gt;="&amp;(SETUP!$B$6),tblPCSInput[Call Date/Time],"&lt;"&amp;(SETUP!$B$7),tblPCSInput[Call Direction],"I",tblPCSInput[Agent ID],$A222,tblPCSInput[Valid Q1],"&gt;3"))</f>
        <v/>
      </c>
      <c r="V222" s="13">
        <f>IFERROR(Q222/P222,"")</f>
        <v/>
      </c>
      <c r="W222" s="13">
        <f>IFERROR(R222/P222,"")</f>
        <v/>
      </c>
    </row>
    <row r="223" spans="1:23">
      <c r="A223" s="4">
        <f>IF(ROSTER!A223="","",ROSTER!A223)</f>
        <v/>
      </c>
      <c r="B223" s="4">
        <f>IF($A223="","",ROSTER!C223)</f>
        <v/>
      </c>
      <c r="C223" s="4">
        <f>IF($A223="","",ROSTER!D223)</f>
        <v/>
      </c>
      <c r="D223" s="4">
        <f>IF($A223="","",ROSTER!E223)</f>
        <v/>
      </c>
      <c r="E223" s="4">
        <f>IF($A223="","",ROSTER!F223)</f>
        <v/>
      </c>
      <c r="F223" s="11">
        <f>IF($A223="","",COUNTIFS(tblPCSInput[Call Date/Time],"&gt;="&amp;(SETUP!$B$5),tblPCSInput[Call Date/Time],"&lt;"&amp;(SETUP!$B$5+1),tblPCSInput[Call Direction],"I",tblPCSInput[Agent ID],$A223,tblPCSInput[PCSStatus],1))</f>
        <v/>
      </c>
      <c r="G223" s="11">
        <f>IF($A223="","",COUNTIFS(tblPCSInput[Call Date/Time],"&gt;="&amp;(SETUP!$B$5),tblPCSInput[Call Date/Time],"&lt;"&amp;(SETUP!$B$5+1),tblPCSInput[Call Direction],"I",tblPCSInput[Agent ID],$A223,tblPCSInput[Question 1],"&lt;&gt;"))</f>
        <v/>
      </c>
      <c r="H223" s="11">
        <f>IF($A223="","",COUNTIFS(tblPCSInput[Call Date/Time],"&gt;="&amp;(SETUP!$B$5),tblPCSInput[Call Date/Time],"&lt;"&amp;(SETUP!$B$5+1),tblPCSInput[Call Direction],"I",tblPCSInput[Agent ID],$A223,tblPCSInput[Valid Q1],"&gt;=1"))</f>
        <v/>
      </c>
      <c r="I223" s="12">
        <f>IFERROR(SUMIFS(tblPCSInput[Valid Q1],tblPCSInput[Call Date/Time],"&gt;="&amp;SETUP!$B$5,tblPCSInput[Call Date/Time],"&lt;"&amp;SETUP!$B$5+1,tblPCSInput[Call Direction],"I",tblPCSInput[Agent ID],$A223)/COUNTIFS(tblPCSInput[Call Date/Time],"&gt;="&amp;(SETUP!$B$5),tblPCSInput[Call Date/Time],"&lt;"&amp;(SETUP!$B$5+1),tblPCSInput[Call Direction],"I",tblPCSInput[Agent ID],$A223,tblPCSInput[Valid Q1],"&gt;=1"),"")</f>
        <v/>
      </c>
      <c r="J223" s="11">
        <f>IF(I223="","",COUNTIFS(tblPCSInput[Call Date/Time],"&gt;="&amp;(SETUP!$B$5),tblPCSInput[Call Date/Time],"&lt;"&amp;(SETUP!$B$5+1),tblPCSInput[Call Direction],"I",tblPCSInput[Agent ID],$A223,tblPCSInput[Valid Q1],"&lt;=3",tblPCSInput[Valid Q1],"&gt;=1"))</f>
        <v/>
      </c>
      <c r="K223" s="11">
        <f>IF(I223="","",COUNTIFS(tblPCSInput[Call Date/Time],"&gt;="&amp;(SETUP!$B$5),tblPCSInput[Call Date/Time],"&lt;"&amp;(SETUP!$B$5+1),tblPCSInput[Call Direction],"I",tblPCSInput[Agent ID],$A223,tblPCSInput[Valid Q1],"&gt;3"))</f>
        <v/>
      </c>
      <c r="L223" s="13">
        <f>IFERROR(G223/F223,"")</f>
        <v/>
      </c>
      <c r="M223" s="13">
        <f>IFERROR(H223/F223,"")</f>
        <v/>
      </c>
      <c r="N223" s="11">
        <f>IF($A223="","",MAX(0,G223-H223))</f>
        <v/>
      </c>
      <c r="O223" s="4">
        <f>IF($A223="","",IF(H223=0,"NO VALID SURVEY",IF(H223&lt;5,"LOW SAMPLE","OK")))</f>
        <v/>
      </c>
      <c r="P223" s="11">
        <f>IF($A223="","",COUNTIFS(tblPCSInput[Call Date/Time],"&gt;="&amp;(SETUP!$B$6),tblPCSInput[Call Date/Time],"&lt;"&amp;(SETUP!$B$7),tblPCSInput[Call Direction],"I",tblPCSInput[Agent ID],$A223,tblPCSInput[PCSStatus],1))</f>
        <v/>
      </c>
      <c r="Q223" s="11">
        <f>IF($A223="","",COUNTIFS(tblPCSInput[Call Date/Time],"&gt;="&amp;(SETUP!$B$6),tblPCSInput[Call Date/Time],"&lt;"&amp;(SETUP!$B$7),tblPCSInput[Call Direction],"I",tblPCSInput[Agent ID],$A223,tblPCSInput[Question 1],"&lt;&gt;"))</f>
        <v/>
      </c>
      <c r="R223" s="11">
        <f>IF($A223="","",COUNTIFS(tblPCSInput[Call Date/Time],"&gt;="&amp;(SETUP!$B$6),tblPCSInput[Call Date/Time],"&lt;"&amp;(SETUP!$B$7),tblPCSInput[Call Direction],"I",tblPCSInput[Agent ID],$A223,tblPCSInput[Valid Q1],"&gt;=1"))</f>
        <v/>
      </c>
      <c r="S223" s="12">
        <f>IFERROR(SUMIFS(tblPCSInput[Valid Q1],tblPCSInput[Call Date/Time],"&gt;="&amp;SETUP!$B$6,tblPCSInput[Call Date/Time],"&lt;"&amp;SETUP!$B$7,tblPCSInput[Call Direction],"I",tblPCSInput[Agent ID],$A223)/COUNTIFS(tblPCSInput[Call Date/Time],"&gt;="&amp;(SETUP!$B$6),tblPCSInput[Call Date/Time],"&lt;"&amp;(SETUP!$B$7),tblPCSInput[Call Direction],"I",tblPCSInput[Agent ID],$A223,tblPCSInput[Valid Q1],"&gt;=1"),"")</f>
        <v/>
      </c>
      <c r="T223" s="11">
        <f>IF(S223="","",COUNTIFS(tblPCSInput[Call Date/Time],"&gt;="&amp;(SETUP!$B$6),tblPCSInput[Call Date/Time],"&lt;"&amp;(SETUP!$B$7),tblPCSInput[Call Direction],"I",tblPCSInput[Agent ID],$A223,tblPCSInput[Valid Q1],"&lt;=3",tblPCSInput[Valid Q1],"&gt;=1"))</f>
        <v/>
      </c>
      <c r="U223" s="11">
        <f>IF(S223="","",COUNTIFS(tblPCSInput[Call Date/Time],"&gt;="&amp;(SETUP!$B$6),tblPCSInput[Call Date/Time],"&lt;"&amp;(SETUP!$B$7),tblPCSInput[Call Direction],"I",tblPCSInput[Agent ID],$A223,tblPCSInput[Valid Q1],"&gt;3"))</f>
        <v/>
      </c>
      <c r="V223" s="13">
        <f>IFERROR(Q223/P223,"")</f>
        <v/>
      </c>
      <c r="W223" s="13">
        <f>IFERROR(R223/P223,"")</f>
        <v/>
      </c>
    </row>
    <row r="224" spans="1:23">
      <c r="A224" s="4">
        <f>IF(ROSTER!A224="","",ROSTER!A224)</f>
        <v/>
      </c>
      <c r="B224" s="4">
        <f>IF($A224="","",ROSTER!C224)</f>
        <v/>
      </c>
      <c r="C224" s="4">
        <f>IF($A224="","",ROSTER!D224)</f>
        <v/>
      </c>
      <c r="D224" s="4">
        <f>IF($A224="","",ROSTER!E224)</f>
        <v/>
      </c>
      <c r="E224" s="4">
        <f>IF($A224="","",ROSTER!F224)</f>
        <v/>
      </c>
      <c r="F224" s="11">
        <f>IF($A224="","",COUNTIFS(tblPCSInput[Call Date/Time],"&gt;="&amp;(SETUP!$B$5),tblPCSInput[Call Date/Time],"&lt;"&amp;(SETUP!$B$5+1),tblPCSInput[Call Direction],"I",tblPCSInput[Agent ID],$A224,tblPCSInput[PCSStatus],1))</f>
        <v/>
      </c>
      <c r="G224" s="11">
        <f>IF($A224="","",COUNTIFS(tblPCSInput[Call Date/Time],"&gt;="&amp;(SETUP!$B$5),tblPCSInput[Call Date/Time],"&lt;"&amp;(SETUP!$B$5+1),tblPCSInput[Call Direction],"I",tblPCSInput[Agent ID],$A224,tblPCSInput[Question 1],"&lt;&gt;"))</f>
        <v/>
      </c>
      <c r="H224" s="11">
        <f>IF($A224="","",COUNTIFS(tblPCSInput[Call Date/Time],"&gt;="&amp;(SETUP!$B$5),tblPCSInput[Call Date/Time],"&lt;"&amp;(SETUP!$B$5+1),tblPCSInput[Call Direction],"I",tblPCSInput[Agent ID],$A224,tblPCSInput[Valid Q1],"&gt;=1"))</f>
        <v/>
      </c>
      <c r="I224" s="12">
        <f>IFERROR(SUMIFS(tblPCSInput[Valid Q1],tblPCSInput[Call Date/Time],"&gt;="&amp;SETUP!$B$5,tblPCSInput[Call Date/Time],"&lt;"&amp;SETUP!$B$5+1,tblPCSInput[Call Direction],"I",tblPCSInput[Agent ID],$A224)/COUNTIFS(tblPCSInput[Call Date/Time],"&gt;="&amp;(SETUP!$B$5),tblPCSInput[Call Date/Time],"&lt;"&amp;(SETUP!$B$5+1),tblPCSInput[Call Direction],"I",tblPCSInput[Agent ID],$A224,tblPCSInput[Valid Q1],"&gt;=1"),"")</f>
        <v/>
      </c>
      <c r="J224" s="11">
        <f>IF(I224="","",COUNTIFS(tblPCSInput[Call Date/Time],"&gt;="&amp;(SETUP!$B$5),tblPCSInput[Call Date/Time],"&lt;"&amp;(SETUP!$B$5+1),tblPCSInput[Call Direction],"I",tblPCSInput[Agent ID],$A224,tblPCSInput[Valid Q1],"&lt;=3",tblPCSInput[Valid Q1],"&gt;=1"))</f>
        <v/>
      </c>
      <c r="K224" s="11">
        <f>IF(I224="","",COUNTIFS(tblPCSInput[Call Date/Time],"&gt;="&amp;(SETUP!$B$5),tblPCSInput[Call Date/Time],"&lt;"&amp;(SETUP!$B$5+1),tblPCSInput[Call Direction],"I",tblPCSInput[Agent ID],$A224,tblPCSInput[Valid Q1],"&gt;3"))</f>
        <v/>
      </c>
      <c r="L224" s="13">
        <f>IFERROR(G224/F224,"")</f>
        <v/>
      </c>
      <c r="M224" s="13">
        <f>IFERROR(H224/F224,"")</f>
        <v/>
      </c>
      <c r="N224" s="11">
        <f>IF($A224="","",MAX(0,G224-H224))</f>
        <v/>
      </c>
      <c r="O224" s="4">
        <f>IF($A224="","",IF(H224=0,"NO VALID SURVEY",IF(H224&lt;5,"LOW SAMPLE","OK")))</f>
        <v/>
      </c>
      <c r="P224" s="11">
        <f>IF($A224="","",COUNTIFS(tblPCSInput[Call Date/Time],"&gt;="&amp;(SETUP!$B$6),tblPCSInput[Call Date/Time],"&lt;"&amp;(SETUP!$B$7),tblPCSInput[Call Direction],"I",tblPCSInput[Agent ID],$A224,tblPCSInput[PCSStatus],1))</f>
        <v/>
      </c>
      <c r="Q224" s="11">
        <f>IF($A224="","",COUNTIFS(tblPCSInput[Call Date/Time],"&gt;="&amp;(SETUP!$B$6),tblPCSInput[Call Date/Time],"&lt;"&amp;(SETUP!$B$7),tblPCSInput[Call Direction],"I",tblPCSInput[Agent ID],$A224,tblPCSInput[Question 1],"&lt;&gt;"))</f>
        <v/>
      </c>
      <c r="R224" s="11">
        <f>IF($A224="","",COUNTIFS(tblPCSInput[Call Date/Time],"&gt;="&amp;(SETUP!$B$6),tblPCSInput[Call Date/Time],"&lt;"&amp;(SETUP!$B$7),tblPCSInput[Call Direction],"I",tblPCSInput[Agent ID],$A224,tblPCSInput[Valid Q1],"&gt;=1"))</f>
        <v/>
      </c>
      <c r="S224" s="12">
        <f>IFERROR(SUMIFS(tblPCSInput[Valid Q1],tblPCSInput[Call Date/Time],"&gt;="&amp;SETUP!$B$6,tblPCSInput[Call Date/Time],"&lt;"&amp;SETUP!$B$7,tblPCSInput[Call Direction],"I",tblPCSInput[Agent ID],$A224)/COUNTIFS(tblPCSInput[Call Date/Time],"&gt;="&amp;(SETUP!$B$6),tblPCSInput[Call Date/Time],"&lt;"&amp;(SETUP!$B$7),tblPCSInput[Call Direction],"I",tblPCSInput[Agent ID],$A224,tblPCSInput[Valid Q1],"&gt;=1"),"")</f>
        <v/>
      </c>
      <c r="T224" s="11">
        <f>IF(S224="","",COUNTIFS(tblPCSInput[Call Date/Time],"&gt;="&amp;(SETUP!$B$6),tblPCSInput[Call Date/Time],"&lt;"&amp;(SETUP!$B$7),tblPCSInput[Call Direction],"I",tblPCSInput[Agent ID],$A224,tblPCSInput[Valid Q1],"&lt;=3",tblPCSInput[Valid Q1],"&gt;=1"))</f>
        <v/>
      </c>
      <c r="U224" s="11">
        <f>IF(S224="","",COUNTIFS(tblPCSInput[Call Date/Time],"&gt;="&amp;(SETUP!$B$6),tblPCSInput[Call Date/Time],"&lt;"&amp;(SETUP!$B$7),tblPCSInput[Call Direction],"I",tblPCSInput[Agent ID],$A224,tblPCSInput[Valid Q1],"&gt;3"))</f>
        <v/>
      </c>
      <c r="V224" s="13">
        <f>IFERROR(Q224/P224,"")</f>
        <v/>
      </c>
      <c r="W224" s="13">
        <f>IFERROR(R224/P224,"")</f>
        <v/>
      </c>
    </row>
    <row r="225" spans="1:23">
      <c r="A225" s="4">
        <f>IF(ROSTER!A225="","",ROSTER!A225)</f>
        <v/>
      </c>
      <c r="B225" s="4">
        <f>IF($A225="","",ROSTER!C225)</f>
        <v/>
      </c>
      <c r="C225" s="4">
        <f>IF($A225="","",ROSTER!D225)</f>
        <v/>
      </c>
      <c r="D225" s="4">
        <f>IF($A225="","",ROSTER!E225)</f>
        <v/>
      </c>
      <c r="E225" s="4">
        <f>IF($A225="","",ROSTER!F225)</f>
        <v/>
      </c>
      <c r="F225" s="11">
        <f>IF($A225="","",COUNTIFS(tblPCSInput[Call Date/Time],"&gt;="&amp;(SETUP!$B$5),tblPCSInput[Call Date/Time],"&lt;"&amp;(SETUP!$B$5+1),tblPCSInput[Call Direction],"I",tblPCSInput[Agent ID],$A225,tblPCSInput[PCSStatus],1))</f>
        <v/>
      </c>
      <c r="G225" s="11">
        <f>IF($A225="","",COUNTIFS(tblPCSInput[Call Date/Time],"&gt;="&amp;(SETUP!$B$5),tblPCSInput[Call Date/Time],"&lt;"&amp;(SETUP!$B$5+1),tblPCSInput[Call Direction],"I",tblPCSInput[Agent ID],$A225,tblPCSInput[Question 1],"&lt;&gt;"))</f>
        <v/>
      </c>
      <c r="H225" s="11">
        <f>IF($A225="","",COUNTIFS(tblPCSInput[Call Date/Time],"&gt;="&amp;(SETUP!$B$5),tblPCSInput[Call Date/Time],"&lt;"&amp;(SETUP!$B$5+1),tblPCSInput[Call Direction],"I",tblPCSInput[Agent ID],$A225,tblPCSInput[Valid Q1],"&gt;=1"))</f>
        <v/>
      </c>
      <c r="I225" s="12">
        <f>IFERROR(SUMIFS(tblPCSInput[Valid Q1],tblPCSInput[Call Date/Time],"&gt;="&amp;SETUP!$B$5,tblPCSInput[Call Date/Time],"&lt;"&amp;SETUP!$B$5+1,tblPCSInput[Call Direction],"I",tblPCSInput[Agent ID],$A225)/COUNTIFS(tblPCSInput[Call Date/Time],"&gt;="&amp;(SETUP!$B$5),tblPCSInput[Call Date/Time],"&lt;"&amp;(SETUP!$B$5+1),tblPCSInput[Call Direction],"I",tblPCSInput[Agent ID],$A225,tblPCSInput[Valid Q1],"&gt;=1"),"")</f>
        <v/>
      </c>
      <c r="J225" s="11">
        <f>IF(I225="","",COUNTIFS(tblPCSInput[Call Date/Time],"&gt;="&amp;(SETUP!$B$5),tblPCSInput[Call Date/Time],"&lt;"&amp;(SETUP!$B$5+1),tblPCSInput[Call Direction],"I",tblPCSInput[Agent ID],$A225,tblPCSInput[Valid Q1],"&lt;=3",tblPCSInput[Valid Q1],"&gt;=1"))</f>
        <v/>
      </c>
      <c r="K225" s="11">
        <f>IF(I225="","",COUNTIFS(tblPCSInput[Call Date/Time],"&gt;="&amp;(SETUP!$B$5),tblPCSInput[Call Date/Time],"&lt;"&amp;(SETUP!$B$5+1),tblPCSInput[Call Direction],"I",tblPCSInput[Agent ID],$A225,tblPCSInput[Valid Q1],"&gt;3"))</f>
        <v/>
      </c>
      <c r="L225" s="13">
        <f>IFERROR(G225/F225,"")</f>
        <v/>
      </c>
      <c r="M225" s="13">
        <f>IFERROR(H225/F225,"")</f>
        <v/>
      </c>
      <c r="N225" s="11">
        <f>IF($A225="","",MAX(0,G225-H225))</f>
        <v/>
      </c>
      <c r="O225" s="4">
        <f>IF($A225="","",IF(H225=0,"NO VALID SURVEY",IF(H225&lt;5,"LOW SAMPLE","OK")))</f>
        <v/>
      </c>
      <c r="P225" s="11">
        <f>IF($A225="","",COUNTIFS(tblPCSInput[Call Date/Time],"&gt;="&amp;(SETUP!$B$6),tblPCSInput[Call Date/Time],"&lt;"&amp;(SETUP!$B$7),tblPCSInput[Call Direction],"I",tblPCSInput[Agent ID],$A225,tblPCSInput[PCSStatus],1))</f>
        <v/>
      </c>
      <c r="Q225" s="11">
        <f>IF($A225="","",COUNTIFS(tblPCSInput[Call Date/Time],"&gt;="&amp;(SETUP!$B$6),tblPCSInput[Call Date/Time],"&lt;"&amp;(SETUP!$B$7),tblPCSInput[Call Direction],"I",tblPCSInput[Agent ID],$A225,tblPCSInput[Question 1],"&lt;&gt;"))</f>
        <v/>
      </c>
      <c r="R225" s="11">
        <f>IF($A225="","",COUNTIFS(tblPCSInput[Call Date/Time],"&gt;="&amp;(SETUP!$B$6),tblPCSInput[Call Date/Time],"&lt;"&amp;(SETUP!$B$7),tblPCSInput[Call Direction],"I",tblPCSInput[Agent ID],$A225,tblPCSInput[Valid Q1],"&gt;=1"))</f>
        <v/>
      </c>
      <c r="S225" s="12">
        <f>IFERROR(SUMIFS(tblPCSInput[Valid Q1],tblPCSInput[Call Date/Time],"&gt;="&amp;SETUP!$B$6,tblPCSInput[Call Date/Time],"&lt;"&amp;SETUP!$B$7,tblPCSInput[Call Direction],"I",tblPCSInput[Agent ID],$A225)/COUNTIFS(tblPCSInput[Call Date/Time],"&gt;="&amp;(SETUP!$B$6),tblPCSInput[Call Date/Time],"&lt;"&amp;(SETUP!$B$7),tblPCSInput[Call Direction],"I",tblPCSInput[Agent ID],$A225,tblPCSInput[Valid Q1],"&gt;=1"),"")</f>
        <v/>
      </c>
      <c r="T225" s="11">
        <f>IF(S225="","",COUNTIFS(tblPCSInput[Call Date/Time],"&gt;="&amp;(SETUP!$B$6),tblPCSInput[Call Date/Time],"&lt;"&amp;(SETUP!$B$7),tblPCSInput[Call Direction],"I",tblPCSInput[Agent ID],$A225,tblPCSInput[Valid Q1],"&lt;=3",tblPCSInput[Valid Q1],"&gt;=1"))</f>
        <v/>
      </c>
      <c r="U225" s="11">
        <f>IF(S225="","",COUNTIFS(tblPCSInput[Call Date/Time],"&gt;="&amp;(SETUP!$B$6),tblPCSInput[Call Date/Time],"&lt;"&amp;(SETUP!$B$7),tblPCSInput[Call Direction],"I",tblPCSInput[Agent ID],$A225,tblPCSInput[Valid Q1],"&gt;3"))</f>
        <v/>
      </c>
      <c r="V225" s="13">
        <f>IFERROR(Q225/P225,"")</f>
        <v/>
      </c>
      <c r="W225" s="13">
        <f>IFERROR(R225/P225,"")</f>
        <v/>
      </c>
    </row>
    <row r="226" spans="1:23">
      <c r="A226" s="4">
        <f>IF(ROSTER!A226="","",ROSTER!A226)</f>
        <v/>
      </c>
      <c r="B226" s="4">
        <f>IF($A226="","",ROSTER!C226)</f>
        <v/>
      </c>
      <c r="C226" s="4">
        <f>IF($A226="","",ROSTER!D226)</f>
        <v/>
      </c>
      <c r="D226" s="4">
        <f>IF($A226="","",ROSTER!E226)</f>
        <v/>
      </c>
      <c r="E226" s="4">
        <f>IF($A226="","",ROSTER!F226)</f>
        <v/>
      </c>
      <c r="F226" s="11">
        <f>IF($A226="","",COUNTIFS(tblPCSInput[Call Date/Time],"&gt;="&amp;(SETUP!$B$5),tblPCSInput[Call Date/Time],"&lt;"&amp;(SETUP!$B$5+1),tblPCSInput[Call Direction],"I",tblPCSInput[Agent ID],$A226,tblPCSInput[PCSStatus],1))</f>
        <v/>
      </c>
      <c r="G226" s="11">
        <f>IF($A226="","",COUNTIFS(tblPCSInput[Call Date/Time],"&gt;="&amp;(SETUP!$B$5),tblPCSInput[Call Date/Time],"&lt;"&amp;(SETUP!$B$5+1),tblPCSInput[Call Direction],"I",tblPCSInput[Agent ID],$A226,tblPCSInput[Question 1],"&lt;&gt;"))</f>
        <v/>
      </c>
      <c r="H226" s="11">
        <f>IF($A226="","",COUNTIFS(tblPCSInput[Call Date/Time],"&gt;="&amp;(SETUP!$B$5),tblPCSInput[Call Date/Time],"&lt;"&amp;(SETUP!$B$5+1),tblPCSInput[Call Direction],"I",tblPCSInput[Agent ID],$A226,tblPCSInput[Valid Q1],"&gt;=1"))</f>
        <v/>
      </c>
      <c r="I226" s="12">
        <f>IFERROR(SUMIFS(tblPCSInput[Valid Q1],tblPCSInput[Call Date/Time],"&gt;="&amp;SETUP!$B$5,tblPCSInput[Call Date/Time],"&lt;"&amp;SETUP!$B$5+1,tblPCSInput[Call Direction],"I",tblPCSInput[Agent ID],$A226)/COUNTIFS(tblPCSInput[Call Date/Time],"&gt;="&amp;(SETUP!$B$5),tblPCSInput[Call Date/Time],"&lt;"&amp;(SETUP!$B$5+1),tblPCSInput[Call Direction],"I",tblPCSInput[Agent ID],$A226,tblPCSInput[Valid Q1],"&gt;=1"),"")</f>
        <v/>
      </c>
      <c r="J226" s="11">
        <f>IF(I226="","",COUNTIFS(tblPCSInput[Call Date/Time],"&gt;="&amp;(SETUP!$B$5),tblPCSInput[Call Date/Time],"&lt;"&amp;(SETUP!$B$5+1),tblPCSInput[Call Direction],"I",tblPCSInput[Agent ID],$A226,tblPCSInput[Valid Q1],"&lt;=3",tblPCSInput[Valid Q1],"&gt;=1"))</f>
        <v/>
      </c>
      <c r="K226" s="11">
        <f>IF(I226="","",COUNTIFS(tblPCSInput[Call Date/Time],"&gt;="&amp;(SETUP!$B$5),tblPCSInput[Call Date/Time],"&lt;"&amp;(SETUP!$B$5+1),tblPCSInput[Call Direction],"I",tblPCSInput[Agent ID],$A226,tblPCSInput[Valid Q1],"&gt;3"))</f>
        <v/>
      </c>
      <c r="L226" s="13">
        <f>IFERROR(G226/F226,"")</f>
        <v/>
      </c>
      <c r="M226" s="13">
        <f>IFERROR(H226/F226,"")</f>
        <v/>
      </c>
      <c r="N226" s="11">
        <f>IF($A226="","",MAX(0,G226-H226))</f>
        <v/>
      </c>
      <c r="O226" s="4">
        <f>IF($A226="","",IF(H226=0,"NO VALID SURVEY",IF(H226&lt;5,"LOW SAMPLE","OK")))</f>
        <v/>
      </c>
      <c r="P226" s="11">
        <f>IF($A226="","",COUNTIFS(tblPCSInput[Call Date/Time],"&gt;="&amp;(SETUP!$B$6),tblPCSInput[Call Date/Time],"&lt;"&amp;(SETUP!$B$7),tblPCSInput[Call Direction],"I",tblPCSInput[Agent ID],$A226,tblPCSInput[PCSStatus],1))</f>
        <v/>
      </c>
      <c r="Q226" s="11">
        <f>IF($A226="","",COUNTIFS(tblPCSInput[Call Date/Time],"&gt;="&amp;(SETUP!$B$6),tblPCSInput[Call Date/Time],"&lt;"&amp;(SETUP!$B$7),tblPCSInput[Call Direction],"I",tblPCSInput[Agent ID],$A226,tblPCSInput[Question 1],"&lt;&gt;"))</f>
        <v/>
      </c>
      <c r="R226" s="11">
        <f>IF($A226="","",COUNTIFS(tblPCSInput[Call Date/Time],"&gt;="&amp;(SETUP!$B$6),tblPCSInput[Call Date/Time],"&lt;"&amp;(SETUP!$B$7),tblPCSInput[Call Direction],"I",tblPCSInput[Agent ID],$A226,tblPCSInput[Valid Q1],"&gt;=1"))</f>
        <v/>
      </c>
      <c r="S226" s="12">
        <f>IFERROR(SUMIFS(tblPCSInput[Valid Q1],tblPCSInput[Call Date/Time],"&gt;="&amp;SETUP!$B$6,tblPCSInput[Call Date/Time],"&lt;"&amp;SETUP!$B$7,tblPCSInput[Call Direction],"I",tblPCSInput[Agent ID],$A226)/COUNTIFS(tblPCSInput[Call Date/Time],"&gt;="&amp;(SETUP!$B$6),tblPCSInput[Call Date/Time],"&lt;"&amp;(SETUP!$B$7),tblPCSInput[Call Direction],"I",tblPCSInput[Agent ID],$A226,tblPCSInput[Valid Q1],"&gt;=1"),"")</f>
        <v/>
      </c>
      <c r="T226" s="11">
        <f>IF(S226="","",COUNTIFS(tblPCSInput[Call Date/Time],"&gt;="&amp;(SETUP!$B$6),tblPCSInput[Call Date/Time],"&lt;"&amp;(SETUP!$B$7),tblPCSInput[Call Direction],"I",tblPCSInput[Agent ID],$A226,tblPCSInput[Valid Q1],"&lt;=3",tblPCSInput[Valid Q1],"&gt;=1"))</f>
        <v/>
      </c>
      <c r="U226" s="11">
        <f>IF(S226="","",COUNTIFS(tblPCSInput[Call Date/Time],"&gt;="&amp;(SETUP!$B$6),tblPCSInput[Call Date/Time],"&lt;"&amp;(SETUP!$B$7),tblPCSInput[Call Direction],"I",tblPCSInput[Agent ID],$A226,tblPCSInput[Valid Q1],"&gt;3"))</f>
        <v/>
      </c>
      <c r="V226" s="13">
        <f>IFERROR(Q226/P226,"")</f>
        <v/>
      </c>
      <c r="W226" s="13">
        <f>IFERROR(R226/P226,"")</f>
        <v/>
      </c>
    </row>
    <row r="227" spans="1:23">
      <c r="A227" s="4">
        <f>IF(ROSTER!A227="","",ROSTER!A227)</f>
        <v/>
      </c>
      <c r="B227" s="4">
        <f>IF($A227="","",ROSTER!C227)</f>
        <v/>
      </c>
      <c r="C227" s="4">
        <f>IF($A227="","",ROSTER!D227)</f>
        <v/>
      </c>
      <c r="D227" s="4">
        <f>IF($A227="","",ROSTER!E227)</f>
        <v/>
      </c>
      <c r="E227" s="4">
        <f>IF($A227="","",ROSTER!F227)</f>
        <v/>
      </c>
      <c r="F227" s="11">
        <f>IF($A227="","",COUNTIFS(tblPCSInput[Call Date/Time],"&gt;="&amp;(SETUP!$B$5),tblPCSInput[Call Date/Time],"&lt;"&amp;(SETUP!$B$5+1),tblPCSInput[Call Direction],"I",tblPCSInput[Agent ID],$A227,tblPCSInput[PCSStatus],1))</f>
        <v/>
      </c>
      <c r="G227" s="11">
        <f>IF($A227="","",COUNTIFS(tblPCSInput[Call Date/Time],"&gt;="&amp;(SETUP!$B$5),tblPCSInput[Call Date/Time],"&lt;"&amp;(SETUP!$B$5+1),tblPCSInput[Call Direction],"I",tblPCSInput[Agent ID],$A227,tblPCSInput[Question 1],"&lt;&gt;"))</f>
        <v/>
      </c>
      <c r="H227" s="11">
        <f>IF($A227="","",COUNTIFS(tblPCSInput[Call Date/Time],"&gt;="&amp;(SETUP!$B$5),tblPCSInput[Call Date/Time],"&lt;"&amp;(SETUP!$B$5+1),tblPCSInput[Call Direction],"I",tblPCSInput[Agent ID],$A227,tblPCSInput[Valid Q1],"&gt;=1"))</f>
        <v/>
      </c>
      <c r="I227" s="12">
        <f>IFERROR(SUMIFS(tblPCSInput[Valid Q1],tblPCSInput[Call Date/Time],"&gt;="&amp;SETUP!$B$5,tblPCSInput[Call Date/Time],"&lt;"&amp;SETUP!$B$5+1,tblPCSInput[Call Direction],"I",tblPCSInput[Agent ID],$A227)/COUNTIFS(tblPCSInput[Call Date/Time],"&gt;="&amp;(SETUP!$B$5),tblPCSInput[Call Date/Time],"&lt;"&amp;(SETUP!$B$5+1),tblPCSInput[Call Direction],"I",tblPCSInput[Agent ID],$A227,tblPCSInput[Valid Q1],"&gt;=1"),"")</f>
        <v/>
      </c>
      <c r="J227" s="11">
        <f>IF(I227="","",COUNTIFS(tblPCSInput[Call Date/Time],"&gt;="&amp;(SETUP!$B$5),tblPCSInput[Call Date/Time],"&lt;"&amp;(SETUP!$B$5+1),tblPCSInput[Call Direction],"I",tblPCSInput[Agent ID],$A227,tblPCSInput[Valid Q1],"&lt;=3",tblPCSInput[Valid Q1],"&gt;=1"))</f>
        <v/>
      </c>
      <c r="K227" s="11">
        <f>IF(I227="","",COUNTIFS(tblPCSInput[Call Date/Time],"&gt;="&amp;(SETUP!$B$5),tblPCSInput[Call Date/Time],"&lt;"&amp;(SETUP!$B$5+1),tblPCSInput[Call Direction],"I",tblPCSInput[Agent ID],$A227,tblPCSInput[Valid Q1],"&gt;3"))</f>
        <v/>
      </c>
      <c r="L227" s="13">
        <f>IFERROR(G227/F227,"")</f>
        <v/>
      </c>
      <c r="M227" s="13">
        <f>IFERROR(H227/F227,"")</f>
        <v/>
      </c>
      <c r="N227" s="11">
        <f>IF($A227="","",MAX(0,G227-H227))</f>
        <v/>
      </c>
      <c r="O227" s="4">
        <f>IF($A227="","",IF(H227=0,"NO VALID SURVEY",IF(H227&lt;5,"LOW SAMPLE","OK")))</f>
        <v/>
      </c>
      <c r="P227" s="11">
        <f>IF($A227="","",COUNTIFS(tblPCSInput[Call Date/Time],"&gt;="&amp;(SETUP!$B$6),tblPCSInput[Call Date/Time],"&lt;"&amp;(SETUP!$B$7),tblPCSInput[Call Direction],"I",tblPCSInput[Agent ID],$A227,tblPCSInput[PCSStatus],1))</f>
        <v/>
      </c>
      <c r="Q227" s="11">
        <f>IF($A227="","",COUNTIFS(tblPCSInput[Call Date/Time],"&gt;="&amp;(SETUP!$B$6),tblPCSInput[Call Date/Time],"&lt;"&amp;(SETUP!$B$7),tblPCSInput[Call Direction],"I",tblPCSInput[Agent ID],$A227,tblPCSInput[Question 1],"&lt;&gt;"))</f>
        <v/>
      </c>
      <c r="R227" s="11">
        <f>IF($A227="","",COUNTIFS(tblPCSInput[Call Date/Time],"&gt;="&amp;(SETUP!$B$6),tblPCSInput[Call Date/Time],"&lt;"&amp;(SETUP!$B$7),tblPCSInput[Call Direction],"I",tblPCSInput[Agent ID],$A227,tblPCSInput[Valid Q1],"&gt;=1"))</f>
        <v/>
      </c>
      <c r="S227" s="12">
        <f>IFERROR(SUMIFS(tblPCSInput[Valid Q1],tblPCSInput[Call Date/Time],"&gt;="&amp;SETUP!$B$6,tblPCSInput[Call Date/Time],"&lt;"&amp;SETUP!$B$7,tblPCSInput[Call Direction],"I",tblPCSInput[Agent ID],$A227)/COUNTIFS(tblPCSInput[Call Date/Time],"&gt;="&amp;(SETUP!$B$6),tblPCSInput[Call Date/Time],"&lt;"&amp;(SETUP!$B$7),tblPCSInput[Call Direction],"I",tblPCSInput[Agent ID],$A227,tblPCSInput[Valid Q1],"&gt;=1"),"")</f>
        <v/>
      </c>
      <c r="T227" s="11">
        <f>IF(S227="","",COUNTIFS(tblPCSInput[Call Date/Time],"&gt;="&amp;(SETUP!$B$6),tblPCSInput[Call Date/Time],"&lt;"&amp;(SETUP!$B$7),tblPCSInput[Call Direction],"I",tblPCSInput[Agent ID],$A227,tblPCSInput[Valid Q1],"&lt;=3",tblPCSInput[Valid Q1],"&gt;=1"))</f>
        <v/>
      </c>
      <c r="U227" s="11">
        <f>IF(S227="","",COUNTIFS(tblPCSInput[Call Date/Time],"&gt;="&amp;(SETUP!$B$6),tblPCSInput[Call Date/Time],"&lt;"&amp;(SETUP!$B$7),tblPCSInput[Call Direction],"I",tblPCSInput[Agent ID],$A227,tblPCSInput[Valid Q1],"&gt;3"))</f>
        <v/>
      </c>
      <c r="V227" s="13">
        <f>IFERROR(Q227/P227,"")</f>
        <v/>
      </c>
      <c r="W227" s="13">
        <f>IFERROR(R227/P227,"")</f>
        <v/>
      </c>
    </row>
    <row r="228" spans="1:23">
      <c r="A228" s="4">
        <f>IF(ROSTER!A228="","",ROSTER!A228)</f>
        <v/>
      </c>
      <c r="B228" s="4">
        <f>IF($A228="","",ROSTER!C228)</f>
        <v/>
      </c>
      <c r="C228" s="4">
        <f>IF($A228="","",ROSTER!D228)</f>
        <v/>
      </c>
      <c r="D228" s="4">
        <f>IF($A228="","",ROSTER!E228)</f>
        <v/>
      </c>
      <c r="E228" s="4">
        <f>IF($A228="","",ROSTER!F228)</f>
        <v/>
      </c>
      <c r="F228" s="11">
        <f>IF($A228="","",COUNTIFS(tblPCSInput[Call Date/Time],"&gt;="&amp;(SETUP!$B$5),tblPCSInput[Call Date/Time],"&lt;"&amp;(SETUP!$B$5+1),tblPCSInput[Call Direction],"I",tblPCSInput[Agent ID],$A228,tblPCSInput[PCSStatus],1))</f>
        <v/>
      </c>
      <c r="G228" s="11">
        <f>IF($A228="","",COUNTIFS(tblPCSInput[Call Date/Time],"&gt;="&amp;(SETUP!$B$5),tblPCSInput[Call Date/Time],"&lt;"&amp;(SETUP!$B$5+1),tblPCSInput[Call Direction],"I",tblPCSInput[Agent ID],$A228,tblPCSInput[Question 1],"&lt;&gt;"))</f>
        <v/>
      </c>
      <c r="H228" s="11">
        <f>IF($A228="","",COUNTIFS(tblPCSInput[Call Date/Time],"&gt;="&amp;(SETUP!$B$5),tblPCSInput[Call Date/Time],"&lt;"&amp;(SETUP!$B$5+1),tblPCSInput[Call Direction],"I",tblPCSInput[Agent ID],$A228,tblPCSInput[Valid Q1],"&gt;=1"))</f>
        <v/>
      </c>
      <c r="I228" s="12">
        <f>IFERROR(SUMIFS(tblPCSInput[Valid Q1],tblPCSInput[Call Date/Time],"&gt;="&amp;SETUP!$B$5,tblPCSInput[Call Date/Time],"&lt;"&amp;SETUP!$B$5+1,tblPCSInput[Call Direction],"I",tblPCSInput[Agent ID],$A228)/COUNTIFS(tblPCSInput[Call Date/Time],"&gt;="&amp;(SETUP!$B$5),tblPCSInput[Call Date/Time],"&lt;"&amp;(SETUP!$B$5+1),tblPCSInput[Call Direction],"I",tblPCSInput[Agent ID],$A228,tblPCSInput[Valid Q1],"&gt;=1"),"")</f>
        <v/>
      </c>
      <c r="J228" s="11">
        <f>IF(I228="","",COUNTIFS(tblPCSInput[Call Date/Time],"&gt;="&amp;(SETUP!$B$5),tblPCSInput[Call Date/Time],"&lt;"&amp;(SETUP!$B$5+1),tblPCSInput[Call Direction],"I",tblPCSInput[Agent ID],$A228,tblPCSInput[Valid Q1],"&lt;=3",tblPCSInput[Valid Q1],"&gt;=1"))</f>
        <v/>
      </c>
      <c r="K228" s="11">
        <f>IF(I228="","",COUNTIFS(tblPCSInput[Call Date/Time],"&gt;="&amp;(SETUP!$B$5),tblPCSInput[Call Date/Time],"&lt;"&amp;(SETUP!$B$5+1),tblPCSInput[Call Direction],"I",tblPCSInput[Agent ID],$A228,tblPCSInput[Valid Q1],"&gt;3"))</f>
        <v/>
      </c>
      <c r="L228" s="13">
        <f>IFERROR(G228/F228,"")</f>
        <v/>
      </c>
      <c r="M228" s="13">
        <f>IFERROR(H228/F228,"")</f>
        <v/>
      </c>
      <c r="N228" s="11">
        <f>IF($A228="","",MAX(0,G228-H228))</f>
        <v/>
      </c>
      <c r="O228" s="4">
        <f>IF($A228="","",IF(H228=0,"NO VALID SURVEY",IF(H228&lt;5,"LOW SAMPLE","OK")))</f>
        <v/>
      </c>
      <c r="P228" s="11">
        <f>IF($A228="","",COUNTIFS(tblPCSInput[Call Date/Time],"&gt;="&amp;(SETUP!$B$6),tblPCSInput[Call Date/Time],"&lt;"&amp;(SETUP!$B$7),tblPCSInput[Call Direction],"I",tblPCSInput[Agent ID],$A228,tblPCSInput[PCSStatus],1))</f>
        <v/>
      </c>
      <c r="Q228" s="11">
        <f>IF($A228="","",COUNTIFS(tblPCSInput[Call Date/Time],"&gt;="&amp;(SETUP!$B$6),tblPCSInput[Call Date/Time],"&lt;"&amp;(SETUP!$B$7),tblPCSInput[Call Direction],"I",tblPCSInput[Agent ID],$A228,tblPCSInput[Question 1],"&lt;&gt;"))</f>
        <v/>
      </c>
      <c r="R228" s="11">
        <f>IF($A228="","",COUNTIFS(tblPCSInput[Call Date/Time],"&gt;="&amp;(SETUP!$B$6),tblPCSInput[Call Date/Time],"&lt;"&amp;(SETUP!$B$7),tblPCSInput[Call Direction],"I",tblPCSInput[Agent ID],$A228,tblPCSInput[Valid Q1],"&gt;=1"))</f>
        <v/>
      </c>
      <c r="S228" s="12">
        <f>IFERROR(SUMIFS(tblPCSInput[Valid Q1],tblPCSInput[Call Date/Time],"&gt;="&amp;SETUP!$B$6,tblPCSInput[Call Date/Time],"&lt;"&amp;SETUP!$B$7,tblPCSInput[Call Direction],"I",tblPCSInput[Agent ID],$A228)/COUNTIFS(tblPCSInput[Call Date/Time],"&gt;="&amp;(SETUP!$B$6),tblPCSInput[Call Date/Time],"&lt;"&amp;(SETUP!$B$7),tblPCSInput[Call Direction],"I",tblPCSInput[Agent ID],$A228,tblPCSInput[Valid Q1],"&gt;=1"),"")</f>
        <v/>
      </c>
      <c r="T228" s="11">
        <f>IF(S228="","",COUNTIFS(tblPCSInput[Call Date/Time],"&gt;="&amp;(SETUP!$B$6),tblPCSInput[Call Date/Time],"&lt;"&amp;(SETUP!$B$7),tblPCSInput[Call Direction],"I",tblPCSInput[Agent ID],$A228,tblPCSInput[Valid Q1],"&lt;=3",tblPCSInput[Valid Q1],"&gt;=1"))</f>
        <v/>
      </c>
      <c r="U228" s="11">
        <f>IF(S228="","",COUNTIFS(tblPCSInput[Call Date/Time],"&gt;="&amp;(SETUP!$B$6),tblPCSInput[Call Date/Time],"&lt;"&amp;(SETUP!$B$7),tblPCSInput[Call Direction],"I",tblPCSInput[Agent ID],$A228,tblPCSInput[Valid Q1],"&gt;3"))</f>
        <v/>
      </c>
      <c r="V228" s="13">
        <f>IFERROR(Q228/P228,"")</f>
        <v/>
      </c>
      <c r="W228" s="13">
        <f>IFERROR(R228/P228,"")</f>
        <v/>
      </c>
    </row>
    <row r="229" spans="1:23">
      <c r="A229" s="4">
        <f>IF(ROSTER!A229="","",ROSTER!A229)</f>
        <v/>
      </c>
      <c r="B229" s="4">
        <f>IF($A229="","",ROSTER!C229)</f>
        <v/>
      </c>
      <c r="C229" s="4">
        <f>IF($A229="","",ROSTER!D229)</f>
        <v/>
      </c>
      <c r="D229" s="4">
        <f>IF($A229="","",ROSTER!E229)</f>
        <v/>
      </c>
      <c r="E229" s="4">
        <f>IF($A229="","",ROSTER!F229)</f>
        <v/>
      </c>
      <c r="F229" s="11">
        <f>IF($A229="","",COUNTIFS(tblPCSInput[Call Date/Time],"&gt;="&amp;(SETUP!$B$5),tblPCSInput[Call Date/Time],"&lt;"&amp;(SETUP!$B$5+1),tblPCSInput[Call Direction],"I",tblPCSInput[Agent ID],$A229,tblPCSInput[PCSStatus],1))</f>
        <v/>
      </c>
      <c r="G229" s="11">
        <f>IF($A229="","",COUNTIFS(tblPCSInput[Call Date/Time],"&gt;="&amp;(SETUP!$B$5),tblPCSInput[Call Date/Time],"&lt;"&amp;(SETUP!$B$5+1),tblPCSInput[Call Direction],"I",tblPCSInput[Agent ID],$A229,tblPCSInput[Question 1],"&lt;&gt;"))</f>
        <v/>
      </c>
      <c r="H229" s="11">
        <f>IF($A229="","",COUNTIFS(tblPCSInput[Call Date/Time],"&gt;="&amp;(SETUP!$B$5),tblPCSInput[Call Date/Time],"&lt;"&amp;(SETUP!$B$5+1),tblPCSInput[Call Direction],"I",tblPCSInput[Agent ID],$A229,tblPCSInput[Valid Q1],"&gt;=1"))</f>
        <v/>
      </c>
      <c r="I229" s="12">
        <f>IFERROR(SUMIFS(tblPCSInput[Valid Q1],tblPCSInput[Call Date/Time],"&gt;="&amp;SETUP!$B$5,tblPCSInput[Call Date/Time],"&lt;"&amp;SETUP!$B$5+1,tblPCSInput[Call Direction],"I",tblPCSInput[Agent ID],$A229)/COUNTIFS(tblPCSInput[Call Date/Time],"&gt;="&amp;(SETUP!$B$5),tblPCSInput[Call Date/Time],"&lt;"&amp;(SETUP!$B$5+1),tblPCSInput[Call Direction],"I",tblPCSInput[Agent ID],$A229,tblPCSInput[Valid Q1],"&gt;=1"),"")</f>
        <v/>
      </c>
      <c r="J229" s="11">
        <f>IF(I229="","",COUNTIFS(tblPCSInput[Call Date/Time],"&gt;="&amp;(SETUP!$B$5),tblPCSInput[Call Date/Time],"&lt;"&amp;(SETUP!$B$5+1),tblPCSInput[Call Direction],"I",tblPCSInput[Agent ID],$A229,tblPCSInput[Valid Q1],"&lt;=3",tblPCSInput[Valid Q1],"&gt;=1"))</f>
        <v/>
      </c>
      <c r="K229" s="11">
        <f>IF(I229="","",COUNTIFS(tblPCSInput[Call Date/Time],"&gt;="&amp;(SETUP!$B$5),tblPCSInput[Call Date/Time],"&lt;"&amp;(SETUP!$B$5+1),tblPCSInput[Call Direction],"I",tblPCSInput[Agent ID],$A229,tblPCSInput[Valid Q1],"&gt;3"))</f>
        <v/>
      </c>
      <c r="L229" s="13">
        <f>IFERROR(G229/F229,"")</f>
        <v/>
      </c>
      <c r="M229" s="13">
        <f>IFERROR(H229/F229,"")</f>
        <v/>
      </c>
      <c r="N229" s="11">
        <f>IF($A229="","",MAX(0,G229-H229))</f>
        <v/>
      </c>
      <c r="O229" s="4">
        <f>IF($A229="","",IF(H229=0,"NO VALID SURVEY",IF(H229&lt;5,"LOW SAMPLE","OK")))</f>
        <v/>
      </c>
      <c r="P229" s="11">
        <f>IF($A229="","",COUNTIFS(tblPCSInput[Call Date/Time],"&gt;="&amp;(SETUP!$B$6),tblPCSInput[Call Date/Time],"&lt;"&amp;(SETUP!$B$7),tblPCSInput[Call Direction],"I",tblPCSInput[Agent ID],$A229,tblPCSInput[PCSStatus],1))</f>
        <v/>
      </c>
      <c r="Q229" s="11">
        <f>IF($A229="","",COUNTIFS(tblPCSInput[Call Date/Time],"&gt;="&amp;(SETUP!$B$6),tblPCSInput[Call Date/Time],"&lt;"&amp;(SETUP!$B$7),tblPCSInput[Call Direction],"I",tblPCSInput[Agent ID],$A229,tblPCSInput[Question 1],"&lt;&gt;"))</f>
        <v/>
      </c>
      <c r="R229" s="11">
        <f>IF($A229="","",COUNTIFS(tblPCSInput[Call Date/Time],"&gt;="&amp;(SETUP!$B$6),tblPCSInput[Call Date/Time],"&lt;"&amp;(SETUP!$B$7),tblPCSInput[Call Direction],"I",tblPCSInput[Agent ID],$A229,tblPCSInput[Valid Q1],"&gt;=1"))</f>
        <v/>
      </c>
      <c r="S229" s="12">
        <f>IFERROR(SUMIFS(tblPCSInput[Valid Q1],tblPCSInput[Call Date/Time],"&gt;="&amp;SETUP!$B$6,tblPCSInput[Call Date/Time],"&lt;"&amp;SETUP!$B$7,tblPCSInput[Call Direction],"I",tblPCSInput[Agent ID],$A229)/COUNTIFS(tblPCSInput[Call Date/Time],"&gt;="&amp;(SETUP!$B$6),tblPCSInput[Call Date/Time],"&lt;"&amp;(SETUP!$B$7),tblPCSInput[Call Direction],"I",tblPCSInput[Agent ID],$A229,tblPCSInput[Valid Q1],"&gt;=1"),"")</f>
        <v/>
      </c>
      <c r="T229" s="11">
        <f>IF(S229="","",COUNTIFS(tblPCSInput[Call Date/Time],"&gt;="&amp;(SETUP!$B$6),tblPCSInput[Call Date/Time],"&lt;"&amp;(SETUP!$B$7),tblPCSInput[Call Direction],"I",tblPCSInput[Agent ID],$A229,tblPCSInput[Valid Q1],"&lt;=3",tblPCSInput[Valid Q1],"&gt;=1"))</f>
        <v/>
      </c>
      <c r="U229" s="11">
        <f>IF(S229="","",COUNTIFS(tblPCSInput[Call Date/Time],"&gt;="&amp;(SETUP!$B$6),tblPCSInput[Call Date/Time],"&lt;"&amp;(SETUP!$B$7),tblPCSInput[Call Direction],"I",tblPCSInput[Agent ID],$A229,tblPCSInput[Valid Q1],"&gt;3"))</f>
        <v/>
      </c>
      <c r="V229" s="13">
        <f>IFERROR(Q229/P229,"")</f>
        <v/>
      </c>
      <c r="W229" s="13">
        <f>IFERROR(R229/P229,"")</f>
        <v/>
      </c>
    </row>
    <row r="230" spans="1:23">
      <c r="A230" s="4">
        <f>IF(ROSTER!A230="","",ROSTER!A230)</f>
        <v/>
      </c>
      <c r="B230" s="4">
        <f>IF($A230="","",ROSTER!C230)</f>
        <v/>
      </c>
      <c r="C230" s="4">
        <f>IF($A230="","",ROSTER!D230)</f>
        <v/>
      </c>
      <c r="D230" s="4">
        <f>IF($A230="","",ROSTER!E230)</f>
        <v/>
      </c>
      <c r="E230" s="4">
        <f>IF($A230="","",ROSTER!F230)</f>
        <v/>
      </c>
      <c r="F230" s="11">
        <f>IF($A230="","",COUNTIFS(tblPCSInput[Call Date/Time],"&gt;="&amp;(SETUP!$B$5),tblPCSInput[Call Date/Time],"&lt;"&amp;(SETUP!$B$5+1),tblPCSInput[Call Direction],"I",tblPCSInput[Agent ID],$A230,tblPCSInput[PCSStatus],1))</f>
        <v/>
      </c>
      <c r="G230" s="11">
        <f>IF($A230="","",COUNTIFS(tblPCSInput[Call Date/Time],"&gt;="&amp;(SETUP!$B$5),tblPCSInput[Call Date/Time],"&lt;"&amp;(SETUP!$B$5+1),tblPCSInput[Call Direction],"I",tblPCSInput[Agent ID],$A230,tblPCSInput[Question 1],"&lt;&gt;"))</f>
        <v/>
      </c>
      <c r="H230" s="11">
        <f>IF($A230="","",COUNTIFS(tblPCSInput[Call Date/Time],"&gt;="&amp;(SETUP!$B$5),tblPCSInput[Call Date/Time],"&lt;"&amp;(SETUP!$B$5+1),tblPCSInput[Call Direction],"I",tblPCSInput[Agent ID],$A230,tblPCSInput[Valid Q1],"&gt;=1"))</f>
        <v/>
      </c>
      <c r="I230" s="12">
        <f>IFERROR(SUMIFS(tblPCSInput[Valid Q1],tblPCSInput[Call Date/Time],"&gt;="&amp;SETUP!$B$5,tblPCSInput[Call Date/Time],"&lt;"&amp;SETUP!$B$5+1,tblPCSInput[Call Direction],"I",tblPCSInput[Agent ID],$A230)/COUNTIFS(tblPCSInput[Call Date/Time],"&gt;="&amp;(SETUP!$B$5),tblPCSInput[Call Date/Time],"&lt;"&amp;(SETUP!$B$5+1),tblPCSInput[Call Direction],"I",tblPCSInput[Agent ID],$A230,tblPCSInput[Valid Q1],"&gt;=1"),"")</f>
        <v/>
      </c>
      <c r="J230" s="11">
        <f>IF(I230="","",COUNTIFS(tblPCSInput[Call Date/Time],"&gt;="&amp;(SETUP!$B$5),tblPCSInput[Call Date/Time],"&lt;"&amp;(SETUP!$B$5+1),tblPCSInput[Call Direction],"I",tblPCSInput[Agent ID],$A230,tblPCSInput[Valid Q1],"&lt;=3",tblPCSInput[Valid Q1],"&gt;=1"))</f>
        <v/>
      </c>
      <c r="K230" s="11">
        <f>IF(I230="","",COUNTIFS(tblPCSInput[Call Date/Time],"&gt;="&amp;(SETUP!$B$5),tblPCSInput[Call Date/Time],"&lt;"&amp;(SETUP!$B$5+1),tblPCSInput[Call Direction],"I",tblPCSInput[Agent ID],$A230,tblPCSInput[Valid Q1],"&gt;3"))</f>
        <v/>
      </c>
      <c r="L230" s="13">
        <f>IFERROR(G230/F230,"")</f>
        <v/>
      </c>
      <c r="M230" s="13">
        <f>IFERROR(H230/F230,"")</f>
        <v/>
      </c>
      <c r="N230" s="11">
        <f>IF($A230="","",MAX(0,G230-H230))</f>
        <v/>
      </c>
      <c r="O230" s="4">
        <f>IF($A230="","",IF(H230=0,"NO VALID SURVEY",IF(H230&lt;5,"LOW SAMPLE","OK")))</f>
        <v/>
      </c>
      <c r="P230" s="11">
        <f>IF($A230="","",COUNTIFS(tblPCSInput[Call Date/Time],"&gt;="&amp;(SETUP!$B$6),tblPCSInput[Call Date/Time],"&lt;"&amp;(SETUP!$B$7),tblPCSInput[Call Direction],"I",tblPCSInput[Agent ID],$A230,tblPCSInput[PCSStatus],1))</f>
        <v/>
      </c>
      <c r="Q230" s="11">
        <f>IF($A230="","",COUNTIFS(tblPCSInput[Call Date/Time],"&gt;="&amp;(SETUP!$B$6),tblPCSInput[Call Date/Time],"&lt;"&amp;(SETUP!$B$7),tblPCSInput[Call Direction],"I",tblPCSInput[Agent ID],$A230,tblPCSInput[Question 1],"&lt;&gt;"))</f>
        <v/>
      </c>
      <c r="R230" s="11">
        <f>IF($A230="","",COUNTIFS(tblPCSInput[Call Date/Time],"&gt;="&amp;(SETUP!$B$6),tblPCSInput[Call Date/Time],"&lt;"&amp;(SETUP!$B$7),tblPCSInput[Call Direction],"I",tblPCSInput[Agent ID],$A230,tblPCSInput[Valid Q1],"&gt;=1"))</f>
        <v/>
      </c>
      <c r="S230" s="12">
        <f>IFERROR(SUMIFS(tblPCSInput[Valid Q1],tblPCSInput[Call Date/Time],"&gt;="&amp;SETUP!$B$6,tblPCSInput[Call Date/Time],"&lt;"&amp;SETUP!$B$7,tblPCSInput[Call Direction],"I",tblPCSInput[Agent ID],$A230)/COUNTIFS(tblPCSInput[Call Date/Time],"&gt;="&amp;(SETUP!$B$6),tblPCSInput[Call Date/Time],"&lt;"&amp;(SETUP!$B$7),tblPCSInput[Call Direction],"I",tblPCSInput[Agent ID],$A230,tblPCSInput[Valid Q1],"&gt;=1"),"")</f>
        <v/>
      </c>
      <c r="T230" s="11">
        <f>IF(S230="","",COUNTIFS(tblPCSInput[Call Date/Time],"&gt;="&amp;(SETUP!$B$6),tblPCSInput[Call Date/Time],"&lt;"&amp;(SETUP!$B$7),tblPCSInput[Call Direction],"I",tblPCSInput[Agent ID],$A230,tblPCSInput[Valid Q1],"&lt;=3",tblPCSInput[Valid Q1],"&gt;=1"))</f>
        <v/>
      </c>
      <c r="U230" s="11">
        <f>IF(S230="","",COUNTIFS(tblPCSInput[Call Date/Time],"&gt;="&amp;(SETUP!$B$6),tblPCSInput[Call Date/Time],"&lt;"&amp;(SETUP!$B$7),tblPCSInput[Call Direction],"I",tblPCSInput[Agent ID],$A230,tblPCSInput[Valid Q1],"&gt;3"))</f>
        <v/>
      </c>
      <c r="V230" s="13">
        <f>IFERROR(Q230/P230,"")</f>
        <v/>
      </c>
      <c r="W230" s="13">
        <f>IFERROR(R230/P230,"")</f>
        <v/>
      </c>
    </row>
    <row r="231" spans="1:23">
      <c r="A231" s="4">
        <f>IF(ROSTER!A231="","",ROSTER!A231)</f>
        <v/>
      </c>
      <c r="B231" s="4">
        <f>IF($A231="","",ROSTER!C231)</f>
        <v/>
      </c>
      <c r="C231" s="4">
        <f>IF($A231="","",ROSTER!D231)</f>
        <v/>
      </c>
      <c r="D231" s="4">
        <f>IF($A231="","",ROSTER!E231)</f>
        <v/>
      </c>
      <c r="E231" s="4">
        <f>IF($A231="","",ROSTER!F231)</f>
        <v/>
      </c>
      <c r="F231" s="11">
        <f>IF($A231="","",COUNTIFS(tblPCSInput[Call Date/Time],"&gt;="&amp;(SETUP!$B$5),tblPCSInput[Call Date/Time],"&lt;"&amp;(SETUP!$B$5+1),tblPCSInput[Call Direction],"I",tblPCSInput[Agent ID],$A231,tblPCSInput[PCSStatus],1))</f>
        <v/>
      </c>
      <c r="G231" s="11">
        <f>IF($A231="","",COUNTIFS(tblPCSInput[Call Date/Time],"&gt;="&amp;(SETUP!$B$5),tblPCSInput[Call Date/Time],"&lt;"&amp;(SETUP!$B$5+1),tblPCSInput[Call Direction],"I",tblPCSInput[Agent ID],$A231,tblPCSInput[Question 1],"&lt;&gt;"))</f>
        <v/>
      </c>
      <c r="H231" s="11">
        <f>IF($A231="","",COUNTIFS(tblPCSInput[Call Date/Time],"&gt;="&amp;(SETUP!$B$5),tblPCSInput[Call Date/Time],"&lt;"&amp;(SETUP!$B$5+1),tblPCSInput[Call Direction],"I",tblPCSInput[Agent ID],$A231,tblPCSInput[Valid Q1],"&gt;=1"))</f>
        <v/>
      </c>
      <c r="I231" s="12">
        <f>IFERROR(SUMIFS(tblPCSInput[Valid Q1],tblPCSInput[Call Date/Time],"&gt;="&amp;SETUP!$B$5,tblPCSInput[Call Date/Time],"&lt;"&amp;SETUP!$B$5+1,tblPCSInput[Call Direction],"I",tblPCSInput[Agent ID],$A231)/COUNTIFS(tblPCSInput[Call Date/Time],"&gt;="&amp;(SETUP!$B$5),tblPCSInput[Call Date/Time],"&lt;"&amp;(SETUP!$B$5+1),tblPCSInput[Call Direction],"I",tblPCSInput[Agent ID],$A231,tblPCSInput[Valid Q1],"&gt;=1"),"")</f>
        <v/>
      </c>
      <c r="J231" s="11">
        <f>IF(I231="","",COUNTIFS(tblPCSInput[Call Date/Time],"&gt;="&amp;(SETUP!$B$5),tblPCSInput[Call Date/Time],"&lt;"&amp;(SETUP!$B$5+1),tblPCSInput[Call Direction],"I",tblPCSInput[Agent ID],$A231,tblPCSInput[Valid Q1],"&lt;=3",tblPCSInput[Valid Q1],"&gt;=1"))</f>
        <v/>
      </c>
      <c r="K231" s="11">
        <f>IF(I231="","",COUNTIFS(tblPCSInput[Call Date/Time],"&gt;="&amp;(SETUP!$B$5),tblPCSInput[Call Date/Time],"&lt;"&amp;(SETUP!$B$5+1),tblPCSInput[Call Direction],"I",tblPCSInput[Agent ID],$A231,tblPCSInput[Valid Q1],"&gt;3"))</f>
        <v/>
      </c>
      <c r="L231" s="13">
        <f>IFERROR(G231/F231,"")</f>
        <v/>
      </c>
      <c r="M231" s="13">
        <f>IFERROR(H231/F231,"")</f>
        <v/>
      </c>
      <c r="N231" s="11">
        <f>IF($A231="","",MAX(0,G231-H231))</f>
        <v/>
      </c>
      <c r="O231" s="4">
        <f>IF($A231="","",IF(H231=0,"NO VALID SURVEY",IF(H231&lt;5,"LOW SAMPLE","OK")))</f>
        <v/>
      </c>
      <c r="P231" s="11">
        <f>IF($A231="","",COUNTIFS(tblPCSInput[Call Date/Time],"&gt;="&amp;(SETUP!$B$6),tblPCSInput[Call Date/Time],"&lt;"&amp;(SETUP!$B$7),tblPCSInput[Call Direction],"I",tblPCSInput[Agent ID],$A231,tblPCSInput[PCSStatus],1))</f>
        <v/>
      </c>
      <c r="Q231" s="11">
        <f>IF($A231="","",COUNTIFS(tblPCSInput[Call Date/Time],"&gt;="&amp;(SETUP!$B$6),tblPCSInput[Call Date/Time],"&lt;"&amp;(SETUP!$B$7),tblPCSInput[Call Direction],"I",tblPCSInput[Agent ID],$A231,tblPCSInput[Question 1],"&lt;&gt;"))</f>
        <v/>
      </c>
      <c r="R231" s="11">
        <f>IF($A231="","",COUNTIFS(tblPCSInput[Call Date/Time],"&gt;="&amp;(SETUP!$B$6),tblPCSInput[Call Date/Time],"&lt;"&amp;(SETUP!$B$7),tblPCSInput[Call Direction],"I",tblPCSInput[Agent ID],$A231,tblPCSInput[Valid Q1],"&gt;=1"))</f>
        <v/>
      </c>
      <c r="S231" s="12">
        <f>IFERROR(SUMIFS(tblPCSInput[Valid Q1],tblPCSInput[Call Date/Time],"&gt;="&amp;SETUP!$B$6,tblPCSInput[Call Date/Time],"&lt;"&amp;SETUP!$B$7,tblPCSInput[Call Direction],"I",tblPCSInput[Agent ID],$A231)/COUNTIFS(tblPCSInput[Call Date/Time],"&gt;="&amp;(SETUP!$B$6),tblPCSInput[Call Date/Time],"&lt;"&amp;(SETUP!$B$7),tblPCSInput[Call Direction],"I",tblPCSInput[Agent ID],$A231,tblPCSInput[Valid Q1],"&gt;=1"),"")</f>
        <v/>
      </c>
      <c r="T231" s="11">
        <f>IF(S231="","",COUNTIFS(tblPCSInput[Call Date/Time],"&gt;="&amp;(SETUP!$B$6),tblPCSInput[Call Date/Time],"&lt;"&amp;(SETUP!$B$7),tblPCSInput[Call Direction],"I",tblPCSInput[Agent ID],$A231,tblPCSInput[Valid Q1],"&lt;=3",tblPCSInput[Valid Q1],"&gt;=1"))</f>
        <v/>
      </c>
      <c r="U231" s="11">
        <f>IF(S231="","",COUNTIFS(tblPCSInput[Call Date/Time],"&gt;="&amp;(SETUP!$B$6),tblPCSInput[Call Date/Time],"&lt;"&amp;(SETUP!$B$7),tblPCSInput[Call Direction],"I",tblPCSInput[Agent ID],$A231,tblPCSInput[Valid Q1],"&gt;3"))</f>
        <v/>
      </c>
      <c r="V231" s="13">
        <f>IFERROR(Q231/P231,"")</f>
        <v/>
      </c>
      <c r="W231" s="13">
        <f>IFERROR(R231/P231,"")</f>
        <v/>
      </c>
    </row>
    <row r="232" spans="1:23">
      <c r="A232" s="4">
        <f>IF(ROSTER!A232="","",ROSTER!A232)</f>
        <v/>
      </c>
      <c r="B232" s="4">
        <f>IF($A232="","",ROSTER!C232)</f>
        <v/>
      </c>
      <c r="C232" s="4">
        <f>IF($A232="","",ROSTER!D232)</f>
        <v/>
      </c>
      <c r="D232" s="4">
        <f>IF($A232="","",ROSTER!E232)</f>
        <v/>
      </c>
      <c r="E232" s="4">
        <f>IF($A232="","",ROSTER!F232)</f>
        <v/>
      </c>
      <c r="F232" s="11">
        <f>IF($A232="","",COUNTIFS(tblPCSInput[Call Date/Time],"&gt;="&amp;(SETUP!$B$5),tblPCSInput[Call Date/Time],"&lt;"&amp;(SETUP!$B$5+1),tblPCSInput[Call Direction],"I",tblPCSInput[Agent ID],$A232,tblPCSInput[PCSStatus],1))</f>
        <v/>
      </c>
      <c r="G232" s="11">
        <f>IF($A232="","",COUNTIFS(tblPCSInput[Call Date/Time],"&gt;="&amp;(SETUP!$B$5),tblPCSInput[Call Date/Time],"&lt;"&amp;(SETUP!$B$5+1),tblPCSInput[Call Direction],"I",tblPCSInput[Agent ID],$A232,tblPCSInput[Question 1],"&lt;&gt;"))</f>
        <v/>
      </c>
      <c r="H232" s="11">
        <f>IF($A232="","",COUNTIFS(tblPCSInput[Call Date/Time],"&gt;="&amp;(SETUP!$B$5),tblPCSInput[Call Date/Time],"&lt;"&amp;(SETUP!$B$5+1),tblPCSInput[Call Direction],"I",tblPCSInput[Agent ID],$A232,tblPCSInput[Valid Q1],"&gt;=1"))</f>
        <v/>
      </c>
      <c r="I232" s="12">
        <f>IFERROR(SUMIFS(tblPCSInput[Valid Q1],tblPCSInput[Call Date/Time],"&gt;="&amp;SETUP!$B$5,tblPCSInput[Call Date/Time],"&lt;"&amp;SETUP!$B$5+1,tblPCSInput[Call Direction],"I",tblPCSInput[Agent ID],$A232)/COUNTIFS(tblPCSInput[Call Date/Time],"&gt;="&amp;(SETUP!$B$5),tblPCSInput[Call Date/Time],"&lt;"&amp;(SETUP!$B$5+1),tblPCSInput[Call Direction],"I",tblPCSInput[Agent ID],$A232,tblPCSInput[Valid Q1],"&gt;=1"),"")</f>
        <v/>
      </c>
      <c r="J232" s="11">
        <f>IF(I232="","",COUNTIFS(tblPCSInput[Call Date/Time],"&gt;="&amp;(SETUP!$B$5),tblPCSInput[Call Date/Time],"&lt;"&amp;(SETUP!$B$5+1),tblPCSInput[Call Direction],"I",tblPCSInput[Agent ID],$A232,tblPCSInput[Valid Q1],"&lt;=3",tblPCSInput[Valid Q1],"&gt;=1"))</f>
        <v/>
      </c>
      <c r="K232" s="11">
        <f>IF(I232="","",COUNTIFS(tblPCSInput[Call Date/Time],"&gt;="&amp;(SETUP!$B$5),tblPCSInput[Call Date/Time],"&lt;"&amp;(SETUP!$B$5+1),tblPCSInput[Call Direction],"I",tblPCSInput[Agent ID],$A232,tblPCSInput[Valid Q1],"&gt;3"))</f>
        <v/>
      </c>
      <c r="L232" s="13">
        <f>IFERROR(G232/F232,"")</f>
        <v/>
      </c>
      <c r="M232" s="13">
        <f>IFERROR(H232/F232,"")</f>
        <v/>
      </c>
      <c r="N232" s="11">
        <f>IF($A232="","",MAX(0,G232-H232))</f>
        <v/>
      </c>
      <c r="O232" s="4">
        <f>IF($A232="","",IF(H232=0,"NO VALID SURVEY",IF(H232&lt;5,"LOW SAMPLE","OK")))</f>
        <v/>
      </c>
      <c r="P232" s="11">
        <f>IF($A232="","",COUNTIFS(tblPCSInput[Call Date/Time],"&gt;="&amp;(SETUP!$B$6),tblPCSInput[Call Date/Time],"&lt;"&amp;(SETUP!$B$7),tblPCSInput[Call Direction],"I",tblPCSInput[Agent ID],$A232,tblPCSInput[PCSStatus],1))</f>
        <v/>
      </c>
      <c r="Q232" s="11">
        <f>IF($A232="","",COUNTIFS(tblPCSInput[Call Date/Time],"&gt;="&amp;(SETUP!$B$6),tblPCSInput[Call Date/Time],"&lt;"&amp;(SETUP!$B$7),tblPCSInput[Call Direction],"I",tblPCSInput[Agent ID],$A232,tblPCSInput[Question 1],"&lt;&gt;"))</f>
        <v/>
      </c>
      <c r="R232" s="11">
        <f>IF($A232="","",COUNTIFS(tblPCSInput[Call Date/Time],"&gt;="&amp;(SETUP!$B$6),tblPCSInput[Call Date/Time],"&lt;"&amp;(SETUP!$B$7),tblPCSInput[Call Direction],"I",tblPCSInput[Agent ID],$A232,tblPCSInput[Valid Q1],"&gt;=1"))</f>
        <v/>
      </c>
      <c r="S232" s="12">
        <f>IFERROR(SUMIFS(tblPCSInput[Valid Q1],tblPCSInput[Call Date/Time],"&gt;="&amp;SETUP!$B$6,tblPCSInput[Call Date/Time],"&lt;"&amp;SETUP!$B$7,tblPCSInput[Call Direction],"I",tblPCSInput[Agent ID],$A232)/COUNTIFS(tblPCSInput[Call Date/Time],"&gt;="&amp;(SETUP!$B$6),tblPCSInput[Call Date/Time],"&lt;"&amp;(SETUP!$B$7),tblPCSInput[Call Direction],"I",tblPCSInput[Agent ID],$A232,tblPCSInput[Valid Q1],"&gt;=1"),"")</f>
        <v/>
      </c>
      <c r="T232" s="11">
        <f>IF(S232="","",COUNTIFS(tblPCSInput[Call Date/Time],"&gt;="&amp;(SETUP!$B$6),tblPCSInput[Call Date/Time],"&lt;"&amp;(SETUP!$B$7),tblPCSInput[Call Direction],"I",tblPCSInput[Agent ID],$A232,tblPCSInput[Valid Q1],"&lt;=3",tblPCSInput[Valid Q1],"&gt;=1"))</f>
        <v/>
      </c>
      <c r="U232" s="11">
        <f>IF(S232="","",COUNTIFS(tblPCSInput[Call Date/Time],"&gt;="&amp;(SETUP!$B$6),tblPCSInput[Call Date/Time],"&lt;"&amp;(SETUP!$B$7),tblPCSInput[Call Direction],"I",tblPCSInput[Agent ID],$A232,tblPCSInput[Valid Q1],"&gt;3"))</f>
        <v/>
      </c>
      <c r="V232" s="13">
        <f>IFERROR(Q232/P232,"")</f>
        <v/>
      </c>
      <c r="W232" s="13">
        <f>IFERROR(R232/P232,"")</f>
        <v/>
      </c>
    </row>
    <row r="233" spans="1:23">
      <c r="A233" s="4">
        <f>IF(ROSTER!A233="","",ROSTER!A233)</f>
        <v/>
      </c>
      <c r="B233" s="4">
        <f>IF($A233="","",ROSTER!C233)</f>
        <v/>
      </c>
      <c r="C233" s="4">
        <f>IF($A233="","",ROSTER!D233)</f>
        <v/>
      </c>
      <c r="D233" s="4">
        <f>IF($A233="","",ROSTER!E233)</f>
        <v/>
      </c>
      <c r="E233" s="4">
        <f>IF($A233="","",ROSTER!F233)</f>
        <v/>
      </c>
      <c r="F233" s="11">
        <f>IF($A233="","",COUNTIFS(tblPCSInput[Call Date/Time],"&gt;="&amp;(SETUP!$B$5),tblPCSInput[Call Date/Time],"&lt;"&amp;(SETUP!$B$5+1),tblPCSInput[Call Direction],"I",tblPCSInput[Agent ID],$A233,tblPCSInput[PCSStatus],1))</f>
        <v/>
      </c>
      <c r="G233" s="11">
        <f>IF($A233="","",COUNTIFS(tblPCSInput[Call Date/Time],"&gt;="&amp;(SETUP!$B$5),tblPCSInput[Call Date/Time],"&lt;"&amp;(SETUP!$B$5+1),tblPCSInput[Call Direction],"I",tblPCSInput[Agent ID],$A233,tblPCSInput[Question 1],"&lt;&gt;"))</f>
        <v/>
      </c>
      <c r="H233" s="11">
        <f>IF($A233="","",COUNTIFS(tblPCSInput[Call Date/Time],"&gt;="&amp;(SETUP!$B$5),tblPCSInput[Call Date/Time],"&lt;"&amp;(SETUP!$B$5+1),tblPCSInput[Call Direction],"I",tblPCSInput[Agent ID],$A233,tblPCSInput[Valid Q1],"&gt;=1"))</f>
        <v/>
      </c>
      <c r="I233" s="12">
        <f>IFERROR(SUMIFS(tblPCSInput[Valid Q1],tblPCSInput[Call Date/Time],"&gt;="&amp;SETUP!$B$5,tblPCSInput[Call Date/Time],"&lt;"&amp;SETUP!$B$5+1,tblPCSInput[Call Direction],"I",tblPCSInput[Agent ID],$A233)/COUNTIFS(tblPCSInput[Call Date/Time],"&gt;="&amp;(SETUP!$B$5),tblPCSInput[Call Date/Time],"&lt;"&amp;(SETUP!$B$5+1),tblPCSInput[Call Direction],"I",tblPCSInput[Agent ID],$A233,tblPCSInput[Valid Q1],"&gt;=1"),"")</f>
        <v/>
      </c>
      <c r="J233" s="11">
        <f>IF(I233="","",COUNTIFS(tblPCSInput[Call Date/Time],"&gt;="&amp;(SETUP!$B$5),tblPCSInput[Call Date/Time],"&lt;"&amp;(SETUP!$B$5+1),tblPCSInput[Call Direction],"I",tblPCSInput[Agent ID],$A233,tblPCSInput[Valid Q1],"&lt;=3",tblPCSInput[Valid Q1],"&gt;=1"))</f>
        <v/>
      </c>
      <c r="K233" s="11">
        <f>IF(I233="","",COUNTIFS(tblPCSInput[Call Date/Time],"&gt;="&amp;(SETUP!$B$5),tblPCSInput[Call Date/Time],"&lt;"&amp;(SETUP!$B$5+1),tblPCSInput[Call Direction],"I",tblPCSInput[Agent ID],$A233,tblPCSInput[Valid Q1],"&gt;3"))</f>
        <v/>
      </c>
      <c r="L233" s="13">
        <f>IFERROR(G233/F233,"")</f>
        <v/>
      </c>
      <c r="M233" s="13">
        <f>IFERROR(H233/F233,"")</f>
        <v/>
      </c>
      <c r="N233" s="11">
        <f>IF($A233="","",MAX(0,G233-H233))</f>
        <v/>
      </c>
      <c r="O233" s="4">
        <f>IF($A233="","",IF(H233=0,"NO VALID SURVEY",IF(H233&lt;5,"LOW SAMPLE","OK")))</f>
        <v/>
      </c>
      <c r="P233" s="11">
        <f>IF($A233="","",COUNTIFS(tblPCSInput[Call Date/Time],"&gt;="&amp;(SETUP!$B$6),tblPCSInput[Call Date/Time],"&lt;"&amp;(SETUP!$B$7),tblPCSInput[Call Direction],"I",tblPCSInput[Agent ID],$A233,tblPCSInput[PCSStatus],1))</f>
        <v/>
      </c>
      <c r="Q233" s="11">
        <f>IF($A233="","",COUNTIFS(tblPCSInput[Call Date/Time],"&gt;="&amp;(SETUP!$B$6),tblPCSInput[Call Date/Time],"&lt;"&amp;(SETUP!$B$7),tblPCSInput[Call Direction],"I",tblPCSInput[Agent ID],$A233,tblPCSInput[Question 1],"&lt;&gt;"))</f>
        <v/>
      </c>
      <c r="R233" s="11">
        <f>IF($A233="","",COUNTIFS(tblPCSInput[Call Date/Time],"&gt;="&amp;(SETUP!$B$6),tblPCSInput[Call Date/Time],"&lt;"&amp;(SETUP!$B$7),tblPCSInput[Call Direction],"I",tblPCSInput[Agent ID],$A233,tblPCSInput[Valid Q1],"&gt;=1"))</f>
        <v/>
      </c>
      <c r="S233" s="12">
        <f>IFERROR(SUMIFS(tblPCSInput[Valid Q1],tblPCSInput[Call Date/Time],"&gt;="&amp;SETUP!$B$6,tblPCSInput[Call Date/Time],"&lt;"&amp;SETUP!$B$7,tblPCSInput[Call Direction],"I",tblPCSInput[Agent ID],$A233)/COUNTIFS(tblPCSInput[Call Date/Time],"&gt;="&amp;(SETUP!$B$6),tblPCSInput[Call Date/Time],"&lt;"&amp;(SETUP!$B$7),tblPCSInput[Call Direction],"I",tblPCSInput[Agent ID],$A233,tblPCSInput[Valid Q1],"&gt;=1"),"")</f>
        <v/>
      </c>
      <c r="T233" s="11">
        <f>IF(S233="","",COUNTIFS(tblPCSInput[Call Date/Time],"&gt;="&amp;(SETUP!$B$6),tblPCSInput[Call Date/Time],"&lt;"&amp;(SETUP!$B$7),tblPCSInput[Call Direction],"I",tblPCSInput[Agent ID],$A233,tblPCSInput[Valid Q1],"&lt;=3",tblPCSInput[Valid Q1],"&gt;=1"))</f>
        <v/>
      </c>
      <c r="U233" s="11">
        <f>IF(S233="","",COUNTIFS(tblPCSInput[Call Date/Time],"&gt;="&amp;(SETUP!$B$6),tblPCSInput[Call Date/Time],"&lt;"&amp;(SETUP!$B$7),tblPCSInput[Call Direction],"I",tblPCSInput[Agent ID],$A233,tblPCSInput[Valid Q1],"&gt;3"))</f>
        <v/>
      </c>
      <c r="V233" s="13">
        <f>IFERROR(Q233/P233,"")</f>
        <v/>
      </c>
      <c r="W233" s="13">
        <f>IFERROR(R233/P233,"")</f>
        <v/>
      </c>
    </row>
    <row r="234" spans="1:23">
      <c r="A234" s="4">
        <f>IF(ROSTER!A234="","",ROSTER!A234)</f>
        <v/>
      </c>
      <c r="B234" s="4">
        <f>IF($A234="","",ROSTER!C234)</f>
        <v/>
      </c>
      <c r="C234" s="4">
        <f>IF($A234="","",ROSTER!D234)</f>
        <v/>
      </c>
      <c r="D234" s="4">
        <f>IF($A234="","",ROSTER!E234)</f>
        <v/>
      </c>
      <c r="E234" s="4">
        <f>IF($A234="","",ROSTER!F234)</f>
        <v/>
      </c>
      <c r="F234" s="11">
        <f>IF($A234="","",COUNTIFS(tblPCSInput[Call Date/Time],"&gt;="&amp;(SETUP!$B$5),tblPCSInput[Call Date/Time],"&lt;"&amp;(SETUP!$B$5+1),tblPCSInput[Call Direction],"I",tblPCSInput[Agent ID],$A234,tblPCSInput[PCSStatus],1))</f>
        <v/>
      </c>
      <c r="G234" s="11">
        <f>IF($A234="","",COUNTIFS(tblPCSInput[Call Date/Time],"&gt;="&amp;(SETUP!$B$5),tblPCSInput[Call Date/Time],"&lt;"&amp;(SETUP!$B$5+1),tblPCSInput[Call Direction],"I",tblPCSInput[Agent ID],$A234,tblPCSInput[Question 1],"&lt;&gt;"))</f>
        <v/>
      </c>
      <c r="H234" s="11">
        <f>IF($A234="","",COUNTIFS(tblPCSInput[Call Date/Time],"&gt;="&amp;(SETUP!$B$5),tblPCSInput[Call Date/Time],"&lt;"&amp;(SETUP!$B$5+1),tblPCSInput[Call Direction],"I",tblPCSInput[Agent ID],$A234,tblPCSInput[Valid Q1],"&gt;=1"))</f>
        <v/>
      </c>
      <c r="I234" s="12">
        <f>IFERROR(SUMIFS(tblPCSInput[Valid Q1],tblPCSInput[Call Date/Time],"&gt;="&amp;SETUP!$B$5,tblPCSInput[Call Date/Time],"&lt;"&amp;SETUP!$B$5+1,tblPCSInput[Call Direction],"I",tblPCSInput[Agent ID],$A234)/COUNTIFS(tblPCSInput[Call Date/Time],"&gt;="&amp;(SETUP!$B$5),tblPCSInput[Call Date/Time],"&lt;"&amp;(SETUP!$B$5+1),tblPCSInput[Call Direction],"I",tblPCSInput[Agent ID],$A234,tblPCSInput[Valid Q1],"&gt;=1"),"")</f>
        <v/>
      </c>
      <c r="J234" s="11">
        <f>IF(I234="","",COUNTIFS(tblPCSInput[Call Date/Time],"&gt;="&amp;(SETUP!$B$5),tblPCSInput[Call Date/Time],"&lt;"&amp;(SETUP!$B$5+1),tblPCSInput[Call Direction],"I",tblPCSInput[Agent ID],$A234,tblPCSInput[Valid Q1],"&lt;=3",tblPCSInput[Valid Q1],"&gt;=1"))</f>
        <v/>
      </c>
      <c r="K234" s="11">
        <f>IF(I234="","",COUNTIFS(tblPCSInput[Call Date/Time],"&gt;="&amp;(SETUP!$B$5),tblPCSInput[Call Date/Time],"&lt;"&amp;(SETUP!$B$5+1),tblPCSInput[Call Direction],"I",tblPCSInput[Agent ID],$A234,tblPCSInput[Valid Q1],"&gt;3"))</f>
        <v/>
      </c>
      <c r="L234" s="13">
        <f>IFERROR(G234/F234,"")</f>
        <v/>
      </c>
      <c r="M234" s="13">
        <f>IFERROR(H234/F234,"")</f>
        <v/>
      </c>
      <c r="N234" s="11">
        <f>IF($A234="","",MAX(0,G234-H234))</f>
        <v/>
      </c>
      <c r="O234" s="4">
        <f>IF($A234="","",IF(H234=0,"NO VALID SURVEY",IF(H234&lt;5,"LOW SAMPLE","OK")))</f>
        <v/>
      </c>
      <c r="P234" s="11">
        <f>IF($A234="","",COUNTIFS(tblPCSInput[Call Date/Time],"&gt;="&amp;(SETUP!$B$6),tblPCSInput[Call Date/Time],"&lt;"&amp;(SETUP!$B$7),tblPCSInput[Call Direction],"I",tblPCSInput[Agent ID],$A234,tblPCSInput[PCSStatus],1))</f>
        <v/>
      </c>
      <c r="Q234" s="11">
        <f>IF($A234="","",COUNTIFS(tblPCSInput[Call Date/Time],"&gt;="&amp;(SETUP!$B$6),tblPCSInput[Call Date/Time],"&lt;"&amp;(SETUP!$B$7),tblPCSInput[Call Direction],"I",tblPCSInput[Agent ID],$A234,tblPCSInput[Question 1],"&lt;&gt;"))</f>
        <v/>
      </c>
      <c r="R234" s="11">
        <f>IF($A234="","",COUNTIFS(tblPCSInput[Call Date/Time],"&gt;="&amp;(SETUP!$B$6),tblPCSInput[Call Date/Time],"&lt;"&amp;(SETUP!$B$7),tblPCSInput[Call Direction],"I",tblPCSInput[Agent ID],$A234,tblPCSInput[Valid Q1],"&gt;=1"))</f>
        <v/>
      </c>
      <c r="S234" s="12">
        <f>IFERROR(SUMIFS(tblPCSInput[Valid Q1],tblPCSInput[Call Date/Time],"&gt;="&amp;SETUP!$B$6,tblPCSInput[Call Date/Time],"&lt;"&amp;SETUP!$B$7,tblPCSInput[Call Direction],"I",tblPCSInput[Agent ID],$A234)/COUNTIFS(tblPCSInput[Call Date/Time],"&gt;="&amp;(SETUP!$B$6),tblPCSInput[Call Date/Time],"&lt;"&amp;(SETUP!$B$7),tblPCSInput[Call Direction],"I",tblPCSInput[Agent ID],$A234,tblPCSInput[Valid Q1],"&gt;=1"),"")</f>
        <v/>
      </c>
      <c r="T234" s="11">
        <f>IF(S234="","",COUNTIFS(tblPCSInput[Call Date/Time],"&gt;="&amp;(SETUP!$B$6),tblPCSInput[Call Date/Time],"&lt;"&amp;(SETUP!$B$7),tblPCSInput[Call Direction],"I",tblPCSInput[Agent ID],$A234,tblPCSInput[Valid Q1],"&lt;=3",tblPCSInput[Valid Q1],"&gt;=1"))</f>
        <v/>
      </c>
      <c r="U234" s="11">
        <f>IF(S234="","",COUNTIFS(tblPCSInput[Call Date/Time],"&gt;="&amp;(SETUP!$B$6),tblPCSInput[Call Date/Time],"&lt;"&amp;(SETUP!$B$7),tblPCSInput[Call Direction],"I",tblPCSInput[Agent ID],$A234,tblPCSInput[Valid Q1],"&gt;3"))</f>
        <v/>
      </c>
      <c r="V234" s="13">
        <f>IFERROR(Q234/P234,"")</f>
        <v/>
      </c>
      <c r="W234" s="13">
        <f>IFERROR(R234/P234,"")</f>
        <v/>
      </c>
    </row>
    <row r="235" spans="1:23">
      <c r="A235" s="4">
        <f>IF(ROSTER!A235="","",ROSTER!A235)</f>
        <v/>
      </c>
      <c r="B235" s="4">
        <f>IF($A235="","",ROSTER!C235)</f>
        <v/>
      </c>
      <c r="C235" s="4">
        <f>IF($A235="","",ROSTER!D235)</f>
        <v/>
      </c>
      <c r="D235" s="4">
        <f>IF($A235="","",ROSTER!E235)</f>
        <v/>
      </c>
      <c r="E235" s="4">
        <f>IF($A235="","",ROSTER!F235)</f>
        <v/>
      </c>
      <c r="F235" s="11">
        <f>IF($A235="","",COUNTIFS(tblPCSInput[Call Date/Time],"&gt;="&amp;(SETUP!$B$5),tblPCSInput[Call Date/Time],"&lt;"&amp;(SETUP!$B$5+1),tblPCSInput[Call Direction],"I",tblPCSInput[Agent ID],$A235,tblPCSInput[PCSStatus],1))</f>
        <v/>
      </c>
      <c r="G235" s="11">
        <f>IF($A235="","",COUNTIFS(tblPCSInput[Call Date/Time],"&gt;="&amp;(SETUP!$B$5),tblPCSInput[Call Date/Time],"&lt;"&amp;(SETUP!$B$5+1),tblPCSInput[Call Direction],"I",tblPCSInput[Agent ID],$A235,tblPCSInput[Question 1],"&lt;&gt;"))</f>
        <v/>
      </c>
      <c r="H235" s="11">
        <f>IF($A235="","",COUNTIFS(tblPCSInput[Call Date/Time],"&gt;="&amp;(SETUP!$B$5),tblPCSInput[Call Date/Time],"&lt;"&amp;(SETUP!$B$5+1),tblPCSInput[Call Direction],"I",tblPCSInput[Agent ID],$A235,tblPCSInput[Valid Q1],"&gt;=1"))</f>
        <v/>
      </c>
      <c r="I235" s="12">
        <f>IFERROR(SUMIFS(tblPCSInput[Valid Q1],tblPCSInput[Call Date/Time],"&gt;="&amp;SETUP!$B$5,tblPCSInput[Call Date/Time],"&lt;"&amp;SETUP!$B$5+1,tblPCSInput[Call Direction],"I",tblPCSInput[Agent ID],$A235)/COUNTIFS(tblPCSInput[Call Date/Time],"&gt;="&amp;(SETUP!$B$5),tblPCSInput[Call Date/Time],"&lt;"&amp;(SETUP!$B$5+1),tblPCSInput[Call Direction],"I",tblPCSInput[Agent ID],$A235,tblPCSInput[Valid Q1],"&gt;=1"),"")</f>
        <v/>
      </c>
      <c r="J235" s="11">
        <f>IF(I235="","",COUNTIFS(tblPCSInput[Call Date/Time],"&gt;="&amp;(SETUP!$B$5),tblPCSInput[Call Date/Time],"&lt;"&amp;(SETUP!$B$5+1),tblPCSInput[Call Direction],"I",tblPCSInput[Agent ID],$A235,tblPCSInput[Valid Q1],"&lt;=3",tblPCSInput[Valid Q1],"&gt;=1"))</f>
        <v/>
      </c>
      <c r="K235" s="11">
        <f>IF(I235="","",COUNTIFS(tblPCSInput[Call Date/Time],"&gt;="&amp;(SETUP!$B$5),tblPCSInput[Call Date/Time],"&lt;"&amp;(SETUP!$B$5+1),tblPCSInput[Call Direction],"I",tblPCSInput[Agent ID],$A235,tblPCSInput[Valid Q1],"&gt;3"))</f>
        <v/>
      </c>
      <c r="L235" s="13">
        <f>IFERROR(G235/F235,"")</f>
        <v/>
      </c>
      <c r="M235" s="13">
        <f>IFERROR(H235/F235,"")</f>
        <v/>
      </c>
      <c r="N235" s="11">
        <f>IF($A235="","",MAX(0,G235-H235))</f>
        <v/>
      </c>
      <c r="O235" s="4">
        <f>IF($A235="","",IF(H235=0,"NO VALID SURVEY",IF(H235&lt;5,"LOW SAMPLE","OK")))</f>
        <v/>
      </c>
      <c r="P235" s="11">
        <f>IF($A235="","",COUNTIFS(tblPCSInput[Call Date/Time],"&gt;="&amp;(SETUP!$B$6),tblPCSInput[Call Date/Time],"&lt;"&amp;(SETUP!$B$7),tblPCSInput[Call Direction],"I",tblPCSInput[Agent ID],$A235,tblPCSInput[PCSStatus],1))</f>
        <v/>
      </c>
      <c r="Q235" s="11">
        <f>IF($A235="","",COUNTIFS(tblPCSInput[Call Date/Time],"&gt;="&amp;(SETUP!$B$6),tblPCSInput[Call Date/Time],"&lt;"&amp;(SETUP!$B$7),tblPCSInput[Call Direction],"I",tblPCSInput[Agent ID],$A235,tblPCSInput[Question 1],"&lt;&gt;"))</f>
        <v/>
      </c>
      <c r="R235" s="11">
        <f>IF($A235="","",COUNTIFS(tblPCSInput[Call Date/Time],"&gt;="&amp;(SETUP!$B$6),tblPCSInput[Call Date/Time],"&lt;"&amp;(SETUP!$B$7),tblPCSInput[Call Direction],"I",tblPCSInput[Agent ID],$A235,tblPCSInput[Valid Q1],"&gt;=1"))</f>
        <v/>
      </c>
      <c r="S235" s="12">
        <f>IFERROR(SUMIFS(tblPCSInput[Valid Q1],tblPCSInput[Call Date/Time],"&gt;="&amp;SETUP!$B$6,tblPCSInput[Call Date/Time],"&lt;"&amp;SETUP!$B$7,tblPCSInput[Call Direction],"I",tblPCSInput[Agent ID],$A235)/COUNTIFS(tblPCSInput[Call Date/Time],"&gt;="&amp;(SETUP!$B$6),tblPCSInput[Call Date/Time],"&lt;"&amp;(SETUP!$B$7),tblPCSInput[Call Direction],"I",tblPCSInput[Agent ID],$A235,tblPCSInput[Valid Q1],"&gt;=1"),"")</f>
        <v/>
      </c>
      <c r="T235" s="11">
        <f>IF(S235="","",COUNTIFS(tblPCSInput[Call Date/Time],"&gt;="&amp;(SETUP!$B$6),tblPCSInput[Call Date/Time],"&lt;"&amp;(SETUP!$B$7),tblPCSInput[Call Direction],"I",tblPCSInput[Agent ID],$A235,tblPCSInput[Valid Q1],"&lt;=3",tblPCSInput[Valid Q1],"&gt;=1"))</f>
        <v/>
      </c>
      <c r="U235" s="11">
        <f>IF(S235="","",COUNTIFS(tblPCSInput[Call Date/Time],"&gt;="&amp;(SETUP!$B$6),tblPCSInput[Call Date/Time],"&lt;"&amp;(SETUP!$B$7),tblPCSInput[Call Direction],"I",tblPCSInput[Agent ID],$A235,tblPCSInput[Valid Q1],"&gt;3"))</f>
        <v/>
      </c>
      <c r="V235" s="13">
        <f>IFERROR(Q235/P235,"")</f>
        <v/>
      </c>
      <c r="W235" s="13">
        <f>IFERROR(R235/P235,"")</f>
        <v/>
      </c>
    </row>
    <row r="236" spans="1:23">
      <c r="A236" s="4">
        <f>IF(ROSTER!A236="","",ROSTER!A236)</f>
        <v/>
      </c>
      <c r="B236" s="4">
        <f>IF($A236="","",ROSTER!C236)</f>
        <v/>
      </c>
      <c r="C236" s="4">
        <f>IF($A236="","",ROSTER!D236)</f>
        <v/>
      </c>
      <c r="D236" s="4">
        <f>IF($A236="","",ROSTER!E236)</f>
        <v/>
      </c>
      <c r="E236" s="4">
        <f>IF($A236="","",ROSTER!F236)</f>
        <v/>
      </c>
      <c r="F236" s="11">
        <f>IF($A236="","",COUNTIFS(tblPCSInput[Call Date/Time],"&gt;="&amp;(SETUP!$B$5),tblPCSInput[Call Date/Time],"&lt;"&amp;(SETUP!$B$5+1),tblPCSInput[Call Direction],"I",tblPCSInput[Agent ID],$A236,tblPCSInput[PCSStatus],1))</f>
        <v/>
      </c>
      <c r="G236" s="11">
        <f>IF($A236="","",COUNTIFS(tblPCSInput[Call Date/Time],"&gt;="&amp;(SETUP!$B$5),tblPCSInput[Call Date/Time],"&lt;"&amp;(SETUP!$B$5+1),tblPCSInput[Call Direction],"I",tblPCSInput[Agent ID],$A236,tblPCSInput[Question 1],"&lt;&gt;"))</f>
        <v/>
      </c>
      <c r="H236" s="11">
        <f>IF($A236="","",COUNTIFS(tblPCSInput[Call Date/Time],"&gt;="&amp;(SETUP!$B$5),tblPCSInput[Call Date/Time],"&lt;"&amp;(SETUP!$B$5+1),tblPCSInput[Call Direction],"I",tblPCSInput[Agent ID],$A236,tblPCSInput[Valid Q1],"&gt;=1"))</f>
        <v/>
      </c>
      <c r="I236" s="12">
        <f>IFERROR(SUMIFS(tblPCSInput[Valid Q1],tblPCSInput[Call Date/Time],"&gt;="&amp;SETUP!$B$5,tblPCSInput[Call Date/Time],"&lt;"&amp;SETUP!$B$5+1,tblPCSInput[Call Direction],"I",tblPCSInput[Agent ID],$A236)/COUNTIFS(tblPCSInput[Call Date/Time],"&gt;="&amp;(SETUP!$B$5),tblPCSInput[Call Date/Time],"&lt;"&amp;(SETUP!$B$5+1),tblPCSInput[Call Direction],"I",tblPCSInput[Agent ID],$A236,tblPCSInput[Valid Q1],"&gt;=1"),"")</f>
        <v/>
      </c>
      <c r="J236" s="11">
        <f>IF(I236="","",COUNTIFS(tblPCSInput[Call Date/Time],"&gt;="&amp;(SETUP!$B$5),tblPCSInput[Call Date/Time],"&lt;"&amp;(SETUP!$B$5+1),tblPCSInput[Call Direction],"I",tblPCSInput[Agent ID],$A236,tblPCSInput[Valid Q1],"&lt;=3",tblPCSInput[Valid Q1],"&gt;=1"))</f>
        <v/>
      </c>
      <c r="K236" s="11">
        <f>IF(I236="","",COUNTIFS(tblPCSInput[Call Date/Time],"&gt;="&amp;(SETUP!$B$5),tblPCSInput[Call Date/Time],"&lt;"&amp;(SETUP!$B$5+1),tblPCSInput[Call Direction],"I",tblPCSInput[Agent ID],$A236,tblPCSInput[Valid Q1],"&gt;3"))</f>
        <v/>
      </c>
      <c r="L236" s="13">
        <f>IFERROR(G236/F236,"")</f>
        <v/>
      </c>
      <c r="M236" s="13">
        <f>IFERROR(H236/F236,"")</f>
        <v/>
      </c>
      <c r="N236" s="11">
        <f>IF($A236="","",MAX(0,G236-H236))</f>
        <v/>
      </c>
      <c r="O236" s="4">
        <f>IF($A236="","",IF(H236=0,"NO VALID SURVEY",IF(H236&lt;5,"LOW SAMPLE","OK")))</f>
        <v/>
      </c>
      <c r="P236" s="11">
        <f>IF($A236="","",COUNTIFS(tblPCSInput[Call Date/Time],"&gt;="&amp;(SETUP!$B$6),tblPCSInput[Call Date/Time],"&lt;"&amp;(SETUP!$B$7),tblPCSInput[Call Direction],"I",tblPCSInput[Agent ID],$A236,tblPCSInput[PCSStatus],1))</f>
        <v/>
      </c>
      <c r="Q236" s="11">
        <f>IF($A236="","",COUNTIFS(tblPCSInput[Call Date/Time],"&gt;="&amp;(SETUP!$B$6),tblPCSInput[Call Date/Time],"&lt;"&amp;(SETUP!$B$7),tblPCSInput[Call Direction],"I",tblPCSInput[Agent ID],$A236,tblPCSInput[Question 1],"&lt;&gt;"))</f>
        <v/>
      </c>
      <c r="R236" s="11">
        <f>IF($A236="","",COUNTIFS(tblPCSInput[Call Date/Time],"&gt;="&amp;(SETUP!$B$6),tblPCSInput[Call Date/Time],"&lt;"&amp;(SETUP!$B$7),tblPCSInput[Call Direction],"I",tblPCSInput[Agent ID],$A236,tblPCSInput[Valid Q1],"&gt;=1"))</f>
        <v/>
      </c>
      <c r="S236" s="12">
        <f>IFERROR(SUMIFS(tblPCSInput[Valid Q1],tblPCSInput[Call Date/Time],"&gt;="&amp;SETUP!$B$6,tblPCSInput[Call Date/Time],"&lt;"&amp;SETUP!$B$7,tblPCSInput[Call Direction],"I",tblPCSInput[Agent ID],$A236)/COUNTIFS(tblPCSInput[Call Date/Time],"&gt;="&amp;(SETUP!$B$6),tblPCSInput[Call Date/Time],"&lt;"&amp;(SETUP!$B$7),tblPCSInput[Call Direction],"I",tblPCSInput[Agent ID],$A236,tblPCSInput[Valid Q1],"&gt;=1"),"")</f>
        <v/>
      </c>
      <c r="T236" s="11">
        <f>IF(S236="","",COUNTIFS(tblPCSInput[Call Date/Time],"&gt;="&amp;(SETUP!$B$6),tblPCSInput[Call Date/Time],"&lt;"&amp;(SETUP!$B$7),tblPCSInput[Call Direction],"I",tblPCSInput[Agent ID],$A236,tblPCSInput[Valid Q1],"&lt;=3",tblPCSInput[Valid Q1],"&gt;=1"))</f>
        <v/>
      </c>
      <c r="U236" s="11">
        <f>IF(S236="","",COUNTIFS(tblPCSInput[Call Date/Time],"&gt;="&amp;(SETUP!$B$6),tblPCSInput[Call Date/Time],"&lt;"&amp;(SETUP!$B$7),tblPCSInput[Call Direction],"I",tblPCSInput[Agent ID],$A236,tblPCSInput[Valid Q1],"&gt;3"))</f>
        <v/>
      </c>
      <c r="V236" s="13">
        <f>IFERROR(Q236/P236,"")</f>
        <v/>
      </c>
      <c r="W236" s="13">
        <f>IFERROR(R236/P236,"")</f>
        <v/>
      </c>
    </row>
    <row r="237" spans="1:23">
      <c r="A237" s="4">
        <f>IF(ROSTER!A237="","",ROSTER!A237)</f>
        <v/>
      </c>
      <c r="B237" s="4">
        <f>IF($A237="","",ROSTER!C237)</f>
        <v/>
      </c>
      <c r="C237" s="4">
        <f>IF($A237="","",ROSTER!D237)</f>
        <v/>
      </c>
      <c r="D237" s="4">
        <f>IF($A237="","",ROSTER!E237)</f>
        <v/>
      </c>
      <c r="E237" s="4">
        <f>IF($A237="","",ROSTER!F237)</f>
        <v/>
      </c>
      <c r="F237" s="11">
        <f>IF($A237="","",COUNTIFS(tblPCSInput[Call Date/Time],"&gt;="&amp;(SETUP!$B$5),tblPCSInput[Call Date/Time],"&lt;"&amp;(SETUP!$B$5+1),tblPCSInput[Call Direction],"I",tblPCSInput[Agent ID],$A237,tblPCSInput[PCSStatus],1))</f>
        <v/>
      </c>
      <c r="G237" s="11">
        <f>IF($A237="","",COUNTIFS(tblPCSInput[Call Date/Time],"&gt;="&amp;(SETUP!$B$5),tblPCSInput[Call Date/Time],"&lt;"&amp;(SETUP!$B$5+1),tblPCSInput[Call Direction],"I",tblPCSInput[Agent ID],$A237,tblPCSInput[Question 1],"&lt;&gt;"))</f>
        <v/>
      </c>
      <c r="H237" s="11">
        <f>IF($A237="","",COUNTIFS(tblPCSInput[Call Date/Time],"&gt;="&amp;(SETUP!$B$5),tblPCSInput[Call Date/Time],"&lt;"&amp;(SETUP!$B$5+1),tblPCSInput[Call Direction],"I",tblPCSInput[Agent ID],$A237,tblPCSInput[Valid Q1],"&gt;=1"))</f>
        <v/>
      </c>
      <c r="I237" s="12">
        <f>IFERROR(SUMIFS(tblPCSInput[Valid Q1],tblPCSInput[Call Date/Time],"&gt;="&amp;SETUP!$B$5,tblPCSInput[Call Date/Time],"&lt;"&amp;SETUP!$B$5+1,tblPCSInput[Call Direction],"I",tblPCSInput[Agent ID],$A237)/COUNTIFS(tblPCSInput[Call Date/Time],"&gt;="&amp;(SETUP!$B$5),tblPCSInput[Call Date/Time],"&lt;"&amp;(SETUP!$B$5+1),tblPCSInput[Call Direction],"I",tblPCSInput[Agent ID],$A237,tblPCSInput[Valid Q1],"&gt;=1"),"")</f>
        <v/>
      </c>
      <c r="J237" s="11">
        <f>IF(I237="","",COUNTIFS(tblPCSInput[Call Date/Time],"&gt;="&amp;(SETUP!$B$5),tblPCSInput[Call Date/Time],"&lt;"&amp;(SETUP!$B$5+1),tblPCSInput[Call Direction],"I",tblPCSInput[Agent ID],$A237,tblPCSInput[Valid Q1],"&lt;=3",tblPCSInput[Valid Q1],"&gt;=1"))</f>
        <v/>
      </c>
      <c r="K237" s="11">
        <f>IF(I237="","",COUNTIFS(tblPCSInput[Call Date/Time],"&gt;="&amp;(SETUP!$B$5),tblPCSInput[Call Date/Time],"&lt;"&amp;(SETUP!$B$5+1),tblPCSInput[Call Direction],"I",tblPCSInput[Agent ID],$A237,tblPCSInput[Valid Q1],"&gt;3"))</f>
        <v/>
      </c>
      <c r="L237" s="13">
        <f>IFERROR(G237/F237,"")</f>
        <v/>
      </c>
      <c r="M237" s="13">
        <f>IFERROR(H237/F237,"")</f>
        <v/>
      </c>
      <c r="N237" s="11">
        <f>IF($A237="","",MAX(0,G237-H237))</f>
        <v/>
      </c>
      <c r="O237" s="4">
        <f>IF($A237="","",IF(H237=0,"NO VALID SURVEY",IF(H237&lt;5,"LOW SAMPLE","OK")))</f>
        <v/>
      </c>
      <c r="P237" s="11">
        <f>IF($A237="","",COUNTIFS(tblPCSInput[Call Date/Time],"&gt;="&amp;(SETUP!$B$6),tblPCSInput[Call Date/Time],"&lt;"&amp;(SETUP!$B$7),tblPCSInput[Call Direction],"I",tblPCSInput[Agent ID],$A237,tblPCSInput[PCSStatus],1))</f>
        <v/>
      </c>
      <c r="Q237" s="11">
        <f>IF($A237="","",COUNTIFS(tblPCSInput[Call Date/Time],"&gt;="&amp;(SETUP!$B$6),tblPCSInput[Call Date/Time],"&lt;"&amp;(SETUP!$B$7),tblPCSInput[Call Direction],"I",tblPCSInput[Agent ID],$A237,tblPCSInput[Question 1],"&lt;&gt;"))</f>
        <v/>
      </c>
      <c r="R237" s="11">
        <f>IF($A237="","",COUNTIFS(tblPCSInput[Call Date/Time],"&gt;="&amp;(SETUP!$B$6),tblPCSInput[Call Date/Time],"&lt;"&amp;(SETUP!$B$7),tblPCSInput[Call Direction],"I",tblPCSInput[Agent ID],$A237,tblPCSInput[Valid Q1],"&gt;=1"))</f>
        <v/>
      </c>
      <c r="S237" s="12">
        <f>IFERROR(SUMIFS(tblPCSInput[Valid Q1],tblPCSInput[Call Date/Time],"&gt;="&amp;SETUP!$B$6,tblPCSInput[Call Date/Time],"&lt;"&amp;SETUP!$B$7,tblPCSInput[Call Direction],"I",tblPCSInput[Agent ID],$A237)/COUNTIFS(tblPCSInput[Call Date/Time],"&gt;="&amp;(SETUP!$B$6),tblPCSInput[Call Date/Time],"&lt;"&amp;(SETUP!$B$7),tblPCSInput[Call Direction],"I",tblPCSInput[Agent ID],$A237,tblPCSInput[Valid Q1],"&gt;=1"),"")</f>
        <v/>
      </c>
      <c r="T237" s="11">
        <f>IF(S237="","",COUNTIFS(tblPCSInput[Call Date/Time],"&gt;="&amp;(SETUP!$B$6),tblPCSInput[Call Date/Time],"&lt;"&amp;(SETUP!$B$7),tblPCSInput[Call Direction],"I",tblPCSInput[Agent ID],$A237,tblPCSInput[Valid Q1],"&lt;=3",tblPCSInput[Valid Q1],"&gt;=1"))</f>
        <v/>
      </c>
      <c r="U237" s="11">
        <f>IF(S237="","",COUNTIFS(tblPCSInput[Call Date/Time],"&gt;="&amp;(SETUP!$B$6),tblPCSInput[Call Date/Time],"&lt;"&amp;(SETUP!$B$7),tblPCSInput[Call Direction],"I",tblPCSInput[Agent ID],$A237,tblPCSInput[Valid Q1],"&gt;3"))</f>
        <v/>
      </c>
      <c r="V237" s="13">
        <f>IFERROR(Q237/P237,"")</f>
        <v/>
      </c>
      <c r="W237" s="13">
        <f>IFERROR(R237/P237,"")</f>
        <v/>
      </c>
    </row>
    <row r="238" spans="1:23">
      <c r="A238" s="4">
        <f>IF(ROSTER!A238="","",ROSTER!A238)</f>
        <v/>
      </c>
      <c r="B238" s="4">
        <f>IF($A238="","",ROSTER!C238)</f>
        <v/>
      </c>
      <c r="C238" s="4">
        <f>IF($A238="","",ROSTER!D238)</f>
        <v/>
      </c>
      <c r="D238" s="4">
        <f>IF($A238="","",ROSTER!E238)</f>
        <v/>
      </c>
      <c r="E238" s="4">
        <f>IF($A238="","",ROSTER!F238)</f>
        <v/>
      </c>
      <c r="F238" s="11">
        <f>IF($A238="","",COUNTIFS(tblPCSInput[Call Date/Time],"&gt;="&amp;(SETUP!$B$5),tblPCSInput[Call Date/Time],"&lt;"&amp;(SETUP!$B$5+1),tblPCSInput[Call Direction],"I",tblPCSInput[Agent ID],$A238,tblPCSInput[PCSStatus],1))</f>
        <v/>
      </c>
      <c r="G238" s="11">
        <f>IF($A238="","",COUNTIFS(tblPCSInput[Call Date/Time],"&gt;="&amp;(SETUP!$B$5),tblPCSInput[Call Date/Time],"&lt;"&amp;(SETUP!$B$5+1),tblPCSInput[Call Direction],"I",tblPCSInput[Agent ID],$A238,tblPCSInput[Question 1],"&lt;&gt;"))</f>
        <v/>
      </c>
      <c r="H238" s="11">
        <f>IF($A238="","",COUNTIFS(tblPCSInput[Call Date/Time],"&gt;="&amp;(SETUP!$B$5),tblPCSInput[Call Date/Time],"&lt;"&amp;(SETUP!$B$5+1),tblPCSInput[Call Direction],"I",tblPCSInput[Agent ID],$A238,tblPCSInput[Valid Q1],"&gt;=1"))</f>
        <v/>
      </c>
      <c r="I238" s="12">
        <f>IFERROR(SUMIFS(tblPCSInput[Valid Q1],tblPCSInput[Call Date/Time],"&gt;="&amp;SETUP!$B$5,tblPCSInput[Call Date/Time],"&lt;"&amp;SETUP!$B$5+1,tblPCSInput[Call Direction],"I",tblPCSInput[Agent ID],$A238)/COUNTIFS(tblPCSInput[Call Date/Time],"&gt;="&amp;(SETUP!$B$5),tblPCSInput[Call Date/Time],"&lt;"&amp;(SETUP!$B$5+1),tblPCSInput[Call Direction],"I",tblPCSInput[Agent ID],$A238,tblPCSInput[Valid Q1],"&gt;=1"),"")</f>
        <v/>
      </c>
      <c r="J238" s="11">
        <f>IF(I238="","",COUNTIFS(tblPCSInput[Call Date/Time],"&gt;="&amp;(SETUP!$B$5),tblPCSInput[Call Date/Time],"&lt;"&amp;(SETUP!$B$5+1),tblPCSInput[Call Direction],"I",tblPCSInput[Agent ID],$A238,tblPCSInput[Valid Q1],"&lt;=3",tblPCSInput[Valid Q1],"&gt;=1"))</f>
        <v/>
      </c>
      <c r="K238" s="11">
        <f>IF(I238="","",COUNTIFS(tblPCSInput[Call Date/Time],"&gt;="&amp;(SETUP!$B$5),tblPCSInput[Call Date/Time],"&lt;"&amp;(SETUP!$B$5+1),tblPCSInput[Call Direction],"I",tblPCSInput[Agent ID],$A238,tblPCSInput[Valid Q1],"&gt;3"))</f>
        <v/>
      </c>
      <c r="L238" s="13">
        <f>IFERROR(G238/F238,"")</f>
        <v/>
      </c>
      <c r="M238" s="13">
        <f>IFERROR(H238/F238,"")</f>
        <v/>
      </c>
      <c r="N238" s="11">
        <f>IF($A238="","",MAX(0,G238-H238))</f>
        <v/>
      </c>
      <c r="O238" s="4">
        <f>IF($A238="","",IF(H238=0,"NO VALID SURVEY",IF(H238&lt;5,"LOW SAMPLE","OK")))</f>
        <v/>
      </c>
      <c r="P238" s="11">
        <f>IF($A238="","",COUNTIFS(tblPCSInput[Call Date/Time],"&gt;="&amp;(SETUP!$B$6),tblPCSInput[Call Date/Time],"&lt;"&amp;(SETUP!$B$7),tblPCSInput[Call Direction],"I",tblPCSInput[Agent ID],$A238,tblPCSInput[PCSStatus],1))</f>
        <v/>
      </c>
      <c r="Q238" s="11">
        <f>IF($A238="","",COUNTIFS(tblPCSInput[Call Date/Time],"&gt;="&amp;(SETUP!$B$6),tblPCSInput[Call Date/Time],"&lt;"&amp;(SETUP!$B$7),tblPCSInput[Call Direction],"I",tblPCSInput[Agent ID],$A238,tblPCSInput[Question 1],"&lt;&gt;"))</f>
        <v/>
      </c>
      <c r="R238" s="11">
        <f>IF($A238="","",COUNTIFS(tblPCSInput[Call Date/Time],"&gt;="&amp;(SETUP!$B$6),tblPCSInput[Call Date/Time],"&lt;"&amp;(SETUP!$B$7),tblPCSInput[Call Direction],"I",tblPCSInput[Agent ID],$A238,tblPCSInput[Valid Q1],"&gt;=1"))</f>
        <v/>
      </c>
      <c r="S238" s="12">
        <f>IFERROR(SUMIFS(tblPCSInput[Valid Q1],tblPCSInput[Call Date/Time],"&gt;="&amp;SETUP!$B$6,tblPCSInput[Call Date/Time],"&lt;"&amp;SETUP!$B$7,tblPCSInput[Call Direction],"I",tblPCSInput[Agent ID],$A238)/COUNTIFS(tblPCSInput[Call Date/Time],"&gt;="&amp;(SETUP!$B$6),tblPCSInput[Call Date/Time],"&lt;"&amp;(SETUP!$B$7),tblPCSInput[Call Direction],"I",tblPCSInput[Agent ID],$A238,tblPCSInput[Valid Q1],"&gt;=1"),"")</f>
        <v/>
      </c>
      <c r="T238" s="11">
        <f>IF(S238="","",COUNTIFS(tblPCSInput[Call Date/Time],"&gt;="&amp;(SETUP!$B$6),tblPCSInput[Call Date/Time],"&lt;"&amp;(SETUP!$B$7),tblPCSInput[Call Direction],"I",tblPCSInput[Agent ID],$A238,tblPCSInput[Valid Q1],"&lt;=3",tblPCSInput[Valid Q1],"&gt;=1"))</f>
        <v/>
      </c>
      <c r="U238" s="11">
        <f>IF(S238="","",COUNTIFS(tblPCSInput[Call Date/Time],"&gt;="&amp;(SETUP!$B$6),tblPCSInput[Call Date/Time],"&lt;"&amp;(SETUP!$B$7),tblPCSInput[Call Direction],"I",tblPCSInput[Agent ID],$A238,tblPCSInput[Valid Q1],"&gt;3"))</f>
        <v/>
      </c>
      <c r="V238" s="13">
        <f>IFERROR(Q238/P238,"")</f>
        <v/>
      </c>
      <c r="W238" s="13">
        <f>IFERROR(R238/P238,"")</f>
        <v/>
      </c>
    </row>
    <row r="239" spans="1:23">
      <c r="A239" s="4">
        <f>IF(ROSTER!A239="","",ROSTER!A239)</f>
        <v/>
      </c>
      <c r="B239" s="4">
        <f>IF($A239="","",ROSTER!C239)</f>
        <v/>
      </c>
      <c r="C239" s="4">
        <f>IF($A239="","",ROSTER!D239)</f>
        <v/>
      </c>
      <c r="D239" s="4">
        <f>IF($A239="","",ROSTER!E239)</f>
        <v/>
      </c>
      <c r="E239" s="4">
        <f>IF($A239="","",ROSTER!F239)</f>
        <v/>
      </c>
      <c r="F239" s="11">
        <f>IF($A239="","",COUNTIFS(tblPCSInput[Call Date/Time],"&gt;="&amp;(SETUP!$B$5),tblPCSInput[Call Date/Time],"&lt;"&amp;(SETUP!$B$5+1),tblPCSInput[Call Direction],"I",tblPCSInput[Agent ID],$A239,tblPCSInput[PCSStatus],1))</f>
        <v/>
      </c>
      <c r="G239" s="11">
        <f>IF($A239="","",COUNTIFS(tblPCSInput[Call Date/Time],"&gt;="&amp;(SETUP!$B$5),tblPCSInput[Call Date/Time],"&lt;"&amp;(SETUP!$B$5+1),tblPCSInput[Call Direction],"I",tblPCSInput[Agent ID],$A239,tblPCSInput[Question 1],"&lt;&gt;"))</f>
        <v/>
      </c>
      <c r="H239" s="11">
        <f>IF($A239="","",COUNTIFS(tblPCSInput[Call Date/Time],"&gt;="&amp;(SETUP!$B$5),tblPCSInput[Call Date/Time],"&lt;"&amp;(SETUP!$B$5+1),tblPCSInput[Call Direction],"I",tblPCSInput[Agent ID],$A239,tblPCSInput[Valid Q1],"&gt;=1"))</f>
        <v/>
      </c>
      <c r="I239" s="12">
        <f>IFERROR(SUMIFS(tblPCSInput[Valid Q1],tblPCSInput[Call Date/Time],"&gt;="&amp;SETUP!$B$5,tblPCSInput[Call Date/Time],"&lt;"&amp;SETUP!$B$5+1,tblPCSInput[Call Direction],"I",tblPCSInput[Agent ID],$A239)/COUNTIFS(tblPCSInput[Call Date/Time],"&gt;="&amp;(SETUP!$B$5),tblPCSInput[Call Date/Time],"&lt;"&amp;(SETUP!$B$5+1),tblPCSInput[Call Direction],"I",tblPCSInput[Agent ID],$A239,tblPCSInput[Valid Q1],"&gt;=1"),"")</f>
        <v/>
      </c>
      <c r="J239" s="11">
        <f>IF(I239="","",COUNTIFS(tblPCSInput[Call Date/Time],"&gt;="&amp;(SETUP!$B$5),tblPCSInput[Call Date/Time],"&lt;"&amp;(SETUP!$B$5+1),tblPCSInput[Call Direction],"I",tblPCSInput[Agent ID],$A239,tblPCSInput[Valid Q1],"&lt;=3",tblPCSInput[Valid Q1],"&gt;=1"))</f>
        <v/>
      </c>
      <c r="K239" s="11">
        <f>IF(I239="","",COUNTIFS(tblPCSInput[Call Date/Time],"&gt;="&amp;(SETUP!$B$5),tblPCSInput[Call Date/Time],"&lt;"&amp;(SETUP!$B$5+1),tblPCSInput[Call Direction],"I",tblPCSInput[Agent ID],$A239,tblPCSInput[Valid Q1],"&gt;3"))</f>
        <v/>
      </c>
      <c r="L239" s="13">
        <f>IFERROR(G239/F239,"")</f>
        <v/>
      </c>
      <c r="M239" s="13">
        <f>IFERROR(H239/F239,"")</f>
        <v/>
      </c>
      <c r="N239" s="11">
        <f>IF($A239="","",MAX(0,G239-H239))</f>
        <v/>
      </c>
      <c r="O239" s="4">
        <f>IF($A239="","",IF(H239=0,"NO VALID SURVEY",IF(H239&lt;5,"LOW SAMPLE","OK")))</f>
        <v/>
      </c>
      <c r="P239" s="11">
        <f>IF($A239="","",COUNTIFS(tblPCSInput[Call Date/Time],"&gt;="&amp;(SETUP!$B$6),tblPCSInput[Call Date/Time],"&lt;"&amp;(SETUP!$B$7),tblPCSInput[Call Direction],"I",tblPCSInput[Agent ID],$A239,tblPCSInput[PCSStatus],1))</f>
        <v/>
      </c>
      <c r="Q239" s="11">
        <f>IF($A239="","",COUNTIFS(tblPCSInput[Call Date/Time],"&gt;="&amp;(SETUP!$B$6),tblPCSInput[Call Date/Time],"&lt;"&amp;(SETUP!$B$7),tblPCSInput[Call Direction],"I",tblPCSInput[Agent ID],$A239,tblPCSInput[Question 1],"&lt;&gt;"))</f>
        <v/>
      </c>
      <c r="R239" s="11">
        <f>IF($A239="","",COUNTIFS(tblPCSInput[Call Date/Time],"&gt;="&amp;(SETUP!$B$6),tblPCSInput[Call Date/Time],"&lt;"&amp;(SETUP!$B$7),tblPCSInput[Call Direction],"I",tblPCSInput[Agent ID],$A239,tblPCSInput[Valid Q1],"&gt;=1"))</f>
        <v/>
      </c>
      <c r="S239" s="12">
        <f>IFERROR(SUMIFS(tblPCSInput[Valid Q1],tblPCSInput[Call Date/Time],"&gt;="&amp;SETUP!$B$6,tblPCSInput[Call Date/Time],"&lt;"&amp;SETUP!$B$7,tblPCSInput[Call Direction],"I",tblPCSInput[Agent ID],$A239)/COUNTIFS(tblPCSInput[Call Date/Time],"&gt;="&amp;(SETUP!$B$6),tblPCSInput[Call Date/Time],"&lt;"&amp;(SETUP!$B$7),tblPCSInput[Call Direction],"I",tblPCSInput[Agent ID],$A239,tblPCSInput[Valid Q1],"&gt;=1"),"")</f>
        <v/>
      </c>
      <c r="T239" s="11">
        <f>IF(S239="","",COUNTIFS(tblPCSInput[Call Date/Time],"&gt;="&amp;(SETUP!$B$6),tblPCSInput[Call Date/Time],"&lt;"&amp;(SETUP!$B$7),tblPCSInput[Call Direction],"I",tblPCSInput[Agent ID],$A239,tblPCSInput[Valid Q1],"&lt;=3",tblPCSInput[Valid Q1],"&gt;=1"))</f>
        <v/>
      </c>
      <c r="U239" s="11">
        <f>IF(S239="","",COUNTIFS(tblPCSInput[Call Date/Time],"&gt;="&amp;(SETUP!$B$6),tblPCSInput[Call Date/Time],"&lt;"&amp;(SETUP!$B$7),tblPCSInput[Call Direction],"I",tblPCSInput[Agent ID],$A239,tblPCSInput[Valid Q1],"&gt;3"))</f>
        <v/>
      </c>
      <c r="V239" s="13">
        <f>IFERROR(Q239/P239,"")</f>
        <v/>
      </c>
      <c r="W239" s="13">
        <f>IFERROR(R239/P239,"")</f>
        <v/>
      </c>
    </row>
    <row r="240" spans="1:23">
      <c r="A240" s="4">
        <f>IF(ROSTER!A240="","",ROSTER!A240)</f>
        <v/>
      </c>
      <c r="B240" s="4">
        <f>IF($A240="","",ROSTER!C240)</f>
        <v/>
      </c>
      <c r="C240" s="4">
        <f>IF($A240="","",ROSTER!D240)</f>
        <v/>
      </c>
      <c r="D240" s="4">
        <f>IF($A240="","",ROSTER!E240)</f>
        <v/>
      </c>
      <c r="E240" s="4">
        <f>IF($A240="","",ROSTER!F240)</f>
        <v/>
      </c>
      <c r="F240" s="11">
        <f>IF($A240="","",COUNTIFS(tblPCSInput[Call Date/Time],"&gt;="&amp;(SETUP!$B$5),tblPCSInput[Call Date/Time],"&lt;"&amp;(SETUP!$B$5+1),tblPCSInput[Call Direction],"I",tblPCSInput[Agent ID],$A240,tblPCSInput[PCSStatus],1))</f>
        <v/>
      </c>
      <c r="G240" s="11">
        <f>IF($A240="","",COUNTIFS(tblPCSInput[Call Date/Time],"&gt;="&amp;(SETUP!$B$5),tblPCSInput[Call Date/Time],"&lt;"&amp;(SETUP!$B$5+1),tblPCSInput[Call Direction],"I",tblPCSInput[Agent ID],$A240,tblPCSInput[Question 1],"&lt;&gt;"))</f>
        <v/>
      </c>
      <c r="H240" s="11">
        <f>IF($A240="","",COUNTIFS(tblPCSInput[Call Date/Time],"&gt;="&amp;(SETUP!$B$5),tblPCSInput[Call Date/Time],"&lt;"&amp;(SETUP!$B$5+1),tblPCSInput[Call Direction],"I",tblPCSInput[Agent ID],$A240,tblPCSInput[Valid Q1],"&gt;=1"))</f>
        <v/>
      </c>
      <c r="I240" s="12">
        <f>IFERROR(SUMIFS(tblPCSInput[Valid Q1],tblPCSInput[Call Date/Time],"&gt;="&amp;SETUP!$B$5,tblPCSInput[Call Date/Time],"&lt;"&amp;SETUP!$B$5+1,tblPCSInput[Call Direction],"I",tblPCSInput[Agent ID],$A240)/COUNTIFS(tblPCSInput[Call Date/Time],"&gt;="&amp;(SETUP!$B$5),tblPCSInput[Call Date/Time],"&lt;"&amp;(SETUP!$B$5+1),tblPCSInput[Call Direction],"I",tblPCSInput[Agent ID],$A240,tblPCSInput[Valid Q1],"&gt;=1"),"")</f>
        <v/>
      </c>
      <c r="J240" s="11">
        <f>IF(I240="","",COUNTIFS(tblPCSInput[Call Date/Time],"&gt;="&amp;(SETUP!$B$5),tblPCSInput[Call Date/Time],"&lt;"&amp;(SETUP!$B$5+1),tblPCSInput[Call Direction],"I",tblPCSInput[Agent ID],$A240,tblPCSInput[Valid Q1],"&lt;=3",tblPCSInput[Valid Q1],"&gt;=1"))</f>
        <v/>
      </c>
      <c r="K240" s="11">
        <f>IF(I240="","",COUNTIFS(tblPCSInput[Call Date/Time],"&gt;="&amp;(SETUP!$B$5),tblPCSInput[Call Date/Time],"&lt;"&amp;(SETUP!$B$5+1),tblPCSInput[Call Direction],"I",tblPCSInput[Agent ID],$A240,tblPCSInput[Valid Q1],"&gt;3"))</f>
        <v/>
      </c>
      <c r="L240" s="13">
        <f>IFERROR(G240/F240,"")</f>
        <v/>
      </c>
      <c r="M240" s="13">
        <f>IFERROR(H240/F240,"")</f>
        <v/>
      </c>
      <c r="N240" s="11">
        <f>IF($A240="","",MAX(0,G240-H240))</f>
        <v/>
      </c>
      <c r="O240" s="4">
        <f>IF($A240="","",IF(H240=0,"NO VALID SURVEY",IF(H240&lt;5,"LOW SAMPLE","OK")))</f>
        <v/>
      </c>
      <c r="P240" s="11">
        <f>IF($A240="","",COUNTIFS(tblPCSInput[Call Date/Time],"&gt;="&amp;(SETUP!$B$6),tblPCSInput[Call Date/Time],"&lt;"&amp;(SETUP!$B$7),tblPCSInput[Call Direction],"I",tblPCSInput[Agent ID],$A240,tblPCSInput[PCSStatus],1))</f>
        <v/>
      </c>
      <c r="Q240" s="11">
        <f>IF($A240="","",COUNTIFS(tblPCSInput[Call Date/Time],"&gt;="&amp;(SETUP!$B$6),tblPCSInput[Call Date/Time],"&lt;"&amp;(SETUP!$B$7),tblPCSInput[Call Direction],"I",tblPCSInput[Agent ID],$A240,tblPCSInput[Question 1],"&lt;&gt;"))</f>
        <v/>
      </c>
      <c r="R240" s="11">
        <f>IF($A240="","",COUNTIFS(tblPCSInput[Call Date/Time],"&gt;="&amp;(SETUP!$B$6),tblPCSInput[Call Date/Time],"&lt;"&amp;(SETUP!$B$7),tblPCSInput[Call Direction],"I",tblPCSInput[Agent ID],$A240,tblPCSInput[Valid Q1],"&gt;=1"))</f>
        <v/>
      </c>
      <c r="S240" s="12">
        <f>IFERROR(SUMIFS(tblPCSInput[Valid Q1],tblPCSInput[Call Date/Time],"&gt;="&amp;SETUP!$B$6,tblPCSInput[Call Date/Time],"&lt;"&amp;SETUP!$B$7,tblPCSInput[Call Direction],"I",tblPCSInput[Agent ID],$A240)/COUNTIFS(tblPCSInput[Call Date/Time],"&gt;="&amp;(SETUP!$B$6),tblPCSInput[Call Date/Time],"&lt;"&amp;(SETUP!$B$7),tblPCSInput[Call Direction],"I",tblPCSInput[Agent ID],$A240,tblPCSInput[Valid Q1],"&gt;=1"),"")</f>
        <v/>
      </c>
      <c r="T240" s="11">
        <f>IF(S240="","",COUNTIFS(tblPCSInput[Call Date/Time],"&gt;="&amp;(SETUP!$B$6),tblPCSInput[Call Date/Time],"&lt;"&amp;(SETUP!$B$7),tblPCSInput[Call Direction],"I",tblPCSInput[Agent ID],$A240,tblPCSInput[Valid Q1],"&lt;=3",tblPCSInput[Valid Q1],"&gt;=1"))</f>
        <v/>
      </c>
      <c r="U240" s="11">
        <f>IF(S240="","",COUNTIFS(tblPCSInput[Call Date/Time],"&gt;="&amp;(SETUP!$B$6),tblPCSInput[Call Date/Time],"&lt;"&amp;(SETUP!$B$7),tblPCSInput[Call Direction],"I",tblPCSInput[Agent ID],$A240,tblPCSInput[Valid Q1],"&gt;3"))</f>
        <v/>
      </c>
      <c r="V240" s="13">
        <f>IFERROR(Q240/P240,"")</f>
        <v/>
      </c>
      <c r="W240" s="13">
        <f>IFERROR(R240/P240,"")</f>
        <v/>
      </c>
    </row>
    <row r="241" spans="1:23">
      <c r="A241" s="4">
        <f>IF(ROSTER!A241="","",ROSTER!A241)</f>
        <v/>
      </c>
      <c r="B241" s="4">
        <f>IF($A241="","",ROSTER!C241)</f>
        <v/>
      </c>
      <c r="C241" s="4">
        <f>IF($A241="","",ROSTER!D241)</f>
        <v/>
      </c>
      <c r="D241" s="4">
        <f>IF($A241="","",ROSTER!E241)</f>
        <v/>
      </c>
      <c r="E241" s="4">
        <f>IF($A241="","",ROSTER!F241)</f>
        <v/>
      </c>
      <c r="F241" s="11">
        <f>IF($A241="","",COUNTIFS(tblPCSInput[Call Date/Time],"&gt;="&amp;(SETUP!$B$5),tblPCSInput[Call Date/Time],"&lt;"&amp;(SETUP!$B$5+1),tblPCSInput[Call Direction],"I",tblPCSInput[Agent ID],$A241,tblPCSInput[PCSStatus],1))</f>
        <v/>
      </c>
      <c r="G241" s="11">
        <f>IF($A241="","",COUNTIFS(tblPCSInput[Call Date/Time],"&gt;="&amp;(SETUP!$B$5),tblPCSInput[Call Date/Time],"&lt;"&amp;(SETUP!$B$5+1),tblPCSInput[Call Direction],"I",tblPCSInput[Agent ID],$A241,tblPCSInput[Question 1],"&lt;&gt;"))</f>
        <v/>
      </c>
      <c r="H241" s="11">
        <f>IF($A241="","",COUNTIFS(tblPCSInput[Call Date/Time],"&gt;="&amp;(SETUP!$B$5),tblPCSInput[Call Date/Time],"&lt;"&amp;(SETUP!$B$5+1),tblPCSInput[Call Direction],"I",tblPCSInput[Agent ID],$A241,tblPCSInput[Valid Q1],"&gt;=1"))</f>
        <v/>
      </c>
      <c r="I241" s="12">
        <f>IFERROR(SUMIFS(tblPCSInput[Valid Q1],tblPCSInput[Call Date/Time],"&gt;="&amp;SETUP!$B$5,tblPCSInput[Call Date/Time],"&lt;"&amp;SETUP!$B$5+1,tblPCSInput[Call Direction],"I",tblPCSInput[Agent ID],$A241)/COUNTIFS(tblPCSInput[Call Date/Time],"&gt;="&amp;(SETUP!$B$5),tblPCSInput[Call Date/Time],"&lt;"&amp;(SETUP!$B$5+1),tblPCSInput[Call Direction],"I",tblPCSInput[Agent ID],$A241,tblPCSInput[Valid Q1],"&gt;=1"),"")</f>
        <v/>
      </c>
      <c r="J241" s="11">
        <f>IF(I241="","",COUNTIFS(tblPCSInput[Call Date/Time],"&gt;="&amp;(SETUP!$B$5),tblPCSInput[Call Date/Time],"&lt;"&amp;(SETUP!$B$5+1),tblPCSInput[Call Direction],"I",tblPCSInput[Agent ID],$A241,tblPCSInput[Valid Q1],"&lt;=3",tblPCSInput[Valid Q1],"&gt;=1"))</f>
        <v/>
      </c>
      <c r="K241" s="11">
        <f>IF(I241="","",COUNTIFS(tblPCSInput[Call Date/Time],"&gt;="&amp;(SETUP!$B$5),tblPCSInput[Call Date/Time],"&lt;"&amp;(SETUP!$B$5+1),tblPCSInput[Call Direction],"I",tblPCSInput[Agent ID],$A241,tblPCSInput[Valid Q1],"&gt;3"))</f>
        <v/>
      </c>
      <c r="L241" s="13">
        <f>IFERROR(G241/F241,"")</f>
        <v/>
      </c>
      <c r="M241" s="13">
        <f>IFERROR(H241/F241,"")</f>
        <v/>
      </c>
      <c r="N241" s="11">
        <f>IF($A241="","",MAX(0,G241-H241))</f>
        <v/>
      </c>
      <c r="O241" s="4">
        <f>IF($A241="","",IF(H241=0,"NO VALID SURVEY",IF(H241&lt;5,"LOW SAMPLE","OK")))</f>
        <v/>
      </c>
      <c r="P241" s="11">
        <f>IF($A241="","",COUNTIFS(tblPCSInput[Call Date/Time],"&gt;="&amp;(SETUP!$B$6),tblPCSInput[Call Date/Time],"&lt;"&amp;(SETUP!$B$7),tblPCSInput[Call Direction],"I",tblPCSInput[Agent ID],$A241,tblPCSInput[PCSStatus],1))</f>
        <v/>
      </c>
      <c r="Q241" s="11">
        <f>IF($A241="","",COUNTIFS(tblPCSInput[Call Date/Time],"&gt;="&amp;(SETUP!$B$6),tblPCSInput[Call Date/Time],"&lt;"&amp;(SETUP!$B$7),tblPCSInput[Call Direction],"I",tblPCSInput[Agent ID],$A241,tblPCSInput[Question 1],"&lt;&gt;"))</f>
        <v/>
      </c>
      <c r="R241" s="11">
        <f>IF($A241="","",COUNTIFS(tblPCSInput[Call Date/Time],"&gt;="&amp;(SETUP!$B$6),tblPCSInput[Call Date/Time],"&lt;"&amp;(SETUP!$B$7),tblPCSInput[Call Direction],"I",tblPCSInput[Agent ID],$A241,tblPCSInput[Valid Q1],"&gt;=1"))</f>
        <v/>
      </c>
      <c r="S241" s="12">
        <f>IFERROR(SUMIFS(tblPCSInput[Valid Q1],tblPCSInput[Call Date/Time],"&gt;="&amp;SETUP!$B$6,tblPCSInput[Call Date/Time],"&lt;"&amp;SETUP!$B$7,tblPCSInput[Call Direction],"I",tblPCSInput[Agent ID],$A241)/COUNTIFS(tblPCSInput[Call Date/Time],"&gt;="&amp;(SETUP!$B$6),tblPCSInput[Call Date/Time],"&lt;"&amp;(SETUP!$B$7),tblPCSInput[Call Direction],"I",tblPCSInput[Agent ID],$A241,tblPCSInput[Valid Q1],"&gt;=1"),"")</f>
        <v/>
      </c>
      <c r="T241" s="11">
        <f>IF(S241="","",COUNTIFS(tblPCSInput[Call Date/Time],"&gt;="&amp;(SETUP!$B$6),tblPCSInput[Call Date/Time],"&lt;"&amp;(SETUP!$B$7),tblPCSInput[Call Direction],"I",tblPCSInput[Agent ID],$A241,tblPCSInput[Valid Q1],"&lt;=3",tblPCSInput[Valid Q1],"&gt;=1"))</f>
        <v/>
      </c>
      <c r="U241" s="11">
        <f>IF(S241="","",COUNTIFS(tblPCSInput[Call Date/Time],"&gt;="&amp;(SETUP!$B$6),tblPCSInput[Call Date/Time],"&lt;"&amp;(SETUP!$B$7),tblPCSInput[Call Direction],"I",tblPCSInput[Agent ID],$A241,tblPCSInput[Valid Q1],"&gt;3"))</f>
        <v/>
      </c>
      <c r="V241" s="13">
        <f>IFERROR(Q241/P241,"")</f>
        <v/>
      </c>
      <c r="W241" s="13">
        <f>IFERROR(R241/P241,"")</f>
        <v/>
      </c>
    </row>
    <row r="242" spans="1:23">
      <c r="A242" s="4">
        <f>IF(ROSTER!A242="","",ROSTER!A242)</f>
        <v/>
      </c>
      <c r="B242" s="4">
        <f>IF($A242="","",ROSTER!C242)</f>
        <v/>
      </c>
      <c r="C242" s="4">
        <f>IF($A242="","",ROSTER!D242)</f>
        <v/>
      </c>
      <c r="D242" s="4">
        <f>IF($A242="","",ROSTER!E242)</f>
        <v/>
      </c>
      <c r="E242" s="4">
        <f>IF($A242="","",ROSTER!F242)</f>
        <v/>
      </c>
      <c r="F242" s="11">
        <f>IF($A242="","",COUNTIFS(tblPCSInput[Call Date/Time],"&gt;="&amp;(SETUP!$B$5),tblPCSInput[Call Date/Time],"&lt;"&amp;(SETUP!$B$5+1),tblPCSInput[Call Direction],"I",tblPCSInput[Agent ID],$A242,tblPCSInput[PCSStatus],1))</f>
        <v/>
      </c>
      <c r="G242" s="11">
        <f>IF($A242="","",COUNTIFS(tblPCSInput[Call Date/Time],"&gt;="&amp;(SETUP!$B$5),tblPCSInput[Call Date/Time],"&lt;"&amp;(SETUP!$B$5+1),tblPCSInput[Call Direction],"I",tblPCSInput[Agent ID],$A242,tblPCSInput[Question 1],"&lt;&gt;"))</f>
        <v/>
      </c>
      <c r="H242" s="11">
        <f>IF($A242="","",COUNTIFS(tblPCSInput[Call Date/Time],"&gt;="&amp;(SETUP!$B$5),tblPCSInput[Call Date/Time],"&lt;"&amp;(SETUP!$B$5+1),tblPCSInput[Call Direction],"I",tblPCSInput[Agent ID],$A242,tblPCSInput[Valid Q1],"&gt;=1"))</f>
        <v/>
      </c>
      <c r="I242" s="12">
        <f>IFERROR(SUMIFS(tblPCSInput[Valid Q1],tblPCSInput[Call Date/Time],"&gt;="&amp;SETUP!$B$5,tblPCSInput[Call Date/Time],"&lt;"&amp;SETUP!$B$5+1,tblPCSInput[Call Direction],"I",tblPCSInput[Agent ID],$A242)/COUNTIFS(tblPCSInput[Call Date/Time],"&gt;="&amp;(SETUP!$B$5),tblPCSInput[Call Date/Time],"&lt;"&amp;(SETUP!$B$5+1),tblPCSInput[Call Direction],"I",tblPCSInput[Agent ID],$A242,tblPCSInput[Valid Q1],"&gt;=1"),"")</f>
        <v/>
      </c>
      <c r="J242" s="11">
        <f>IF(I242="","",COUNTIFS(tblPCSInput[Call Date/Time],"&gt;="&amp;(SETUP!$B$5),tblPCSInput[Call Date/Time],"&lt;"&amp;(SETUP!$B$5+1),tblPCSInput[Call Direction],"I",tblPCSInput[Agent ID],$A242,tblPCSInput[Valid Q1],"&lt;=3",tblPCSInput[Valid Q1],"&gt;=1"))</f>
        <v/>
      </c>
      <c r="K242" s="11">
        <f>IF(I242="","",COUNTIFS(tblPCSInput[Call Date/Time],"&gt;="&amp;(SETUP!$B$5),tblPCSInput[Call Date/Time],"&lt;"&amp;(SETUP!$B$5+1),tblPCSInput[Call Direction],"I",tblPCSInput[Agent ID],$A242,tblPCSInput[Valid Q1],"&gt;3"))</f>
        <v/>
      </c>
      <c r="L242" s="13">
        <f>IFERROR(G242/F242,"")</f>
        <v/>
      </c>
      <c r="M242" s="13">
        <f>IFERROR(H242/F242,"")</f>
        <v/>
      </c>
      <c r="N242" s="11">
        <f>IF($A242="","",MAX(0,G242-H242))</f>
        <v/>
      </c>
      <c r="O242" s="4">
        <f>IF($A242="","",IF(H242=0,"NO VALID SURVEY",IF(H242&lt;5,"LOW SAMPLE","OK")))</f>
        <v/>
      </c>
      <c r="P242" s="11">
        <f>IF($A242="","",COUNTIFS(tblPCSInput[Call Date/Time],"&gt;="&amp;(SETUP!$B$6),tblPCSInput[Call Date/Time],"&lt;"&amp;(SETUP!$B$7),tblPCSInput[Call Direction],"I",tblPCSInput[Agent ID],$A242,tblPCSInput[PCSStatus],1))</f>
        <v/>
      </c>
      <c r="Q242" s="11">
        <f>IF($A242="","",COUNTIFS(tblPCSInput[Call Date/Time],"&gt;="&amp;(SETUP!$B$6),tblPCSInput[Call Date/Time],"&lt;"&amp;(SETUP!$B$7),tblPCSInput[Call Direction],"I",tblPCSInput[Agent ID],$A242,tblPCSInput[Question 1],"&lt;&gt;"))</f>
        <v/>
      </c>
      <c r="R242" s="11">
        <f>IF($A242="","",COUNTIFS(tblPCSInput[Call Date/Time],"&gt;="&amp;(SETUP!$B$6),tblPCSInput[Call Date/Time],"&lt;"&amp;(SETUP!$B$7),tblPCSInput[Call Direction],"I",tblPCSInput[Agent ID],$A242,tblPCSInput[Valid Q1],"&gt;=1"))</f>
        <v/>
      </c>
      <c r="S242" s="12">
        <f>IFERROR(SUMIFS(tblPCSInput[Valid Q1],tblPCSInput[Call Date/Time],"&gt;="&amp;SETUP!$B$6,tblPCSInput[Call Date/Time],"&lt;"&amp;SETUP!$B$7,tblPCSInput[Call Direction],"I",tblPCSInput[Agent ID],$A242)/COUNTIFS(tblPCSInput[Call Date/Time],"&gt;="&amp;(SETUP!$B$6),tblPCSInput[Call Date/Time],"&lt;"&amp;(SETUP!$B$7),tblPCSInput[Call Direction],"I",tblPCSInput[Agent ID],$A242,tblPCSInput[Valid Q1],"&gt;=1"),"")</f>
        <v/>
      </c>
      <c r="T242" s="11">
        <f>IF(S242="","",COUNTIFS(tblPCSInput[Call Date/Time],"&gt;="&amp;(SETUP!$B$6),tblPCSInput[Call Date/Time],"&lt;"&amp;(SETUP!$B$7),tblPCSInput[Call Direction],"I",tblPCSInput[Agent ID],$A242,tblPCSInput[Valid Q1],"&lt;=3",tblPCSInput[Valid Q1],"&gt;=1"))</f>
        <v/>
      </c>
      <c r="U242" s="11">
        <f>IF(S242="","",COUNTIFS(tblPCSInput[Call Date/Time],"&gt;="&amp;(SETUP!$B$6),tblPCSInput[Call Date/Time],"&lt;"&amp;(SETUP!$B$7),tblPCSInput[Call Direction],"I",tblPCSInput[Agent ID],$A242,tblPCSInput[Valid Q1],"&gt;3"))</f>
        <v/>
      </c>
      <c r="V242" s="13">
        <f>IFERROR(Q242/P242,"")</f>
        <v/>
      </c>
      <c r="W242" s="13">
        <f>IFERROR(R242/P242,"")</f>
        <v/>
      </c>
    </row>
    <row r="243" spans="1:23">
      <c r="A243" s="4">
        <f>IF(ROSTER!A243="","",ROSTER!A243)</f>
        <v/>
      </c>
      <c r="B243" s="4">
        <f>IF($A243="","",ROSTER!C243)</f>
        <v/>
      </c>
      <c r="C243" s="4">
        <f>IF($A243="","",ROSTER!D243)</f>
        <v/>
      </c>
      <c r="D243" s="4">
        <f>IF($A243="","",ROSTER!E243)</f>
        <v/>
      </c>
      <c r="E243" s="4">
        <f>IF($A243="","",ROSTER!F243)</f>
        <v/>
      </c>
      <c r="F243" s="11">
        <f>IF($A243="","",COUNTIFS(tblPCSInput[Call Date/Time],"&gt;="&amp;(SETUP!$B$5),tblPCSInput[Call Date/Time],"&lt;"&amp;(SETUP!$B$5+1),tblPCSInput[Call Direction],"I",tblPCSInput[Agent ID],$A243,tblPCSInput[PCSStatus],1))</f>
        <v/>
      </c>
      <c r="G243" s="11">
        <f>IF($A243="","",COUNTIFS(tblPCSInput[Call Date/Time],"&gt;="&amp;(SETUP!$B$5),tblPCSInput[Call Date/Time],"&lt;"&amp;(SETUP!$B$5+1),tblPCSInput[Call Direction],"I",tblPCSInput[Agent ID],$A243,tblPCSInput[Question 1],"&lt;&gt;"))</f>
        <v/>
      </c>
      <c r="H243" s="11">
        <f>IF($A243="","",COUNTIFS(tblPCSInput[Call Date/Time],"&gt;="&amp;(SETUP!$B$5),tblPCSInput[Call Date/Time],"&lt;"&amp;(SETUP!$B$5+1),tblPCSInput[Call Direction],"I",tblPCSInput[Agent ID],$A243,tblPCSInput[Valid Q1],"&gt;=1"))</f>
        <v/>
      </c>
      <c r="I243" s="12">
        <f>IFERROR(SUMIFS(tblPCSInput[Valid Q1],tblPCSInput[Call Date/Time],"&gt;="&amp;SETUP!$B$5,tblPCSInput[Call Date/Time],"&lt;"&amp;SETUP!$B$5+1,tblPCSInput[Call Direction],"I",tblPCSInput[Agent ID],$A243)/COUNTIFS(tblPCSInput[Call Date/Time],"&gt;="&amp;(SETUP!$B$5),tblPCSInput[Call Date/Time],"&lt;"&amp;(SETUP!$B$5+1),tblPCSInput[Call Direction],"I",tblPCSInput[Agent ID],$A243,tblPCSInput[Valid Q1],"&gt;=1"),"")</f>
        <v/>
      </c>
      <c r="J243" s="11">
        <f>IF(I243="","",COUNTIFS(tblPCSInput[Call Date/Time],"&gt;="&amp;(SETUP!$B$5),tblPCSInput[Call Date/Time],"&lt;"&amp;(SETUP!$B$5+1),tblPCSInput[Call Direction],"I",tblPCSInput[Agent ID],$A243,tblPCSInput[Valid Q1],"&lt;=3",tblPCSInput[Valid Q1],"&gt;=1"))</f>
        <v/>
      </c>
      <c r="K243" s="11">
        <f>IF(I243="","",COUNTIFS(tblPCSInput[Call Date/Time],"&gt;="&amp;(SETUP!$B$5),tblPCSInput[Call Date/Time],"&lt;"&amp;(SETUP!$B$5+1),tblPCSInput[Call Direction],"I",tblPCSInput[Agent ID],$A243,tblPCSInput[Valid Q1],"&gt;3"))</f>
        <v/>
      </c>
      <c r="L243" s="13">
        <f>IFERROR(G243/F243,"")</f>
        <v/>
      </c>
      <c r="M243" s="13">
        <f>IFERROR(H243/F243,"")</f>
        <v/>
      </c>
      <c r="N243" s="11">
        <f>IF($A243="","",MAX(0,G243-H243))</f>
        <v/>
      </c>
      <c r="O243" s="4">
        <f>IF($A243="","",IF(H243=0,"NO VALID SURVEY",IF(H243&lt;5,"LOW SAMPLE","OK")))</f>
        <v/>
      </c>
      <c r="P243" s="11">
        <f>IF($A243="","",COUNTIFS(tblPCSInput[Call Date/Time],"&gt;="&amp;(SETUP!$B$6),tblPCSInput[Call Date/Time],"&lt;"&amp;(SETUP!$B$7),tblPCSInput[Call Direction],"I",tblPCSInput[Agent ID],$A243,tblPCSInput[PCSStatus],1))</f>
        <v/>
      </c>
      <c r="Q243" s="11">
        <f>IF($A243="","",COUNTIFS(tblPCSInput[Call Date/Time],"&gt;="&amp;(SETUP!$B$6),tblPCSInput[Call Date/Time],"&lt;"&amp;(SETUP!$B$7),tblPCSInput[Call Direction],"I",tblPCSInput[Agent ID],$A243,tblPCSInput[Question 1],"&lt;&gt;"))</f>
        <v/>
      </c>
      <c r="R243" s="11">
        <f>IF($A243="","",COUNTIFS(tblPCSInput[Call Date/Time],"&gt;="&amp;(SETUP!$B$6),tblPCSInput[Call Date/Time],"&lt;"&amp;(SETUP!$B$7),tblPCSInput[Call Direction],"I",tblPCSInput[Agent ID],$A243,tblPCSInput[Valid Q1],"&gt;=1"))</f>
        <v/>
      </c>
      <c r="S243" s="12">
        <f>IFERROR(SUMIFS(tblPCSInput[Valid Q1],tblPCSInput[Call Date/Time],"&gt;="&amp;SETUP!$B$6,tblPCSInput[Call Date/Time],"&lt;"&amp;SETUP!$B$7,tblPCSInput[Call Direction],"I",tblPCSInput[Agent ID],$A243)/COUNTIFS(tblPCSInput[Call Date/Time],"&gt;="&amp;(SETUP!$B$6),tblPCSInput[Call Date/Time],"&lt;"&amp;(SETUP!$B$7),tblPCSInput[Call Direction],"I",tblPCSInput[Agent ID],$A243,tblPCSInput[Valid Q1],"&gt;=1"),"")</f>
        <v/>
      </c>
      <c r="T243" s="11">
        <f>IF(S243="","",COUNTIFS(tblPCSInput[Call Date/Time],"&gt;="&amp;(SETUP!$B$6),tblPCSInput[Call Date/Time],"&lt;"&amp;(SETUP!$B$7),tblPCSInput[Call Direction],"I",tblPCSInput[Agent ID],$A243,tblPCSInput[Valid Q1],"&lt;=3",tblPCSInput[Valid Q1],"&gt;=1"))</f>
        <v/>
      </c>
      <c r="U243" s="11">
        <f>IF(S243="","",COUNTIFS(tblPCSInput[Call Date/Time],"&gt;="&amp;(SETUP!$B$6),tblPCSInput[Call Date/Time],"&lt;"&amp;(SETUP!$B$7),tblPCSInput[Call Direction],"I",tblPCSInput[Agent ID],$A243,tblPCSInput[Valid Q1],"&gt;3"))</f>
        <v/>
      </c>
      <c r="V243" s="13">
        <f>IFERROR(Q243/P243,"")</f>
        <v/>
      </c>
      <c r="W243" s="13">
        <f>IFERROR(R243/P243,"")</f>
        <v/>
      </c>
    </row>
    <row r="244" spans="1:23">
      <c r="A244" s="4">
        <f>IF(ROSTER!A244="","",ROSTER!A244)</f>
        <v/>
      </c>
      <c r="B244" s="4">
        <f>IF($A244="","",ROSTER!C244)</f>
        <v/>
      </c>
      <c r="C244" s="4">
        <f>IF($A244="","",ROSTER!D244)</f>
        <v/>
      </c>
      <c r="D244" s="4">
        <f>IF($A244="","",ROSTER!E244)</f>
        <v/>
      </c>
      <c r="E244" s="4">
        <f>IF($A244="","",ROSTER!F244)</f>
        <v/>
      </c>
      <c r="F244" s="11">
        <f>IF($A244="","",COUNTIFS(tblPCSInput[Call Date/Time],"&gt;="&amp;(SETUP!$B$5),tblPCSInput[Call Date/Time],"&lt;"&amp;(SETUP!$B$5+1),tblPCSInput[Call Direction],"I",tblPCSInput[Agent ID],$A244,tblPCSInput[PCSStatus],1))</f>
        <v/>
      </c>
      <c r="G244" s="11">
        <f>IF($A244="","",COUNTIFS(tblPCSInput[Call Date/Time],"&gt;="&amp;(SETUP!$B$5),tblPCSInput[Call Date/Time],"&lt;"&amp;(SETUP!$B$5+1),tblPCSInput[Call Direction],"I",tblPCSInput[Agent ID],$A244,tblPCSInput[Question 1],"&lt;&gt;"))</f>
        <v/>
      </c>
      <c r="H244" s="11">
        <f>IF($A244="","",COUNTIFS(tblPCSInput[Call Date/Time],"&gt;="&amp;(SETUP!$B$5),tblPCSInput[Call Date/Time],"&lt;"&amp;(SETUP!$B$5+1),tblPCSInput[Call Direction],"I",tblPCSInput[Agent ID],$A244,tblPCSInput[Valid Q1],"&gt;=1"))</f>
        <v/>
      </c>
      <c r="I244" s="12">
        <f>IFERROR(SUMIFS(tblPCSInput[Valid Q1],tblPCSInput[Call Date/Time],"&gt;="&amp;SETUP!$B$5,tblPCSInput[Call Date/Time],"&lt;"&amp;SETUP!$B$5+1,tblPCSInput[Call Direction],"I",tblPCSInput[Agent ID],$A244)/COUNTIFS(tblPCSInput[Call Date/Time],"&gt;="&amp;(SETUP!$B$5),tblPCSInput[Call Date/Time],"&lt;"&amp;(SETUP!$B$5+1),tblPCSInput[Call Direction],"I",tblPCSInput[Agent ID],$A244,tblPCSInput[Valid Q1],"&gt;=1"),"")</f>
        <v/>
      </c>
      <c r="J244" s="11">
        <f>IF(I244="","",COUNTIFS(tblPCSInput[Call Date/Time],"&gt;="&amp;(SETUP!$B$5),tblPCSInput[Call Date/Time],"&lt;"&amp;(SETUP!$B$5+1),tblPCSInput[Call Direction],"I",tblPCSInput[Agent ID],$A244,tblPCSInput[Valid Q1],"&lt;=3",tblPCSInput[Valid Q1],"&gt;=1"))</f>
        <v/>
      </c>
      <c r="K244" s="11">
        <f>IF(I244="","",COUNTIFS(tblPCSInput[Call Date/Time],"&gt;="&amp;(SETUP!$B$5),tblPCSInput[Call Date/Time],"&lt;"&amp;(SETUP!$B$5+1),tblPCSInput[Call Direction],"I",tblPCSInput[Agent ID],$A244,tblPCSInput[Valid Q1],"&gt;3"))</f>
        <v/>
      </c>
      <c r="L244" s="13">
        <f>IFERROR(G244/F244,"")</f>
        <v/>
      </c>
      <c r="M244" s="13">
        <f>IFERROR(H244/F244,"")</f>
        <v/>
      </c>
      <c r="N244" s="11">
        <f>IF($A244="","",MAX(0,G244-H244))</f>
        <v/>
      </c>
      <c r="O244" s="4">
        <f>IF($A244="","",IF(H244=0,"NO VALID SURVEY",IF(H244&lt;5,"LOW SAMPLE","OK")))</f>
        <v/>
      </c>
      <c r="P244" s="11">
        <f>IF($A244="","",COUNTIFS(tblPCSInput[Call Date/Time],"&gt;="&amp;(SETUP!$B$6),tblPCSInput[Call Date/Time],"&lt;"&amp;(SETUP!$B$7),tblPCSInput[Call Direction],"I",tblPCSInput[Agent ID],$A244,tblPCSInput[PCSStatus],1))</f>
        <v/>
      </c>
      <c r="Q244" s="11">
        <f>IF($A244="","",COUNTIFS(tblPCSInput[Call Date/Time],"&gt;="&amp;(SETUP!$B$6),tblPCSInput[Call Date/Time],"&lt;"&amp;(SETUP!$B$7),tblPCSInput[Call Direction],"I",tblPCSInput[Agent ID],$A244,tblPCSInput[Question 1],"&lt;&gt;"))</f>
        <v/>
      </c>
      <c r="R244" s="11">
        <f>IF($A244="","",COUNTIFS(tblPCSInput[Call Date/Time],"&gt;="&amp;(SETUP!$B$6),tblPCSInput[Call Date/Time],"&lt;"&amp;(SETUP!$B$7),tblPCSInput[Call Direction],"I",tblPCSInput[Agent ID],$A244,tblPCSInput[Valid Q1],"&gt;=1"))</f>
        <v/>
      </c>
      <c r="S244" s="12">
        <f>IFERROR(SUMIFS(tblPCSInput[Valid Q1],tblPCSInput[Call Date/Time],"&gt;="&amp;SETUP!$B$6,tblPCSInput[Call Date/Time],"&lt;"&amp;SETUP!$B$7,tblPCSInput[Call Direction],"I",tblPCSInput[Agent ID],$A244)/COUNTIFS(tblPCSInput[Call Date/Time],"&gt;="&amp;(SETUP!$B$6),tblPCSInput[Call Date/Time],"&lt;"&amp;(SETUP!$B$7),tblPCSInput[Call Direction],"I",tblPCSInput[Agent ID],$A244,tblPCSInput[Valid Q1],"&gt;=1"),"")</f>
        <v/>
      </c>
      <c r="T244" s="11">
        <f>IF(S244="","",COUNTIFS(tblPCSInput[Call Date/Time],"&gt;="&amp;(SETUP!$B$6),tblPCSInput[Call Date/Time],"&lt;"&amp;(SETUP!$B$7),tblPCSInput[Call Direction],"I",tblPCSInput[Agent ID],$A244,tblPCSInput[Valid Q1],"&lt;=3",tblPCSInput[Valid Q1],"&gt;=1"))</f>
        <v/>
      </c>
      <c r="U244" s="11">
        <f>IF(S244="","",COUNTIFS(tblPCSInput[Call Date/Time],"&gt;="&amp;(SETUP!$B$6),tblPCSInput[Call Date/Time],"&lt;"&amp;(SETUP!$B$7),tblPCSInput[Call Direction],"I",tblPCSInput[Agent ID],$A244,tblPCSInput[Valid Q1],"&gt;3"))</f>
        <v/>
      </c>
      <c r="V244" s="13">
        <f>IFERROR(Q244/P244,"")</f>
        <v/>
      </c>
      <c r="W244" s="13">
        <f>IFERROR(R244/P244,"")</f>
        <v/>
      </c>
    </row>
    <row r="245" spans="1:23">
      <c r="A245" s="4">
        <f>IF(ROSTER!A245="","",ROSTER!A245)</f>
        <v/>
      </c>
      <c r="B245" s="4">
        <f>IF($A245="","",ROSTER!C245)</f>
        <v/>
      </c>
      <c r="C245" s="4">
        <f>IF($A245="","",ROSTER!D245)</f>
        <v/>
      </c>
      <c r="D245" s="4">
        <f>IF($A245="","",ROSTER!E245)</f>
        <v/>
      </c>
      <c r="E245" s="4">
        <f>IF($A245="","",ROSTER!F245)</f>
        <v/>
      </c>
      <c r="F245" s="11">
        <f>IF($A245="","",COUNTIFS(tblPCSInput[Call Date/Time],"&gt;="&amp;(SETUP!$B$5),tblPCSInput[Call Date/Time],"&lt;"&amp;(SETUP!$B$5+1),tblPCSInput[Call Direction],"I",tblPCSInput[Agent ID],$A245,tblPCSInput[PCSStatus],1))</f>
        <v/>
      </c>
      <c r="G245" s="11">
        <f>IF($A245="","",COUNTIFS(tblPCSInput[Call Date/Time],"&gt;="&amp;(SETUP!$B$5),tblPCSInput[Call Date/Time],"&lt;"&amp;(SETUP!$B$5+1),tblPCSInput[Call Direction],"I",tblPCSInput[Agent ID],$A245,tblPCSInput[Question 1],"&lt;&gt;"))</f>
        <v/>
      </c>
      <c r="H245" s="11">
        <f>IF($A245="","",COUNTIFS(tblPCSInput[Call Date/Time],"&gt;="&amp;(SETUP!$B$5),tblPCSInput[Call Date/Time],"&lt;"&amp;(SETUP!$B$5+1),tblPCSInput[Call Direction],"I",tblPCSInput[Agent ID],$A245,tblPCSInput[Valid Q1],"&gt;=1"))</f>
        <v/>
      </c>
      <c r="I245" s="12">
        <f>IFERROR(SUMIFS(tblPCSInput[Valid Q1],tblPCSInput[Call Date/Time],"&gt;="&amp;SETUP!$B$5,tblPCSInput[Call Date/Time],"&lt;"&amp;SETUP!$B$5+1,tblPCSInput[Call Direction],"I",tblPCSInput[Agent ID],$A245)/COUNTIFS(tblPCSInput[Call Date/Time],"&gt;="&amp;(SETUP!$B$5),tblPCSInput[Call Date/Time],"&lt;"&amp;(SETUP!$B$5+1),tblPCSInput[Call Direction],"I",tblPCSInput[Agent ID],$A245,tblPCSInput[Valid Q1],"&gt;=1"),"")</f>
        <v/>
      </c>
      <c r="J245" s="11">
        <f>IF(I245="","",COUNTIFS(tblPCSInput[Call Date/Time],"&gt;="&amp;(SETUP!$B$5),tblPCSInput[Call Date/Time],"&lt;"&amp;(SETUP!$B$5+1),tblPCSInput[Call Direction],"I",tblPCSInput[Agent ID],$A245,tblPCSInput[Valid Q1],"&lt;=3",tblPCSInput[Valid Q1],"&gt;=1"))</f>
        <v/>
      </c>
      <c r="K245" s="11">
        <f>IF(I245="","",COUNTIFS(tblPCSInput[Call Date/Time],"&gt;="&amp;(SETUP!$B$5),tblPCSInput[Call Date/Time],"&lt;"&amp;(SETUP!$B$5+1),tblPCSInput[Call Direction],"I",tblPCSInput[Agent ID],$A245,tblPCSInput[Valid Q1],"&gt;3"))</f>
        <v/>
      </c>
      <c r="L245" s="13">
        <f>IFERROR(G245/F245,"")</f>
        <v/>
      </c>
      <c r="M245" s="13">
        <f>IFERROR(H245/F245,"")</f>
        <v/>
      </c>
      <c r="N245" s="11">
        <f>IF($A245="","",MAX(0,G245-H245))</f>
        <v/>
      </c>
      <c r="O245" s="4">
        <f>IF($A245="","",IF(H245=0,"NO VALID SURVEY",IF(H245&lt;5,"LOW SAMPLE","OK")))</f>
        <v/>
      </c>
      <c r="P245" s="11">
        <f>IF($A245="","",COUNTIFS(tblPCSInput[Call Date/Time],"&gt;="&amp;(SETUP!$B$6),tblPCSInput[Call Date/Time],"&lt;"&amp;(SETUP!$B$7),tblPCSInput[Call Direction],"I",tblPCSInput[Agent ID],$A245,tblPCSInput[PCSStatus],1))</f>
        <v/>
      </c>
      <c r="Q245" s="11">
        <f>IF($A245="","",COUNTIFS(tblPCSInput[Call Date/Time],"&gt;="&amp;(SETUP!$B$6),tblPCSInput[Call Date/Time],"&lt;"&amp;(SETUP!$B$7),tblPCSInput[Call Direction],"I",tblPCSInput[Agent ID],$A245,tblPCSInput[Question 1],"&lt;&gt;"))</f>
        <v/>
      </c>
      <c r="R245" s="11">
        <f>IF($A245="","",COUNTIFS(tblPCSInput[Call Date/Time],"&gt;="&amp;(SETUP!$B$6),tblPCSInput[Call Date/Time],"&lt;"&amp;(SETUP!$B$7),tblPCSInput[Call Direction],"I",tblPCSInput[Agent ID],$A245,tblPCSInput[Valid Q1],"&gt;=1"))</f>
        <v/>
      </c>
      <c r="S245" s="12">
        <f>IFERROR(SUMIFS(tblPCSInput[Valid Q1],tblPCSInput[Call Date/Time],"&gt;="&amp;SETUP!$B$6,tblPCSInput[Call Date/Time],"&lt;"&amp;SETUP!$B$7,tblPCSInput[Call Direction],"I",tblPCSInput[Agent ID],$A245)/COUNTIFS(tblPCSInput[Call Date/Time],"&gt;="&amp;(SETUP!$B$6),tblPCSInput[Call Date/Time],"&lt;"&amp;(SETUP!$B$7),tblPCSInput[Call Direction],"I",tblPCSInput[Agent ID],$A245,tblPCSInput[Valid Q1],"&gt;=1"),"")</f>
        <v/>
      </c>
      <c r="T245" s="11">
        <f>IF(S245="","",COUNTIFS(tblPCSInput[Call Date/Time],"&gt;="&amp;(SETUP!$B$6),tblPCSInput[Call Date/Time],"&lt;"&amp;(SETUP!$B$7),tblPCSInput[Call Direction],"I",tblPCSInput[Agent ID],$A245,tblPCSInput[Valid Q1],"&lt;=3",tblPCSInput[Valid Q1],"&gt;=1"))</f>
        <v/>
      </c>
      <c r="U245" s="11">
        <f>IF(S245="","",COUNTIFS(tblPCSInput[Call Date/Time],"&gt;="&amp;(SETUP!$B$6),tblPCSInput[Call Date/Time],"&lt;"&amp;(SETUP!$B$7),tblPCSInput[Call Direction],"I",tblPCSInput[Agent ID],$A245,tblPCSInput[Valid Q1],"&gt;3"))</f>
        <v/>
      </c>
      <c r="V245" s="13">
        <f>IFERROR(Q245/P245,"")</f>
        <v/>
      </c>
      <c r="W245" s="13">
        <f>IFERROR(R245/P245,"")</f>
        <v/>
      </c>
    </row>
    <row r="246" spans="1:23">
      <c r="A246" s="4">
        <f>IF(ROSTER!A246="","",ROSTER!A246)</f>
        <v/>
      </c>
      <c r="B246" s="4">
        <f>IF($A246="","",ROSTER!C246)</f>
        <v/>
      </c>
      <c r="C246" s="4">
        <f>IF($A246="","",ROSTER!D246)</f>
        <v/>
      </c>
      <c r="D246" s="4">
        <f>IF($A246="","",ROSTER!E246)</f>
        <v/>
      </c>
      <c r="E246" s="4">
        <f>IF($A246="","",ROSTER!F246)</f>
        <v/>
      </c>
      <c r="F246" s="11">
        <f>IF($A246="","",COUNTIFS(tblPCSInput[Call Date/Time],"&gt;="&amp;(SETUP!$B$5),tblPCSInput[Call Date/Time],"&lt;"&amp;(SETUP!$B$5+1),tblPCSInput[Call Direction],"I",tblPCSInput[Agent ID],$A246,tblPCSInput[PCSStatus],1))</f>
        <v/>
      </c>
      <c r="G246" s="11">
        <f>IF($A246="","",COUNTIFS(tblPCSInput[Call Date/Time],"&gt;="&amp;(SETUP!$B$5),tblPCSInput[Call Date/Time],"&lt;"&amp;(SETUP!$B$5+1),tblPCSInput[Call Direction],"I",tblPCSInput[Agent ID],$A246,tblPCSInput[Question 1],"&lt;&gt;"))</f>
        <v/>
      </c>
      <c r="H246" s="11">
        <f>IF($A246="","",COUNTIFS(tblPCSInput[Call Date/Time],"&gt;="&amp;(SETUP!$B$5),tblPCSInput[Call Date/Time],"&lt;"&amp;(SETUP!$B$5+1),tblPCSInput[Call Direction],"I",tblPCSInput[Agent ID],$A246,tblPCSInput[Valid Q1],"&gt;=1"))</f>
        <v/>
      </c>
      <c r="I246" s="12">
        <f>IFERROR(SUMIFS(tblPCSInput[Valid Q1],tblPCSInput[Call Date/Time],"&gt;="&amp;SETUP!$B$5,tblPCSInput[Call Date/Time],"&lt;"&amp;SETUP!$B$5+1,tblPCSInput[Call Direction],"I",tblPCSInput[Agent ID],$A246)/COUNTIFS(tblPCSInput[Call Date/Time],"&gt;="&amp;(SETUP!$B$5),tblPCSInput[Call Date/Time],"&lt;"&amp;(SETUP!$B$5+1),tblPCSInput[Call Direction],"I",tblPCSInput[Agent ID],$A246,tblPCSInput[Valid Q1],"&gt;=1"),"")</f>
        <v/>
      </c>
      <c r="J246" s="11">
        <f>IF(I246="","",COUNTIFS(tblPCSInput[Call Date/Time],"&gt;="&amp;(SETUP!$B$5),tblPCSInput[Call Date/Time],"&lt;"&amp;(SETUP!$B$5+1),tblPCSInput[Call Direction],"I",tblPCSInput[Agent ID],$A246,tblPCSInput[Valid Q1],"&lt;=3",tblPCSInput[Valid Q1],"&gt;=1"))</f>
        <v/>
      </c>
      <c r="K246" s="11">
        <f>IF(I246="","",COUNTIFS(tblPCSInput[Call Date/Time],"&gt;="&amp;(SETUP!$B$5),tblPCSInput[Call Date/Time],"&lt;"&amp;(SETUP!$B$5+1),tblPCSInput[Call Direction],"I",tblPCSInput[Agent ID],$A246,tblPCSInput[Valid Q1],"&gt;3"))</f>
        <v/>
      </c>
      <c r="L246" s="13">
        <f>IFERROR(G246/F246,"")</f>
        <v/>
      </c>
      <c r="M246" s="13">
        <f>IFERROR(H246/F246,"")</f>
        <v/>
      </c>
      <c r="N246" s="11">
        <f>IF($A246="","",MAX(0,G246-H246))</f>
        <v/>
      </c>
      <c r="O246" s="4">
        <f>IF($A246="","",IF(H246=0,"NO VALID SURVEY",IF(H246&lt;5,"LOW SAMPLE","OK")))</f>
        <v/>
      </c>
      <c r="P246" s="11">
        <f>IF($A246="","",COUNTIFS(tblPCSInput[Call Date/Time],"&gt;="&amp;(SETUP!$B$6),tblPCSInput[Call Date/Time],"&lt;"&amp;(SETUP!$B$7),tblPCSInput[Call Direction],"I",tblPCSInput[Agent ID],$A246,tblPCSInput[PCSStatus],1))</f>
        <v/>
      </c>
      <c r="Q246" s="11">
        <f>IF($A246="","",COUNTIFS(tblPCSInput[Call Date/Time],"&gt;="&amp;(SETUP!$B$6),tblPCSInput[Call Date/Time],"&lt;"&amp;(SETUP!$B$7),tblPCSInput[Call Direction],"I",tblPCSInput[Agent ID],$A246,tblPCSInput[Question 1],"&lt;&gt;"))</f>
        <v/>
      </c>
      <c r="R246" s="11">
        <f>IF($A246="","",COUNTIFS(tblPCSInput[Call Date/Time],"&gt;="&amp;(SETUP!$B$6),tblPCSInput[Call Date/Time],"&lt;"&amp;(SETUP!$B$7),tblPCSInput[Call Direction],"I",tblPCSInput[Agent ID],$A246,tblPCSInput[Valid Q1],"&gt;=1"))</f>
        <v/>
      </c>
      <c r="S246" s="12">
        <f>IFERROR(SUMIFS(tblPCSInput[Valid Q1],tblPCSInput[Call Date/Time],"&gt;="&amp;SETUP!$B$6,tblPCSInput[Call Date/Time],"&lt;"&amp;SETUP!$B$7,tblPCSInput[Call Direction],"I",tblPCSInput[Agent ID],$A246)/COUNTIFS(tblPCSInput[Call Date/Time],"&gt;="&amp;(SETUP!$B$6),tblPCSInput[Call Date/Time],"&lt;"&amp;(SETUP!$B$7),tblPCSInput[Call Direction],"I",tblPCSInput[Agent ID],$A246,tblPCSInput[Valid Q1],"&gt;=1"),"")</f>
        <v/>
      </c>
      <c r="T246" s="11">
        <f>IF(S246="","",COUNTIFS(tblPCSInput[Call Date/Time],"&gt;="&amp;(SETUP!$B$6),tblPCSInput[Call Date/Time],"&lt;"&amp;(SETUP!$B$7),tblPCSInput[Call Direction],"I",tblPCSInput[Agent ID],$A246,tblPCSInput[Valid Q1],"&lt;=3",tblPCSInput[Valid Q1],"&gt;=1"))</f>
        <v/>
      </c>
      <c r="U246" s="11">
        <f>IF(S246="","",COUNTIFS(tblPCSInput[Call Date/Time],"&gt;="&amp;(SETUP!$B$6),tblPCSInput[Call Date/Time],"&lt;"&amp;(SETUP!$B$7),tblPCSInput[Call Direction],"I",tblPCSInput[Agent ID],$A246,tblPCSInput[Valid Q1],"&gt;3"))</f>
        <v/>
      </c>
      <c r="V246" s="13">
        <f>IFERROR(Q246/P246,"")</f>
        <v/>
      </c>
      <c r="W246" s="13">
        <f>IFERROR(R246/P246,"")</f>
        <v/>
      </c>
    </row>
    <row r="247" spans="1:23">
      <c r="A247" s="4">
        <f>IF(ROSTER!A247="","",ROSTER!A247)</f>
        <v/>
      </c>
      <c r="B247" s="4">
        <f>IF($A247="","",ROSTER!C247)</f>
        <v/>
      </c>
      <c r="C247" s="4">
        <f>IF($A247="","",ROSTER!D247)</f>
        <v/>
      </c>
      <c r="D247" s="4">
        <f>IF($A247="","",ROSTER!E247)</f>
        <v/>
      </c>
      <c r="E247" s="4">
        <f>IF($A247="","",ROSTER!F247)</f>
        <v/>
      </c>
      <c r="F247" s="11">
        <f>IF($A247="","",COUNTIFS(tblPCSInput[Call Date/Time],"&gt;="&amp;(SETUP!$B$5),tblPCSInput[Call Date/Time],"&lt;"&amp;(SETUP!$B$5+1),tblPCSInput[Call Direction],"I",tblPCSInput[Agent ID],$A247,tblPCSInput[PCSStatus],1))</f>
        <v/>
      </c>
      <c r="G247" s="11">
        <f>IF($A247="","",COUNTIFS(tblPCSInput[Call Date/Time],"&gt;="&amp;(SETUP!$B$5),tblPCSInput[Call Date/Time],"&lt;"&amp;(SETUP!$B$5+1),tblPCSInput[Call Direction],"I",tblPCSInput[Agent ID],$A247,tblPCSInput[Question 1],"&lt;&gt;"))</f>
        <v/>
      </c>
      <c r="H247" s="11">
        <f>IF($A247="","",COUNTIFS(tblPCSInput[Call Date/Time],"&gt;="&amp;(SETUP!$B$5),tblPCSInput[Call Date/Time],"&lt;"&amp;(SETUP!$B$5+1),tblPCSInput[Call Direction],"I",tblPCSInput[Agent ID],$A247,tblPCSInput[Valid Q1],"&gt;=1"))</f>
        <v/>
      </c>
      <c r="I247" s="12">
        <f>IFERROR(SUMIFS(tblPCSInput[Valid Q1],tblPCSInput[Call Date/Time],"&gt;="&amp;SETUP!$B$5,tblPCSInput[Call Date/Time],"&lt;"&amp;SETUP!$B$5+1,tblPCSInput[Call Direction],"I",tblPCSInput[Agent ID],$A247)/COUNTIFS(tblPCSInput[Call Date/Time],"&gt;="&amp;(SETUP!$B$5),tblPCSInput[Call Date/Time],"&lt;"&amp;(SETUP!$B$5+1),tblPCSInput[Call Direction],"I",tblPCSInput[Agent ID],$A247,tblPCSInput[Valid Q1],"&gt;=1"),"")</f>
        <v/>
      </c>
      <c r="J247" s="11">
        <f>IF(I247="","",COUNTIFS(tblPCSInput[Call Date/Time],"&gt;="&amp;(SETUP!$B$5),tblPCSInput[Call Date/Time],"&lt;"&amp;(SETUP!$B$5+1),tblPCSInput[Call Direction],"I",tblPCSInput[Agent ID],$A247,tblPCSInput[Valid Q1],"&lt;=3",tblPCSInput[Valid Q1],"&gt;=1"))</f>
        <v/>
      </c>
      <c r="K247" s="11">
        <f>IF(I247="","",COUNTIFS(tblPCSInput[Call Date/Time],"&gt;="&amp;(SETUP!$B$5),tblPCSInput[Call Date/Time],"&lt;"&amp;(SETUP!$B$5+1),tblPCSInput[Call Direction],"I",tblPCSInput[Agent ID],$A247,tblPCSInput[Valid Q1],"&gt;3"))</f>
        <v/>
      </c>
      <c r="L247" s="13">
        <f>IFERROR(G247/F247,"")</f>
        <v/>
      </c>
      <c r="M247" s="13">
        <f>IFERROR(H247/F247,"")</f>
        <v/>
      </c>
      <c r="N247" s="11">
        <f>IF($A247="","",MAX(0,G247-H247))</f>
        <v/>
      </c>
      <c r="O247" s="4">
        <f>IF($A247="","",IF(H247=0,"NO VALID SURVEY",IF(H247&lt;5,"LOW SAMPLE","OK")))</f>
        <v/>
      </c>
      <c r="P247" s="11">
        <f>IF($A247="","",COUNTIFS(tblPCSInput[Call Date/Time],"&gt;="&amp;(SETUP!$B$6),tblPCSInput[Call Date/Time],"&lt;"&amp;(SETUP!$B$7),tblPCSInput[Call Direction],"I",tblPCSInput[Agent ID],$A247,tblPCSInput[PCSStatus],1))</f>
        <v/>
      </c>
      <c r="Q247" s="11">
        <f>IF($A247="","",COUNTIFS(tblPCSInput[Call Date/Time],"&gt;="&amp;(SETUP!$B$6),tblPCSInput[Call Date/Time],"&lt;"&amp;(SETUP!$B$7),tblPCSInput[Call Direction],"I",tblPCSInput[Agent ID],$A247,tblPCSInput[Question 1],"&lt;&gt;"))</f>
        <v/>
      </c>
      <c r="R247" s="11">
        <f>IF($A247="","",COUNTIFS(tblPCSInput[Call Date/Time],"&gt;="&amp;(SETUP!$B$6),tblPCSInput[Call Date/Time],"&lt;"&amp;(SETUP!$B$7),tblPCSInput[Call Direction],"I",tblPCSInput[Agent ID],$A247,tblPCSInput[Valid Q1],"&gt;=1"))</f>
        <v/>
      </c>
      <c r="S247" s="12">
        <f>IFERROR(SUMIFS(tblPCSInput[Valid Q1],tblPCSInput[Call Date/Time],"&gt;="&amp;SETUP!$B$6,tblPCSInput[Call Date/Time],"&lt;"&amp;SETUP!$B$7,tblPCSInput[Call Direction],"I",tblPCSInput[Agent ID],$A247)/COUNTIFS(tblPCSInput[Call Date/Time],"&gt;="&amp;(SETUP!$B$6),tblPCSInput[Call Date/Time],"&lt;"&amp;(SETUP!$B$7),tblPCSInput[Call Direction],"I",tblPCSInput[Agent ID],$A247,tblPCSInput[Valid Q1],"&gt;=1"),"")</f>
        <v/>
      </c>
      <c r="T247" s="11">
        <f>IF(S247="","",COUNTIFS(tblPCSInput[Call Date/Time],"&gt;="&amp;(SETUP!$B$6),tblPCSInput[Call Date/Time],"&lt;"&amp;(SETUP!$B$7),tblPCSInput[Call Direction],"I",tblPCSInput[Agent ID],$A247,tblPCSInput[Valid Q1],"&lt;=3",tblPCSInput[Valid Q1],"&gt;=1"))</f>
        <v/>
      </c>
      <c r="U247" s="11">
        <f>IF(S247="","",COUNTIFS(tblPCSInput[Call Date/Time],"&gt;="&amp;(SETUP!$B$6),tblPCSInput[Call Date/Time],"&lt;"&amp;(SETUP!$B$7),tblPCSInput[Call Direction],"I",tblPCSInput[Agent ID],$A247,tblPCSInput[Valid Q1],"&gt;3"))</f>
        <v/>
      </c>
      <c r="V247" s="13">
        <f>IFERROR(Q247/P247,"")</f>
        <v/>
      </c>
      <c r="W247" s="13">
        <f>IFERROR(R247/P247,"")</f>
        <v/>
      </c>
    </row>
    <row r="248" spans="1:23">
      <c r="A248" s="4">
        <f>IF(ROSTER!A248="","",ROSTER!A248)</f>
        <v/>
      </c>
      <c r="B248" s="4">
        <f>IF($A248="","",ROSTER!C248)</f>
        <v/>
      </c>
      <c r="C248" s="4">
        <f>IF($A248="","",ROSTER!D248)</f>
        <v/>
      </c>
      <c r="D248" s="4">
        <f>IF($A248="","",ROSTER!E248)</f>
        <v/>
      </c>
      <c r="E248" s="4">
        <f>IF($A248="","",ROSTER!F248)</f>
        <v/>
      </c>
      <c r="F248" s="11">
        <f>IF($A248="","",COUNTIFS(tblPCSInput[Call Date/Time],"&gt;="&amp;(SETUP!$B$5),tblPCSInput[Call Date/Time],"&lt;"&amp;(SETUP!$B$5+1),tblPCSInput[Call Direction],"I",tblPCSInput[Agent ID],$A248,tblPCSInput[PCSStatus],1))</f>
        <v/>
      </c>
      <c r="G248" s="11">
        <f>IF($A248="","",COUNTIFS(tblPCSInput[Call Date/Time],"&gt;="&amp;(SETUP!$B$5),tblPCSInput[Call Date/Time],"&lt;"&amp;(SETUP!$B$5+1),tblPCSInput[Call Direction],"I",tblPCSInput[Agent ID],$A248,tblPCSInput[Question 1],"&lt;&gt;"))</f>
        <v/>
      </c>
      <c r="H248" s="11">
        <f>IF($A248="","",COUNTIFS(tblPCSInput[Call Date/Time],"&gt;="&amp;(SETUP!$B$5),tblPCSInput[Call Date/Time],"&lt;"&amp;(SETUP!$B$5+1),tblPCSInput[Call Direction],"I",tblPCSInput[Agent ID],$A248,tblPCSInput[Valid Q1],"&gt;=1"))</f>
        <v/>
      </c>
      <c r="I248" s="12">
        <f>IFERROR(SUMIFS(tblPCSInput[Valid Q1],tblPCSInput[Call Date/Time],"&gt;="&amp;SETUP!$B$5,tblPCSInput[Call Date/Time],"&lt;"&amp;SETUP!$B$5+1,tblPCSInput[Call Direction],"I",tblPCSInput[Agent ID],$A248)/COUNTIFS(tblPCSInput[Call Date/Time],"&gt;="&amp;(SETUP!$B$5),tblPCSInput[Call Date/Time],"&lt;"&amp;(SETUP!$B$5+1),tblPCSInput[Call Direction],"I",tblPCSInput[Agent ID],$A248,tblPCSInput[Valid Q1],"&gt;=1"),"")</f>
        <v/>
      </c>
      <c r="J248" s="11">
        <f>IF(I248="","",COUNTIFS(tblPCSInput[Call Date/Time],"&gt;="&amp;(SETUP!$B$5),tblPCSInput[Call Date/Time],"&lt;"&amp;(SETUP!$B$5+1),tblPCSInput[Call Direction],"I",tblPCSInput[Agent ID],$A248,tblPCSInput[Valid Q1],"&lt;=3",tblPCSInput[Valid Q1],"&gt;=1"))</f>
        <v/>
      </c>
      <c r="K248" s="11">
        <f>IF(I248="","",COUNTIFS(tblPCSInput[Call Date/Time],"&gt;="&amp;(SETUP!$B$5),tblPCSInput[Call Date/Time],"&lt;"&amp;(SETUP!$B$5+1),tblPCSInput[Call Direction],"I",tblPCSInput[Agent ID],$A248,tblPCSInput[Valid Q1],"&gt;3"))</f>
        <v/>
      </c>
      <c r="L248" s="13">
        <f>IFERROR(G248/F248,"")</f>
        <v/>
      </c>
      <c r="M248" s="13">
        <f>IFERROR(H248/F248,"")</f>
        <v/>
      </c>
      <c r="N248" s="11">
        <f>IF($A248="","",MAX(0,G248-H248))</f>
        <v/>
      </c>
      <c r="O248" s="4">
        <f>IF($A248="","",IF(H248=0,"NO VALID SURVEY",IF(H248&lt;5,"LOW SAMPLE","OK")))</f>
        <v/>
      </c>
      <c r="P248" s="11">
        <f>IF($A248="","",COUNTIFS(tblPCSInput[Call Date/Time],"&gt;="&amp;(SETUP!$B$6),tblPCSInput[Call Date/Time],"&lt;"&amp;(SETUP!$B$7),tblPCSInput[Call Direction],"I",tblPCSInput[Agent ID],$A248,tblPCSInput[PCSStatus],1))</f>
        <v/>
      </c>
      <c r="Q248" s="11">
        <f>IF($A248="","",COUNTIFS(tblPCSInput[Call Date/Time],"&gt;="&amp;(SETUP!$B$6),tblPCSInput[Call Date/Time],"&lt;"&amp;(SETUP!$B$7),tblPCSInput[Call Direction],"I",tblPCSInput[Agent ID],$A248,tblPCSInput[Question 1],"&lt;&gt;"))</f>
        <v/>
      </c>
      <c r="R248" s="11">
        <f>IF($A248="","",COUNTIFS(tblPCSInput[Call Date/Time],"&gt;="&amp;(SETUP!$B$6),tblPCSInput[Call Date/Time],"&lt;"&amp;(SETUP!$B$7),tblPCSInput[Call Direction],"I",tblPCSInput[Agent ID],$A248,tblPCSInput[Valid Q1],"&gt;=1"))</f>
        <v/>
      </c>
      <c r="S248" s="12">
        <f>IFERROR(SUMIFS(tblPCSInput[Valid Q1],tblPCSInput[Call Date/Time],"&gt;="&amp;SETUP!$B$6,tblPCSInput[Call Date/Time],"&lt;"&amp;SETUP!$B$7,tblPCSInput[Call Direction],"I",tblPCSInput[Agent ID],$A248)/COUNTIFS(tblPCSInput[Call Date/Time],"&gt;="&amp;(SETUP!$B$6),tblPCSInput[Call Date/Time],"&lt;"&amp;(SETUP!$B$7),tblPCSInput[Call Direction],"I",tblPCSInput[Agent ID],$A248,tblPCSInput[Valid Q1],"&gt;=1"),"")</f>
        <v/>
      </c>
      <c r="T248" s="11">
        <f>IF(S248="","",COUNTIFS(tblPCSInput[Call Date/Time],"&gt;="&amp;(SETUP!$B$6),tblPCSInput[Call Date/Time],"&lt;"&amp;(SETUP!$B$7),tblPCSInput[Call Direction],"I",tblPCSInput[Agent ID],$A248,tblPCSInput[Valid Q1],"&lt;=3",tblPCSInput[Valid Q1],"&gt;=1"))</f>
        <v/>
      </c>
      <c r="U248" s="11">
        <f>IF(S248="","",COUNTIFS(tblPCSInput[Call Date/Time],"&gt;="&amp;(SETUP!$B$6),tblPCSInput[Call Date/Time],"&lt;"&amp;(SETUP!$B$7),tblPCSInput[Call Direction],"I",tblPCSInput[Agent ID],$A248,tblPCSInput[Valid Q1],"&gt;3"))</f>
        <v/>
      </c>
      <c r="V248" s="13">
        <f>IFERROR(Q248/P248,"")</f>
        <v/>
      </c>
      <c r="W248" s="13">
        <f>IFERROR(R248/P248,"")</f>
        <v/>
      </c>
    </row>
    <row r="249" spans="1:23">
      <c r="A249" s="4">
        <f>IF(ROSTER!A249="","",ROSTER!A249)</f>
        <v/>
      </c>
      <c r="B249" s="4">
        <f>IF($A249="","",ROSTER!C249)</f>
        <v/>
      </c>
      <c r="C249" s="4">
        <f>IF($A249="","",ROSTER!D249)</f>
        <v/>
      </c>
      <c r="D249" s="4">
        <f>IF($A249="","",ROSTER!E249)</f>
        <v/>
      </c>
      <c r="E249" s="4">
        <f>IF($A249="","",ROSTER!F249)</f>
        <v/>
      </c>
      <c r="F249" s="11">
        <f>IF($A249="","",COUNTIFS(tblPCSInput[Call Date/Time],"&gt;="&amp;(SETUP!$B$5),tblPCSInput[Call Date/Time],"&lt;"&amp;(SETUP!$B$5+1),tblPCSInput[Call Direction],"I",tblPCSInput[Agent ID],$A249,tblPCSInput[PCSStatus],1))</f>
        <v/>
      </c>
      <c r="G249" s="11">
        <f>IF($A249="","",COUNTIFS(tblPCSInput[Call Date/Time],"&gt;="&amp;(SETUP!$B$5),tblPCSInput[Call Date/Time],"&lt;"&amp;(SETUP!$B$5+1),tblPCSInput[Call Direction],"I",tblPCSInput[Agent ID],$A249,tblPCSInput[Question 1],"&lt;&gt;"))</f>
        <v/>
      </c>
      <c r="H249" s="11">
        <f>IF($A249="","",COUNTIFS(tblPCSInput[Call Date/Time],"&gt;="&amp;(SETUP!$B$5),tblPCSInput[Call Date/Time],"&lt;"&amp;(SETUP!$B$5+1),tblPCSInput[Call Direction],"I",tblPCSInput[Agent ID],$A249,tblPCSInput[Valid Q1],"&gt;=1"))</f>
        <v/>
      </c>
      <c r="I249" s="12">
        <f>IFERROR(SUMIFS(tblPCSInput[Valid Q1],tblPCSInput[Call Date/Time],"&gt;="&amp;SETUP!$B$5,tblPCSInput[Call Date/Time],"&lt;"&amp;SETUP!$B$5+1,tblPCSInput[Call Direction],"I",tblPCSInput[Agent ID],$A249)/COUNTIFS(tblPCSInput[Call Date/Time],"&gt;="&amp;(SETUP!$B$5),tblPCSInput[Call Date/Time],"&lt;"&amp;(SETUP!$B$5+1),tblPCSInput[Call Direction],"I",tblPCSInput[Agent ID],$A249,tblPCSInput[Valid Q1],"&gt;=1"),"")</f>
        <v/>
      </c>
      <c r="J249" s="11">
        <f>IF(I249="","",COUNTIFS(tblPCSInput[Call Date/Time],"&gt;="&amp;(SETUP!$B$5),tblPCSInput[Call Date/Time],"&lt;"&amp;(SETUP!$B$5+1),tblPCSInput[Call Direction],"I",tblPCSInput[Agent ID],$A249,tblPCSInput[Valid Q1],"&lt;=3",tblPCSInput[Valid Q1],"&gt;=1"))</f>
        <v/>
      </c>
      <c r="K249" s="11">
        <f>IF(I249="","",COUNTIFS(tblPCSInput[Call Date/Time],"&gt;="&amp;(SETUP!$B$5),tblPCSInput[Call Date/Time],"&lt;"&amp;(SETUP!$B$5+1),tblPCSInput[Call Direction],"I",tblPCSInput[Agent ID],$A249,tblPCSInput[Valid Q1],"&gt;3"))</f>
        <v/>
      </c>
      <c r="L249" s="13">
        <f>IFERROR(G249/F249,"")</f>
        <v/>
      </c>
      <c r="M249" s="13">
        <f>IFERROR(H249/F249,"")</f>
        <v/>
      </c>
      <c r="N249" s="11">
        <f>IF($A249="","",MAX(0,G249-H249))</f>
        <v/>
      </c>
      <c r="O249" s="4">
        <f>IF($A249="","",IF(H249=0,"NO VALID SURVEY",IF(H249&lt;5,"LOW SAMPLE","OK")))</f>
        <v/>
      </c>
      <c r="P249" s="11">
        <f>IF($A249="","",COUNTIFS(tblPCSInput[Call Date/Time],"&gt;="&amp;(SETUP!$B$6),tblPCSInput[Call Date/Time],"&lt;"&amp;(SETUP!$B$7),tblPCSInput[Call Direction],"I",tblPCSInput[Agent ID],$A249,tblPCSInput[PCSStatus],1))</f>
        <v/>
      </c>
      <c r="Q249" s="11">
        <f>IF($A249="","",COUNTIFS(tblPCSInput[Call Date/Time],"&gt;="&amp;(SETUP!$B$6),tblPCSInput[Call Date/Time],"&lt;"&amp;(SETUP!$B$7),tblPCSInput[Call Direction],"I",tblPCSInput[Agent ID],$A249,tblPCSInput[Question 1],"&lt;&gt;"))</f>
        <v/>
      </c>
      <c r="R249" s="11">
        <f>IF($A249="","",COUNTIFS(tblPCSInput[Call Date/Time],"&gt;="&amp;(SETUP!$B$6),tblPCSInput[Call Date/Time],"&lt;"&amp;(SETUP!$B$7),tblPCSInput[Call Direction],"I",tblPCSInput[Agent ID],$A249,tblPCSInput[Valid Q1],"&gt;=1"))</f>
        <v/>
      </c>
      <c r="S249" s="12">
        <f>IFERROR(SUMIFS(tblPCSInput[Valid Q1],tblPCSInput[Call Date/Time],"&gt;="&amp;SETUP!$B$6,tblPCSInput[Call Date/Time],"&lt;"&amp;SETUP!$B$7,tblPCSInput[Call Direction],"I",tblPCSInput[Agent ID],$A249)/COUNTIFS(tblPCSInput[Call Date/Time],"&gt;="&amp;(SETUP!$B$6),tblPCSInput[Call Date/Time],"&lt;"&amp;(SETUP!$B$7),tblPCSInput[Call Direction],"I",tblPCSInput[Agent ID],$A249,tblPCSInput[Valid Q1],"&gt;=1"),"")</f>
        <v/>
      </c>
      <c r="T249" s="11">
        <f>IF(S249="","",COUNTIFS(tblPCSInput[Call Date/Time],"&gt;="&amp;(SETUP!$B$6),tblPCSInput[Call Date/Time],"&lt;"&amp;(SETUP!$B$7),tblPCSInput[Call Direction],"I",tblPCSInput[Agent ID],$A249,tblPCSInput[Valid Q1],"&lt;=3",tblPCSInput[Valid Q1],"&gt;=1"))</f>
        <v/>
      </c>
      <c r="U249" s="11">
        <f>IF(S249="","",COUNTIFS(tblPCSInput[Call Date/Time],"&gt;="&amp;(SETUP!$B$6),tblPCSInput[Call Date/Time],"&lt;"&amp;(SETUP!$B$7),tblPCSInput[Call Direction],"I",tblPCSInput[Agent ID],$A249,tblPCSInput[Valid Q1],"&gt;3"))</f>
        <v/>
      </c>
      <c r="V249" s="13">
        <f>IFERROR(Q249/P249,"")</f>
        <v/>
      </c>
      <c r="W249" s="13">
        <f>IFERROR(R249/P249,"")</f>
        <v/>
      </c>
    </row>
    <row r="250" spans="1:23">
      <c r="A250" s="4">
        <f>IF(ROSTER!A250="","",ROSTER!A250)</f>
        <v/>
      </c>
      <c r="B250" s="4">
        <f>IF($A250="","",ROSTER!C250)</f>
        <v/>
      </c>
      <c r="C250" s="4">
        <f>IF($A250="","",ROSTER!D250)</f>
        <v/>
      </c>
      <c r="D250" s="4">
        <f>IF($A250="","",ROSTER!E250)</f>
        <v/>
      </c>
      <c r="E250" s="4">
        <f>IF($A250="","",ROSTER!F250)</f>
        <v/>
      </c>
      <c r="F250" s="11">
        <f>IF($A250="","",COUNTIFS(tblPCSInput[Call Date/Time],"&gt;="&amp;(SETUP!$B$5),tblPCSInput[Call Date/Time],"&lt;"&amp;(SETUP!$B$5+1),tblPCSInput[Call Direction],"I",tblPCSInput[Agent ID],$A250,tblPCSInput[PCSStatus],1))</f>
        <v/>
      </c>
      <c r="G250" s="11">
        <f>IF($A250="","",COUNTIFS(tblPCSInput[Call Date/Time],"&gt;="&amp;(SETUP!$B$5),tblPCSInput[Call Date/Time],"&lt;"&amp;(SETUP!$B$5+1),tblPCSInput[Call Direction],"I",tblPCSInput[Agent ID],$A250,tblPCSInput[Question 1],"&lt;&gt;"))</f>
        <v/>
      </c>
      <c r="H250" s="11">
        <f>IF($A250="","",COUNTIFS(tblPCSInput[Call Date/Time],"&gt;="&amp;(SETUP!$B$5),tblPCSInput[Call Date/Time],"&lt;"&amp;(SETUP!$B$5+1),tblPCSInput[Call Direction],"I",tblPCSInput[Agent ID],$A250,tblPCSInput[Valid Q1],"&gt;=1"))</f>
        <v/>
      </c>
      <c r="I250" s="12">
        <f>IFERROR(SUMIFS(tblPCSInput[Valid Q1],tblPCSInput[Call Date/Time],"&gt;="&amp;SETUP!$B$5,tblPCSInput[Call Date/Time],"&lt;"&amp;SETUP!$B$5+1,tblPCSInput[Call Direction],"I",tblPCSInput[Agent ID],$A250)/COUNTIFS(tblPCSInput[Call Date/Time],"&gt;="&amp;(SETUP!$B$5),tblPCSInput[Call Date/Time],"&lt;"&amp;(SETUP!$B$5+1),tblPCSInput[Call Direction],"I",tblPCSInput[Agent ID],$A250,tblPCSInput[Valid Q1],"&gt;=1"),"")</f>
        <v/>
      </c>
      <c r="J250" s="11">
        <f>IF(I250="","",COUNTIFS(tblPCSInput[Call Date/Time],"&gt;="&amp;(SETUP!$B$5),tblPCSInput[Call Date/Time],"&lt;"&amp;(SETUP!$B$5+1),tblPCSInput[Call Direction],"I",tblPCSInput[Agent ID],$A250,tblPCSInput[Valid Q1],"&lt;=3",tblPCSInput[Valid Q1],"&gt;=1"))</f>
        <v/>
      </c>
      <c r="K250" s="11">
        <f>IF(I250="","",COUNTIFS(tblPCSInput[Call Date/Time],"&gt;="&amp;(SETUP!$B$5),tblPCSInput[Call Date/Time],"&lt;"&amp;(SETUP!$B$5+1),tblPCSInput[Call Direction],"I",tblPCSInput[Agent ID],$A250,tblPCSInput[Valid Q1],"&gt;3"))</f>
        <v/>
      </c>
      <c r="L250" s="13">
        <f>IFERROR(G250/F250,"")</f>
        <v/>
      </c>
      <c r="M250" s="13">
        <f>IFERROR(H250/F250,"")</f>
        <v/>
      </c>
      <c r="N250" s="11">
        <f>IF($A250="","",MAX(0,G250-H250))</f>
        <v/>
      </c>
      <c r="O250" s="4">
        <f>IF($A250="","",IF(H250=0,"NO VALID SURVEY",IF(H250&lt;5,"LOW SAMPLE","OK")))</f>
        <v/>
      </c>
      <c r="P250" s="11">
        <f>IF($A250="","",COUNTIFS(tblPCSInput[Call Date/Time],"&gt;="&amp;(SETUP!$B$6),tblPCSInput[Call Date/Time],"&lt;"&amp;(SETUP!$B$7),tblPCSInput[Call Direction],"I",tblPCSInput[Agent ID],$A250,tblPCSInput[PCSStatus],1))</f>
        <v/>
      </c>
      <c r="Q250" s="11">
        <f>IF($A250="","",COUNTIFS(tblPCSInput[Call Date/Time],"&gt;="&amp;(SETUP!$B$6),tblPCSInput[Call Date/Time],"&lt;"&amp;(SETUP!$B$7),tblPCSInput[Call Direction],"I",tblPCSInput[Agent ID],$A250,tblPCSInput[Question 1],"&lt;&gt;"))</f>
        <v/>
      </c>
      <c r="R250" s="11">
        <f>IF($A250="","",COUNTIFS(tblPCSInput[Call Date/Time],"&gt;="&amp;(SETUP!$B$6),tblPCSInput[Call Date/Time],"&lt;"&amp;(SETUP!$B$7),tblPCSInput[Call Direction],"I",tblPCSInput[Agent ID],$A250,tblPCSInput[Valid Q1],"&gt;=1"))</f>
        <v/>
      </c>
      <c r="S250" s="12">
        <f>IFERROR(SUMIFS(tblPCSInput[Valid Q1],tblPCSInput[Call Date/Time],"&gt;="&amp;SETUP!$B$6,tblPCSInput[Call Date/Time],"&lt;"&amp;SETUP!$B$7,tblPCSInput[Call Direction],"I",tblPCSInput[Agent ID],$A250)/COUNTIFS(tblPCSInput[Call Date/Time],"&gt;="&amp;(SETUP!$B$6),tblPCSInput[Call Date/Time],"&lt;"&amp;(SETUP!$B$7),tblPCSInput[Call Direction],"I",tblPCSInput[Agent ID],$A250,tblPCSInput[Valid Q1],"&gt;=1"),"")</f>
        <v/>
      </c>
      <c r="T250" s="11">
        <f>IF(S250="","",COUNTIFS(tblPCSInput[Call Date/Time],"&gt;="&amp;(SETUP!$B$6),tblPCSInput[Call Date/Time],"&lt;"&amp;(SETUP!$B$7),tblPCSInput[Call Direction],"I",tblPCSInput[Agent ID],$A250,tblPCSInput[Valid Q1],"&lt;=3",tblPCSInput[Valid Q1],"&gt;=1"))</f>
        <v/>
      </c>
      <c r="U250" s="11">
        <f>IF(S250="","",COUNTIFS(tblPCSInput[Call Date/Time],"&gt;="&amp;(SETUP!$B$6),tblPCSInput[Call Date/Time],"&lt;"&amp;(SETUP!$B$7),tblPCSInput[Call Direction],"I",tblPCSInput[Agent ID],$A250,tblPCSInput[Valid Q1],"&gt;3"))</f>
        <v/>
      </c>
      <c r="V250" s="13">
        <f>IFERROR(Q250/P250,"")</f>
        <v/>
      </c>
      <c r="W250" s="13">
        <f>IFERROR(R250/P250,"")</f>
        <v/>
      </c>
    </row>
    <row r="251" spans="1:23">
      <c r="A251" s="4">
        <f>IF(ROSTER!A251="","",ROSTER!A251)</f>
        <v/>
      </c>
      <c r="B251" s="4">
        <f>IF($A251="","",ROSTER!C251)</f>
        <v/>
      </c>
      <c r="C251" s="4">
        <f>IF($A251="","",ROSTER!D251)</f>
        <v/>
      </c>
      <c r="D251" s="4">
        <f>IF($A251="","",ROSTER!E251)</f>
        <v/>
      </c>
      <c r="E251" s="4">
        <f>IF($A251="","",ROSTER!F251)</f>
        <v/>
      </c>
      <c r="F251" s="11">
        <f>IF($A251="","",COUNTIFS(tblPCSInput[Call Date/Time],"&gt;="&amp;(SETUP!$B$5),tblPCSInput[Call Date/Time],"&lt;"&amp;(SETUP!$B$5+1),tblPCSInput[Call Direction],"I",tblPCSInput[Agent ID],$A251,tblPCSInput[PCSStatus],1))</f>
        <v/>
      </c>
      <c r="G251" s="11">
        <f>IF($A251="","",COUNTIFS(tblPCSInput[Call Date/Time],"&gt;="&amp;(SETUP!$B$5),tblPCSInput[Call Date/Time],"&lt;"&amp;(SETUP!$B$5+1),tblPCSInput[Call Direction],"I",tblPCSInput[Agent ID],$A251,tblPCSInput[Question 1],"&lt;&gt;"))</f>
        <v/>
      </c>
      <c r="H251" s="11">
        <f>IF($A251="","",COUNTIFS(tblPCSInput[Call Date/Time],"&gt;="&amp;(SETUP!$B$5),tblPCSInput[Call Date/Time],"&lt;"&amp;(SETUP!$B$5+1),tblPCSInput[Call Direction],"I",tblPCSInput[Agent ID],$A251,tblPCSInput[Valid Q1],"&gt;=1"))</f>
        <v/>
      </c>
      <c r="I251" s="12">
        <f>IFERROR(SUMIFS(tblPCSInput[Valid Q1],tblPCSInput[Call Date/Time],"&gt;="&amp;SETUP!$B$5,tblPCSInput[Call Date/Time],"&lt;"&amp;SETUP!$B$5+1,tblPCSInput[Call Direction],"I",tblPCSInput[Agent ID],$A251)/COUNTIFS(tblPCSInput[Call Date/Time],"&gt;="&amp;(SETUP!$B$5),tblPCSInput[Call Date/Time],"&lt;"&amp;(SETUP!$B$5+1),tblPCSInput[Call Direction],"I",tblPCSInput[Agent ID],$A251,tblPCSInput[Valid Q1],"&gt;=1"),"")</f>
        <v/>
      </c>
      <c r="J251" s="11">
        <f>IF(I251="","",COUNTIFS(tblPCSInput[Call Date/Time],"&gt;="&amp;(SETUP!$B$5),tblPCSInput[Call Date/Time],"&lt;"&amp;(SETUP!$B$5+1),tblPCSInput[Call Direction],"I",tblPCSInput[Agent ID],$A251,tblPCSInput[Valid Q1],"&lt;=3",tblPCSInput[Valid Q1],"&gt;=1"))</f>
        <v/>
      </c>
      <c r="K251" s="11">
        <f>IF(I251="","",COUNTIFS(tblPCSInput[Call Date/Time],"&gt;="&amp;(SETUP!$B$5),tblPCSInput[Call Date/Time],"&lt;"&amp;(SETUP!$B$5+1),tblPCSInput[Call Direction],"I",tblPCSInput[Agent ID],$A251,tblPCSInput[Valid Q1],"&gt;3"))</f>
        <v/>
      </c>
      <c r="L251" s="13">
        <f>IFERROR(G251/F251,"")</f>
        <v/>
      </c>
      <c r="M251" s="13">
        <f>IFERROR(H251/F251,"")</f>
        <v/>
      </c>
      <c r="N251" s="11">
        <f>IF($A251="","",MAX(0,G251-H251))</f>
        <v/>
      </c>
      <c r="O251" s="4">
        <f>IF($A251="","",IF(H251=0,"NO VALID SURVEY",IF(H251&lt;5,"LOW SAMPLE","OK")))</f>
        <v/>
      </c>
      <c r="P251" s="11">
        <f>IF($A251="","",COUNTIFS(tblPCSInput[Call Date/Time],"&gt;="&amp;(SETUP!$B$6),tblPCSInput[Call Date/Time],"&lt;"&amp;(SETUP!$B$7),tblPCSInput[Call Direction],"I",tblPCSInput[Agent ID],$A251,tblPCSInput[PCSStatus],1))</f>
        <v/>
      </c>
      <c r="Q251" s="11">
        <f>IF($A251="","",COUNTIFS(tblPCSInput[Call Date/Time],"&gt;="&amp;(SETUP!$B$6),tblPCSInput[Call Date/Time],"&lt;"&amp;(SETUP!$B$7),tblPCSInput[Call Direction],"I",tblPCSInput[Agent ID],$A251,tblPCSInput[Question 1],"&lt;&gt;"))</f>
        <v/>
      </c>
      <c r="R251" s="11">
        <f>IF($A251="","",COUNTIFS(tblPCSInput[Call Date/Time],"&gt;="&amp;(SETUP!$B$6),tblPCSInput[Call Date/Time],"&lt;"&amp;(SETUP!$B$7),tblPCSInput[Call Direction],"I",tblPCSInput[Agent ID],$A251,tblPCSInput[Valid Q1],"&gt;=1"))</f>
        <v/>
      </c>
      <c r="S251" s="12">
        <f>IFERROR(SUMIFS(tblPCSInput[Valid Q1],tblPCSInput[Call Date/Time],"&gt;="&amp;SETUP!$B$6,tblPCSInput[Call Date/Time],"&lt;"&amp;SETUP!$B$7,tblPCSInput[Call Direction],"I",tblPCSInput[Agent ID],$A251)/COUNTIFS(tblPCSInput[Call Date/Time],"&gt;="&amp;(SETUP!$B$6),tblPCSInput[Call Date/Time],"&lt;"&amp;(SETUP!$B$7),tblPCSInput[Call Direction],"I",tblPCSInput[Agent ID],$A251,tblPCSInput[Valid Q1],"&gt;=1"),"")</f>
        <v/>
      </c>
      <c r="T251" s="11">
        <f>IF(S251="","",COUNTIFS(tblPCSInput[Call Date/Time],"&gt;="&amp;(SETUP!$B$6),tblPCSInput[Call Date/Time],"&lt;"&amp;(SETUP!$B$7),tblPCSInput[Call Direction],"I",tblPCSInput[Agent ID],$A251,tblPCSInput[Valid Q1],"&lt;=3",tblPCSInput[Valid Q1],"&gt;=1"))</f>
        <v/>
      </c>
      <c r="U251" s="11">
        <f>IF(S251="","",COUNTIFS(tblPCSInput[Call Date/Time],"&gt;="&amp;(SETUP!$B$6),tblPCSInput[Call Date/Time],"&lt;"&amp;(SETUP!$B$7),tblPCSInput[Call Direction],"I",tblPCSInput[Agent ID],$A251,tblPCSInput[Valid Q1],"&gt;3"))</f>
        <v/>
      </c>
      <c r="V251" s="13">
        <f>IFERROR(Q251/P251,"")</f>
        <v/>
      </c>
      <c r="W251" s="13">
        <f>IFERROR(R251/P251,"")</f>
        <v/>
      </c>
    </row>
    <row r="252" spans="1:23">
      <c r="A252" s="4">
        <f>IF(ROSTER!A252="","",ROSTER!A252)</f>
        <v/>
      </c>
      <c r="B252" s="4">
        <f>IF($A252="","",ROSTER!C252)</f>
        <v/>
      </c>
      <c r="C252" s="4">
        <f>IF($A252="","",ROSTER!D252)</f>
        <v/>
      </c>
      <c r="D252" s="4">
        <f>IF($A252="","",ROSTER!E252)</f>
        <v/>
      </c>
      <c r="E252" s="4">
        <f>IF($A252="","",ROSTER!F252)</f>
        <v/>
      </c>
      <c r="F252" s="11">
        <f>IF($A252="","",COUNTIFS(tblPCSInput[Call Date/Time],"&gt;="&amp;(SETUP!$B$5),tblPCSInput[Call Date/Time],"&lt;"&amp;(SETUP!$B$5+1),tblPCSInput[Call Direction],"I",tblPCSInput[Agent ID],$A252,tblPCSInput[PCSStatus],1))</f>
        <v/>
      </c>
      <c r="G252" s="11">
        <f>IF($A252="","",COUNTIFS(tblPCSInput[Call Date/Time],"&gt;="&amp;(SETUP!$B$5),tblPCSInput[Call Date/Time],"&lt;"&amp;(SETUP!$B$5+1),tblPCSInput[Call Direction],"I",tblPCSInput[Agent ID],$A252,tblPCSInput[Question 1],"&lt;&gt;"))</f>
        <v/>
      </c>
      <c r="H252" s="11">
        <f>IF($A252="","",COUNTIFS(tblPCSInput[Call Date/Time],"&gt;="&amp;(SETUP!$B$5),tblPCSInput[Call Date/Time],"&lt;"&amp;(SETUP!$B$5+1),tblPCSInput[Call Direction],"I",tblPCSInput[Agent ID],$A252,tblPCSInput[Valid Q1],"&gt;=1"))</f>
        <v/>
      </c>
      <c r="I252" s="12">
        <f>IFERROR(SUMIFS(tblPCSInput[Valid Q1],tblPCSInput[Call Date/Time],"&gt;="&amp;SETUP!$B$5,tblPCSInput[Call Date/Time],"&lt;"&amp;SETUP!$B$5+1,tblPCSInput[Call Direction],"I",tblPCSInput[Agent ID],$A252)/COUNTIFS(tblPCSInput[Call Date/Time],"&gt;="&amp;(SETUP!$B$5),tblPCSInput[Call Date/Time],"&lt;"&amp;(SETUP!$B$5+1),tblPCSInput[Call Direction],"I",tblPCSInput[Agent ID],$A252,tblPCSInput[Valid Q1],"&gt;=1"),"")</f>
        <v/>
      </c>
      <c r="J252" s="11">
        <f>IF(I252="","",COUNTIFS(tblPCSInput[Call Date/Time],"&gt;="&amp;(SETUP!$B$5),tblPCSInput[Call Date/Time],"&lt;"&amp;(SETUP!$B$5+1),tblPCSInput[Call Direction],"I",tblPCSInput[Agent ID],$A252,tblPCSInput[Valid Q1],"&lt;=3",tblPCSInput[Valid Q1],"&gt;=1"))</f>
        <v/>
      </c>
      <c r="K252" s="11">
        <f>IF(I252="","",COUNTIFS(tblPCSInput[Call Date/Time],"&gt;="&amp;(SETUP!$B$5),tblPCSInput[Call Date/Time],"&lt;"&amp;(SETUP!$B$5+1),tblPCSInput[Call Direction],"I",tblPCSInput[Agent ID],$A252,tblPCSInput[Valid Q1],"&gt;3"))</f>
        <v/>
      </c>
      <c r="L252" s="13">
        <f>IFERROR(G252/F252,"")</f>
        <v/>
      </c>
      <c r="M252" s="13">
        <f>IFERROR(H252/F252,"")</f>
        <v/>
      </c>
      <c r="N252" s="11">
        <f>IF($A252="","",MAX(0,G252-H252))</f>
        <v/>
      </c>
      <c r="O252" s="4">
        <f>IF($A252="","",IF(H252=0,"NO VALID SURVEY",IF(H252&lt;5,"LOW SAMPLE","OK")))</f>
        <v/>
      </c>
      <c r="P252" s="11">
        <f>IF($A252="","",COUNTIFS(tblPCSInput[Call Date/Time],"&gt;="&amp;(SETUP!$B$6),tblPCSInput[Call Date/Time],"&lt;"&amp;(SETUP!$B$7),tblPCSInput[Call Direction],"I",tblPCSInput[Agent ID],$A252,tblPCSInput[PCSStatus],1))</f>
        <v/>
      </c>
      <c r="Q252" s="11">
        <f>IF($A252="","",COUNTIFS(tblPCSInput[Call Date/Time],"&gt;="&amp;(SETUP!$B$6),tblPCSInput[Call Date/Time],"&lt;"&amp;(SETUP!$B$7),tblPCSInput[Call Direction],"I",tblPCSInput[Agent ID],$A252,tblPCSInput[Question 1],"&lt;&gt;"))</f>
        <v/>
      </c>
      <c r="R252" s="11">
        <f>IF($A252="","",COUNTIFS(tblPCSInput[Call Date/Time],"&gt;="&amp;(SETUP!$B$6),tblPCSInput[Call Date/Time],"&lt;"&amp;(SETUP!$B$7),tblPCSInput[Call Direction],"I",tblPCSInput[Agent ID],$A252,tblPCSInput[Valid Q1],"&gt;=1"))</f>
        <v/>
      </c>
      <c r="S252" s="12">
        <f>IFERROR(SUMIFS(tblPCSInput[Valid Q1],tblPCSInput[Call Date/Time],"&gt;="&amp;SETUP!$B$6,tblPCSInput[Call Date/Time],"&lt;"&amp;SETUP!$B$7,tblPCSInput[Call Direction],"I",tblPCSInput[Agent ID],$A252)/COUNTIFS(tblPCSInput[Call Date/Time],"&gt;="&amp;(SETUP!$B$6),tblPCSInput[Call Date/Time],"&lt;"&amp;(SETUP!$B$7),tblPCSInput[Call Direction],"I",tblPCSInput[Agent ID],$A252,tblPCSInput[Valid Q1],"&gt;=1"),"")</f>
        <v/>
      </c>
      <c r="T252" s="11">
        <f>IF(S252="","",COUNTIFS(tblPCSInput[Call Date/Time],"&gt;="&amp;(SETUP!$B$6),tblPCSInput[Call Date/Time],"&lt;"&amp;(SETUP!$B$7),tblPCSInput[Call Direction],"I",tblPCSInput[Agent ID],$A252,tblPCSInput[Valid Q1],"&lt;=3",tblPCSInput[Valid Q1],"&gt;=1"))</f>
        <v/>
      </c>
      <c r="U252" s="11">
        <f>IF(S252="","",COUNTIFS(tblPCSInput[Call Date/Time],"&gt;="&amp;(SETUP!$B$6),tblPCSInput[Call Date/Time],"&lt;"&amp;(SETUP!$B$7),tblPCSInput[Call Direction],"I",tblPCSInput[Agent ID],$A252,tblPCSInput[Valid Q1],"&gt;3"))</f>
        <v/>
      </c>
      <c r="V252" s="13">
        <f>IFERROR(Q252/P252,"")</f>
        <v/>
      </c>
      <c r="W252" s="13">
        <f>IFERROR(R252/P252,"")</f>
        <v/>
      </c>
    </row>
    <row r="253" spans="1:23">
      <c r="A253" s="4">
        <f>IF(ROSTER!A253="","",ROSTER!A253)</f>
        <v/>
      </c>
      <c r="B253" s="4">
        <f>IF($A253="","",ROSTER!C253)</f>
        <v/>
      </c>
      <c r="C253" s="4">
        <f>IF($A253="","",ROSTER!D253)</f>
        <v/>
      </c>
      <c r="D253" s="4">
        <f>IF($A253="","",ROSTER!E253)</f>
        <v/>
      </c>
      <c r="E253" s="4">
        <f>IF($A253="","",ROSTER!F253)</f>
        <v/>
      </c>
      <c r="F253" s="11">
        <f>IF($A253="","",COUNTIFS(tblPCSInput[Call Date/Time],"&gt;="&amp;(SETUP!$B$5),tblPCSInput[Call Date/Time],"&lt;"&amp;(SETUP!$B$5+1),tblPCSInput[Call Direction],"I",tblPCSInput[Agent ID],$A253,tblPCSInput[PCSStatus],1))</f>
        <v/>
      </c>
      <c r="G253" s="11">
        <f>IF($A253="","",COUNTIFS(tblPCSInput[Call Date/Time],"&gt;="&amp;(SETUP!$B$5),tblPCSInput[Call Date/Time],"&lt;"&amp;(SETUP!$B$5+1),tblPCSInput[Call Direction],"I",tblPCSInput[Agent ID],$A253,tblPCSInput[Question 1],"&lt;&gt;"))</f>
        <v/>
      </c>
      <c r="H253" s="11">
        <f>IF($A253="","",COUNTIFS(tblPCSInput[Call Date/Time],"&gt;="&amp;(SETUP!$B$5),tblPCSInput[Call Date/Time],"&lt;"&amp;(SETUP!$B$5+1),tblPCSInput[Call Direction],"I",tblPCSInput[Agent ID],$A253,tblPCSInput[Valid Q1],"&gt;=1"))</f>
        <v/>
      </c>
      <c r="I253" s="12">
        <f>IFERROR(SUMIFS(tblPCSInput[Valid Q1],tblPCSInput[Call Date/Time],"&gt;="&amp;SETUP!$B$5,tblPCSInput[Call Date/Time],"&lt;"&amp;SETUP!$B$5+1,tblPCSInput[Call Direction],"I",tblPCSInput[Agent ID],$A253)/COUNTIFS(tblPCSInput[Call Date/Time],"&gt;="&amp;(SETUP!$B$5),tblPCSInput[Call Date/Time],"&lt;"&amp;(SETUP!$B$5+1),tblPCSInput[Call Direction],"I",tblPCSInput[Agent ID],$A253,tblPCSInput[Valid Q1],"&gt;=1"),"")</f>
        <v/>
      </c>
      <c r="J253" s="11">
        <f>IF(I253="","",COUNTIFS(tblPCSInput[Call Date/Time],"&gt;="&amp;(SETUP!$B$5),tblPCSInput[Call Date/Time],"&lt;"&amp;(SETUP!$B$5+1),tblPCSInput[Call Direction],"I",tblPCSInput[Agent ID],$A253,tblPCSInput[Valid Q1],"&lt;=3",tblPCSInput[Valid Q1],"&gt;=1"))</f>
        <v/>
      </c>
      <c r="K253" s="11">
        <f>IF(I253="","",COUNTIFS(tblPCSInput[Call Date/Time],"&gt;="&amp;(SETUP!$B$5),tblPCSInput[Call Date/Time],"&lt;"&amp;(SETUP!$B$5+1),tblPCSInput[Call Direction],"I",tblPCSInput[Agent ID],$A253,tblPCSInput[Valid Q1],"&gt;3"))</f>
        <v/>
      </c>
      <c r="L253" s="13">
        <f>IFERROR(G253/F253,"")</f>
        <v/>
      </c>
      <c r="M253" s="13">
        <f>IFERROR(H253/F253,"")</f>
        <v/>
      </c>
      <c r="N253" s="11">
        <f>IF($A253="","",MAX(0,G253-H253))</f>
        <v/>
      </c>
      <c r="O253" s="4">
        <f>IF($A253="","",IF(H253=0,"NO VALID SURVEY",IF(H253&lt;5,"LOW SAMPLE","OK")))</f>
        <v/>
      </c>
      <c r="P253" s="11">
        <f>IF($A253="","",COUNTIFS(tblPCSInput[Call Date/Time],"&gt;="&amp;(SETUP!$B$6),tblPCSInput[Call Date/Time],"&lt;"&amp;(SETUP!$B$7),tblPCSInput[Call Direction],"I",tblPCSInput[Agent ID],$A253,tblPCSInput[PCSStatus],1))</f>
        <v/>
      </c>
      <c r="Q253" s="11">
        <f>IF($A253="","",COUNTIFS(tblPCSInput[Call Date/Time],"&gt;="&amp;(SETUP!$B$6),tblPCSInput[Call Date/Time],"&lt;"&amp;(SETUP!$B$7),tblPCSInput[Call Direction],"I",tblPCSInput[Agent ID],$A253,tblPCSInput[Question 1],"&lt;&gt;"))</f>
        <v/>
      </c>
      <c r="R253" s="11">
        <f>IF($A253="","",COUNTIFS(tblPCSInput[Call Date/Time],"&gt;="&amp;(SETUP!$B$6),tblPCSInput[Call Date/Time],"&lt;"&amp;(SETUP!$B$7),tblPCSInput[Call Direction],"I",tblPCSInput[Agent ID],$A253,tblPCSInput[Valid Q1],"&gt;=1"))</f>
        <v/>
      </c>
      <c r="S253" s="12">
        <f>IFERROR(SUMIFS(tblPCSInput[Valid Q1],tblPCSInput[Call Date/Time],"&gt;="&amp;SETUP!$B$6,tblPCSInput[Call Date/Time],"&lt;"&amp;SETUP!$B$7,tblPCSInput[Call Direction],"I",tblPCSInput[Agent ID],$A253)/COUNTIFS(tblPCSInput[Call Date/Time],"&gt;="&amp;(SETUP!$B$6),tblPCSInput[Call Date/Time],"&lt;"&amp;(SETUP!$B$7),tblPCSInput[Call Direction],"I",tblPCSInput[Agent ID],$A253,tblPCSInput[Valid Q1],"&gt;=1"),"")</f>
        <v/>
      </c>
      <c r="T253" s="11">
        <f>IF(S253="","",COUNTIFS(tblPCSInput[Call Date/Time],"&gt;="&amp;(SETUP!$B$6),tblPCSInput[Call Date/Time],"&lt;"&amp;(SETUP!$B$7),tblPCSInput[Call Direction],"I",tblPCSInput[Agent ID],$A253,tblPCSInput[Valid Q1],"&lt;=3",tblPCSInput[Valid Q1],"&gt;=1"))</f>
        <v/>
      </c>
      <c r="U253" s="11">
        <f>IF(S253="","",COUNTIFS(tblPCSInput[Call Date/Time],"&gt;="&amp;(SETUP!$B$6),tblPCSInput[Call Date/Time],"&lt;"&amp;(SETUP!$B$7),tblPCSInput[Call Direction],"I",tblPCSInput[Agent ID],$A253,tblPCSInput[Valid Q1],"&gt;3"))</f>
        <v/>
      </c>
      <c r="V253" s="13">
        <f>IFERROR(Q253/P253,"")</f>
        <v/>
      </c>
      <c r="W253" s="13">
        <f>IFERROR(R253/P253,"")</f>
        <v/>
      </c>
    </row>
    <row r="254" spans="1:23">
      <c r="A254" s="4">
        <f>IF(ROSTER!A254="","",ROSTER!A254)</f>
        <v/>
      </c>
      <c r="B254" s="4">
        <f>IF($A254="","",ROSTER!C254)</f>
        <v/>
      </c>
      <c r="C254" s="4">
        <f>IF($A254="","",ROSTER!D254)</f>
        <v/>
      </c>
      <c r="D254" s="4">
        <f>IF($A254="","",ROSTER!E254)</f>
        <v/>
      </c>
      <c r="E254" s="4">
        <f>IF($A254="","",ROSTER!F254)</f>
        <v/>
      </c>
      <c r="F254" s="11">
        <f>IF($A254="","",COUNTIFS(tblPCSInput[Call Date/Time],"&gt;="&amp;(SETUP!$B$5),tblPCSInput[Call Date/Time],"&lt;"&amp;(SETUP!$B$5+1),tblPCSInput[Call Direction],"I",tblPCSInput[Agent ID],$A254,tblPCSInput[PCSStatus],1))</f>
        <v/>
      </c>
      <c r="G254" s="11">
        <f>IF($A254="","",COUNTIFS(tblPCSInput[Call Date/Time],"&gt;="&amp;(SETUP!$B$5),tblPCSInput[Call Date/Time],"&lt;"&amp;(SETUP!$B$5+1),tblPCSInput[Call Direction],"I",tblPCSInput[Agent ID],$A254,tblPCSInput[Question 1],"&lt;&gt;"))</f>
        <v/>
      </c>
      <c r="H254" s="11">
        <f>IF($A254="","",COUNTIFS(tblPCSInput[Call Date/Time],"&gt;="&amp;(SETUP!$B$5),tblPCSInput[Call Date/Time],"&lt;"&amp;(SETUP!$B$5+1),tblPCSInput[Call Direction],"I",tblPCSInput[Agent ID],$A254,tblPCSInput[Valid Q1],"&gt;=1"))</f>
        <v/>
      </c>
      <c r="I254" s="12">
        <f>IFERROR(SUMIFS(tblPCSInput[Valid Q1],tblPCSInput[Call Date/Time],"&gt;="&amp;SETUP!$B$5,tblPCSInput[Call Date/Time],"&lt;"&amp;SETUP!$B$5+1,tblPCSInput[Call Direction],"I",tblPCSInput[Agent ID],$A254)/COUNTIFS(tblPCSInput[Call Date/Time],"&gt;="&amp;(SETUP!$B$5),tblPCSInput[Call Date/Time],"&lt;"&amp;(SETUP!$B$5+1),tblPCSInput[Call Direction],"I",tblPCSInput[Agent ID],$A254,tblPCSInput[Valid Q1],"&gt;=1"),"")</f>
        <v/>
      </c>
      <c r="J254" s="11">
        <f>IF(I254="","",COUNTIFS(tblPCSInput[Call Date/Time],"&gt;="&amp;(SETUP!$B$5),tblPCSInput[Call Date/Time],"&lt;"&amp;(SETUP!$B$5+1),tblPCSInput[Call Direction],"I",tblPCSInput[Agent ID],$A254,tblPCSInput[Valid Q1],"&lt;=3",tblPCSInput[Valid Q1],"&gt;=1"))</f>
        <v/>
      </c>
      <c r="K254" s="11">
        <f>IF(I254="","",COUNTIFS(tblPCSInput[Call Date/Time],"&gt;="&amp;(SETUP!$B$5),tblPCSInput[Call Date/Time],"&lt;"&amp;(SETUP!$B$5+1),tblPCSInput[Call Direction],"I",tblPCSInput[Agent ID],$A254,tblPCSInput[Valid Q1],"&gt;3"))</f>
        <v/>
      </c>
      <c r="L254" s="13">
        <f>IFERROR(G254/F254,"")</f>
        <v/>
      </c>
      <c r="M254" s="13">
        <f>IFERROR(H254/F254,"")</f>
        <v/>
      </c>
      <c r="N254" s="11">
        <f>IF($A254="","",MAX(0,G254-H254))</f>
        <v/>
      </c>
      <c r="O254" s="4">
        <f>IF($A254="","",IF(H254=0,"NO VALID SURVEY",IF(H254&lt;5,"LOW SAMPLE","OK")))</f>
        <v/>
      </c>
      <c r="P254" s="11">
        <f>IF($A254="","",COUNTIFS(tblPCSInput[Call Date/Time],"&gt;="&amp;(SETUP!$B$6),tblPCSInput[Call Date/Time],"&lt;"&amp;(SETUP!$B$7),tblPCSInput[Call Direction],"I",tblPCSInput[Agent ID],$A254,tblPCSInput[PCSStatus],1))</f>
        <v/>
      </c>
      <c r="Q254" s="11">
        <f>IF($A254="","",COUNTIFS(tblPCSInput[Call Date/Time],"&gt;="&amp;(SETUP!$B$6),tblPCSInput[Call Date/Time],"&lt;"&amp;(SETUP!$B$7),tblPCSInput[Call Direction],"I",tblPCSInput[Agent ID],$A254,tblPCSInput[Question 1],"&lt;&gt;"))</f>
        <v/>
      </c>
      <c r="R254" s="11">
        <f>IF($A254="","",COUNTIFS(tblPCSInput[Call Date/Time],"&gt;="&amp;(SETUP!$B$6),tblPCSInput[Call Date/Time],"&lt;"&amp;(SETUP!$B$7),tblPCSInput[Call Direction],"I",tblPCSInput[Agent ID],$A254,tblPCSInput[Valid Q1],"&gt;=1"))</f>
        <v/>
      </c>
      <c r="S254" s="12">
        <f>IFERROR(SUMIFS(tblPCSInput[Valid Q1],tblPCSInput[Call Date/Time],"&gt;="&amp;SETUP!$B$6,tblPCSInput[Call Date/Time],"&lt;"&amp;SETUP!$B$7,tblPCSInput[Call Direction],"I",tblPCSInput[Agent ID],$A254)/COUNTIFS(tblPCSInput[Call Date/Time],"&gt;="&amp;(SETUP!$B$6),tblPCSInput[Call Date/Time],"&lt;"&amp;(SETUP!$B$7),tblPCSInput[Call Direction],"I",tblPCSInput[Agent ID],$A254,tblPCSInput[Valid Q1],"&gt;=1"),"")</f>
        <v/>
      </c>
      <c r="T254" s="11">
        <f>IF(S254="","",COUNTIFS(tblPCSInput[Call Date/Time],"&gt;="&amp;(SETUP!$B$6),tblPCSInput[Call Date/Time],"&lt;"&amp;(SETUP!$B$7),tblPCSInput[Call Direction],"I",tblPCSInput[Agent ID],$A254,tblPCSInput[Valid Q1],"&lt;=3",tblPCSInput[Valid Q1],"&gt;=1"))</f>
        <v/>
      </c>
      <c r="U254" s="11">
        <f>IF(S254="","",COUNTIFS(tblPCSInput[Call Date/Time],"&gt;="&amp;(SETUP!$B$6),tblPCSInput[Call Date/Time],"&lt;"&amp;(SETUP!$B$7),tblPCSInput[Call Direction],"I",tblPCSInput[Agent ID],$A254,tblPCSInput[Valid Q1],"&gt;3"))</f>
        <v/>
      </c>
      <c r="V254" s="13">
        <f>IFERROR(Q254/P254,"")</f>
        <v/>
      </c>
      <c r="W254" s="13">
        <f>IFERROR(R254/P254,"")</f>
        <v/>
      </c>
    </row>
    <row r="255" spans="1:23">
      <c r="A255" s="4">
        <f>IF(ROSTER!A255="","",ROSTER!A255)</f>
        <v/>
      </c>
      <c r="B255" s="4">
        <f>IF($A255="","",ROSTER!C255)</f>
        <v/>
      </c>
      <c r="C255" s="4">
        <f>IF($A255="","",ROSTER!D255)</f>
        <v/>
      </c>
      <c r="D255" s="4">
        <f>IF($A255="","",ROSTER!E255)</f>
        <v/>
      </c>
      <c r="E255" s="4">
        <f>IF($A255="","",ROSTER!F255)</f>
        <v/>
      </c>
      <c r="F255" s="11">
        <f>IF($A255="","",COUNTIFS(tblPCSInput[Call Date/Time],"&gt;="&amp;(SETUP!$B$5),tblPCSInput[Call Date/Time],"&lt;"&amp;(SETUP!$B$5+1),tblPCSInput[Call Direction],"I",tblPCSInput[Agent ID],$A255,tblPCSInput[PCSStatus],1))</f>
        <v/>
      </c>
      <c r="G255" s="11">
        <f>IF($A255="","",COUNTIFS(tblPCSInput[Call Date/Time],"&gt;="&amp;(SETUP!$B$5),tblPCSInput[Call Date/Time],"&lt;"&amp;(SETUP!$B$5+1),tblPCSInput[Call Direction],"I",tblPCSInput[Agent ID],$A255,tblPCSInput[Question 1],"&lt;&gt;"))</f>
        <v/>
      </c>
      <c r="H255" s="11">
        <f>IF($A255="","",COUNTIFS(tblPCSInput[Call Date/Time],"&gt;="&amp;(SETUP!$B$5),tblPCSInput[Call Date/Time],"&lt;"&amp;(SETUP!$B$5+1),tblPCSInput[Call Direction],"I",tblPCSInput[Agent ID],$A255,tblPCSInput[Valid Q1],"&gt;=1"))</f>
        <v/>
      </c>
      <c r="I255" s="12">
        <f>IFERROR(SUMIFS(tblPCSInput[Valid Q1],tblPCSInput[Call Date/Time],"&gt;="&amp;SETUP!$B$5,tblPCSInput[Call Date/Time],"&lt;"&amp;SETUP!$B$5+1,tblPCSInput[Call Direction],"I",tblPCSInput[Agent ID],$A255)/COUNTIFS(tblPCSInput[Call Date/Time],"&gt;="&amp;(SETUP!$B$5),tblPCSInput[Call Date/Time],"&lt;"&amp;(SETUP!$B$5+1),tblPCSInput[Call Direction],"I",tblPCSInput[Agent ID],$A255,tblPCSInput[Valid Q1],"&gt;=1"),"")</f>
        <v/>
      </c>
      <c r="J255" s="11">
        <f>IF(I255="","",COUNTIFS(tblPCSInput[Call Date/Time],"&gt;="&amp;(SETUP!$B$5),tblPCSInput[Call Date/Time],"&lt;"&amp;(SETUP!$B$5+1),tblPCSInput[Call Direction],"I",tblPCSInput[Agent ID],$A255,tblPCSInput[Valid Q1],"&lt;=3",tblPCSInput[Valid Q1],"&gt;=1"))</f>
        <v/>
      </c>
      <c r="K255" s="11">
        <f>IF(I255="","",COUNTIFS(tblPCSInput[Call Date/Time],"&gt;="&amp;(SETUP!$B$5),tblPCSInput[Call Date/Time],"&lt;"&amp;(SETUP!$B$5+1),tblPCSInput[Call Direction],"I",tblPCSInput[Agent ID],$A255,tblPCSInput[Valid Q1],"&gt;3"))</f>
        <v/>
      </c>
      <c r="L255" s="13">
        <f>IFERROR(G255/F255,"")</f>
        <v/>
      </c>
      <c r="M255" s="13">
        <f>IFERROR(H255/F255,"")</f>
        <v/>
      </c>
      <c r="N255" s="11">
        <f>IF($A255="","",MAX(0,G255-H255))</f>
        <v/>
      </c>
      <c r="O255" s="4">
        <f>IF($A255="","",IF(H255=0,"NO VALID SURVEY",IF(H255&lt;5,"LOW SAMPLE","OK")))</f>
        <v/>
      </c>
      <c r="P255" s="11">
        <f>IF($A255="","",COUNTIFS(tblPCSInput[Call Date/Time],"&gt;="&amp;(SETUP!$B$6),tblPCSInput[Call Date/Time],"&lt;"&amp;(SETUP!$B$7),tblPCSInput[Call Direction],"I",tblPCSInput[Agent ID],$A255,tblPCSInput[PCSStatus],1))</f>
        <v/>
      </c>
      <c r="Q255" s="11">
        <f>IF($A255="","",COUNTIFS(tblPCSInput[Call Date/Time],"&gt;="&amp;(SETUP!$B$6),tblPCSInput[Call Date/Time],"&lt;"&amp;(SETUP!$B$7),tblPCSInput[Call Direction],"I",tblPCSInput[Agent ID],$A255,tblPCSInput[Question 1],"&lt;&gt;"))</f>
        <v/>
      </c>
      <c r="R255" s="11">
        <f>IF($A255="","",COUNTIFS(tblPCSInput[Call Date/Time],"&gt;="&amp;(SETUP!$B$6),tblPCSInput[Call Date/Time],"&lt;"&amp;(SETUP!$B$7),tblPCSInput[Call Direction],"I",tblPCSInput[Agent ID],$A255,tblPCSInput[Valid Q1],"&gt;=1"))</f>
        <v/>
      </c>
      <c r="S255" s="12">
        <f>IFERROR(SUMIFS(tblPCSInput[Valid Q1],tblPCSInput[Call Date/Time],"&gt;="&amp;SETUP!$B$6,tblPCSInput[Call Date/Time],"&lt;"&amp;SETUP!$B$7,tblPCSInput[Call Direction],"I",tblPCSInput[Agent ID],$A255)/COUNTIFS(tblPCSInput[Call Date/Time],"&gt;="&amp;(SETUP!$B$6),tblPCSInput[Call Date/Time],"&lt;"&amp;(SETUP!$B$7),tblPCSInput[Call Direction],"I",tblPCSInput[Agent ID],$A255,tblPCSInput[Valid Q1],"&gt;=1"),"")</f>
        <v/>
      </c>
      <c r="T255" s="11">
        <f>IF(S255="","",COUNTIFS(tblPCSInput[Call Date/Time],"&gt;="&amp;(SETUP!$B$6),tblPCSInput[Call Date/Time],"&lt;"&amp;(SETUP!$B$7),tblPCSInput[Call Direction],"I",tblPCSInput[Agent ID],$A255,tblPCSInput[Valid Q1],"&lt;=3",tblPCSInput[Valid Q1],"&gt;=1"))</f>
        <v/>
      </c>
      <c r="U255" s="11">
        <f>IF(S255="","",COUNTIFS(tblPCSInput[Call Date/Time],"&gt;="&amp;(SETUP!$B$6),tblPCSInput[Call Date/Time],"&lt;"&amp;(SETUP!$B$7),tblPCSInput[Call Direction],"I",tblPCSInput[Agent ID],$A255,tblPCSInput[Valid Q1],"&gt;3"))</f>
        <v/>
      </c>
      <c r="V255" s="13">
        <f>IFERROR(Q255/P255,"")</f>
        <v/>
      </c>
      <c r="W255" s="13">
        <f>IFERROR(R255/P255,"")</f>
        <v/>
      </c>
    </row>
    <row r="256" spans="1:23">
      <c r="A256" s="4">
        <f>IF(ROSTER!A256="","",ROSTER!A256)</f>
        <v/>
      </c>
      <c r="B256" s="4">
        <f>IF($A256="","",ROSTER!C256)</f>
        <v/>
      </c>
      <c r="C256" s="4">
        <f>IF($A256="","",ROSTER!D256)</f>
        <v/>
      </c>
      <c r="D256" s="4">
        <f>IF($A256="","",ROSTER!E256)</f>
        <v/>
      </c>
      <c r="E256" s="4">
        <f>IF($A256="","",ROSTER!F256)</f>
        <v/>
      </c>
      <c r="F256" s="11">
        <f>IF($A256="","",COUNTIFS(tblPCSInput[Call Date/Time],"&gt;="&amp;(SETUP!$B$5),tblPCSInput[Call Date/Time],"&lt;"&amp;(SETUP!$B$5+1),tblPCSInput[Call Direction],"I",tblPCSInput[Agent ID],$A256,tblPCSInput[PCSStatus],1))</f>
        <v/>
      </c>
      <c r="G256" s="11">
        <f>IF($A256="","",COUNTIFS(tblPCSInput[Call Date/Time],"&gt;="&amp;(SETUP!$B$5),tblPCSInput[Call Date/Time],"&lt;"&amp;(SETUP!$B$5+1),tblPCSInput[Call Direction],"I",tblPCSInput[Agent ID],$A256,tblPCSInput[Question 1],"&lt;&gt;"))</f>
        <v/>
      </c>
      <c r="H256" s="11">
        <f>IF($A256="","",COUNTIFS(tblPCSInput[Call Date/Time],"&gt;="&amp;(SETUP!$B$5),tblPCSInput[Call Date/Time],"&lt;"&amp;(SETUP!$B$5+1),tblPCSInput[Call Direction],"I",tblPCSInput[Agent ID],$A256,tblPCSInput[Valid Q1],"&gt;=1"))</f>
        <v/>
      </c>
      <c r="I256" s="12">
        <f>IFERROR(SUMIFS(tblPCSInput[Valid Q1],tblPCSInput[Call Date/Time],"&gt;="&amp;SETUP!$B$5,tblPCSInput[Call Date/Time],"&lt;"&amp;SETUP!$B$5+1,tblPCSInput[Call Direction],"I",tblPCSInput[Agent ID],$A256)/COUNTIFS(tblPCSInput[Call Date/Time],"&gt;="&amp;(SETUP!$B$5),tblPCSInput[Call Date/Time],"&lt;"&amp;(SETUP!$B$5+1),tblPCSInput[Call Direction],"I",tblPCSInput[Agent ID],$A256,tblPCSInput[Valid Q1],"&gt;=1"),"")</f>
        <v/>
      </c>
      <c r="J256" s="11">
        <f>IF(I256="","",COUNTIFS(tblPCSInput[Call Date/Time],"&gt;="&amp;(SETUP!$B$5),tblPCSInput[Call Date/Time],"&lt;"&amp;(SETUP!$B$5+1),tblPCSInput[Call Direction],"I",tblPCSInput[Agent ID],$A256,tblPCSInput[Valid Q1],"&lt;=3",tblPCSInput[Valid Q1],"&gt;=1"))</f>
        <v/>
      </c>
      <c r="K256" s="11">
        <f>IF(I256="","",COUNTIFS(tblPCSInput[Call Date/Time],"&gt;="&amp;(SETUP!$B$5),tblPCSInput[Call Date/Time],"&lt;"&amp;(SETUP!$B$5+1),tblPCSInput[Call Direction],"I",tblPCSInput[Agent ID],$A256,tblPCSInput[Valid Q1],"&gt;3"))</f>
        <v/>
      </c>
      <c r="L256" s="13">
        <f>IFERROR(G256/F256,"")</f>
        <v/>
      </c>
      <c r="M256" s="13">
        <f>IFERROR(H256/F256,"")</f>
        <v/>
      </c>
      <c r="N256" s="11">
        <f>IF($A256="","",MAX(0,G256-H256))</f>
        <v/>
      </c>
      <c r="O256" s="4">
        <f>IF($A256="","",IF(H256=0,"NO VALID SURVEY",IF(H256&lt;5,"LOW SAMPLE","OK")))</f>
        <v/>
      </c>
      <c r="P256" s="11">
        <f>IF($A256="","",COUNTIFS(tblPCSInput[Call Date/Time],"&gt;="&amp;(SETUP!$B$6),tblPCSInput[Call Date/Time],"&lt;"&amp;(SETUP!$B$7),tblPCSInput[Call Direction],"I",tblPCSInput[Agent ID],$A256,tblPCSInput[PCSStatus],1))</f>
        <v/>
      </c>
      <c r="Q256" s="11">
        <f>IF($A256="","",COUNTIFS(tblPCSInput[Call Date/Time],"&gt;="&amp;(SETUP!$B$6),tblPCSInput[Call Date/Time],"&lt;"&amp;(SETUP!$B$7),tblPCSInput[Call Direction],"I",tblPCSInput[Agent ID],$A256,tblPCSInput[Question 1],"&lt;&gt;"))</f>
        <v/>
      </c>
      <c r="R256" s="11">
        <f>IF($A256="","",COUNTIFS(tblPCSInput[Call Date/Time],"&gt;="&amp;(SETUP!$B$6),tblPCSInput[Call Date/Time],"&lt;"&amp;(SETUP!$B$7),tblPCSInput[Call Direction],"I",tblPCSInput[Agent ID],$A256,tblPCSInput[Valid Q1],"&gt;=1"))</f>
        <v/>
      </c>
      <c r="S256" s="12">
        <f>IFERROR(SUMIFS(tblPCSInput[Valid Q1],tblPCSInput[Call Date/Time],"&gt;="&amp;SETUP!$B$6,tblPCSInput[Call Date/Time],"&lt;"&amp;SETUP!$B$7,tblPCSInput[Call Direction],"I",tblPCSInput[Agent ID],$A256)/COUNTIFS(tblPCSInput[Call Date/Time],"&gt;="&amp;(SETUP!$B$6),tblPCSInput[Call Date/Time],"&lt;"&amp;(SETUP!$B$7),tblPCSInput[Call Direction],"I",tblPCSInput[Agent ID],$A256,tblPCSInput[Valid Q1],"&gt;=1"),"")</f>
        <v/>
      </c>
      <c r="T256" s="11">
        <f>IF(S256="","",COUNTIFS(tblPCSInput[Call Date/Time],"&gt;="&amp;(SETUP!$B$6),tblPCSInput[Call Date/Time],"&lt;"&amp;(SETUP!$B$7),tblPCSInput[Call Direction],"I",tblPCSInput[Agent ID],$A256,tblPCSInput[Valid Q1],"&lt;=3",tblPCSInput[Valid Q1],"&gt;=1"))</f>
        <v/>
      </c>
      <c r="U256" s="11">
        <f>IF(S256="","",COUNTIFS(tblPCSInput[Call Date/Time],"&gt;="&amp;(SETUP!$B$6),tblPCSInput[Call Date/Time],"&lt;"&amp;(SETUP!$B$7),tblPCSInput[Call Direction],"I",tblPCSInput[Agent ID],$A256,tblPCSInput[Valid Q1],"&gt;3"))</f>
        <v/>
      </c>
      <c r="V256" s="13">
        <f>IFERROR(Q256/P256,"")</f>
        <v/>
      </c>
      <c r="W256" s="13">
        <f>IFERROR(R256/P256,"")</f>
        <v/>
      </c>
    </row>
    <row r="257" spans="1:23">
      <c r="A257" s="4">
        <f>IF(ROSTER!A257="","",ROSTER!A257)</f>
        <v/>
      </c>
      <c r="B257" s="4">
        <f>IF($A257="","",ROSTER!C257)</f>
        <v/>
      </c>
      <c r="C257" s="4">
        <f>IF($A257="","",ROSTER!D257)</f>
        <v/>
      </c>
      <c r="D257" s="4">
        <f>IF($A257="","",ROSTER!E257)</f>
        <v/>
      </c>
      <c r="E257" s="4">
        <f>IF($A257="","",ROSTER!F257)</f>
        <v/>
      </c>
      <c r="F257" s="11">
        <f>IF($A257="","",COUNTIFS(tblPCSInput[Call Date/Time],"&gt;="&amp;(SETUP!$B$5),tblPCSInput[Call Date/Time],"&lt;"&amp;(SETUP!$B$5+1),tblPCSInput[Call Direction],"I",tblPCSInput[Agent ID],$A257,tblPCSInput[PCSStatus],1))</f>
        <v/>
      </c>
      <c r="G257" s="11">
        <f>IF($A257="","",COUNTIFS(tblPCSInput[Call Date/Time],"&gt;="&amp;(SETUP!$B$5),tblPCSInput[Call Date/Time],"&lt;"&amp;(SETUP!$B$5+1),tblPCSInput[Call Direction],"I",tblPCSInput[Agent ID],$A257,tblPCSInput[Question 1],"&lt;&gt;"))</f>
        <v/>
      </c>
      <c r="H257" s="11">
        <f>IF($A257="","",COUNTIFS(tblPCSInput[Call Date/Time],"&gt;="&amp;(SETUP!$B$5),tblPCSInput[Call Date/Time],"&lt;"&amp;(SETUP!$B$5+1),tblPCSInput[Call Direction],"I",tblPCSInput[Agent ID],$A257,tblPCSInput[Valid Q1],"&gt;=1"))</f>
        <v/>
      </c>
      <c r="I257" s="12">
        <f>IFERROR(SUMIFS(tblPCSInput[Valid Q1],tblPCSInput[Call Date/Time],"&gt;="&amp;SETUP!$B$5,tblPCSInput[Call Date/Time],"&lt;"&amp;SETUP!$B$5+1,tblPCSInput[Call Direction],"I",tblPCSInput[Agent ID],$A257)/COUNTIFS(tblPCSInput[Call Date/Time],"&gt;="&amp;(SETUP!$B$5),tblPCSInput[Call Date/Time],"&lt;"&amp;(SETUP!$B$5+1),tblPCSInput[Call Direction],"I",tblPCSInput[Agent ID],$A257,tblPCSInput[Valid Q1],"&gt;=1"),"")</f>
        <v/>
      </c>
      <c r="J257" s="11">
        <f>IF(I257="","",COUNTIFS(tblPCSInput[Call Date/Time],"&gt;="&amp;(SETUP!$B$5),tblPCSInput[Call Date/Time],"&lt;"&amp;(SETUP!$B$5+1),tblPCSInput[Call Direction],"I",tblPCSInput[Agent ID],$A257,tblPCSInput[Valid Q1],"&lt;=3",tblPCSInput[Valid Q1],"&gt;=1"))</f>
        <v/>
      </c>
      <c r="K257" s="11">
        <f>IF(I257="","",COUNTIFS(tblPCSInput[Call Date/Time],"&gt;="&amp;(SETUP!$B$5),tblPCSInput[Call Date/Time],"&lt;"&amp;(SETUP!$B$5+1),tblPCSInput[Call Direction],"I",tblPCSInput[Agent ID],$A257,tblPCSInput[Valid Q1],"&gt;3"))</f>
        <v/>
      </c>
      <c r="L257" s="13">
        <f>IFERROR(G257/F257,"")</f>
        <v/>
      </c>
      <c r="M257" s="13">
        <f>IFERROR(H257/F257,"")</f>
        <v/>
      </c>
      <c r="N257" s="11">
        <f>IF($A257="","",MAX(0,G257-H257))</f>
        <v/>
      </c>
      <c r="O257" s="4">
        <f>IF($A257="","",IF(H257=0,"NO VALID SURVEY",IF(H257&lt;5,"LOW SAMPLE","OK")))</f>
        <v/>
      </c>
      <c r="P257" s="11">
        <f>IF($A257="","",COUNTIFS(tblPCSInput[Call Date/Time],"&gt;="&amp;(SETUP!$B$6),tblPCSInput[Call Date/Time],"&lt;"&amp;(SETUP!$B$7),tblPCSInput[Call Direction],"I",tblPCSInput[Agent ID],$A257,tblPCSInput[PCSStatus],1))</f>
        <v/>
      </c>
      <c r="Q257" s="11">
        <f>IF($A257="","",COUNTIFS(tblPCSInput[Call Date/Time],"&gt;="&amp;(SETUP!$B$6),tblPCSInput[Call Date/Time],"&lt;"&amp;(SETUP!$B$7),tblPCSInput[Call Direction],"I",tblPCSInput[Agent ID],$A257,tblPCSInput[Question 1],"&lt;&gt;"))</f>
        <v/>
      </c>
      <c r="R257" s="11">
        <f>IF($A257="","",COUNTIFS(tblPCSInput[Call Date/Time],"&gt;="&amp;(SETUP!$B$6),tblPCSInput[Call Date/Time],"&lt;"&amp;(SETUP!$B$7),tblPCSInput[Call Direction],"I",tblPCSInput[Agent ID],$A257,tblPCSInput[Valid Q1],"&gt;=1"))</f>
        <v/>
      </c>
      <c r="S257" s="12">
        <f>IFERROR(SUMIFS(tblPCSInput[Valid Q1],tblPCSInput[Call Date/Time],"&gt;="&amp;SETUP!$B$6,tblPCSInput[Call Date/Time],"&lt;"&amp;SETUP!$B$7,tblPCSInput[Call Direction],"I",tblPCSInput[Agent ID],$A257)/COUNTIFS(tblPCSInput[Call Date/Time],"&gt;="&amp;(SETUP!$B$6),tblPCSInput[Call Date/Time],"&lt;"&amp;(SETUP!$B$7),tblPCSInput[Call Direction],"I",tblPCSInput[Agent ID],$A257,tblPCSInput[Valid Q1],"&gt;=1"),"")</f>
        <v/>
      </c>
      <c r="T257" s="11">
        <f>IF(S257="","",COUNTIFS(tblPCSInput[Call Date/Time],"&gt;="&amp;(SETUP!$B$6),tblPCSInput[Call Date/Time],"&lt;"&amp;(SETUP!$B$7),tblPCSInput[Call Direction],"I",tblPCSInput[Agent ID],$A257,tblPCSInput[Valid Q1],"&lt;=3",tblPCSInput[Valid Q1],"&gt;=1"))</f>
        <v/>
      </c>
      <c r="U257" s="11">
        <f>IF(S257="","",COUNTIFS(tblPCSInput[Call Date/Time],"&gt;="&amp;(SETUP!$B$6),tblPCSInput[Call Date/Time],"&lt;"&amp;(SETUP!$B$7),tblPCSInput[Call Direction],"I",tblPCSInput[Agent ID],$A257,tblPCSInput[Valid Q1],"&gt;3"))</f>
        <v/>
      </c>
      <c r="V257" s="13">
        <f>IFERROR(Q257/P257,"")</f>
        <v/>
      </c>
      <c r="W257" s="13">
        <f>IFERROR(R257/P257,"")</f>
        <v/>
      </c>
    </row>
    <row r="258" spans="1:23">
      <c r="A258" s="4">
        <f>IF(ROSTER!A258="","",ROSTER!A258)</f>
        <v/>
      </c>
      <c r="B258" s="4">
        <f>IF($A258="","",ROSTER!C258)</f>
        <v/>
      </c>
      <c r="C258" s="4">
        <f>IF($A258="","",ROSTER!D258)</f>
        <v/>
      </c>
      <c r="D258" s="4">
        <f>IF($A258="","",ROSTER!E258)</f>
        <v/>
      </c>
      <c r="E258" s="4">
        <f>IF($A258="","",ROSTER!F258)</f>
        <v/>
      </c>
      <c r="F258" s="11">
        <f>IF($A258="","",COUNTIFS(tblPCSInput[Call Date/Time],"&gt;="&amp;(SETUP!$B$5),tblPCSInput[Call Date/Time],"&lt;"&amp;(SETUP!$B$5+1),tblPCSInput[Call Direction],"I",tblPCSInput[Agent ID],$A258,tblPCSInput[PCSStatus],1))</f>
        <v/>
      </c>
      <c r="G258" s="11">
        <f>IF($A258="","",COUNTIFS(tblPCSInput[Call Date/Time],"&gt;="&amp;(SETUP!$B$5),tblPCSInput[Call Date/Time],"&lt;"&amp;(SETUP!$B$5+1),tblPCSInput[Call Direction],"I",tblPCSInput[Agent ID],$A258,tblPCSInput[Question 1],"&lt;&gt;"))</f>
        <v/>
      </c>
      <c r="H258" s="11">
        <f>IF($A258="","",COUNTIFS(tblPCSInput[Call Date/Time],"&gt;="&amp;(SETUP!$B$5),tblPCSInput[Call Date/Time],"&lt;"&amp;(SETUP!$B$5+1),tblPCSInput[Call Direction],"I",tblPCSInput[Agent ID],$A258,tblPCSInput[Valid Q1],"&gt;=1"))</f>
        <v/>
      </c>
      <c r="I258" s="12">
        <f>IFERROR(SUMIFS(tblPCSInput[Valid Q1],tblPCSInput[Call Date/Time],"&gt;="&amp;SETUP!$B$5,tblPCSInput[Call Date/Time],"&lt;"&amp;SETUP!$B$5+1,tblPCSInput[Call Direction],"I",tblPCSInput[Agent ID],$A258)/COUNTIFS(tblPCSInput[Call Date/Time],"&gt;="&amp;(SETUP!$B$5),tblPCSInput[Call Date/Time],"&lt;"&amp;(SETUP!$B$5+1),tblPCSInput[Call Direction],"I",tblPCSInput[Agent ID],$A258,tblPCSInput[Valid Q1],"&gt;=1"),"")</f>
        <v/>
      </c>
      <c r="J258" s="11">
        <f>IF(I258="","",COUNTIFS(tblPCSInput[Call Date/Time],"&gt;="&amp;(SETUP!$B$5),tblPCSInput[Call Date/Time],"&lt;"&amp;(SETUP!$B$5+1),tblPCSInput[Call Direction],"I",tblPCSInput[Agent ID],$A258,tblPCSInput[Valid Q1],"&lt;=3",tblPCSInput[Valid Q1],"&gt;=1"))</f>
        <v/>
      </c>
      <c r="K258" s="11">
        <f>IF(I258="","",COUNTIFS(tblPCSInput[Call Date/Time],"&gt;="&amp;(SETUP!$B$5),tblPCSInput[Call Date/Time],"&lt;"&amp;(SETUP!$B$5+1),tblPCSInput[Call Direction],"I",tblPCSInput[Agent ID],$A258,tblPCSInput[Valid Q1],"&gt;3"))</f>
        <v/>
      </c>
      <c r="L258" s="13">
        <f>IFERROR(G258/F258,"")</f>
        <v/>
      </c>
      <c r="M258" s="13">
        <f>IFERROR(H258/F258,"")</f>
        <v/>
      </c>
      <c r="N258" s="11">
        <f>IF($A258="","",MAX(0,G258-H258))</f>
        <v/>
      </c>
      <c r="O258" s="4">
        <f>IF($A258="","",IF(H258=0,"NO VALID SURVEY",IF(H258&lt;5,"LOW SAMPLE","OK")))</f>
        <v/>
      </c>
      <c r="P258" s="11">
        <f>IF($A258="","",COUNTIFS(tblPCSInput[Call Date/Time],"&gt;="&amp;(SETUP!$B$6),tblPCSInput[Call Date/Time],"&lt;"&amp;(SETUP!$B$7),tblPCSInput[Call Direction],"I",tblPCSInput[Agent ID],$A258,tblPCSInput[PCSStatus],1))</f>
        <v/>
      </c>
      <c r="Q258" s="11">
        <f>IF($A258="","",COUNTIFS(tblPCSInput[Call Date/Time],"&gt;="&amp;(SETUP!$B$6),tblPCSInput[Call Date/Time],"&lt;"&amp;(SETUP!$B$7),tblPCSInput[Call Direction],"I",tblPCSInput[Agent ID],$A258,tblPCSInput[Question 1],"&lt;&gt;"))</f>
        <v/>
      </c>
      <c r="R258" s="11">
        <f>IF($A258="","",COUNTIFS(tblPCSInput[Call Date/Time],"&gt;="&amp;(SETUP!$B$6),tblPCSInput[Call Date/Time],"&lt;"&amp;(SETUP!$B$7),tblPCSInput[Call Direction],"I",tblPCSInput[Agent ID],$A258,tblPCSInput[Valid Q1],"&gt;=1"))</f>
        <v/>
      </c>
      <c r="S258" s="12">
        <f>IFERROR(SUMIFS(tblPCSInput[Valid Q1],tblPCSInput[Call Date/Time],"&gt;="&amp;SETUP!$B$6,tblPCSInput[Call Date/Time],"&lt;"&amp;SETUP!$B$7,tblPCSInput[Call Direction],"I",tblPCSInput[Agent ID],$A258)/COUNTIFS(tblPCSInput[Call Date/Time],"&gt;="&amp;(SETUP!$B$6),tblPCSInput[Call Date/Time],"&lt;"&amp;(SETUP!$B$7),tblPCSInput[Call Direction],"I",tblPCSInput[Agent ID],$A258,tblPCSInput[Valid Q1],"&gt;=1"),"")</f>
        <v/>
      </c>
      <c r="T258" s="11">
        <f>IF(S258="","",COUNTIFS(tblPCSInput[Call Date/Time],"&gt;="&amp;(SETUP!$B$6),tblPCSInput[Call Date/Time],"&lt;"&amp;(SETUP!$B$7),tblPCSInput[Call Direction],"I",tblPCSInput[Agent ID],$A258,tblPCSInput[Valid Q1],"&lt;=3",tblPCSInput[Valid Q1],"&gt;=1"))</f>
        <v/>
      </c>
      <c r="U258" s="11">
        <f>IF(S258="","",COUNTIFS(tblPCSInput[Call Date/Time],"&gt;="&amp;(SETUP!$B$6),tblPCSInput[Call Date/Time],"&lt;"&amp;(SETUP!$B$7),tblPCSInput[Call Direction],"I",tblPCSInput[Agent ID],$A258,tblPCSInput[Valid Q1],"&gt;3"))</f>
        <v/>
      </c>
      <c r="V258" s="13">
        <f>IFERROR(Q258/P258,"")</f>
        <v/>
      </c>
      <c r="W258" s="13">
        <f>IFERROR(R258/P258,"")</f>
        <v/>
      </c>
    </row>
    <row r="259" spans="1:23">
      <c r="A259" s="4">
        <f>IF(ROSTER!A259="","",ROSTER!A259)</f>
        <v/>
      </c>
      <c r="B259" s="4">
        <f>IF($A259="","",ROSTER!C259)</f>
        <v/>
      </c>
      <c r="C259" s="4">
        <f>IF($A259="","",ROSTER!D259)</f>
        <v/>
      </c>
      <c r="D259" s="4">
        <f>IF($A259="","",ROSTER!E259)</f>
        <v/>
      </c>
      <c r="E259" s="4">
        <f>IF($A259="","",ROSTER!F259)</f>
        <v/>
      </c>
      <c r="F259" s="11">
        <f>IF($A259="","",COUNTIFS(tblPCSInput[Call Date/Time],"&gt;="&amp;(SETUP!$B$5),tblPCSInput[Call Date/Time],"&lt;"&amp;(SETUP!$B$5+1),tblPCSInput[Call Direction],"I",tblPCSInput[Agent ID],$A259,tblPCSInput[PCSStatus],1))</f>
        <v/>
      </c>
      <c r="G259" s="11">
        <f>IF($A259="","",COUNTIFS(tblPCSInput[Call Date/Time],"&gt;="&amp;(SETUP!$B$5),tblPCSInput[Call Date/Time],"&lt;"&amp;(SETUP!$B$5+1),tblPCSInput[Call Direction],"I",tblPCSInput[Agent ID],$A259,tblPCSInput[Question 1],"&lt;&gt;"))</f>
        <v/>
      </c>
      <c r="H259" s="11">
        <f>IF($A259="","",COUNTIFS(tblPCSInput[Call Date/Time],"&gt;="&amp;(SETUP!$B$5),tblPCSInput[Call Date/Time],"&lt;"&amp;(SETUP!$B$5+1),tblPCSInput[Call Direction],"I",tblPCSInput[Agent ID],$A259,tblPCSInput[Valid Q1],"&gt;=1"))</f>
        <v/>
      </c>
      <c r="I259" s="12">
        <f>IFERROR(SUMIFS(tblPCSInput[Valid Q1],tblPCSInput[Call Date/Time],"&gt;="&amp;SETUP!$B$5,tblPCSInput[Call Date/Time],"&lt;"&amp;SETUP!$B$5+1,tblPCSInput[Call Direction],"I",tblPCSInput[Agent ID],$A259)/COUNTIFS(tblPCSInput[Call Date/Time],"&gt;="&amp;(SETUP!$B$5),tblPCSInput[Call Date/Time],"&lt;"&amp;(SETUP!$B$5+1),tblPCSInput[Call Direction],"I",tblPCSInput[Agent ID],$A259,tblPCSInput[Valid Q1],"&gt;=1"),"")</f>
        <v/>
      </c>
      <c r="J259" s="11">
        <f>IF(I259="","",COUNTIFS(tblPCSInput[Call Date/Time],"&gt;="&amp;(SETUP!$B$5),tblPCSInput[Call Date/Time],"&lt;"&amp;(SETUP!$B$5+1),tblPCSInput[Call Direction],"I",tblPCSInput[Agent ID],$A259,tblPCSInput[Valid Q1],"&lt;=3",tblPCSInput[Valid Q1],"&gt;=1"))</f>
        <v/>
      </c>
      <c r="K259" s="11">
        <f>IF(I259="","",COUNTIFS(tblPCSInput[Call Date/Time],"&gt;="&amp;(SETUP!$B$5),tblPCSInput[Call Date/Time],"&lt;"&amp;(SETUP!$B$5+1),tblPCSInput[Call Direction],"I",tblPCSInput[Agent ID],$A259,tblPCSInput[Valid Q1],"&gt;3"))</f>
        <v/>
      </c>
      <c r="L259" s="13">
        <f>IFERROR(G259/F259,"")</f>
        <v/>
      </c>
      <c r="M259" s="13">
        <f>IFERROR(H259/F259,"")</f>
        <v/>
      </c>
      <c r="N259" s="11">
        <f>IF($A259="","",MAX(0,G259-H259))</f>
        <v/>
      </c>
      <c r="O259" s="4">
        <f>IF($A259="","",IF(H259=0,"NO VALID SURVEY",IF(H259&lt;5,"LOW SAMPLE","OK")))</f>
        <v/>
      </c>
      <c r="P259" s="11">
        <f>IF($A259="","",COUNTIFS(tblPCSInput[Call Date/Time],"&gt;="&amp;(SETUP!$B$6),tblPCSInput[Call Date/Time],"&lt;"&amp;(SETUP!$B$7),tblPCSInput[Call Direction],"I",tblPCSInput[Agent ID],$A259,tblPCSInput[PCSStatus],1))</f>
        <v/>
      </c>
      <c r="Q259" s="11">
        <f>IF($A259="","",COUNTIFS(tblPCSInput[Call Date/Time],"&gt;="&amp;(SETUP!$B$6),tblPCSInput[Call Date/Time],"&lt;"&amp;(SETUP!$B$7),tblPCSInput[Call Direction],"I",tblPCSInput[Agent ID],$A259,tblPCSInput[Question 1],"&lt;&gt;"))</f>
        <v/>
      </c>
      <c r="R259" s="11">
        <f>IF($A259="","",COUNTIFS(tblPCSInput[Call Date/Time],"&gt;="&amp;(SETUP!$B$6),tblPCSInput[Call Date/Time],"&lt;"&amp;(SETUP!$B$7),tblPCSInput[Call Direction],"I",tblPCSInput[Agent ID],$A259,tblPCSInput[Valid Q1],"&gt;=1"))</f>
        <v/>
      </c>
      <c r="S259" s="12">
        <f>IFERROR(SUMIFS(tblPCSInput[Valid Q1],tblPCSInput[Call Date/Time],"&gt;="&amp;SETUP!$B$6,tblPCSInput[Call Date/Time],"&lt;"&amp;SETUP!$B$7,tblPCSInput[Call Direction],"I",tblPCSInput[Agent ID],$A259)/COUNTIFS(tblPCSInput[Call Date/Time],"&gt;="&amp;(SETUP!$B$6),tblPCSInput[Call Date/Time],"&lt;"&amp;(SETUP!$B$7),tblPCSInput[Call Direction],"I",tblPCSInput[Agent ID],$A259,tblPCSInput[Valid Q1],"&gt;=1"),"")</f>
        <v/>
      </c>
      <c r="T259" s="11">
        <f>IF(S259="","",COUNTIFS(tblPCSInput[Call Date/Time],"&gt;="&amp;(SETUP!$B$6),tblPCSInput[Call Date/Time],"&lt;"&amp;(SETUP!$B$7),tblPCSInput[Call Direction],"I",tblPCSInput[Agent ID],$A259,tblPCSInput[Valid Q1],"&lt;=3",tblPCSInput[Valid Q1],"&gt;=1"))</f>
        <v/>
      </c>
      <c r="U259" s="11">
        <f>IF(S259="","",COUNTIFS(tblPCSInput[Call Date/Time],"&gt;="&amp;(SETUP!$B$6),tblPCSInput[Call Date/Time],"&lt;"&amp;(SETUP!$B$7),tblPCSInput[Call Direction],"I",tblPCSInput[Agent ID],$A259,tblPCSInput[Valid Q1],"&gt;3"))</f>
        <v/>
      </c>
      <c r="V259" s="13">
        <f>IFERROR(Q259/P259,"")</f>
        <v/>
      </c>
      <c r="W259" s="13">
        <f>IFERROR(R259/P259,"")</f>
        <v/>
      </c>
    </row>
    <row r="260" spans="1:23">
      <c r="A260" s="4">
        <f>IF(ROSTER!A260="","",ROSTER!A260)</f>
        <v/>
      </c>
      <c r="B260" s="4">
        <f>IF($A260="","",ROSTER!C260)</f>
        <v/>
      </c>
      <c r="C260" s="4">
        <f>IF($A260="","",ROSTER!D260)</f>
        <v/>
      </c>
      <c r="D260" s="4">
        <f>IF($A260="","",ROSTER!E260)</f>
        <v/>
      </c>
      <c r="E260" s="4">
        <f>IF($A260="","",ROSTER!F260)</f>
        <v/>
      </c>
      <c r="F260" s="11">
        <f>IF($A260="","",COUNTIFS(tblPCSInput[Call Date/Time],"&gt;="&amp;(SETUP!$B$5),tblPCSInput[Call Date/Time],"&lt;"&amp;(SETUP!$B$5+1),tblPCSInput[Call Direction],"I",tblPCSInput[Agent ID],$A260,tblPCSInput[PCSStatus],1))</f>
        <v/>
      </c>
      <c r="G260" s="11">
        <f>IF($A260="","",COUNTIFS(tblPCSInput[Call Date/Time],"&gt;="&amp;(SETUP!$B$5),tblPCSInput[Call Date/Time],"&lt;"&amp;(SETUP!$B$5+1),tblPCSInput[Call Direction],"I",tblPCSInput[Agent ID],$A260,tblPCSInput[Question 1],"&lt;&gt;"))</f>
        <v/>
      </c>
      <c r="H260" s="11">
        <f>IF($A260="","",COUNTIFS(tblPCSInput[Call Date/Time],"&gt;="&amp;(SETUP!$B$5),tblPCSInput[Call Date/Time],"&lt;"&amp;(SETUP!$B$5+1),tblPCSInput[Call Direction],"I",tblPCSInput[Agent ID],$A260,tblPCSInput[Valid Q1],"&gt;=1"))</f>
        <v/>
      </c>
      <c r="I260" s="12">
        <f>IFERROR(SUMIFS(tblPCSInput[Valid Q1],tblPCSInput[Call Date/Time],"&gt;="&amp;SETUP!$B$5,tblPCSInput[Call Date/Time],"&lt;"&amp;SETUP!$B$5+1,tblPCSInput[Call Direction],"I",tblPCSInput[Agent ID],$A260)/COUNTIFS(tblPCSInput[Call Date/Time],"&gt;="&amp;(SETUP!$B$5),tblPCSInput[Call Date/Time],"&lt;"&amp;(SETUP!$B$5+1),tblPCSInput[Call Direction],"I",tblPCSInput[Agent ID],$A260,tblPCSInput[Valid Q1],"&gt;=1"),"")</f>
        <v/>
      </c>
      <c r="J260" s="11">
        <f>IF(I260="","",COUNTIFS(tblPCSInput[Call Date/Time],"&gt;="&amp;(SETUP!$B$5),tblPCSInput[Call Date/Time],"&lt;"&amp;(SETUP!$B$5+1),tblPCSInput[Call Direction],"I",tblPCSInput[Agent ID],$A260,tblPCSInput[Valid Q1],"&lt;=3",tblPCSInput[Valid Q1],"&gt;=1"))</f>
        <v/>
      </c>
      <c r="K260" s="11">
        <f>IF(I260="","",COUNTIFS(tblPCSInput[Call Date/Time],"&gt;="&amp;(SETUP!$B$5),tblPCSInput[Call Date/Time],"&lt;"&amp;(SETUP!$B$5+1),tblPCSInput[Call Direction],"I",tblPCSInput[Agent ID],$A260,tblPCSInput[Valid Q1],"&gt;3"))</f>
        <v/>
      </c>
      <c r="L260" s="13">
        <f>IFERROR(G260/F260,"")</f>
        <v/>
      </c>
      <c r="M260" s="13">
        <f>IFERROR(H260/F260,"")</f>
        <v/>
      </c>
      <c r="N260" s="11">
        <f>IF($A260="","",MAX(0,G260-H260))</f>
        <v/>
      </c>
      <c r="O260" s="4">
        <f>IF($A260="","",IF(H260=0,"NO VALID SURVEY",IF(H260&lt;5,"LOW SAMPLE","OK")))</f>
        <v/>
      </c>
      <c r="P260" s="11">
        <f>IF($A260="","",COUNTIFS(tblPCSInput[Call Date/Time],"&gt;="&amp;(SETUP!$B$6),tblPCSInput[Call Date/Time],"&lt;"&amp;(SETUP!$B$7),tblPCSInput[Call Direction],"I",tblPCSInput[Agent ID],$A260,tblPCSInput[PCSStatus],1))</f>
        <v/>
      </c>
      <c r="Q260" s="11">
        <f>IF($A260="","",COUNTIFS(tblPCSInput[Call Date/Time],"&gt;="&amp;(SETUP!$B$6),tblPCSInput[Call Date/Time],"&lt;"&amp;(SETUP!$B$7),tblPCSInput[Call Direction],"I",tblPCSInput[Agent ID],$A260,tblPCSInput[Question 1],"&lt;&gt;"))</f>
        <v/>
      </c>
      <c r="R260" s="11">
        <f>IF($A260="","",COUNTIFS(tblPCSInput[Call Date/Time],"&gt;="&amp;(SETUP!$B$6),tblPCSInput[Call Date/Time],"&lt;"&amp;(SETUP!$B$7),tblPCSInput[Call Direction],"I",tblPCSInput[Agent ID],$A260,tblPCSInput[Valid Q1],"&gt;=1"))</f>
        <v/>
      </c>
      <c r="S260" s="12">
        <f>IFERROR(SUMIFS(tblPCSInput[Valid Q1],tblPCSInput[Call Date/Time],"&gt;="&amp;SETUP!$B$6,tblPCSInput[Call Date/Time],"&lt;"&amp;SETUP!$B$7,tblPCSInput[Call Direction],"I",tblPCSInput[Agent ID],$A260)/COUNTIFS(tblPCSInput[Call Date/Time],"&gt;="&amp;(SETUP!$B$6),tblPCSInput[Call Date/Time],"&lt;"&amp;(SETUP!$B$7),tblPCSInput[Call Direction],"I",tblPCSInput[Agent ID],$A260,tblPCSInput[Valid Q1],"&gt;=1"),"")</f>
        <v/>
      </c>
      <c r="T260" s="11">
        <f>IF(S260="","",COUNTIFS(tblPCSInput[Call Date/Time],"&gt;="&amp;(SETUP!$B$6),tblPCSInput[Call Date/Time],"&lt;"&amp;(SETUP!$B$7),tblPCSInput[Call Direction],"I",tblPCSInput[Agent ID],$A260,tblPCSInput[Valid Q1],"&lt;=3",tblPCSInput[Valid Q1],"&gt;=1"))</f>
        <v/>
      </c>
      <c r="U260" s="11">
        <f>IF(S260="","",COUNTIFS(tblPCSInput[Call Date/Time],"&gt;="&amp;(SETUP!$B$6),tblPCSInput[Call Date/Time],"&lt;"&amp;(SETUP!$B$7),tblPCSInput[Call Direction],"I",tblPCSInput[Agent ID],$A260,tblPCSInput[Valid Q1],"&gt;3"))</f>
        <v/>
      </c>
      <c r="V260" s="13">
        <f>IFERROR(Q260/P260,"")</f>
        <v/>
      </c>
      <c r="W260" s="13">
        <f>IFERROR(R260/P260,"")</f>
        <v/>
      </c>
    </row>
    <row r="261" spans="1:23">
      <c r="A261" s="4">
        <f>IF(ROSTER!A261="","",ROSTER!A261)</f>
        <v/>
      </c>
      <c r="B261" s="4">
        <f>IF($A261="","",ROSTER!C261)</f>
        <v/>
      </c>
      <c r="C261" s="4">
        <f>IF($A261="","",ROSTER!D261)</f>
        <v/>
      </c>
      <c r="D261" s="4">
        <f>IF($A261="","",ROSTER!E261)</f>
        <v/>
      </c>
      <c r="E261" s="4">
        <f>IF($A261="","",ROSTER!F261)</f>
        <v/>
      </c>
      <c r="F261" s="11">
        <f>IF($A261="","",COUNTIFS(tblPCSInput[Call Date/Time],"&gt;="&amp;(SETUP!$B$5),tblPCSInput[Call Date/Time],"&lt;"&amp;(SETUP!$B$5+1),tblPCSInput[Call Direction],"I",tblPCSInput[Agent ID],$A261,tblPCSInput[PCSStatus],1))</f>
        <v/>
      </c>
      <c r="G261" s="11">
        <f>IF($A261="","",COUNTIFS(tblPCSInput[Call Date/Time],"&gt;="&amp;(SETUP!$B$5),tblPCSInput[Call Date/Time],"&lt;"&amp;(SETUP!$B$5+1),tblPCSInput[Call Direction],"I",tblPCSInput[Agent ID],$A261,tblPCSInput[Question 1],"&lt;&gt;"))</f>
        <v/>
      </c>
      <c r="H261" s="11">
        <f>IF($A261="","",COUNTIFS(tblPCSInput[Call Date/Time],"&gt;="&amp;(SETUP!$B$5),tblPCSInput[Call Date/Time],"&lt;"&amp;(SETUP!$B$5+1),tblPCSInput[Call Direction],"I",tblPCSInput[Agent ID],$A261,tblPCSInput[Valid Q1],"&gt;=1"))</f>
        <v/>
      </c>
      <c r="I261" s="12">
        <f>IFERROR(SUMIFS(tblPCSInput[Valid Q1],tblPCSInput[Call Date/Time],"&gt;="&amp;SETUP!$B$5,tblPCSInput[Call Date/Time],"&lt;"&amp;SETUP!$B$5+1,tblPCSInput[Call Direction],"I",tblPCSInput[Agent ID],$A261)/COUNTIFS(tblPCSInput[Call Date/Time],"&gt;="&amp;(SETUP!$B$5),tblPCSInput[Call Date/Time],"&lt;"&amp;(SETUP!$B$5+1),tblPCSInput[Call Direction],"I",tblPCSInput[Agent ID],$A261,tblPCSInput[Valid Q1],"&gt;=1"),"")</f>
        <v/>
      </c>
      <c r="J261" s="11">
        <f>IF(I261="","",COUNTIFS(tblPCSInput[Call Date/Time],"&gt;="&amp;(SETUP!$B$5),tblPCSInput[Call Date/Time],"&lt;"&amp;(SETUP!$B$5+1),tblPCSInput[Call Direction],"I",tblPCSInput[Agent ID],$A261,tblPCSInput[Valid Q1],"&lt;=3",tblPCSInput[Valid Q1],"&gt;=1"))</f>
        <v/>
      </c>
      <c r="K261" s="11">
        <f>IF(I261="","",COUNTIFS(tblPCSInput[Call Date/Time],"&gt;="&amp;(SETUP!$B$5),tblPCSInput[Call Date/Time],"&lt;"&amp;(SETUP!$B$5+1),tblPCSInput[Call Direction],"I",tblPCSInput[Agent ID],$A261,tblPCSInput[Valid Q1],"&gt;3"))</f>
        <v/>
      </c>
      <c r="L261" s="13">
        <f>IFERROR(G261/F261,"")</f>
        <v/>
      </c>
      <c r="M261" s="13">
        <f>IFERROR(H261/F261,"")</f>
        <v/>
      </c>
      <c r="N261" s="11">
        <f>IF($A261="","",MAX(0,G261-H261))</f>
        <v/>
      </c>
      <c r="O261" s="4">
        <f>IF($A261="","",IF(H261=0,"NO VALID SURVEY",IF(H261&lt;5,"LOW SAMPLE","OK")))</f>
        <v/>
      </c>
      <c r="P261" s="11">
        <f>IF($A261="","",COUNTIFS(tblPCSInput[Call Date/Time],"&gt;="&amp;(SETUP!$B$6),tblPCSInput[Call Date/Time],"&lt;"&amp;(SETUP!$B$7),tblPCSInput[Call Direction],"I",tblPCSInput[Agent ID],$A261,tblPCSInput[PCSStatus],1))</f>
        <v/>
      </c>
      <c r="Q261" s="11">
        <f>IF($A261="","",COUNTIFS(tblPCSInput[Call Date/Time],"&gt;="&amp;(SETUP!$B$6),tblPCSInput[Call Date/Time],"&lt;"&amp;(SETUP!$B$7),tblPCSInput[Call Direction],"I",tblPCSInput[Agent ID],$A261,tblPCSInput[Question 1],"&lt;&gt;"))</f>
        <v/>
      </c>
      <c r="R261" s="11">
        <f>IF($A261="","",COUNTIFS(tblPCSInput[Call Date/Time],"&gt;="&amp;(SETUP!$B$6),tblPCSInput[Call Date/Time],"&lt;"&amp;(SETUP!$B$7),tblPCSInput[Call Direction],"I",tblPCSInput[Agent ID],$A261,tblPCSInput[Valid Q1],"&gt;=1"))</f>
        <v/>
      </c>
      <c r="S261" s="12">
        <f>IFERROR(SUMIFS(tblPCSInput[Valid Q1],tblPCSInput[Call Date/Time],"&gt;="&amp;SETUP!$B$6,tblPCSInput[Call Date/Time],"&lt;"&amp;SETUP!$B$7,tblPCSInput[Call Direction],"I",tblPCSInput[Agent ID],$A261)/COUNTIFS(tblPCSInput[Call Date/Time],"&gt;="&amp;(SETUP!$B$6),tblPCSInput[Call Date/Time],"&lt;"&amp;(SETUP!$B$7),tblPCSInput[Call Direction],"I",tblPCSInput[Agent ID],$A261,tblPCSInput[Valid Q1],"&gt;=1"),"")</f>
        <v/>
      </c>
      <c r="T261" s="11">
        <f>IF(S261="","",COUNTIFS(tblPCSInput[Call Date/Time],"&gt;="&amp;(SETUP!$B$6),tblPCSInput[Call Date/Time],"&lt;"&amp;(SETUP!$B$7),tblPCSInput[Call Direction],"I",tblPCSInput[Agent ID],$A261,tblPCSInput[Valid Q1],"&lt;=3",tblPCSInput[Valid Q1],"&gt;=1"))</f>
        <v/>
      </c>
      <c r="U261" s="11">
        <f>IF(S261="","",COUNTIFS(tblPCSInput[Call Date/Time],"&gt;="&amp;(SETUP!$B$6),tblPCSInput[Call Date/Time],"&lt;"&amp;(SETUP!$B$7),tblPCSInput[Call Direction],"I",tblPCSInput[Agent ID],$A261,tblPCSInput[Valid Q1],"&gt;3"))</f>
        <v/>
      </c>
      <c r="V261" s="13">
        <f>IFERROR(Q261/P261,"")</f>
        <v/>
      </c>
      <c r="W261" s="13">
        <f>IFERROR(R261/P261,"")</f>
        <v/>
      </c>
    </row>
    <row r="262" spans="1:23">
      <c r="A262" s="4">
        <f>IF(ROSTER!A262="","",ROSTER!A262)</f>
        <v/>
      </c>
      <c r="B262" s="4">
        <f>IF($A262="","",ROSTER!C262)</f>
        <v/>
      </c>
      <c r="C262" s="4">
        <f>IF($A262="","",ROSTER!D262)</f>
        <v/>
      </c>
      <c r="D262" s="4">
        <f>IF($A262="","",ROSTER!E262)</f>
        <v/>
      </c>
      <c r="E262" s="4">
        <f>IF($A262="","",ROSTER!F262)</f>
        <v/>
      </c>
      <c r="F262" s="11">
        <f>IF($A262="","",COUNTIFS(tblPCSInput[Call Date/Time],"&gt;="&amp;(SETUP!$B$5),tblPCSInput[Call Date/Time],"&lt;"&amp;(SETUP!$B$5+1),tblPCSInput[Call Direction],"I",tblPCSInput[Agent ID],$A262,tblPCSInput[PCSStatus],1))</f>
        <v/>
      </c>
      <c r="G262" s="11">
        <f>IF($A262="","",COUNTIFS(tblPCSInput[Call Date/Time],"&gt;="&amp;(SETUP!$B$5),tblPCSInput[Call Date/Time],"&lt;"&amp;(SETUP!$B$5+1),tblPCSInput[Call Direction],"I",tblPCSInput[Agent ID],$A262,tblPCSInput[Question 1],"&lt;&gt;"))</f>
        <v/>
      </c>
      <c r="H262" s="11">
        <f>IF($A262="","",COUNTIFS(tblPCSInput[Call Date/Time],"&gt;="&amp;(SETUP!$B$5),tblPCSInput[Call Date/Time],"&lt;"&amp;(SETUP!$B$5+1),tblPCSInput[Call Direction],"I",tblPCSInput[Agent ID],$A262,tblPCSInput[Valid Q1],"&gt;=1"))</f>
        <v/>
      </c>
      <c r="I262" s="12">
        <f>IFERROR(SUMIFS(tblPCSInput[Valid Q1],tblPCSInput[Call Date/Time],"&gt;="&amp;SETUP!$B$5,tblPCSInput[Call Date/Time],"&lt;"&amp;SETUP!$B$5+1,tblPCSInput[Call Direction],"I",tblPCSInput[Agent ID],$A262)/COUNTIFS(tblPCSInput[Call Date/Time],"&gt;="&amp;(SETUP!$B$5),tblPCSInput[Call Date/Time],"&lt;"&amp;(SETUP!$B$5+1),tblPCSInput[Call Direction],"I",tblPCSInput[Agent ID],$A262,tblPCSInput[Valid Q1],"&gt;=1"),"")</f>
        <v/>
      </c>
      <c r="J262" s="11">
        <f>IF(I262="","",COUNTIFS(tblPCSInput[Call Date/Time],"&gt;="&amp;(SETUP!$B$5),tblPCSInput[Call Date/Time],"&lt;"&amp;(SETUP!$B$5+1),tblPCSInput[Call Direction],"I",tblPCSInput[Agent ID],$A262,tblPCSInput[Valid Q1],"&lt;=3",tblPCSInput[Valid Q1],"&gt;=1"))</f>
        <v/>
      </c>
      <c r="K262" s="11">
        <f>IF(I262="","",COUNTIFS(tblPCSInput[Call Date/Time],"&gt;="&amp;(SETUP!$B$5),tblPCSInput[Call Date/Time],"&lt;"&amp;(SETUP!$B$5+1),tblPCSInput[Call Direction],"I",tblPCSInput[Agent ID],$A262,tblPCSInput[Valid Q1],"&gt;3"))</f>
        <v/>
      </c>
      <c r="L262" s="13">
        <f>IFERROR(G262/F262,"")</f>
        <v/>
      </c>
      <c r="M262" s="13">
        <f>IFERROR(H262/F262,"")</f>
        <v/>
      </c>
      <c r="N262" s="11">
        <f>IF($A262="","",MAX(0,G262-H262))</f>
        <v/>
      </c>
      <c r="O262" s="4">
        <f>IF($A262="","",IF(H262=0,"NO VALID SURVEY",IF(H262&lt;5,"LOW SAMPLE","OK")))</f>
        <v/>
      </c>
      <c r="P262" s="11">
        <f>IF($A262="","",COUNTIFS(tblPCSInput[Call Date/Time],"&gt;="&amp;(SETUP!$B$6),tblPCSInput[Call Date/Time],"&lt;"&amp;(SETUP!$B$7),tblPCSInput[Call Direction],"I",tblPCSInput[Agent ID],$A262,tblPCSInput[PCSStatus],1))</f>
        <v/>
      </c>
      <c r="Q262" s="11">
        <f>IF($A262="","",COUNTIFS(tblPCSInput[Call Date/Time],"&gt;="&amp;(SETUP!$B$6),tblPCSInput[Call Date/Time],"&lt;"&amp;(SETUP!$B$7),tblPCSInput[Call Direction],"I",tblPCSInput[Agent ID],$A262,tblPCSInput[Question 1],"&lt;&gt;"))</f>
        <v/>
      </c>
      <c r="R262" s="11">
        <f>IF($A262="","",COUNTIFS(tblPCSInput[Call Date/Time],"&gt;="&amp;(SETUP!$B$6),tblPCSInput[Call Date/Time],"&lt;"&amp;(SETUP!$B$7),tblPCSInput[Call Direction],"I",tblPCSInput[Agent ID],$A262,tblPCSInput[Valid Q1],"&gt;=1"))</f>
        <v/>
      </c>
      <c r="S262" s="12">
        <f>IFERROR(SUMIFS(tblPCSInput[Valid Q1],tblPCSInput[Call Date/Time],"&gt;="&amp;SETUP!$B$6,tblPCSInput[Call Date/Time],"&lt;"&amp;SETUP!$B$7,tblPCSInput[Call Direction],"I",tblPCSInput[Agent ID],$A262)/COUNTIFS(tblPCSInput[Call Date/Time],"&gt;="&amp;(SETUP!$B$6),tblPCSInput[Call Date/Time],"&lt;"&amp;(SETUP!$B$7),tblPCSInput[Call Direction],"I",tblPCSInput[Agent ID],$A262,tblPCSInput[Valid Q1],"&gt;=1"),"")</f>
        <v/>
      </c>
      <c r="T262" s="11">
        <f>IF(S262="","",COUNTIFS(tblPCSInput[Call Date/Time],"&gt;="&amp;(SETUP!$B$6),tblPCSInput[Call Date/Time],"&lt;"&amp;(SETUP!$B$7),tblPCSInput[Call Direction],"I",tblPCSInput[Agent ID],$A262,tblPCSInput[Valid Q1],"&lt;=3",tblPCSInput[Valid Q1],"&gt;=1"))</f>
        <v/>
      </c>
      <c r="U262" s="11">
        <f>IF(S262="","",COUNTIFS(tblPCSInput[Call Date/Time],"&gt;="&amp;(SETUP!$B$6),tblPCSInput[Call Date/Time],"&lt;"&amp;(SETUP!$B$7),tblPCSInput[Call Direction],"I",tblPCSInput[Agent ID],$A262,tblPCSInput[Valid Q1],"&gt;3"))</f>
        <v/>
      </c>
      <c r="V262" s="13">
        <f>IFERROR(Q262/P262,"")</f>
        <v/>
      </c>
      <c r="W262" s="13">
        <f>IFERROR(R262/P262,"")</f>
        <v/>
      </c>
    </row>
    <row r="263" spans="1:23">
      <c r="A263" s="4">
        <f>IF(ROSTER!A263="","",ROSTER!A263)</f>
        <v/>
      </c>
      <c r="B263" s="4">
        <f>IF($A263="","",ROSTER!C263)</f>
        <v/>
      </c>
      <c r="C263" s="4">
        <f>IF($A263="","",ROSTER!D263)</f>
        <v/>
      </c>
      <c r="D263" s="4">
        <f>IF($A263="","",ROSTER!E263)</f>
        <v/>
      </c>
      <c r="E263" s="4">
        <f>IF($A263="","",ROSTER!F263)</f>
        <v/>
      </c>
      <c r="F263" s="11">
        <f>IF($A263="","",COUNTIFS(tblPCSInput[Call Date/Time],"&gt;="&amp;(SETUP!$B$5),tblPCSInput[Call Date/Time],"&lt;"&amp;(SETUP!$B$5+1),tblPCSInput[Call Direction],"I",tblPCSInput[Agent ID],$A263,tblPCSInput[PCSStatus],1))</f>
        <v/>
      </c>
      <c r="G263" s="11">
        <f>IF($A263="","",COUNTIFS(tblPCSInput[Call Date/Time],"&gt;="&amp;(SETUP!$B$5),tblPCSInput[Call Date/Time],"&lt;"&amp;(SETUP!$B$5+1),tblPCSInput[Call Direction],"I",tblPCSInput[Agent ID],$A263,tblPCSInput[Question 1],"&lt;&gt;"))</f>
        <v/>
      </c>
      <c r="H263" s="11">
        <f>IF($A263="","",COUNTIFS(tblPCSInput[Call Date/Time],"&gt;="&amp;(SETUP!$B$5),tblPCSInput[Call Date/Time],"&lt;"&amp;(SETUP!$B$5+1),tblPCSInput[Call Direction],"I",tblPCSInput[Agent ID],$A263,tblPCSInput[Valid Q1],"&gt;=1"))</f>
        <v/>
      </c>
      <c r="I263" s="12">
        <f>IFERROR(SUMIFS(tblPCSInput[Valid Q1],tblPCSInput[Call Date/Time],"&gt;="&amp;SETUP!$B$5,tblPCSInput[Call Date/Time],"&lt;"&amp;SETUP!$B$5+1,tblPCSInput[Call Direction],"I",tblPCSInput[Agent ID],$A263)/COUNTIFS(tblPCSInput[Call Date/Time],"&gt;="&amp;(SETUP!$B$5),tblPCSInput[Call Date/Time],"&lt;"&amp;(SETUP!$B$5+1),tblPCSInput[Call Direction],"I",tblPCSInput[Agent ID],$A263,tblPCSInput[Valid Q1],"&gt;=1"),"")</f>
        <v/>
      </c>
      <c r="J263" s="11">
        <f>IF(I263="","",COUNTIFS(tblPCSInput[Call Date/Time],"&gt;="&amp;(SETUP!$B$5),tblPCSInput[Call Date/Time],"&lt;"&amp;(SETUP!$B$5+1),tblPCSInput[Call Direction],"I",tblPCSInput[Agent ID],$A263,tblPCSInput[Valid Q1],"&lt;=3",tblPCSInput[Valid Q1],"&gt;=1"))</f>
        <v/>
      </c>
      <c r="K263" s="11">
        <f>IF(I263="","",COUNTIFS(tblPCSInput[Call Date/Time],"&gt;="&amp;(SETUP!$B$5),tblPCSInput[Call Date/Time],"&lt;"&amp;(SETUP!$B$5+1),tblPCSInput[Call Direction],"I",tblPCSInput[Agent ID],$A263,tblPCSInput[Valid Q1],"&gt;3"))</f>
        <v/>
      </c>
      <c r="L263" s="13">
        <f>IFERROR(G263/F263,"")</f>
        <v/>
      </c>
      <c r="M263" s="13">
        <f>IFERROR(H263/F263,"")</f>
        <v/>
      </c>
      <c r="N263" s="11">
        <f>IF($A263="","",MAX(0,G263-H263))</f>
        <v/>
      </c>
      <c r="O263" s="4">
        <f>IF($A263="","",IF(H263=0,"NO VALID SURVEY",IF(H263&lt;5,"LOW SAMPLE","OK")))</f>
        <v/>
      </c>
      <c r="P263" s="11">
        <f>IF($A263="","",COUNTIFS(tblPCSInput[Call Date/Time],"&gt;="&amp;(SETUP!$B$6),tblPCSInput[Call Date/Time],"&lt;"&amp;(SETUP!$B$7),tblPCSInput[Call Direction],"I",tblPCSInput[Agent ID],$A263,tblPCSInput[PCSStatus],1))</f>
        <v/>
      </c>
      <c r="Q263" s="11">
        <f>IF($A263="","",COUNTIFS(tblPCSInput[Call Date/Time],"&gt;="&amp;(SETUP!$B$6),tblPCSInput[Call Date/Time],"&lt;"&amp;(SETUP!$B$7),tblPCSInput[Call Direction],"I",tblPCSInput[Agent ID],$A263,tblPCSInput[Question 1],"&lt;&gt;"))</f>
        <v/>
      </c>
      <c r="R263" s="11">
        <f>IF($A263="","",COUNTIFS(tblPCSInput[Call Date/Time],"&gt;="&amp;(SETUP!$B$6),tblPCSInput[Call Date/Time],"&lt;"&amp;(SETUP!$B$7),tblPCSInput[Call Direction],"I",tblPCSInput[Agent ID],$A263,tblPCSInput[Valid Q1],"&gt;=1"))</f>
        <v/>
      </c>
      <c r="S263" s="12">
        <f>IFERROR(SUMIFS(tblPCSInput[Valid Q1],tblPCSInput[Call Date/Time],"&gt;="&amp;SETUP!$B$6,tblPCSInput[Call Date/Time],"&lt;"&amp;SETUP!$B$7,tblPCSInput[Call Direction],"I",tblPCSInput[Agent ID],$A263)/COUNTIFS(tblPCSInput[Call Date/Time],"&gt;="&amp;(SETUP!$B$6),tblPCSInput[Call Date/Time],"&lt;"&amp;(SETUP!$B$7),tblPCSInput[Call Direction],"I",tblPCSInput[Agent ID],$A263,tblPCSInput[Valid Q1],"&gt;=1"),"")</f>
        <v/>
      </c>
      <c r="T263" s="11">
        <f>IF(S263="","",COUNTIFS(tblPCSInput[Call Date/Time],"&gt;="&amp;(SETUP!$B$6),tblPCSInput[Call Date/Time],"&lt;"&amp;(SETUP!$B$7),tblPCSInput[Call Direction],"I",tblPCSInput[Agent ID],$A263,tblPCSInput[Valid Q1],"&lt;=3",tblPCSInput[Valid Q1],"&gt;=1"))</f>
        <v/>
      </c>
      <c r="U263" s="11">
        <f>IF(S263="","",COUNTIFS(tblPCSInput[Call Date/Time],"&gt;="&amp;(SETUP!$B$6),tblPCSInput[Call Date/Time],"&lt;"&amp;(SETUP!$B$7),tblPCSInput[Call Direction],"I",tblPCSInput[Agent ID],$A263,tblPCSInput[Valid Q1],"&gt;3"))</f>
        <v/>
      </c>
      <c r="V263" s="13">
        <f>IFERROR(Q263/P263,"")</f>
        <v/>
      </c>
      <c r="W263" s="13">
        <f>IFERROR(R263/P263,"")</f>
        <v/>
      </c>
    </row>
    <row r="264" spans="1:23">
      <c r="A264" s="4">
        <f>IF(ROSTER!A264="","",ROSTER!A264)</f>
        <v/>
      </c>
      <c r="B264" s="4">
        <f>IF($A264="","",ROSTER!C264)</f>
        <v/>
      </c>
      <c r="C264" s="4">
        <f>IF($A264="","",ROSTER!D264)</f>
        <v/>
      </c>
      <c r="D264" s="4">
        <f>IF($A264="","",ROSTER!E264)</f>
        <v/>
      </c>
      <c r="E264" s="4">
        <f>IF($A264="","",ROSTER!F264)</f>
        <v/>
      </c>
      <c r="F264" s="11">
        <f>IF($A264="","",COUNTIFS(tblPCSInput[Call Date/Time],"&gt;="&amp;(SETUP!$B$5),tblPCSInput[Call Date/Time],"&lt;"&amp;(SETUP!$B$5+1),tblPCSInput[Call Direction],"I",tblPCSInput[Agent ID],$A264,tblPCSInput[PCSStatus],1))</f>
        <v/>
      </c>
      <c r="G264" s="11">
        <f>IF($A264="","",COUNTIFS(tblPCSInput[Call Date/Time],"&gt;="&amp;(SETUP!$B$5),tblPCSInput[Call Date/Time],"&lt;"&amp;(SETUP!$B$5+1),tblPCSInput[Call Direction],"I",tblPCSInput[Agent ID],$A264,tblPCSInput[Question 1],"&lt;&gt;"))</f>
        <v/>
      </c>
      <c r="H264" s="11">
        <f>IF($A264="","",COUNTIFS(tblPCSInput[Call Date/Time],"&gt;="&amp;(SETUP!$B$5),tblPCSInput[Call Date/Time],"&lt;"&amp;(SETUP!$B$5+1),tblPCSInput[Call Direction],"I",tblPCSInput[Agent ID],$A264,tblPCSInput[Valid Q1],"&gt;=1"))</f>
        <v/>
      </c>
      <c r="I264" s="12">
        <f>IFERROR(SUMIFS(tblPCSInput[Valid Q1],tblPCSInput[Call Date/Time],"&gt;="&amp;SETUP!$B$5,tblPCSInput[Call Date/Time],"&lt;"&amp;SETUP!$B$5+1,tblPCSInput[Call Direction],"I",tblPCSInput[Agent ID],$A264)/COUNTIFS(tblPCSInput[Call Date/Time],"&gt;="&amp;(SETUP!$B$5),tblPCSInput[Call Date/Time],"&lt;"&amp;(SETUP!$B$5+1),tblPCSInput[Call Direction],"I",tblPCSInput[Agent ID],$A264,tblPCSInput[Valid Q1],"&gt;=1"),"")</f>
        <v/>
      </c>
      <c r="J264" s="11">
        <f>IF(I264="","",COUNTIFS(tblPCSInput[Call Date/Time],"&gt;="&amp;(SETUP!$B$5),tblPCSInput[Call Date/Time],"&lt;"&amp;(SETUP!$B$5+1),tblPCSInput[Call Direction],"I",tblPCSInput[Agent ID],$A264,tblPCSInput[Valid Q1],"&lt;=3",tblPCSInput[Valid Q1],"&gt;=1"))</f>
        <v/>
      </c>
      <c r="K264" s="11">
        <f>IF(I264="","",COUNTIFS(tblPCSInput[Call Date/Time],"&gt;="&amp;(SETUP!$B$5),tblPCSInput[Call Date/Time],"&lt;"&amp;(SETUP!$B$5+1),tblPCSInput[Call Direction],"I",tblPCSInput[Agent ID],$A264,tblPCSInput[Valid Q1],"&gt;3"))</f>
        <v/>
      </c>
      <c r="L264" s="13">
        <f>IFERROR(G264/F264,"")</f>
        <v/>
      </c>
      <c r="M264" s="13">
        <f>IFERROR(H264/F264,"")</f>
        <v/>
      </c>
      <c r="N264" s="11">
        <f>IF($A264="","",MAX(0,G264-H264))</f>
        <v/>
      </c>
      <c r="O264" s="4">
        <f>IF($A264="","",IF(H264=0,"NO VALID SURVEY",IF(H264&lt;5,"LOW SAMPLE","OK")))</f>
        <v/>
      </c>
      <c r="P264" s="11">
        <f>IF($A264="","",COUNTIFS(tblPCSInput[Call Date/Time],"&gt;="&amp;(SETUP!$B$6),tblPCSInput[Call Date/Time],"&lt;"&amp;(SETUP!$B$7),tblPCSInput[Call Direction],"I",tblPCSInput[Agent ID],$A264,tblPCSInput[PCSStatus],1))</f>
        <v/>
      </c>
      <c r="Q264" s="11">
        <f>IF($A264="","",COUNTIFS(tblPCSInput[Call Date/Time],"&gt;="&amp;(SETUP!$B$6),tblPCSInput[Call Date/Time],"&lt;"&amp;(SETUP!$B$7),tblPCSInput[Call Direction],"I",tblPCSInput[Agent ID],$A264,tblPCSInput[Question 1],"&lt;&gt;"))</f>
        <v/>
      </c>
      <c r="R264" s="11">
        <f>IF($A264="","",COUNTIFS(tblPCSInput[Call Date/Time],"&gt;="&amp;(SETUP!$B$6),tblPCSInput[Call Date/Time],"&lt;"&amp;(SETUP!$B$7),tblPCSInput[Call Direction],"I",tblPCSInput[Agent ID],$A264,tblPCSInput[Valid Q1],"&gt;=1"))</f>
        <v/>
      </c>
      <c r="S264" s="12">
        <f>IFERROR(SUMIFS(tblPCSInput[Valid Q1],tblPCSInput[Call Date/Time],"&gt;="&amp;SETUP!$B$6,tblPCSInput[Call Date/Time],"&lt;"&amp;SETUP!$B$7,tblPCSInput[Call Direction],"I",tblPCSInput[Agent ID],$A264)/COUNTIFS(tblPCSInput[Call Date/Time],"&gt;="&amp;(SETUP!$B$6),tblPCSInput[Call Date/Time],"&lt;"&amp;(SETUP!$B$7),tblPCSInput[Call Direction],"I",tblPCSInput[Agent ID],$A264,tblPCSInput[Valid Q1],"&gt;=1"),"")</f>
        <v/>
      </c>
      <c r="T264" s="11">
        <f>IF(S264="","",COUNTIFS(tblPCSInput[Call Date/Time],"&gt;="&amp;(SETUP!$B$6),tblPCSInput[Call Date/Time],"&lt;"&amp;(SETUP!$B$7),tblPCSInput[Call Direction],"I",tblPCSInput[Agent ID],$A264,tblPCSInput[Valid Q1],"&lt;=3",tblPCSInput[Valid Q1],"&gt;=1"))</f>
        <v/>
      </c>
      <c r="U264" s="11">
        <f>IF(S264="","",COUNTIFS(tblPCSInput[Call Date/Time],"&gt;="&amp;(SETUP!$B$6),tblPCSInput[Call Date/Time],"&lt;"&amp;(SETUP!$B$7),tblPCSInput[Call Direction],"I",tblPCSInput[Agent ID],$A264,tblPCSInput[Valid Q1],"&gt;3"))</f>
        <v/>
      </c>
      <c r="V264" s="13">
        <f>IFERROR(Q264/P264,"")</f>
        <v/>
      </c>
      <c r="W264" s="13">
        <f>IFERROR(R264/P264,"")</f>
        <v/>
      </c>
    </row>
    <row r="265" spans="1:23">
      <c r="A265" s="4">
        <f>IF(ROSTER!A265="","",ROSTER!A265)</f>
        <v/>
      </c>
      <c r="B265" s="4">
        <f>IF($A265="","",ROSTER!C265)</f>
        <v/>
      </c>
      <c r="C265" s="4">
        <f>IF($A265="","",ROSTER!D265)</f>
        <v/>
      </c>
      <c r="D265" s="4">
        <f>IF($A265="","",ROSTER!E265)</f>
        <v/>
      </c>
      <c r="E265" s="4">
        <f>IF($A265="","",ROSTER!F265)</f>
        <v/>
      </c>
      <c r="F265" s="11">
        <f>IF($A265="","",COUNTIFS(tblPCSInput[Call Date/Time],"&gt;="&amp;(SETUP!$B$5),tblPCSInput[Call Date/Time],"&lt;"&amp;(SETUP!$B$5+1),tblPCSInput[Call Direction],"I",tblPCSInput[Agent ID],$A265,tblPCSInput[PCSStatus],1))</f>
        <v/>
      </c>
      <c r="G265" s="11">
        <f>IF($A265="","",COUNTIFS(tblPCSInput[Call Date/Time],"&gt;="&amp;(SETUP!$B$5),tblPCSInput[Call Date/Time],"&lt;"&amp;(SETUP!$B$5+1),tblPCSInput[Call Direction],"I",tblPCSInput[Agent ID],$A265,tblPCSInput[Question 1],"&lt;&gt;"))</f>
        <v/>
      </c>
      <c r="H265" s="11">
        <f>IF($A265="","",COUNTIFS(tblPCSInput[Call Date/Time],"&gt;="&amp;(SETUP!$B$5),tblPCSInput[Call Date/Time],"&lt;"&amp;(SETUP!$B$5+1),tblPCSInput[Call Direction],"I",tblPCSInput[Agent ID],$A265,tblPCSInput[Valid Q1],"&gt;=1"))</f>
        <v/>
      </c>
      <c r="I265" s="12">
        <f>IFERROR(SUMIFS(tblPCSInput[Valid Q1],tblPCSInput[Call Date/Time],"&gt;="&amp;SETUP!$B$5,tblPCSInput[Call Date/Time],"&lt;"&amp;SETUP!$B$5+1,tblPCSInput[Call Direction],"I",tblPCSInput[Agent ID],$A265)/COUNTIFS(tblPCSInput[Call Date/Time],"&gt;="&amp;(SETUP!$B$5),tblPCSInput[Call Date/Time],"&lt;"&amp;(SETUP!$B$5+1),tblPCSInput[Call Direction],"I",tblPCSInput[Agent ID],$A265,tblPCSInput[Valid Q1],"&gt;=1"),"")</f>
        <v/>
      </c>
      <c r="J265" s="11">
        <f>IF(I265="","",COUNTIFS(tblPCSInput[Call Date/Time],"&gt;="&amp;(SETUP!$B$5),tblPCSInput[Call Date/Time],"&lt;"&amp;(SETUP!$B$5+1),tblPCSInput[Call Direction],"I",tblPCSInput[Agent ID],$A265,tblPCSInput[Valid Q1],"&lt;=3",tblPCSInput[Valid Q1],"&gt;=1"))</f>
        <v/>
      </c>
      <c r="K265" s="11">
        <f>IF(I265="","",COUNTIFS(tblPCSInput[Call Date/Time],"&gt;="&amp;(SETUP!$B$5),tblPCSInput[Call Date/Time],"&lt;"&amp;(SETUP!$B$5+1),tblPCSInput[Call Direction],"I",tblPCSInput[Agent ID],$A265,tblPCSInput[Valid Q1],"&gt;3"))</f>
        <v/>
      </c>
      <c r="L265" s="13">
        <f>IFERROR(G265/F265,"")</f>
        <v/>
      </c>
      <c r="M265" s="13">
        <f>IFERROR(H265/F265,"")</f>
        <v/>
      </c>
      <c r="N265" s="11">
        <f>IF($A265="","",MAX(0,G265-H265))</f>
        <v/>
      </c>
      <c r="O265" s="4">
        <f>IF($A265="","",IF(H265=0,"NO VALID SURVEY",IF(H265&lt;5,"LOW SAMPLE","OK")))</f>
        <v/>
      </c>
      <c r="P265" s="11">
        <f>IF($A265="","",COUNTIFS(tblPCSInput[Call Date/Time],"&gt;="&amp;(SETUP!$B$6),tblPCSInput[Call Date/Time],"&lt;"&amp;(SETUP!$B$7),tblPCSInput[Call Direction],"I",tblPCSInput[Agent ID],$A265,tblPCSInput[PCSStatus],1))</f>
        <v/>
      </c>
      <c r="Q265" s="11">
        <f>IF($A265="","",COUNTIFS(tblPCSInput[Call Date/Time],"&gt;="&amp;(SETUP!$B$6),tblPCSInput[Call Date/Time],"&lt;"&amp;(SETUP!$B$7),tblPCSInput[Call Direction],"I",tblPCSInput[Agent ID],$A265,tblPCSInput[Question 1],"&lt;&gt;"))</f>
        <v/>
      </c>
      <c r="R265" s="11">
        <f>IF($A265="","",COUNTIFS(tblPCSInput[Call Date/Time],"&gt;="&amp;(SETUP!$B$6),tblPCSInput[Call Date/Time],"&lt;"&amp;(SETUP!$B$7),tblPCSInput[Call Direction],"I",tblPCSInput[Agent ID],$A265,tblPCSInput[Valid Q1],"&gt;=1"))</f>
        <v/>
      </c>
      <c r="S265" s="12">
        <f>IFERROR(SUMIFS(tblPCSInput[Valid Q1],tblPCSInput[Call Date/Time],"&gt;="&amp;SETUP!$B$6,tblPCSInput[Call Date/Time],"&lt;"&amp;SETUP!$B$7,tblPCSInput[Call Direction],"I",tblPCSInput[Agent ID],$A265)/COUNTIFS(tblPCSInput[Call Date/Time],"&gt;="&amp;(SETUP!$B$6),tblPCSInput[Call Date/Time],"&lt;"&amp;(SETUP!$B$7),tblPCSInput[Call Direction],"I",tblPCSInput[Agent ID],$A265,tblPCSInput[Valid Q1],"&gt;=1"),"")</f>
        <v/>
      </c>
      <c r="T265" s="11">
        <f>IF(S265="","",COUNTIFS(tblPCSInput[Call Date/Time],"&gt;="&amp;(SETUP!$B$6),tblPCSInput[Call Date/Time],"&lt;"&amp;(SETUP!$B$7),tblPCSInput[Call Direction],"I",tblPCSInput[Agent ID],$A265,tblPCSInput[Valid Q1],"&lt;=3",tblPCSInput[Valid Q1],"&gt;=1"))</f>
        <v/>
      </c>
      <c r="U265" s="11">
        <f>IF(S265="","",COUNTIFS(tblPCSInput[Call Date/Time],"&gt;="&amp;(SETUP!$B$6),tblPCSInput[Call Date/Time],"&lt;"&amp;(SETUP!$B$7),tblPCSInput[Call Direction],"I",tblPCSInput[Agent ID],$A265,tblPCSInput[Valid Q1],"&gt;3"))</f>
        <v/>
      </c>
      <c r="V265" s="13">
        <f>IFERROR(Q265/P265,"")</f>
        <v/>
      </c>
      <c r="W265" s="13">
        <f>IFERROR(R265/P265,"")</f>
        <v/>
      </c>
    </row>
    <row r="266" spans="1:23">
      <c r="A266" s="4">
        <f>IF(ROSTER!A266="","",ROSTER!A266)</f>
        <v/>
      </c>
      <c r="B266" s="4">
        <f>IF($A266="","",ROSTER!C266)</f>
        <v/>
      </c>
      <c r="C266" s="4">
        <f>IF($A266="","",ROSTER!D266)</f>
        <v/>
      </c>
      <c r="D266" s="4">
        <f>IF($A266="","",ROSTER!E266)</f>
        <v/>
      </c>
      <c r="E266" s="4">
        <f>IF($A266="","",ROSTER!F266)</f>
        <v/>
      </c>
      <c r="F266" s="11">
        <f>IF($A266="","",COUNTIFS(tblPCSInput[Call Date/Time],"&gt;="&amp;(SETUP!$B$5),tblPCSInput[Call Date/Time],"&lt;"&amp;(SETUP!$B$5+1),tblPCSInput[Call Direction],"I",tblPCSInput[Agent ID],$A266,tblPCSInput[PCSStatus],1))</f>
        <v/>
      </c>
      <c r="G266" s="11">
        <f>IF($A266="","",COUNTIFS(tblPCSInput[Call Date/Time],"&gt;="&amp;(SETUP!$B$5),tblPCSInput[Call Date/Time],"&lt;"&amp;(SETUP!$B$5+1),tblPCSInput[Call Direction],"I",tblPCSInput[Agent ID],$A266,tblPCSInput[Question 1],"&lt;&gt;"))</f>
        <v/>
      </c>
      <c r="H266" s="11">
        <f>IF($A266="","",COUNTIFS(tblPCSInput[Call Date/Time],"&gt;="&amp;(SETUP!$B$5),tblPCSInput[Call Date/Time],"&lt;"&amp;(SETUP!$B$5+1),tblPCSInput[Call Direction],"I",tblPCSInput[Agent ID],$A266,tblPCSInput[Valid Q1],"&gt;=1"))</f>
        <v/>
      </c>
      <c r="I266" s="12">
        <f>IFERROR(SUMIFS(tblPCSInput[Valid Q1],tblPCSInput[Call Date/Time],"&gt;="&amp;SETUP!$B$5,tblPCSInput[Call Date/Time],"&lt;"&amp;SETUP!$B$5+1,tblPCSInput[Call Direction],"I",tblPCSInput[Agent ID],$A266)/COUNTIFS(tblPCSInput[Call Date/Time],"&gt;="&amp;(SETUP!$B$5),tblPCSInput[Call Date/Time],"&lt;"&amp;(SETUP!$B$5+1),tblPCSInput[Call Direction],"I",tblPCSInput[Agent ID],$A266,tblPCSInput[Valid Q1],"&gt;=1"),"")</f>
        <v/>
      </c>
      <c r="J266" s="11">
        <f>IF(I266="","",COUNTIFS(tblPCSInput[Call Date/Time],"&gt;="&amp;(SETUP!$B$5),tblPCSInput[Call Date/Time],"&lt;"&amp;(SETUP!$B$5+1),tblPCSInput[Call Direction],"I",tblPCSInput[Agent ID],$A266,tblPCSInput[Valid Q1],"&lt;=3",tblPCSInput[Valid Q1],"&gt;=1"))</f>
        <v/>
      </c>
      <c r="K266" s="11">
        <f>IF(I266="","",COUNTIFS(tblPCSInput[Call Date/Time],"&gt;="&amp;(SETUP!$B$5),tblPCSInput[Call Date/Time],"&lt;"&amp;(SETUP!$B$5+1),tblPCSInput[Call Direction],"I",tblPCSInput[Agent ID],$A266,tblPCSInput[Valid Q1],"&gt;3"))</f>
        <v/>
      </c>
      <c r="L266" s="13">
        <f>IFERROR(G266/F266,"")</f>
        <v/>
      </c>
      <c r="M266" s="13">
        <f>IFERROR(H266/F266,"")</f>
        <v/>
      </c>
      <c r="N266" s="11">
        <f>IF($A266="","",MAX(0,G266-H266))</f>
        <v/>
      </c>
      <c r="O266" s="4">
        <f>IF($A266="","",IF(H266=0,"NO VALID SURVEY",IF(H266&lt;5,"LOW SAMPLE","OK")))</f>
        <v/>
      </c>
      <c r="P266" s="11">
        <f>IF($A266="","",COUNTIFS(tblPCSInput[Call Date/Time],"&gt;="&amp;(SETUP!$B$6),tblPCSInput[Call Date/Time],"&lt;"&amp;(SETUP!$B$7),tblPCSInput[Call Direction],"I",tblPCSInput[Agent ID],$A266,tblPCSInput[PCSStatus],1))</f>
        <v/>
      </c>
      <c r="Q266" s="11">
        <f>IF($A266="","",COUNTIFS(tblPCSInput[Call Date/Time],"&gt;="&amp;(SETUP!$B$6),tblPCSInput[Call Date/Time],"&lt;"&amp;(SETUP!$B$7),tblPCSInput[Call Direction],"I",tblPCSInput[Agent ID],$A266,tblPCSInput[Question 1],"&lt;&gt;"))</f>
        <v/>
      </c>
      <c r="R266" s="11">
        <f>IF($A266="","",COUNTIFS(tblPCSInput[Call Date/Time],"&gt;="&amp;(SETUP!$B$6),tblPCSInput[Call Date/Time],"&lt;"&amp;(SETUP!$B$7),tblPCSInput[Call Direction],"I",tblPCSInput[Agent ID],$A266,tblPCSInput[Valid Q1],"&gt;=1"))</f>
        <v/>
      </c>
      <c r="S266" s="12">
        <f>IFERROR(SUMIFS(tblPCSInput[Valid Q1],tblPCSInput[Call Date/Time],"&gt;="&amp;SETUP!$B$6,tblPCSInput[Call Date/Time],"&lt;"&amp;SETUP!$B$7,tblPCSInput[Call Direction],"I",tblPCSInput[Agent ID],$A266)/COUNTIFS(tblPCSInput[Call Date/Time],"&gt;="&amp;(SETUP!$B$6),tblPCSInput[Call Date/Time],"&lt;"&amp;(SETUP!$B$7),tblPCSInput[Call Direction],"I",tblPCSInput[Agent ID],$A266,tblPCSInput[Valid Q1],"&gt;=1"),"")</f>
        <v/>
      </c>
      <c r="T266" s="11">
        <f>IF(S266="","",COUNTIFS(tblPCSInput[Call Date/Time],"&gt;="&amp;(SETUP!$B$6),tblPCSInput[Call Date/Time],"&lt;"&amp;(SETUP!$B$7),tblPCSInput[Call Direction],"I",tblPCSInput[Agent ID],$A266,tblPCSInput[Valid Q1],"&lt;=3",tblPCSInput[Valid Q1],"&gt;=1"))</f>
        <v/>
      </c>
      <c r="U266" s="11">
        <f>IF(S266="","",COUNTIFS(tblPCSInput[Call Date/Time],"&gt;="&amp;(SETUP!$B$6),tblPCSInput[Call Date/Time],"&lt;"&amp;(SETUP!$B$7),tblPCSInput[Call Direction],"I",tblPCSInput[Agent ID],$A266,tblPCSInput[Valid Q1],"&gt;3"))</f>
        <v/>
      </c>
      <c r="V266" s="13">
        <f>IFERROR(Q266/P266,"")</f>
        <v/>
      </c>
      <c r="W266" s="13">
        <f>IFERROR(R266/P266,"")</f>
        <v/>
      </c>
    </row>
    <row r="267" spans="1:23">
      <c r="A267" s="4">
        <f>IF(ROSTER!A267="","",ROSTER!A267)</f>
        <v/>
      </c>
      <c r="B267" s="4">
        <f>IF($A267="","",ROSTER!C267)</f>
        <v/>
      </c>
      <c r="C267" s="4">
        <f>IF($A267="","",ROSTER!D267)</f>
        <v/>
      </c>
      <c r="D267" s="4">
        <f>IF($A267="","",ROSTER!E267)</f>
        <v/>
      </c>
      <c r="E267" s="4">
        <f>IF($A267="","",ROSTER!F267)</f>
        <v/>
      </c>
      <c r="F267" s="11">
        <f>IF($A267="","",COUNTIFS(tblPCSInput[Call Date/Time],"&gt;="&amp;(SETUP!$B$5),tblPCSInput[Call Date/Time],"&lt;"&amp;(SETUP!$B$5+1),tblPCSInput[Call Direction],"I",tblPCSInput[Agent ID],$A267,tblPCSInput[PCSStatus],1))</f>
        <v/>
      </c>
      <c r="G267" s="11">
        <f>IF($A267="","",COUNTIFS(tblPCSInput[Call Date/Time],"&gt;="&amp;(SETUP!$B$5),tblPCSInput[Call Date/Time],"&lt;"&amp;(SETUP!$B$5+1),tblPCSInput[Call Direction],"I",tblPCSInput[Agent ID],$A267,tblPCSInput[Question 1],"&lt;&gt;"))</f>
        <v/>
      </c>
      <c r="H267" s="11">
        <f>IF($A267="","",COUNTIFS(tblPCSInput[Call Date/Time],"&gt;="&amp;(SETUP!$B$5),tblPCSInput[Call Date/Time],"&lt;"&amp;(SETUP!$B$5+1),tblPCSInput[Call Direction],"I",tblPCSInput[Agent ID],$A267,tblPCSInput[Valid Q1],"&gt;=1"))</f>
        <v/>
      </c>
      <c r="I267" s="12">
        <f>IFERROR(SUMIFS(tblPCSInput[Valid Q1],tblPCSInput[Call Date/Time],"&gt;="&amp;SETUP!$B$5,tblPCSInput[Call Date/Time],"&lt;"&amp;SETUP!$B$5+1,tblPCSInput[Call Direction],"I",tblPCSInput[Agent ID],$A267)/COUNTIFS(tblPCSInput[Call Date/Time],"&gt;="&amp;(SETUP!$B$5),tblPCSInput[Call Date/Time],"&lt;"&amp;(SETUP!$B$5+1),tblPCSInput[Call Direction],"I",tblPCSInput[Agent ID],$A267,tblPCSInput[Valid Q1],"&gt;=1"),"")</f>
        <v/>
      </c>
      <c r="J267" s="11">
        <f>IF(I267="","",COUNTIFS(tblPCSInput[Call Date/Time],"&gt;="&amp;(SETUP!$B$5),tblPCSInput[Call Date/Time],"&lt;"&amp;(SETUP!$B$5+1),tblPCSInput[Call Direction],"I",tblPCSInput[Agent ID],$A267,tblPCSInput[Valid Q1],"&lt;=3",tblPCSInput[Valid Q1],"&gt;=1"))</f>
        <v/>
      </c>
      <c r="K267" s="11">
        <f>IF(I267="","",COUNTIFS(tblPCSInput[Call Date/Time],"&gt;="&amp;(SETUP!$B$5),tblPCSInput[Call Date/Time],"&lt;"&amp;(SETUP!$B$5+1),tblPCSInput[Call Direction],"I",tblPCSInput[Agent ID],$A267,tblPCSInput[Valid Q1],"&gt;3"))</f>
        <v/>
      </c>
      <c r="L267" s="13">
        <f>IFERROR(G267/F267,"")</f>
        <v/>
      </c>
      <c r="M267" s="13">
        <f>IFERROR(H267/F267,"")</f>
        <v/>
      </c>
      <c r="N267" s="11">
        <f>IF($A267="","",MAX(0,G267-H267))</f>
        <v/>
      </c>
      <c r="O267" s="4">
        <f>IF($A267="","",IF(H267=0,"NO VALID SURVEY",IF(H267&lt;5,"LOW SAMPLE","OK")))</f>
        <v/>
      </c>
      <c r="P267" s="11">
        <f>IF($A267="","",COUNTIFS(tblPCSInput[Call Date/Time],"&gt;="&amp;(SETUP!$B$6),tblPCSInput[Call Date/Time],"&lt;"&amp;(SETUP!$B$7),tblPCSInput[Call Direction],"I",tblPCSInput[Agent ID],$A267,tblPCSInput[PCSStatus],1))</f>
        <v/>
      </c>
      <c r="Q267" s="11">
        <f>IF($A267="","",COUNTIFS(tblPCSInput[Call Date/Time],"&gt;="&amp;(SETUP!$B$6),tblPCSInput[Call Date/Time],"&lt;"&amp;(SETUP!$B$7),tblPCSInput[Call Direction],"I",tblPCSInput[Agent ID],$A267,tblPCSInput[Question 1],"&lt;&gt;"))</f>
        <v/>
      </c>
      <c r="R267" s="11">
        <f>IF($A267="","",COUNTIFS(tblPCSInput[Call Date/Time],"&gt;="&amp;(SETUP!$B$6),tblPCSInput[Call Date/Time],"&lt;"&amp;(SETUP!$B$7),tblPCSInput[Call Direction],"I",tblPCSInput[Agent ID],$A267,tblPCSInput[Valid Q1],"&gt;=1"))</f>
        <v/>
      </c>
      <c r="S267" s="12">
        <f>IFERROR(SUMIFS(tblPCSInput[Valid Q1],tblPCSInput[Call Date/Time],"&gt;="&amp;SETUP!$B$6,tblPCSInput[Call Date/Time],"&lt;"&amp;SETUP!$B$7,tblPCSInput[Call Direction],"I",tblPCSInput[Agent ID],$A267)/COUNTIFS(tblPCSInput[Call Date/Time],"&gt;="&amp;(SETUP!$B$6),tblPCSInput[Call Date/Time],"&lt;"&amp;(SETUP!$B$7),tblPCSInput[Call Direction],"I",tblPCSInput[Agent ID],$A267,tblPCSInput[Valid Q1],"&gt;=1"),"")</f>
        <v/>
      </c>
      <c r="T267" s="11">
        <f>IF(S267="","",COUNTIFS(tblPCSInput[Call Date/Time],"&gt;="&amp;(SETUP!$B$6),tblPCSInput[Call Date/Time],"&lt;"&amp;(SETUP!$B$7),tblPCSInput[Call Direction],"I",tblPCSInput[Agent ID],$A267,tblPCSInput[Valid Q1],"&lt;=3",tblPCSInput[Valid Q1],"&gt;=1"))</f>
        <v/>
      </c>
      <c r="U267" s="11">
        <f>IF(S267="","",COUNTIFS(tblPCSInput[Call Date/Time],"&gt;="&amp;(SETUP!$B$6),tblPCSInput[Call Date/Time],"&lt;"&amp;(SETUP!$B$7),tblPCSInput[Call Direction],"I",tblPCSInput[Agent ID],$A267,tblPCSInput[Valid Q1],"&gt;3"))</f>
        <v/>
      </c>
      <c r="V267" s="13">
        <f>IFERROR(Q267/P267,"")</f>
        <v/>
      </c>
      <c r="W267" s="13">
        <f>IFERROR(R267/P267,"")</f>
        <v/>
      </c>
    </row>
    <row r="268" spans="1:23">
      <c r="A268" s="4">
        <f>IF(ROSTER!A268="","",ROSTER!A268)</f>
        <v/>
      </c>
      <c r="B268" s="4">
        <f>IF($A268="","",ROSTER!C268)</f>
        <v/>
      </c>
      <c r="C268" s="4">
        <f>IF($A268="","",ROSTER!D268)</f>
        <v/>
      </c>
      <c r="D268" s="4">
        <f>IF($A268="","",ROSTER!E268)</f>
        <v/>
      </c>
      <c r="E268" s="4">
        <f>IF($A268="","",ROSTER!F268)</f>
        <v/>
      </c>
      <c r="F268" s="11">
        <f>IF($A268="","",COUNTIFS(tblPCSInput[Call Date/Time],"&gt;="&amp;(SETUP!$B$5),tblPCSInput[Call Date/Time],"&lt;"&amp;(SETUP!$B$5+1),tblPCSInput[Call Direction],"I",tblPCSInput[Agent ID],$A268,tblPCSInput[PCSStatus],1))</f>
        <v/>
      </c>
      <c r="G268" s="11">
        <f>IF($A268="","",COUNTIFS(tblPCSInput[Call Date/Time],"&gt;="&amp;(SETUP!$B$5),tblPCSInput[Call Date/Time],"&lt;"&amp;(SETUP!$B$5+1),tblPCSInput[Call Direction],"I",tblPCSInput[Agent ID],$A268,tblPCSInput[Question 1],"&lt;&gt;"))</f>
        <v/>
      </c>
      <c r="H268" s="11">
        <f>IF($A268="","",COUNTIFS(tblPCSInput[Call Date/Time],"&gt;="&amp;(SETUP!$B$5),tblPCSInput[Call Date/Time],"&lt;"&amp;(SETUP!$B$5+1),tblPCSInput[Call Direction],"I",tblPCSInput[Agent ID],$A268,tblPCSInput[Valid Q1],"&gt;=1"))</f>
        <v/>
      </c>
      <c r="I268" s="12">
        <f>IFERROR(SUMIFS(tblPCSInput[Valid Q1],tblPCSInput[Call Date/Time],"&gt;="&amp;SETUP!$B$5,tblPCSInput[Call Date/Time],"&lt;"&amp;SETUP!$B$5+1,tblPCSInput[Call Direction],"I",tblPCSInput[Agent ID],$A268)/COUNTIFS(tblPCSInput[Call Date/Time],"&gt;="&amp;(SETUP!$B$5),tblPCSInput[Call Date/Time],"&lt;"&amp;(SETUP!$B$5+1),tblPCSInput[Call Direction],"I",tblPCSInput[Agent ID],$A268,tblPCSInput[Valid Q1],"&gt;=1"),"")</f>
        <v/>
      </c>
      <c r="J268" s="11">
        <f>IF(I268="","",COUNTIFS(tblPCSInput[Call Date/Time],"&gt;="&amp;(SETUP!$B$5),tblPCSInput[Call Date/Time],"&lt;"&amp;(SETUP!$B$5+1),tblPCSInput[Call Direction],"I",tblPCSInput[Agent ID],$A268,tblPCSInput[Valid Q1],"&lt;=3",tblPCSInput[Valid Q1],"&gt;=1"))</f>
        <v/>
      </c>
      <c r="K268" s="11">
        <f>IF(I268="","",COUNTIFS(tblPCSInput[Call Date/Time],"&gt;="&amp;(SETUP!$B$5),tblPCSInput[Call Date/Time],"&lt;"&amp;(SETUP!$B$5+1),tblPCSInput[Call Direction],"I",tblPCSInput[Agent ID],$A268,tblPCSInput[Valid Q1],"&gt;3"))</f>
        <v/>
      </c>
      <c r="L268" s="13">
        <f>IFERROR(G268/F268,"")</f>
        <v/>
      </c>
      <c r="M268" s="13">
        <f>IFERROR(H268/F268,"")</f>
        <v/>
      </c>
      <c r="N268" s="11">
        <f>IF($A268="","",MAX(0,G268-H268))</f>
        <v/>
      </c>
      <c r="O268" s="4">
        <f>IF($A268="","",IF(H268=0,"NO VALID SURVEY",IF(H268&lt;5,"LOW SAMPLE","OK")))</f>
        <v/>
      </c>
      <c r="P268" s="11">
        <f>IF($A268="","",COUNTIFS(tblPCSInput[Call Date/Time],"&gt;="&amp;(SETUP!$B$6),tblPCSInput[Call Date/Time],"&lt;"&amp;(SETUP!$B$7),tblPCSInput[Call Direction],"I",tblPCSInput[Agent ID],$A268,tblPCSInput[PCSStatus],1))</f>
        <v/>
      </c>
      <c r="Q268" s="11">
        <f>IF($A268="","",COUNTIFS(tblPCSInput[Call Date/Time],"&gt;="&amp;(SETUP!$B$6),tblPCSInput[Call Date/Time],"&lt;"&amp;(SETUP!$B$7),tblPCSInput[Call Direction],"I",tblPCSInput[Agent ID],$A268,tblPCSInput[Question 1],"&lt;&gt;"))</f>
        <v/>
      </c>
      <c r="R268" s="11">
        <f>IF($A268="","",COUNTIFS(tblPCSInput[Call Date/Time],"&gt;="&amp;(SETUP!$B$6),tblPCSInput[Call Date/Time],"&lt;"&amp;(SETUP!$B$7),tblPCSInput[Call Direction],"I",tblPCSInput[Agent ID],$A268,tblPCSInput[Valid Q1],"&gt;=1"))</f>
        <v/>
      </c>
      <c r="S268" s="12">
        <f>IFERROR(SUMIFS(tblPCSInput[Valid Q1],tblPCSInput[Call Date/Time],"&gt;="&amp;SETUP!$B$6,tblPCSInput[Call Date/Time],"&lt;"&amp;SETUP!$B$7,tblPCSInput[Call Direction],"I",tblPCSInput[Agent ID],$A268)/COUNTIFS(tblPCSInput[Call Date/Time],"&gt;="&amp;(SETUP!$B$6),tblPCSInput[Call Date/Time],"&lt;"&amp;(SETUP!$B$7),tblPCSInput[Call Direction],"I",tblPCSInput[Agent ID],$A268,tblPCSInput[Valid Q1],"&gt;=1"),"")</f>
        <v/>
      </c>
      <c r="T268" s="11">
        <f>IF(S268="","",COUNTIFS(tblPCSInput[Call Date/Time],"&gt;="&amp;(SETUP!$B$6),tblPCSInput[Call Date/Time],"&lt;"&amp;(SETUP!$B$7),tblPCSInput[Call Direction],"I",tblPCSInput[Agent ID],$A268,tblPCSInput[Valid Q1],"&lt;=3",tblPCSInput[Valid Q1],"&gt;=1"))</f>
        <v/>
      </c>
      <c r="U268" s="11">
        <f>IF(S268="","",COUNTIFS(tblPCSInput[Call Date/Time],"&gt;="&amp;(SETUP!$B$6),tblPCSInput[Call Date/Time],"&lt;"&amp;(SETUP!$B$7),tblPCSInput[Call Direction],"I",tblPCSInput[Agent ID],$A268,tblPCSInput[Valid Q1],"&gt;3"))</f>
        <v/>
      </c>
      <c r="V268" s="13">
        <f>IFERROR(Q268/P268,"")</f>
        <v/>
      </c>
      <c r="W268" s="13">
        <f>IFERROR(R268/P268,"")</f>
        <v/>
      </c>
    </row>
    <row r="269" spans="1:23">
      <c r="A269" s="4">
        <f>IF(ROSTER!A269="","",ROSTER!A269)</f>
        <v/>
      </c>
      <c r="B269" s="4">
        <f>IF($A269="","",ROSTER!C269)</f>
        <v/>
      </c>
      <c r="C269" s="4">
        <f>IF($A269="","",ROSTER!D269)</f>
        <v/>
      </c>
      <c r="D269" s="4">
        <f>IF($A269="","",ROSTER!E269)</f>
        <v/>
      </c>
      <c r="E269" s="4">
        <f>IF($A269="","",ROSTER!F269)</f>
        <v/>
      </c>
      <c r="F269" s="11">
        <f>IF($A269="","",COUNTIFS(tblPCSInput[Call Date/Time],"&gt;="&amp;(SETUP!$B$5),tblPCSInput[Call Date/Time],"&lt;"&amp;(SETUP!$B$5+1),tblPCSInput[Call Direction],"I",tblPCSInput[Agent ID],$A269,tblPCSInput[PCSStatus],1))</f>
        <v/>
      </c>
      <c r="G269" s="11">
        <f>IF($A269="","",COUNTIFS(tblPCSInput[Call Date/Time],"&gt;="&amp;(SETUP!$B$5),tblPCSInput[Call Date/Time],"&lt;"&amp;(SETUP!$B$5+1),tblPCSInput[Call Direction],"I",tblPCSInput[Agent ID],$A269,tblPCSInput[Question 1],"&lt;&gt;"))</f>
        <v/>
      </c>
      <c r="H269" s="11">
        <f>IF($A269="","",COUNTIFS(tblPCSInput[Call Date/Time],"&gt;="&amp;(SETUP!$B$5),tblPCSInput[Call Date/Time],"&lt;"&amp;(SETUP!$B$5+1),tblPCSInput[Call Direction],"I",tblPCSInput[Agent ID],$A269,tblPCSInput[Valid Q1],"&gt;=1"))</f>
        <v/>
      </c>
      <c r="I269" s="12">
        <f>IFERROR(SUMIFS(tblPCSInput[Valid Q1],tblPCSInput[Call Date/Time],"&gt;="&amp;SETUP!$B$5,tblPCSInput[Call Date/Time],"&lt;"&amp;SETUP!$B$5+1,tblPCSInput[Call Direction],"I",tblPCSInput[Agent ID],$A269)/COUNTIFS(tblPCSInput[Call Date/Time],"&gt;="&amp;(SETUP!$B$5),tblPCSInput[Call Date/Time],"&lt;"&amp;(SETUP!$B$5+1),tblPCSInput[Call Direction],"I",tblPCSInput[Agent ID],$A269,tblPCSInput[Valid Q1],"&gt;=1"),"")</f>
        <v/>
      </c>
      <c r="J269" s="11">
        <f>IF(I269="","",COUNTIFS(tblPCSInput[Call Date/Time],"&gt;="&amp;(SETUP!$B$5),tblPCSInput[Call Date/Time],"&lt;"&amp;(SETUP!$B$5+1),tblPCSInput[Call Direction],"I",tblPCSInput[Agent ID],$A269,tblPCSInput[Valid Q1],"&lt;=3",tblPCSInput[Valid Q1],"&gt;=1"))</f>
        <v/>
      </c>
      <c r="K269" s="11">
        <f>IF(I269="","",COUNTIFS(tblPCSInput[Call Date/Time],"&gt;="&amp;(SETUP!$B$5),tblPCSInput[Call Date/Time],"&lt;"&amp;(SETUP!$B$5+1),tblPCSInput[Call Direction],"I",tblPCSInput[Agent ID],$A269,tblPCSInput[Valid Q1],"&gt;3"))</f>
        <v/>
      </c>
      <c r="L269" s="13">
        <f>IFERROR(G269/F269,"")</f>
        <v/>
      </c>
      <c r="M269" s="13">
        <f>IFERROR(H269/F269,"")</f>
        <v/>
      </c>
      <c r="N269" s="11">
        <f>IF($A269="","",MAX(0,G269-H269))</f>
        <v/>
      </c>
      <c r="O269" s="4">
        <f>IF($A269="","",IF(H269=0,"NO VALID SURVEY",IF(H269&lt;5,"LOW SAMPLE","OK")))</f>
        <v/>
      </c>
      <c r="P269" s="11">
        <f>IF($A269="","",COUNTIFS(tblPCSInput[Call Date/Time],"&gt;="&amp;(SETUP!$B$6),tblPCSInput[Call Date/Time],"&lt;"&amp;(SETUP!$B$7),tblPCSInput[Call Direction],"I",tblPCSInput[Agent ID],$A269,tblPCSInput[PCSStatus],1))</f>
        <v/>
      </c>
      <c r="Q269" s="11">
        <f>IF($A269="","",COUNTIFS(tblPCSInput[Call Date/Time],"&gt;="&amp;(SETUP!$B$6),tblPCSInput[Call Date/Time],"&lt;"&amp;(SETUP!$B$7),tblPCSInput[Call Direction],"I",tblPCSInput[Agent ID],$A269,tblPCSInput[Question 1],"&lt;&gt;"))</f>
        <v/>
      </c>
      <c r="R269" s="11">
        <f>IF($A269="","",COUNTIFS(tblPCSInput[Call Date/Time],"&gt;="&amp;(SETUP!$B$6),tblPCSInput[Call Date/Time],"&lt;"&amp;(SETUP!$B$7),tblPCSInput[Call Direction],"I",tblPCSInput[Agent ID],$A269,tblPCSInput[Valid Q1],"&gt;=1"))</f>
        <v/>
      </c>
      <c r="S269" s="12">
        <f>IFERROR(SUMIFS(tblPCSInput[Valid Q1],tblPCSInput[Call Date/Time],"&gt;="&amp;SETUP!$B$6,tblPCSInput[Call Date/Time],"&lt;"&amp;SETUP!$B$7,tblPCSInput[Call Direction],"I",tblPCSInput[Agent ID],$A269)/COUNTIFS(tblPCSInput[Call Date/Time],"&gt;="&amp;(SETUP!$B$6),tblPCSInput[Call Date/Time],"&lt;"&amp;(SETUP!$B$7),tblPCSInput[Call Direction],"I",tblPCSInput[Agent ID],$A269,tblPCSInput[Valid Q1],"&gt;=1"),"")</f>
        <v/>
      </c>
      <c r="T269" s="11">
        <f>IF(S269="","",COUNTIFS(tblPCSInput[Call Date/Time],"&gt;="&amp;(SETUP!$B$6),tblPCSInput[Call Date/Time],"&lt;"&amp;(SETUP!$B$7),tblPCSInput[Call Direction],"I",tblPCSInput[Agent ID],$A269,tblPCSInput[Valid Q1],"&lt;=3",tblPCSInput[Valid Q1],"&gt;=1"))</f>
        <v/>
      </c>
      <c r="U269" s="11">
        <f>IF(S269="","",COUNTIFS(tblPCSInput[Call Date/Time],"&gt;="&amp;(SETUP!$B$6),tblPCSInput[Call Date/Time],"&lt;"&amp;(SETUP!$B$7),tblPCSInput[Call Direction],"I",tblPCSInput[Agent ID],$A269,tblPCSInput[Valid Q1],"&gt;3"))</f>
        <v/>
      </c>
      <c r="V269" s="13">
        <f>IFERROR(Q269/P269,"")</f>
        <v/>
      </c>
      <c r="W269" s="13">
        <f>IFERROR(R269/P269,"")</f>
        <v/>
      </c>
    </row>
    <row r="270" spans="1:23">
      <c r="A270" s="4">
        <f>IF(ROSTER!A270="","",ROSTER!A270)</f>
        <v/>
      </c>
      <c r="B270" s="4">
        <f>IF($A270="","",ROSTER!C270)</f>
        <v/>
      </c>
      <c r="C270" s="4">
        <f>IF($A270="","",ROSTER!D270)</f>
        <v/>
      </c>
      <c r="D270" s="4">
        <f>IF($A270="","",ROSTER!E270)</f>
        <v/>
      </c>
      <c r="E270" s="4">
        <f>IF($A270="","",ROSTER!F270)</f>
        <v/>
      </c>
      <c r="F270" s="11">
        <f>IF($A270="","",COUNTIFS(tblPCSInput[Call Date/Time],"&gt;="&amp;(SETUP!$B$5),tblPCSInput[Call Date/Time],"&lt;"&amp;(SETUP!$B$5+1),tblPCSInput[Call Direction],"I",tblPCSInput[Agent ID],$A270,tblPCSInput[PCSStatus],1))</f>
        <v/>
      </c>
      <c r="G270" s="11">
        <f>IF($A270="","",COUNTIFS(tblPCSInput[Call Date/Time],"&gt;="&amp;(SETUP!$B$5),tblPCSInput[Call Date/Time],"&lt;"&amp;(SETUP!$B$5+1),tblPCSInput[Call Direction],"I",tblPCSInput[Agent ID],$A270,tblPCSInput[Question 1],"&lt;&gt;"))</f>
        <v/>
      </c>
      <c r="H270" s="11">
        <f>IF($A270="","",COUNTIFS(tblPCSInput[Call Date/Time],"&gt;="&amp;(SETUP!$B$5),tblPCSInput[Call Date/Time],"&lt;"&amp;(SETUP!$B$5+1),tblPCSInput[Call Direction],"I",tblPCSInput[Agent ID],$A270,tblPCSInput[Valid Q1],"&gt;=1"))</f>
        <v/>
      </c>
      <c r="I270" s="12">
        <f>IFERROR(SUMIFS(tblPCSInput[Valid Q1],tblPCSInput[Call Date/Time],"&gt;="&amp;SETUP!$B$5,tblPCSInput[Call Date/Time],"&lt;"&amp;SETUP!$B$5+1,tblPCSInput[Call Direction],"I",tblPCSInput[Agent ID],$A270)/COUNTIFS(tblPCSInput[Call Date/Time],"&gt;="&amp;(SETUP!$B$5),tblPCSInput[Call Date/Time],"&lt;"&amp;(SETUP!$B$5+1),tblPCSInput[Call Direction],"I",tblPCSInput[Agent ID],$A270,tblPCSInput[Valid Q1],"&gt;=1"),"")</f>
        <v/>
      </c>
      <c r="J270" s="11">
        <f>IF(I270="","",COUNTIFS(tblPCSInput[Call Date/Time],"&gt;="&amp;(SETUP!$B$5),tblPCSInput[Call Date/Time],"&lt;"&amp;(SETUP!$B$5+1),tblPCSInput[Call Direction],"I",tblPCSInput[Agent ID],$A270,tblPCSInput[Valid Q1],"&lt;=3",tblPCSInput[Valid Q1],"&gt;=1"))</f>
        <v/>
      </c>
      <c r="K270" s="11">
        <f>IF(I270="","",COUNTIFS(tblPCSInput[Call Date/Time],"&gt;="&amp;(SETUP!$B$5),tblPCSInput[Call Date/Time],"&lt;"&amp;(SETUP!$B$5+1),tblPCSInput[Call Direction],"I",tblPCSInput[Agent ID],$A270,tblPCSInput[Valid Q1],"&gt;3"))</f>
        <v/>
      </c>
      <c r="L270" s="13">
        <f>IFERROR(G270/F270,"")</f>
        <v/>
      </c>
      <c r="M270" s="13">
        <f>IFERROR(H270/F270,"")</f>
        <v/>
      </c>
      <c r="N270" s="11">
        <f>IF($A270="","",MAX(0,G270-H270))</f>
        <v/>
      </c>
      <c r="O270" s="4">
        <f>IF($A270="","",IF(H270=0,"NO VALID SURVEY",IF(H270&lt;5,"LOW SAMPLE","OK")))</f>
        <v/>
      </c>
      <c r="P270" s="11">
        <f>IF($A270="","",COUNTIFS(tblPCSInput[Call Date/Time],"&gt;="&amp;(SETUP!$B$6),tblPCSInput[Call Date/Time],"&lt;"&amp;(SETUP!$B$7),tblPCSInput[Call Direction],"I",tblPCSInput[Agent ID],$A270,tblPCSInput[PCSStatus],1))</f>
        <v/>
      </c>
      <c r="Q270" s="11">
        <f>IF($A270="","",COUNTIFS(tblPCSInput[Call Date/Time],"&gt;="&amp;(SETUP!$B$6),tblPCSInput[Call Date/Time],"&lt;"&amp;(SETUP!$B$7),tblPCSInput[Call Direction],"I",tblPCSInput[Agent ID],$A270,tblPCSInput[Question 1],"&lt;&gt;"))</f>
        <v/>
      </c>
      <c r="R270" s="11">
        <f>IF($A270="","",COUNTIFS(tblPCSInput[Call Date/Time],"&gt;="&amp;(SETUP!$B$6),tblPCSInput[Call Date/Time],"&lt;"&amp;(SETUP!$B$7),tblPCSInput[Call Direction],"I",tblPCSInput[Agent ID],$A270,tblPCSInput[Valid Q1],"&gt;=1"))</f>
        <v/>
      </c>
      <c r="S270" s="12">
        <f>IFERROR(SUMIFS(tblPCSInput[Valid Q1],tblPCSInput[Call Date/Time],"&gt;="&amp;SETUP!$B$6,tblPCSInput[Call Date/Time],"&lt;"&amp;SETUP!$B$7,tblPCSInput[Call Direction],"I",tblPCSInput[Agent ID],$A270)/COUNTIFS(tblPCSInput[Call Date/Time],"&gt;="&amp;(SETUP!$B$6),tblPCSInput[Call Date/Time],"&lt;"&amp;(SETUP!$B$7),tblPCSInput[Call Direction],"I",tblPCSInput[Agent ID],$A270,tblPCSInput[Valid Q1],"&gt;=1"),"")</f>
        <v/>
      </c>
      <c r="T270" s="11">
        <f>IF(S270="","",COUNTIFS(tblPCSInput[Call Date/Time],"&gt;="&amp;(SETUP!$B$6),tblPCSInput[Call Date/Time],"&lt;"&amp;(SETUP!$B$7),tblPCSInput[Call Direction],"I",tblPCSInput[Agent ID],$A270,tblPCSInput[Valid Q1],"&lt;=3",tblPCSInput[Valid Q1],"&gt;=1"))</f>
        <v/>
      </c>
      <c r="U270" s="11">
        <f>IF(S270="","",COUNTIFS(tblPCSInput[Call Date/Time],"&gt;="&amp;(SETUP!$B$6),tblPCSInput[Call Date/Time],"&lt;"&amp;(SETUP!$B$7),tblPCSInput[Call Direction],"I",tblPCSInput[Agent ID],$A270,tblPCSInput[Valid Q1],"&gt;3"))</f>
        <v/>
      </c>
      <c r="V270" s="13">
        <f>IFERROR(Q270/P270,"")</f>
        <v/>
      </c>
      <c r="W270" s="13">
        <f>IFERROR(R270/P270,"")</f>
        <v/>
      </c>
    </row>
    <row r="271" spans="1:23">
      <c r="A271" s="4">
        <f>IF(ROSTER!A271="","",ROSTER!A271)</f>
        <v/>
      </c>
      <c r="B271" s="4">
        <f>IF($A271="","",ROSTER!C271)</f>
        <v/>
      </c>
      <c r="C271" s="4">
        <f>IF($A271="","",ROSTER!D271)</f>
        <v/>
      </c>
      <c r="D271" s="4">
        <f>IF($A271="","",ROSTER!E271)</f>
        <v/>
      </c>
      <c r="E271" s="4">
        <f>IF($A271="","",ROSTER!F271)</f>
        <v/>
      </c>
      <c r="F271" s="11">
        <f>IF($A271="","",COUNTIFS(tblPCSInput[Call Date/Time],"&gt;="&amp;(SETUP!$B$5),tblPCSInput[Call Date/Time],"&lt;"&amp;(SETUP!$B$5+1),tblPCSInput[Call Direction],"I",tblPCSInput[Agent ID],$A271,tblPCSInput[PCSStatus],1))</f>
        <v/>
      </c>
      <c r="G271" s="11">
        <f>IF($A271="","",COUNTIFS(tblPCSInput[Call Date/Time],"&gt;="&amp;(SETUP!$B$5),tblPCSInput[Call Date/Time],"&lt;"&amp;(SETUP!$B$5+1),tblPCSInput[Call Direction],"I",tblPCSInput[Agent ID],$A271,tblPCSInput[Question 1],"&lt;&gt;"))</f>
        <v/>
      </c>
      <c r="H271" s="11">
        <f>IF($A271="","",COUNTIFS(tblPCSInput[Call Date/Time],"&gt;="&amp;(SETUP!$B$5),tblPCSInput[Call Date/Time],"&lt;"&amp;(SETUP!$B$5+1),tblPCSInput[Call Direction],"I",tblPCSInput[Agent ID],$A271,tblPCSInput[Valid Q1],"&gt;=1"))</f>
        <v/>
      </c>
      <c r="I271" s="12">
        <f>IFERROR(SUMIFS(tblPCSInput[Valid Q1],tblPCSInput[Call Date/Time],"&gt;="&amp;SETUP!$B$5,tblPCSInput[Call Date/Time],"&lt;"&amp;SETUP!$B$5+1,tblPCSInput[Call Direction],"I",tblPCSInput[Agent ID],$A271)/COUNTIFS(tblPCSInput[Call Date/Time],"&gt;="&amp;(SETUP!$B$5),tblPCSInput[Call Date/Time],"&lt;"&amp;(SETUP!$B$5+1),tblPCSInput[Call Direction],"I",tblPCSInput[Agent ID],$A271,tblPCSInput[Valid Q1],"&gt;=1"),"")</f>
        <v/>
      </c>
      <c r="J271" s="11">
        <f>IF(I271="","",COUNTIFS(tblPCSInput[Call Date/Time],"&gt;="&amp;(SETUP!$B$5),tblPCSInput[Call Date/Time],"&lt;"&amp;(SETUP!$B$5+1),tblPCSInput[Call Direction],"I",tblPCSInput[Agent ID],$A271,tblPCSInput[Valid Q1],"&lt;=3",tblPCSInput[Valid Q1],"&gt;=1"))</f>
        <v/>
      </c>
      <c r="K271" s="11">
        <f>IF(I271="","",COUNTIFS(tblPCSInput[Call Date/Time],"&gt;="&amp;(SETUP!$B$5),tblPCSInput[Call Date/Time],"&lt;"&amp;(SETUP!$B$5+1),tblPCSInput[Call Direction],"I",tblPCSInput[Agent ID],$A271,tblPCSInput[Valid Q1],"&gt;3"))</f>
        <v/>
      </c>
      <c r="L271" s="13">
        <f>IFERROR(G271/F271,"")</f>
        <v/>
      </c>
      <c r="M271" s="13">
        <f>IFERROR(H271/F271,"")</f>
        <v/>
      </c>
      <c r="N271" s="11">
        <f>IF($A271="","",MAX(0,G271-H271))</f>
        <v/>
      </c>
      <c r="O271" s="4">
        <f>IF($A271="","",IF(H271=0,"NO VALID SURVEY",IF(H271&lt;5,"LOW SAMPLE","OK")))</f>
        <v/>
      </c>
      <c r="P271" s="11">
        <f>IF($A271="","",COUNTIFS(tblPCSInput[Call Date/Time],"&gt;="&amp;(SETUP!$B$6),tblPCSInput[Call Date/Time],"&lt;"&amp;(SETUP!$B$7),tblPCSInput[Call Direction],"I",tblPCSInput[Agent ID],$A271,tblPCSInput[PCSStatus],1))</f>
        <v/>
      </c>
      <c r="Q271" s="11">
        <f>IF($A271="","",COUNTIFS(tblPCSInput[Call Date/Time],"&gt;="&amp;(SETUP!$B$6),tblPCSInput[Call Date/Time],"&lt;"&amp;(SETUP!$B$7),tblPCSInput[Call Direction],"I",tblPCSInput[Agent ID],$A271,tblPCSInput[Question 1],"&lt;&gt;"))</f>
        <v/>
      </c>
      <c r="R271" s="11">
        <f>IF($A271="","",COUNTIFS(tblPCSInput[Call Date/Time],"&gt;="&amp;(SETUP!$B$6),tblPCSInput[Call Date/Time],"&lt;"&amp;(SETUP!$B$7),tblPCSInput[Call Direction],"I",tblPCSInput[Agent ID],$A271,tblPCSInput[Valid Q1],"&gt;=1"))</f>
        <v/>
      </c>
      <c r="S271" s="12">
        <f>IFERROR(SUMIFS(tblPCSInput[Valid Q1],tblPCSInput[Call Date/Time],"&gt;="&amp;SETUP!$B$6,tblPCSInput[Call Date/Time],"&lt;"&amp;SETUP!$B$7,tblPCSInput[Call Direction],"I",tblPCSInput[Agent ID],$A271)/COUNTIFS(tblPCSInput[Call Date/Time],"&gt;="&amp;(SETUP!$B$6),tblPCSInput[Call Date/Time],"&lt;"&amp;(SETUP!$B$7),tblPCSInput[Call Direction],"I",tblPCSInput[Agent ID],$A271,tblPCSInput[Valid Q1],"&gt;=1"),"")</f>
        <v/>
      </c>
      <c r="T271" s="11">
        <f>IF(S271="","",COUNTIFS(tblPCSInput[Call Date/Time],"&gt;="&amp;(SETUP!$B$6),tblPCSInput[Call Date/Time],"&lt;"&amp;(SETUP!$B$7),tblPCSInput[Call Direction],"I",tblPCSInput[Agent ID],$A271,tblPCSInput[Valid Q1],"&lt;=3",tblPCSInput[Valid Q1],"&gt;=1"))</f>
        <v/>
      </c>
      <c r="U271" s="11">
        <f>IF(S271="","",COUNTIFS(tblPCSInput[Call Date/Time],"&gt;="&amp;(SETUP!$B$6),tblPCSInput[Call Date/Time],"&lt;"&amp;(SETUP!$B$7),tblPCSInput[Call Direction],"I",tblPCSInput[Agent ID],$A271,tblPCSInput[Valid Q1],"&gt;3"))</f>
        <v/>
      </c>
      <c r="V271" s="13">
        <f>IFERROR(Q271/P271,"")</f>
        <v/>
      </c>
      <c r="W271" s="13">
        <f>IFERROR(R271/P271,"")</f>
        <v/>
      </c>
    </row>
    <row r="272" spans="1:23">
      <c r="A272" s="4">
        <f>IF(ROSTER!A272="","",ROSTER!A272)</f>
        <v/>
      </c>
      <c r="B272" s="4">
        <f>IF($A272="","",ROSTER!C272)</f>
        <v/>
      </c>
      <c r="C272" s="4">
        <f>IF($A272="","",ROSTER!D272)</f>
        <v/>
      </c>
      <c r="D272" s="4">
        <f>IF($A272="","",ROSTER!E272)</f>
        <v/>
      </c>
      <c r="E272" s="4">
        <f>IF($A272="","",ROSTER!F272)</f>
        <v/>
      </c>
      <c r="F272" s="11">
        <f>IF($A272="","",COUNTIFS(tblPCSInput[Call Date/Time],"&gt;="&amp;(SETUP!$B$5),tblPCSInput[Call Date/Time],"&lt;"&amp;(SETUP!$B$5+1),tblPCSInput[Call Direction],"I",tblPCSInput[Agent ID],$A272,tblPCSInput[PCSStatus],1))</f>
        <v/>
      </c>
      <c r="G272" s="11">
        <f>IF($A272="","",COUNTIFS(tblPCSInput[Call Date/Time],"&gt;="&amp;(SETUP!$B$5),tblPCSInput[Call Date/Time],"&lt;"&amp;(SETUP!$B$5+1),tblPCSInput[Call Direction],"I",tblPCSInput[Agent ID],$A272,tblPCSInput[Question 1],"&lt;&gt;"))</f>
        <v/>
      </c>
      <c r="H272" s="11">
        <f>IF($A272="","",COUNTIFS(tblPCSInput[Call Date/Time],"&gt;="&amp;(SETUP!$B$5),tblPCSInput[Call Date/Time],"&lt;"&amp;(SETUP!$B$5+1),tblPCSInput[Call Direction],"I",tblPCSInput[Agent ID],$A272,tblPCSInput[Valid Q1],"&gt;=1"))</f>
        <v/>
      </c>
      <c r="I272" s="12">
        <f>IFERROR(SUMIFS(tblPCSInput[Valid Q1],tblPCSInput[Call Date/Time],"&gt;="&amp;SETUP!$B$5,tblPCSInput[Call Date/Time],"&lt;"&amp;SETUP!$B$5+1,tblPCSInput[Call Direction],"I",tblPCSInput[Agent ID],$A272)/COUNTIFS(tblPCSInput[Call Date/Time],"&gt;="&amp;(SETUP!$B$5),tblPCSInput[Call Date/Time],"&lt;"&amp;(SETUP!$B$5+1),tblPCSInput[Call Direction],"I",tblPCSInput[Agent ID],$A272,tblPCSInput[Valid Q1],"&gt;=1"),"")</f>
        <v/>
      </c>
      <c r="J272" s="11">
        <f>IF(I272="","",COUNTIFS(tblPCSInput[Call Date/Time],"&gt;="&amp;(SETUP!$B$5),tblPCSInput[Call Date/Time],"&lt;"&amp;(SETUP!$B$5+1),tblPCSInput[Call Direction],"I",tblPCSInput[Agent ID],$A272,tblPCSInput[Valid Q1],"&lt;=3",tblPCSInput[Valid Q1],"&gt;=1"))</f>
        <v/>
      </c>
      <c r="K272" s="11">
        <f>IF(I272="","",COUNTIFS(tblPCSInput[Call Date/Time],"&gt;="&amp;(SETUP!$B$5),tblPCSInput[Call Date/Time],"&lt;"&amp;(SETUP!$B$5+1),tblPCSInput[Call Direction],"I",tblPCSInput[Agent ID],$A272,tblPCSInput[Valid Q1],"&gt;3"))</f>
        <v/>
      </c>
      <c r="L272" s="13">
        <f>IFERROR(G272/F272,"")</f>
        <v/>
      </c>
      <c r="M272" s="13">
        <f>IFERROR(H272/F272,"")</f>
        <v/>
      </c>
      <c r="N272" s="11">
        <f>IF($A272="","",MAX(0,G272-H272))</f>
        <v/>
      </c>
      <c r="O272" s="4">
        <f>IF($A272="","",IF(H272=0,"NO VALID SURVEY",IF(H272&lt;5,"LOW SAMPLE","OK")))</f>
        <v/>
      </c>
      <c r="P272" s="11">
        <f>IF($A272="","",COUNTIFS(tblPCSInput[Call Date/Time],"&gt;="&amp;(SETUP!$B$6),tblPCSInput[Call Date/Time],"&lt;"&amp;(SETUP!$B$7),tblPCSInput[Call Direction],"I",tblPCSInput[Agent ID],$A272,tblPCSInput[PCSStatus],1))</f>
        <v/>
      </c>
      <c r="Q272" s="11">
        <f>IF($A272="","",COUNTIFS(tblPCSInput[Call Date/Time],"&gt;="&amp;(SETUP!$B$6),tblPCSInput[Call Date/Time],"&lt;"&amp;(SETUP!$B$7),tblPCSInput[Call Direction],"I",tblPCSInput[Agent ID],$A272,tblPCSInput[Question 1],"&lt;&gt;"))</f>
        <v/>
      </c>
      <c r="R272" s="11">
        <f>IF($A272="","",COUNTIFS(tblPCSInput[Call Date/Time],"&gt;="&amp;(SETUP!$B$6),tblPCSInput[Call Date/Time],"&lt;"&amp;(SETUP!$B$7),tblPCSInput[Call Direction],"I",tblPCSInput[Agent ID],$A272,tblPCSInput[Valid Q1],"&gt;=1"))</f>
        <v/>
      </c>
      <c r="S272" s="12">
        <f>IFERROR(SUMIFS(tblPCSInput[Valid Q1],tblPCSInput[Call Date/Time],"&gt;="&amp;SETUP!$B$6,tblPCSInput[Call Date/Time],"&lt;"&amp;SETUP!$B$7,tblPCSInput[Call Direction],"I",tblPCSInput[Agent ID],$A272)/COUNTIFS(tblPCSInput[Call Date/Time],"&gt;="&amp;(SETUP!$B$6),tblPCSInput[Call Date/Time],"&lt;"&amp;(SETUP!$B$7),tblPCSInput[Call Direction],"I",tblPCSInput[Agent ID],$A272,tblPCSInput[Valid Q1],"&gt;=1"),"")</f>
        <v/>
      </c>
      <c r="T272" s="11">
        <f>IF(S272="","",COUNTIFS(tblPCSInput[Call Date/Time],"&gt;="&amp;(SETUP!$B$6),tblPCSInput[Call Date/Time],"&lt;"&amp;(SETUP!$B$7),tblPCSInput[Call Direction],"I",tblPCSInput[Agent ID],$A272,tblPCSInput[Valid Q1],"&lt;=3",tblPCSInput[Valid Q1],"&gt;=1"))</f>
        <v/>
      </c>
      <c r="U272" s="11">
        <f>IF(S272="","",COUNTIFS(tblPCSInput[Call Date/Time],"&gt;="&amp;(SETUP!$B$6),tblPCSInput[Call Date/Time],"&lt;"&amp;(SETUP!$B$7),tblPCSInput[Call Direction],"I",tblPCSInput[Agent ID],$A272,tblPCSInput[Valid Q1],"&gt;3"))</f>
        <v/>
      </c>
      <c r="V272" s="13">
        <f>IFERROR(Q272/P272,"")</f>
        <v/>
      </c>
      <c r="W272" s="13">
        <f>IFERROR(R272/P272,"")</f>
        <v/>
      </c>
    </row>
    <row r="273" spans="1:23">
      <c r="A273" s="4">
        <f>IF(ROSTER!A273="","",ROSTER!A273)</f>
        <v/>
      </c>
      <c r="B273" s="4">
        <f>IF($A273="","",ROSTER!C273)</f>
        <v/>
      </c>
      <c r="C273" s="4">
        <f>IF($A273="","",ROSTER!D273)</f>
        <v/>
      </c>
      <c r="D273" s="4">
        <f>IF($A273="","",ROSTER!E273)</f>
        <v/>
      </c>
      <c r="E273" s="4">
        <f>IF($A273="","",ROSTER!F273)</f>
        <v/>
      </c>
      <c r="F273" s="11">
        <f>IF($A273="","",COUNTIFS(tblPCSInput[Call Date/Time],"&gt;="&amp;(SETUP!$B$5),tblPCSInput[Call Date/Time],"&lt;"&amp;(SETUP!$B$5+1),tblPCSInput[Call Direction],"I",tblPCSInput[Agent ID],$A273,tblPCSInput[PCSStatus],1))</f>
        <v/>
      </c>
      <c r="G273" s="11">
        <f>IF($A273="","",COUNTIFS(tblPCSInput[Call Date/Time],"&gt;="&amp;(SETUP!$B$5),tblPCSInput[Call Date/Time],"&lt;"&amp;(SETUP!$B$5+1),tblPCSInput[Call Direction],"I",tblPCSInput[Agent ID],$A273,tblPCSInput[Question 1],"&lt;&gt;"))</f>
        <v/>
      </c>
      <c r="H273" s="11">
        <f>IF($A273="","",COUNTIFS(tblPCSInput[Call Date/Time],"&gt;="&amp;(SETUP!$B$5),tblPCSInput[Call Date/Time],"&lt;"&amp;(SETUP!$B$5+1),tblPCSInput[Call Direction],"I",tblPCSInput[Agent ID],$A273,tblPCSInput[Valid Q1],"&gt;=1"))</f>
        <v/>
      </c>
      <c r="I273" s="12">
        <f>IFERROR(SUMIFS(tblPCSInput[Valid Q1],tblPCSInput[Call Date/Time],"&gt;="&amp;SETUP!$B$5,tblPCSInput[Call Date/Time],"&lt;"&amp;SETUP!$B$5+1,tblPCSInput[Call Direction],"I",tblPCSInput[Agent ID],$A273)/COUNTIFS(tblPCSInput[Call Date/Time],"&gt;="&amp;(SETUP!$B$5),tblPCSInput[Call Date/Time],"&lt;"&amp;(SETUP!$B$5+1),tblPCSInput[Call Direction],"I",tblPCSInput[Agent ID],$A273,tblPCSInput[Valid Q1],"&gt;=1"),"")</f>
        <v/>
      </c>
      <c r="J273" s="11">
        <f>IF(I273="","",COUNTIFS(tblPCSInput[Call Date/Time],"&gt;="&amp;(SETUP!$B$5),tblPCSInput[Call Date/Time],"&lt;"&amp;(SETUP!$B$5+1),tblPCSInput[Call Direction],"I",tblPCSInput[Agent ID],$A273,tblPCSInput[Valid Q1],"&lt;=3",tblPCSInput[Valid Q1],"&gt;=1"))</f>
        <v/>
      </c>
      <c r="K273" s="11">
        <f>IF(I273="","",COUNTIFS(tblPCSInput[Call Date/Time],"&gt;="&amp;(SETUP!$B$5),tblPCSInput[Call Date/Time],"&lt;"&amp;(SETUP!$B$5+1),tblPCSInput[Call Direction],"I",tblPCSInput[Agent ID],$A273,tblPCSInput[Valid Q1],"&gt;3"))</f>
        <v/>
      </c>
      <c r="L273" s="13">
        <f>IFERROR(G273/F273,"")</f>
        <v/>
      </c>
      <c r="M273" s="13">
        <f>IFERROR(H273/F273,"")</f>
        <v/>
      </c>
      <c r="N273" s="11">
        <f>IF($A273="","",MAX(0,G273-H273))</f>
        <v/>
      </c>
      <c r="O273" s="4">
        <f>IF($A273="","",IF(H273=0,"NO VALID SURVEY",IF(H273&lt;5,"LOW SAMPLE","OK")))</f>
        <v/>
      </c>
      <c r="P273" s="11">
        <f>IF($A273="","",COUNTIFS(tblPCSInput[Call Date/Time],"&gt;="&amp;(SETUP!$B$6),tblPCSInput[Call Date/Time],"&lt;"&amp;(SETUP!$B$7),tblPCSInput[Call Direction],"I",tblPCSInput[Agent ID],$A273,tblPCSInput[PCSStatus],1))</f>
        <v/>
      </c>
      <c r="Q273" s="11">
        <f>IF($A273="","",COUNTIFS(tblPCSInput[Call Date/Time],"&gt;="&amp;(SETUP!$B$6),tblPCSInput[Call Date/Time],"&lt;"&amp;(SETUP!$B$7),tblPCSInput[Call Direction],"I",tblPCSInput[Agent ID],$A273,tblPCSInput[Question 1],"&lt;&gt;"))</f>
        <v/>
      </c>
      <c r="R273" s="11">
        <f>IF($A273="","",COUNTIFS(tblPCSInput[Call Date/Time],"&gt;="&amp;(SETUP!$B$6),tblPCSInput[Call Date/Time],"&lt;"&amp;(SETUP!$B$7),tblPCSInput[Call Direction],"I",tblPCSInput[Agent ID],$A273,tblPCSInput[Valid Q1],"&gt;=1"))</f>
        <v/>
      </c>
      <c r="S273" s="12">
        <f>IFERROR(SUMIFS(tblPCSInput[Valid Q1],tblPCSInput[Call Date/Time],"&gt;="&amp;SETUP!$B$6,tblPCSInput[Call Date/Time],"&lt;"&amp;SETUP!$B$7,tblPCSInput[Call Direction],"I",tblPCSInput[Agent ID],$A273)/COUNTIFS(tblPCSInput[Call Date/Time],"&gt;="&amp;(SETUP!$B$6),tblPCSInput[Call Date/Time],"&lt;"&amp;(SETUP!$B$7),tblPCSInput[Call Direction],"I",tblPCSInput[Agent ID],$A273,tblPCSInput[Valid Q1],"&gt;=1"),"")</f>
        <v/>
      </c>
      <c r="T273" s="11">
        <f>IF(S273="","",COUNTIFS(tblPCSInput[Call Date/Time],"&gt;="&amp;(SETUP!$B$6),tblPCSInput[Call Date/Time],"&lt;"&amp;(SETUP!$B$7),tblPCSInput[Call Direction],"I",tblPCSInput[Agent ID],$A273,tblPCSInput[Valid Q1],"&lt;=3",tblPCSInput[Valid Q1],"&gt;=1"))</f>
        <v/>
      </c>
      <c r="U273" s="11">
        <f>IF(S273="","",COUNTIFS(tblPCSInput[Call Date/Time],"&gt;="&amp;(SETUP!$B$6),tblPCSInput[Call Date/Time],"&lt;"&amp;(SETUP!$B$7),tblPCSInput[Call Direction],"I",tblPCSInput[Agent ID],$A273,tblPCSInput[Valid Q1],"&gt;3"))</f>
        <v/>
      </c>
      <c r="V273" s="13">
        <f>IFERROR(Q273/P273,"")</f>
        <v/>
      </c>
      <c r="W273" s="13">
        <f>IFERROR(R273/P273,"")</f>
        <v/>
      </c>
    </row>
    <row r="274" spans="1:23">
      <c r="A274" s="4">
        <f>IF(ROSTER!A274="","",ROSTER!A274)</f>
        <v/>
      </c>
      <c r="B274" s="4">
        <f>IF($A274="","",ROSTER!C274)</f>
        <v/>
      </c>
      <c r="C274" s="4">
        <f>IF($A274="","",ROSTER!D274)</f>
        <v/>
      </c>
      <c r="D274" s="4">
        <f>IF($A274="","",ROSTER!E274)</f>
        <v/>
      </c>
      <c r="E274" s="4">
        <f>IF($A274="","",ROSTER!F274)</f>
        <v/>
      </c>
      <c r="F274" s="11">
        <f>IF($A274="","",COUNTIFS(tblPCSInput[Call Date/Time],"&gt;="&amp;(SETUP!$B$5),tblPCSInput[Call Date/Time],"&lt;"&amp;(SETUP!$B$5+1),tblPCSInput[Call Direction],"I",tblPCSInput[Agent ID],$A274,tblPCSInput[PCSStatus],1))</f>
        <v/>
      </c>
      <c r="G274" s="11">
        <f>IF($A274="","",COUNTIFS(tblPCSInput[Call Date/Time],"&gt;="&amp;(SETUP!$B$5),tblPCSInput[Call Date/Time],"&lt;"&amp;(SETUP!$B$5+1),tblPCSInput[Call Direction],"I",tblPCSInput[Agent ID],$A274,tblPCSInput[Question 1],"&lt;&gt;"))</f>
        <v/>
      </c>
      <c r="H274" s="11">
        <f>IF($A274="","",COUNTIFS(tblPCSInput[Call Date/Time],"&gt;="&amp;(SETUP!$B$5),tblPCSInput[Call Date/Time],"&lt;"&amp;(SETUP!$B$5+1),tblPCSInput[Call Direction],"I",tblPCSInput[Agent ID],$A274,tblPCSInput[Valid Q1],"&gt;=1"))</f>
        <v/>
      </c>
      <c r="I274" s="12">
        <f>IFERROR(SUMIFS(tblPCSInput[Valid Q1],tblPCSInput[Call Date/Time],"&gt;="&amp;SETUP!$B$5,tblPCSInput[Call Date/Time],"&lt;"&amp;SETUP!$B$5+1,tblPCSInput[Call Direction],"I",tblPCSInput[Agent ID],$A274)/COUNTIFS(tblPCSInput[Call Date/Time],"&gt;="&amp;(SETUP!$B$5),tblPCSInput[Call Date/Time],"&lt;"&amp;(SETUP!$B$5+1),tblPCSInput[Call Direction],"I",tblPCSInput[Agent ID],$A274,tblPCSInput[Valid Q1],"&gt;=1"),"")</f>
        <v/>
      </c>
      <c r="J274" s="11">
        <f>IF(I274="","",COUNTIFS(tblPCSInput[Call Date/Time],"&gt;="&amp;(SETUP!$B$5),tblPCSInput[Call Date/Time],"&lt;"&amp;(SETUP!$B$5+1),tblPCSInput[Call Direction],"I",tblPCSInput[Agent ID],$A274,tblPCSInput[Valid Q1],"&lt;=3",tblPCSInput[Valid Q1],"&gt;=1"))</f>
        <v/>
      </c>
      <c r="K274" s="11">
        <f>IF(I274="","",COUNTIFS(tblPCSInput[Call Date/Time],"&gt;="&amp;(SETUP!$B$5),tblPCSInput[Call Date/Time],"&lt;"&amp;(SETUP!$B$5+1),tblPCSInput[Call Direction],"I",tblPCSInput[Agent ID],$A274,tblPCSInput[Valid Q1],"&gt;3"))</f>
        <v/>
      </c>
      <c r="L274" s="13">
        <f>IFERROR(G274/F274,"")</f>
        <v/>
      </c>
      <c r="M274" s="13">
        <f>IFERROR(H274/F274,"")</f>
        <v/>
      </c>
      <c r="N274" s="11">
        <f>IF($A274="","",MAX(0,G274-H274))</f>
        <v/>
      </c>
      <c r="O274" s="4">
        <f>IF($A274="","",IF(H274=0,"NO VALID SURVEY",IF(H274&lt;5,"LOW SAMPLE","OK")))</f>
        <v/>
      </c>
      <c r="P274" s="11">
        <f>IF($A274="","",COUNTIFS(tblPCSInput[Call Date/Time],"&gt;="&amp;(SETUP!$B$6),tblPCSInput[Call Date/Time],"&lt;"&amp;(SETUP!$B$7),tblPCSInput[Call Direction],"I",tblPCSInput[Agent ID],$A274,tblPCSInput[PCSStatus],1))</f>
        <v/>
      </c>
      <c r="Q274" s="11">
        <f>IF($A274="","",COUNTIFS(tblPCSInput[Call Date/Time],"&gt;="&amp;(SETUP!$B$6),tblPCSInput[Call Date/Time],"&lt;"&amp;(SETUP!$B$7),tblPCSInput[Call Direction],"I",tblPCSInput[Agent ID],$A274,tblPCSInput[Question 1],"&lt;&gt;"))</f>
        <v/>
      </c>
      <c r="R274" s="11">
        <f>IF($A274="","",COUNTIFS(tblPCSInput[Call Date/Time],"&gt;="&amp;(SETUP!$B$6),tblPCSInput[Call Date/Time],"&lt;"&amp;(SETUP!$B$7),tblPCSInput[Call Direction],"I",tblPCSInput[Agent ID],$A274,tblPCSInput[Valid Q1],"&gt;=1"))</f>
        <v/>
      </c>
      <c r="S274" s="12">
        <f>IFERROR(SUMIFS(tblPCSInput[Valid Q1],tblPCSInput[Call Date/Time],"&gt;="&amp;SETUP!$B$6,tblPCSInput[Call Date/Time],"&lt;"&amp;SETUP!$B$7,tblPCSInput[Call Direction],"I",tblPCSInput[Agent ID],$A274)/COUNTIFS(tblPCSInput[Call Date/Time],"&gt;="&amp;(SETUP!$B$6),tblPCSInput[Call Date/Time],"&lt;"&amp;(SETUP!$B$7),tblPCSInput[Call Direction],"I",tblPCSInput[Agent ID],$A274,tblPCSInput[Valid Q1],"&gt;=1"),"")</f>
        <v/>
      </c>
      <c r="T274" s="11">
        <f>IF(S274="","",COUNTIFS(tblPCSInput[Call Date/Time],"&gt;="&amp;(SETUP!$B$6),tblPCSInput[Call Date/Time],"&lt;"&amp;(SETUP!$B$7),tblPCSInput[Call Direction],"I",tblPCSInput[Agent ID],$A274,tblPCSInput[Valid Q1],"&lt;=3",tblPCSInput[Valid Q1],"&gt;=1"))</f>
        <v/>
      </c>
      <c r="U274" s="11">
        <f>IF(S274="","",COUNTIFS(tblPCSInput[Call Date/Time],"&gt;="&amp;(SETUP!$B$6),tblPCSInput[Call Date/Time],"&lt;"&amp;(SETUP!$B$7),tblPCSInput[Call Direction],"I",tblPCSInput[Agent ID],$A274,tblPCSInput[Valid Q1],"&gt;3"))</f>
        <v/>
      </c>
      <c r="V274" s="13">
        <f>IFERROR(Q274/P274,"")</f>
        <v/>
      </c>
      <c r="W274" s="13">
        <f>IFERROR(R274/P274,"")</f>
        <v/>
      </c>
    </row>
    <row r="275" spans="1:23">
      <c r="A275" s="4">
        <f>IF(ROSTER!A275="","",ROSTER!A275)</f>
        <v/>
      </c>
      <c r="B275" s="4">
        <f>IF($A275="","",ROSTER!C275)</f>
        <v/>
      </c>
      <c r="C275" s="4">
        <f>IF($A275="","",ROSTER!D275)</f>
        <v/>
      </c>
      <c r="D275" s="4">
        <f>IF($A275="","",ROSTER!E275)</f>
        <v/>
      </c>
      <c r="E275" s="4">
        <f>IF($A275="","",ROSTER!F275)</f>
        <v/>
      </c>
      <c r="F275" s="11">
        <f>IF($A275="","",COUNTIFS(tblPCSInput[Call Date/Time],"&gt;="&amp;(SETUP!$B$5),tblPCSInput[Call Date/Time],"&lt;"&amp;(SETUP!$B$5+1),tblPCSInput[Call Direction],"I",tblPCSInput[Agent ID],$A275,tblPCSInput[PCSStatus],1))</f>
        <v/>
      </c>
      <c r="G275" s="11">
        <f>IF($A275="","",COUNTIFS(tblPCSInput[Call Date/Time],"&gt;="&amp;(SETUP!$B$5),tblPCSInput[Call Date/Time],"&lt;"&amp;(SETUP!$B$5+1),tblPCSInput[Call Direction],"I",tblPCSInput[Agent ID],$A275,tblPCSInput[Question 1],"&lt;&gt;"))</f>
        <v/>
      </c>
      <c r="H275" s="11">
        <f>IF($A275="","",COUNTIFS(tblPCSInput[Call Date/Time],"&gt;="&amp;(SETUP!$B$5),tblPCSInput[Call Date/Time],"&lt;"&amp;(SETUP!$B$5+1),tblPCSInput[Call Direction],"I",tblPCSInput[Agent ID],$A275,tblPCSInput[Valid Q1],"&gt;=1"))</f>
        <v/>
      </c>
      <c r="I275" s="12">
        <f>IFERROR(SUMIFS(tblPCSInput[Valid Q1],tblPCSInput[Call Date/Time],"&gt;="&amp;SETUP!$B$5,tblPCSInput[Call Date/Time],"&lt;"&amp;SETUP!$B$5+1,tblPCSInput[Call Direction],"I",tblPCSInput[Agent ID],$A275)/COUNTIFS(tblPCSInput[Call Date/Time],"&gt;="&amp;(SETUP!$B$5),tblPCSInput[Call Date/Time],"&lt;"&amp;(SETUP!$B$5+1),tblPCSInput[Call Direction],"I",tblPCSInput[Agent ID],$A275,tblPCSInput[Valid Q1],"&gt;=1"),"")</f>
        <v/>
      </c>
      <c r="J275" s="11">
        <f>IF(I275="","",COUNTIFS(tblPCSInput[Call Date/Time],"&gt;="&amp;(SETUP!$B$5),tblPCSInput[Call Date/Time],"&lt;"&amp;(SETUP!$B$5+1),tblPCSInput[Call Direction],"I",tblPCSInput[Agent ID],$A275,tblPCSInput[Valid Q1],"&lt;=3",tblPCSInput[Valid Q1],"&gt;=1"))</f>
        <v/>
      </c>
      <c r="K275" s="11">
        <f>IF(I275="","",COUNTIFS(tblPCSInput[Call Date/Time],"&gt;="&amp;(SETUP!$B$5),tblPCSInput[Call Date/Time],"&lt;"&amp;(SETUP!$B$5+1),tblPCSInput[Call Direction],"I",tblPCSInput[Agent ID],$A275,tblPCSInput[Valid Q1],"&gt;3"))</f>
        <v/>
      </c>
      <c r="L275" s="13">
        <f>IFERROR(G275/F275,"")</f>
        <v/>
      </c>
      <c r="M275" s="13">
        <f>IFERROR(H275/F275,"")</f>
        <v/>
      </c>
      <c r="N275" s="11">
        <f>IF($A275="","",MAX(0,G275-H275))</f>
        <v/>
      </c>
      <c r="O275" s="4">
        <f>IF($A275="","",IF(H275=0,"NO VALID SURVEY",IF(H275&lt;5,"LOW SAMPLE","OK")))</f>
        <v/>
      </c>
      <c r="P275" s="11">
        <f>IF($A275="","",COUNTIFS(tblPCSInput[Call Date/Time],"&gt;="&amp;(SETUP!$B$6),tblPCSInput[Call Date/Time],"&lt;"&amp;(SETUP!$B$7),tblPCSInput[Call Direction],"I",tblPCSInput[Agent ID],$A275,tblPCSInput[PCSStatus],1))</f>
        <v/>
      </c>
      <c r="Q275" s="11">
        <f>IF($A275="","",COUNTIFS(tblPCSInput[Call Date/Time],"&gt;="&amp;(SETUP!$B$6),tblPCSInput[Call Date/Time],"&lt;"&amp;(SETUP!$B$7),tblPCSInput[Call Direction],"I",tblPCSInput[Agent ID],$A275,tblPCSInput[Question 1],"&lt;&gt;"))</f>
        <v/>
      </c>
      <c r="R275" s="11">
        <f>IF($A275="","",COUNTIFS(tblPCSInput[Call Date/Time],"&gt;="&amp;(SETUP!$B$6),tblPCSInput[Call Date/Time],"&lt;"&amp;(SETUP!$B$7),tblPCSInput[Call Direction],"I",tblPCSInput[Agent ID],$A275,tblPCSInput[Valid Q1],"&gt;=1"))</f>
        <v/>
      </c>
      <c r="S275" s="12">
        <f>IFERROR(SUMIFS(tblPCSInput[Valid Q1],tblPCSInput[Call Date/Time],"&gt;="&amp;SETUP!$B$6,tblPCSInput[Call Date/Time],"&lt;"&amp;SETUP!$B$7,tblPCSInput[Call Direction],"I",tblPCSInput[Agent ID],$A275)/COUNTIFS(tblPCSInput[Call Date/Time],"&gt;="&amp;(SETUP!$B$6),tblPCSInput[Call Date/Time],"&lt;"&amp;(SETUP!$B$7),tblPCSInput[Call Direction],"I",tblPCSInput[Agent ID],$A275,tblPCSInput[Valid Q1],"&gt;=1"),"")</f>
        <v/>
      </c>
      <c r="T275" s="11">
        <f>IF(S275="","",COUNTIFS(tblPCSInput[Call Date/Time],"&gt;="&amp;(SETUP!$B$6),tblPCSInput[Call Date/Time],"&lt;"&amp;(SETUP!$B$7),tblPCSInput[Call Direction],"I",tblPCSInput[Agent ID],$A275,tblPCSInput[Valid Q1],"&lt;=3",tblPCSInput[Valid Q1],"&gt;=1"))</f>
        <v/>
      </c>
      <c r="U275" s="11">
        <f>IF(S275="","",COUNTIFS(tblPCSInput[Call Date/Time],"&gt;="&amp;(SETUP!$B$6),tblPCSInput[Call Date/Time],"&lt;"&amp;(SETUP!$B$7),tblPCSInput[Call Direction],"I",tblPCSInput[Agent ID],$A275,tblPCSInput[Valid Q1],"&gt;3"))</f>
        <v/>
      </c>
      <c r="V275" s="13">
        <f>IFERROR(Q275/P275,"")</f>
        <v/>
      </c>
      <c r="W275" s="13">
        <f>IFERROR(R275/P275,"")</f>
        <v/>
      </c>
    </row>
    <row r="276" spans="1:23">
      <c r="A276" s="4">
        <f>IF(ROSTER!A276="","",ROSTER!A276)</f>
        <v/>
      </c>
      <c r="B276" s="4">
        <f>IF($A276="","",ROSTER!C276)</f>
        <v/>
      </c>
      <c r="C276" s="4">
        <f>IF($A276="","",ROSTER!D276)</f>
        <v/>
      </c>
      <c r="D276" s="4">
        <f>IF($A276="","",ROSTER!E276)</f>
        <v/>
      </c>
      <c r="E276" s="4">
        <f>IF($A276="","",ROSTER!F276)</f>
        <v/>
      </c>
      <c r="F276" s="11">
        <f>IF($A276="","",COUNTIFS(tblPCSInput[Call Date/Time],"&gt;="&amp;(SETUP!$B$5),tblPCSInput[Call Date/Time],"&lt;"&amp;(SETUP!$B$5+1),tblPCSInput[Call Direction],"I",tblPCSInput[Agent ID],$A276,tblPCSInput[PCSStatus],1))</f>
        <v/>
      </c>
      <c r="G276" s="11">
        <f>IF($A276="","",COUNTIFS(tblPCSInput[Call Date/Time],"&gt;="&amp;(SETUP!$B$5),tblPCSInput[Call Date/Time],"&lt;"&amp;(SETUP!$B$5+1),tblPCSInput[Call Direction],"I",tblPCSInput[Agent ID],$A276,tblPCSInput[Question 1],"&lt;&gt;"))</f>
        <v/>
      </c>
      <c r="H276" s="11">
        <f>IF($A276="","",COUNTIFS(tblPCSInput[Call Date/Time],"&gt;="&amp;(SETUP!$B$5),tblPCSInput[Call Date/Time],"&lt;"&amp;(SETUP!$B$5+1),tblPCSInput[Call Direction],"I",tblPCSInput[Agent ID],$A276,tblPCSInput[Valid Q1],"&gt;=1"))</f>
        <v/>
      </c>
      <c r="I276" s="12">
        <f>IFERROR(SUMIFS(tblPCSInput[Valid Q1],tblPCSInput[Call Date/Time],"&gt;="&amp;SETUP!$B$5,tblPCSInput[Call Date/Time],"&lt;"&amp;SETUP!$B$5+1,tblPCSInput[Call Direction],"I",tblPCSInput[Agent ID],$A276)/COUNTIFS(tblPCSInput[Call Date/Time],"&gt;="&amp;(SETUP!$B$5),tblPCSInput[Call Date/Time],"&lt;"&amp;(SETUP!$B$5+1),tblPCSInput[Call Direction],"I",tblPCSInput[Agent ID],$A276,tblPCSInput[Valid Q1],"&gt;=1"),"")</f>
        <v/>
      </c>
      <c r="J276" s="11">
        <f>IF(I276="","",COUNTIFS(tblPCSInput[Call Date/Time],"&gt;="&amp;(SETUP!$B$5),tblPCSInput[Call Date/Time],"&lt;"&amp;(SETUP!$B$5+1),tblPCSInput[Call Direction],"I",tblPCSInput[Agent ID],$A276,tblPCSInput[Valid Q1],"&lt;=3",tblPCSInput[Valid Q1],"&gt;=1"))</f>
        <v/>
      </c>
      <c r="K276" s="11">
        <f>IF(I276="","",COUNTIFS(tblPCSInput[Call Date/Time],"&gt;="&amp;(SETUP!$B$5),tblPCSInput[Call Date/Time],"&lt;"&amp;(SETUP!$B$5+1),tblPCSInput[Call Direction],"I",tblPCSInput[Agent ID],$A276,tblPCSInput[Valid Q1],"&gt;3"))</f>
        <v/>
      </c>
      <c r="L276" s="13">
        <f>IFERROR(G276/F276,"")</f>
        <v/>
      </c>
      <c r="M276" s="13">
        <f>IFERROR(H276/F276,"")</f>
        <v/>
      </c>
      <c r="N276" s="11">
        <f>IF($A276="","",MAX(0,G276-H276))</f>
        <v/>
      </c>
      <c r="O276" s="4">
        <f>IF($A276="","",IF(H276=0,"NO VALID SURVEY",IF(H276&lt;5,"LOW SAMPLE","OK")))</f>
        <v/>
      </c>
      <c r="P276" s="11">
        <f>IF($A276="","",COUNTIFS(tblPCSInput[Call Date/Time],"&gt;="&amp;(SETUP!$B$6),tblPCSInput[Call Date/Time],"&lt;"&amp;(SETUP!$B$7),tblPCSInput[Call Direction],"I",tblPCSInput[Agent ID],$A276,tblPCSInput[PCSStatus],1))</f>
        <v/>
      </c>
      <c r="Q276" s="11">
        <f>IF($A276="","",COUNTIFS(tblPCSInput[Call Date/Time],"&gt;="&amp;(SETUP!$B$6),tblPCSInput[Call Date/Time],"&lt;"&amp;(SETUP!$B$7),tblPCSInput[Call Direction],"I",tblPCSInput[Agent ID],$A276,tblPCSInput[Question 1],"&lt;&gt;"))</f>
        <v/>
      </c>
      <c r="R276" s="11">
        <f>IF($A276="","",COUNTIFS(tblPCSInput[Call Date/Time],"&gt;="&amp;(SETUP!$B$6),tblPCSInput[Call Date/Time],"&lt;"&amp;(SETUP!$B$7),tblPCSInput[Call Direction],"I",tblPCSInput[Agent ID],$A276,tblPCSInput[Valid Q1],"&gt;=1"))</f>
        <v/>
      </c>
      <c r="S276" s="12">
        <f>IFERROR(SUMIFS(tblPCSInput[Valid Q1],tblPCSInput[Call Date/Time],"&gt;="&amp;SETUP!$B$6,tblPCSInput[Call Date/Time],"&lt;"&amp;SETUP!$B$7,tblPCSInput[Call Direction],"I",tblPCSInput[Agent ID],$A276)/COUNTIFS(tblPCSInput[Call Date/Time],"&gt;="&amp;(SETUP!$B$6),tblPCSInput[Call Date/Time],"&lt;"&amp;(SETUP!$B$7),tblPCSInput[Call Direction],"I",tblPCSInput[Agent ID],$A276,tblPCSInput[Valid Q1],"&gt;=1"),"")</f>
        <v/>
      </c>
      <c r="T276" s="11">
        <f>IF(S276="","",COUNTIFS(tblPCSInput[Call Date/Time],"&gt;="&amp;(SETUP!$B$6),tblPCSInput[Call Date/Time],"&lt;"&amp;(SETUP!$B$7),tblPCSInput[Call Direction],"I",tblPCSInput[Agent ID],$A276,tblPCSInput[Valid Q1],"&lt;=3",tblPCSInput[Valid Q1],"&gt;=1"))</f>
        <v/>
      </c>
      <c r="U276" s="11">
        <f>IF(S276="","",COUNTIFS(tblPCSInput[Call Date/Time],"&gt;="&amp;(SETUP!$B$6),tblPCSInput[Call Date/Time],"&lt;"&amp;(SETUP!$B$7),tblPCSInput[Call Direction],"I",tblPCSInput[Agent ID],$A276,tblPCSInput[Valid Q1],"&gt;3"))</f>
        <v/>
      </c>
      <c r="V276" s="13">
        <f>IFERROR(Q276/P276,"")</f>
        <v/>
      </c>
      <c r="W276" s="13">
        <f>IFERROR(R276/P276,"")</f>
        <v/>
      </c>
    </row>
    <row r="277" spans="1:23">
      <c r="A277" s="4">
        <f>IF(ROSTER!A277="","",ROSTER!A277)</f>
        <v/>
      </c>
      <c r="B277" s="4">
        <f>IF($A277="","",ROSTER!C277)</f>
        <v/>
      </c>
      <c r="C277" s="4">
        <f>IF($A277="","",ROSTER!D277)</f>
        <v/>
      </c>
      <c r="D277" s="4">
        <f>IF($A277="","",ROSTER!E277)</f>
        <v/>
      </c>
      <c r="E277" s="4">
        <f>IF($A277="","",ROSTER!F277)</f>
        <v/>
      </c>
      <c r="F277" s="11">
        <f>IF($A277="","",COUNTIFS(tblPCSInput[Call Date/Time],"&gt;="&amp;(SETUP!$B$5),tblPCSInput[Call Date/Time],"&lt;"&amp;(SETUP!$B$5+1),tblPCSInput[Call Direction],"I",tblPCSInput[Agent ID],$A277,tblPCSInput[PCSStatus],1))</f>
        <v/>
      </c>
      <c r="G277" s="11">
        <f>IF($A277="","",COUNTIFS(tblPCSInput[Call Date/Time],"&gt;="&amp;(SETUP!$B$5),tblPCSInput[Call Date/Time],"&lt;"&amp;(SETUP!$B$5+1),tblPCSInput[Call Direction],"I",tblPCSInput[Agent ID],$A277,tblPCSInput[Question 1],"&lt;&gt;"))</f>
        <v/>
      </c>
      <c r="H277" s="11">
        <f>IF($A277="","",COUNTIFS(tblPCSInput[Call Date/Time],"&gt;="&amp;(SETUP!$B$5),tblPCSInput[Call Date/Time],"&lt;"&amp;(SETUP!$B$5+1),tblPCSInput[Call Direction],"I",tblPCSInput[Agent ID],$A277,tblPCSInput[Valid Q1],"&gt;=1"))</f>
        <v/>
      </c>
      <c r="I277" s="12">
        <f>IFERROR(SUMIFS(tblPCSInput[Valid Q1],tblPCSInput[Call Date/Time],"&gt;="&amp;SETUP!$B$5,tblPCSInput[Call Date/Time],"&lt;"&amp;SETUP!$B$5+1,tblPCSInput[Call Direction],"I",tblPCSInput[Agent ID],$A277)/COUNTIFS(tblPCSInput[Call Date/Time],"&gt;="&amp;(SETUP!$B$5),tblPCSInput[Call Date/Time],"&lt;"&amp;(SETUP!$B$5+1),tblPCSInput[Call Direction],"I",tblPCSInput[Agent ID],$A277,tblPCSInput[Valid Q1],"&gt;=1"),"")</f>
        <v/>
      </c>
      <c r="J277" s="11">
        <f>IF(I277="","",COUNTIFS(tblPCSInput[Call Date/Time],"&gt;="&amp;(SETUP!$B$5),tblPCSInput[Call Date/Time],"&lt;"&amp;(SETUP!$B$5+1),tblPCSInput[Call Direction],"I",tblPCSInput[Agent ID],$A277,tblPCSInput[Valid Q1],"&lt;=3",tblPCSInput[Valid Q1],"&gt;=1"))</f>
        <v/>
      </c>
      <c r="K277" s="11">
        <f>IF(I277="","",COUNTIFS(tblPCSInput[Call Date/Time],"&gt;="&amp;(SETUP!$B$5),tblPCSInput[Call Date/Time],"&lt;"&amp;(SETUP!$B$5+1),tblPCSInput[Call Direction],"I",tblPCSInput[Agent ID],$A277,tblPCSInput[Valid Q1],"&gt;3"))</f>
        <v/>
      </c>
      <c r="L277" s="13">
        <f>IFERROR(G277/F277,"")</f>
        <v/>
      </c>
      <c r="M277" s="13">
        <f>IFERROR(H277/F277,"")</f>
        <v/>
      </c>
      <c r="N277" s="11">
        <f>IF($A277="","",MAX(0,G277-H277))</f>
        <v/>
      </c>
      <c r="O277" s="4">
        <f>IF($A277="","",IF(H277=0,"NO VALID SURVEY",IF(H277&lt;5,"LOW SAMPLE","OK")))</f>
        <v/>
      </c>
      <c r="P277" s="11">
        <f>IF($A277="","",COUNTIFS(tblPCSInput[Call Date/Time],"&gt;="&amp;(SETUP!$B$6),tblPCSInput[Call Date/Time],"&lt;"&amp;(SETUP!$B$7),tblPCSInput[Call Direction],"I",tblPCSInput[Agent ID],$A277,tblPCSInput[PCSStatus],1))</f>
        <v/>
      </c>
      <c r="Q277" s="11">
        <f>IF($A277="","",COUNTIFS(tblPCSInput[Call Date/Time],"&gt;="&amp;(SETUP!$B$6),tblPCSInput[Call Date/Time],"&lt;"&amp;(SETUP!$B$7),tblPCSInput[Call Direction],"I",tblPCSInput[Agent ID],$A277,tblPCSInput[Question 1],"&lt;&gt;"))</f>
        <v/>
      </c>
      <c r="R277" s="11">
        <f>IF($A277="","",COUNTIFS(tblPCSInput[Call Date/Time],"&gt;="&amp;(SETUP!$B$6),tblPCSInput[Call Date/Time],"&lt;"&amp;(SETUP!$B$7),tblPCSInput[Call Direction],"I",tblPCSInput[Agent ID],$A277,tblPCSInput[Valid Q1],"&gt;=1"))</f>
        <v/>
      </c>
      <c r="S277" s="12">
        <f>IFERROR(SUMIFS(tblPCSInput[Valid Q1],tblPCSInput[Call Date/Time],"&gt;="&amp;SETUP!$B$6,tblPCSInput[Call Date/Time],"&lt;"&amp;SETUP!$B$7,tblPCSInput[Call Direction],"I",tblPCSInput[Agent ID],$A277)/COUNTIFS(tblPCSInput[Call Date/Time],"&gt;="&amp;(SETUP!$B$6),tblPCSInput[Call Date/Time],"&lt;"&amp;(SETUP!$B$7),tblPCSInput[Call Direction],"I",tblPCSInput[Agent ID],$A277,tblPCSInput[Valid Q1],"&gt;=1"),"")</f>
        <v/>
      </c>
      <c r="T277" s="11">
        <f>IF(S277="","",COUNTIFS(tblPCSInput[Call Date/Time],"&gt;="&amp;(SETUP!$B$6),tblPCSInput[Call Date/Time],"&lt;"&amp;(SETUP!$B$7),tblPCSInput[Call Direction],"I",tblPCSInput[Agent ID],$A277,tblPCSInput[Valid Q1],"&lt;=3",tblPCSInput[Valid Q1],"&gt;=1"))</f>
        <v/>
      </c>
      <c r="U277" s="11">
        <f>IF(S277="","",COUNTIFS(tblPCSInput[Call Date/Time],"&gt;="&amp;(SETUP!$B$6),tblPCSInput[Call Date/Time],"&lt;"&amp;(SETUP!$B$7),tblPCSInput[Call Direction],"I",tblPCSInput[Agent ID],$A277,tblPCSInput[Valid Q1],"&gt;3"))</f>
        <v/>
      </c>
      <c r="V277" s="13">
        <f>IFERROR(Q277/P277,"")</f>
        <v/>
      </c>
      <c r="W277" s="13">
        <f>IFERROR(R277/P277,"")</f>
        <v/>
      </c>
    </row>
    <row r="278" spans="1:23">
      <c r="A278" s="4">
        <f>IF(ROSTER!A278="","",ROSTER!A278)</f>
        <v/>
      </c>
      <c r="B278" s="4">
        <f>IF($A278="","",ROSTER!C278)</f>
        <v/>
      </c>
      <c r="C278" s="4">
        <f>IF($A278="","",ROSTER!D278)</f>
        <v/>
      </c>
      <c r="D278" s="4">
        <f>IF($A278="","",ROSTER!E278)</f>
        <v/>
      </c>
      <c r="E278" s="4">
        <f>IF($A278="","",ROSTER!F278)</f>
        <v/>
      </c>
      <c r="F278" s="11">
        <f>IF($A278="","",COUNTIFS(tblPCSInput[Call Date/Time],"&gt;="&amp;(SETUP!$B$5),tblPCSInput[Call Date/Time],"&lt;"&amp;(SETUP!$B$5+1),tblPCSInput[Call Direction],"I",tblPCSInput[Agent ID],$A278,tblPCSInput[PCSStatus],1))</f>
        <v/>
      </c>
      <c r="G278" s="11">
        <f>IF($A278="","",COUNTIFS(tblPCSInput[Call Date/Time],"&gt;="&amp;(SETUP!$B$5),tblPCSInput[Call Date/Time],"&lt;"&amp;(SETUP!$B$5+1),tblPCSInput[Call Direction],"I",tblPCSInput[Agent ID],$A278,tblPCSInput[Question 1],"&lt;&gt;"))</f>
        <v/>
      </c>
      <c r="H278" s="11">
        <f>IF($A278="","",COUNTIFS(tblPCSInput[Call Date/Time],"&gt;="&amp;(SETUP!$B$5),tblPCSInput[Call Date/Time],"&lt;"&amp;(SETUP!$B$5+1),tblPCSInput[Call Direction],"I",tblPCSInput[Agent ID],$A278,tblPCSInput[Valid Q1],"&gt;=1"))</f>
        <v/>
      </c>
      <c r="I278" s="12">
        <f>IFERROR(SUMIFS(tblPCSInput[Valid Q1],tblPCSInput[Call Date/Time],"&gt;="&amp;SETUP!$B$5,tblPCSInput[Call Date/Time],"&lt;"&amp;SETUP!$B$5+1,tblPCSInput[Call Direction],"I",tblPCSInput[Agent ID],$A278)/COUNTIFS(tblPCSInput[Call Date/Time],"&gt;="&amp;(SETUP!$B$5),tblPCSInput[Call Date/Time],"&lt;"&amp;(SETUP!$B$5+1),tblPCSInput[Call Direction],"I",tblPCSInput[Agent ID],$A278,tblPCSInput[Valid Q1],"&gt;=1"),"")</f>
        <v/>
      </c>
      <c r="J278" s="11">
        <f>IF(I278="","",COUNTIFS(tblPCSInput[Call Date/Time],"&gt;="&amp;(SETUP!$B$5),tblPCSInput[Call Date/Time],"&lt;"&amp;(SETUP!$B$5+1),tblPCSInput[Call Direction],"I",tblPCSInput[Agent ID],$A278,tblPCSInput[Valid Q1],"&lt;=3",tblPCSInput[Valid Q1],"&gt;=1"))</f>
        <v/>
      </c>
      <c r="K278" s="11">
        <f>IF(I278="","",COUNTIFS(tblPCSInput[Call Date/Time],"&gt;="&amp;(SETUP!$B$5),tblPCSInput[Call Date/Time],"&lt;"&amp;(SETUP!$B$5+1),tblPCSInput[Call Direction],"I",tblPCSInput[Agent ID],$A278,tblPCSInput[Valid Q1],"&gt;3"))</f>
        <v/>
      </c>
      <c r="L278" s="13">
        <f>IFERROR(G278/F278,"")</f>
        <v/>
      </c>
      <c r="M278" s="13">
        <f>IFERROR(H278/F278,"")</f>
        <v/>
      </c>
      <c r="N278" s="11">
        <f>IF($A278="","",MAX(0,G278-H278))</f>
        <v/>
      </c>
      <c r="O278" s="4">
        <f>IF($A278="","",IF(H278=0,"NO VALID SURVEY",IF(H278&lt;5,"LOW SAMPLE","OK")))</f>
        <v/>
      </c>
      <c r="P278" s="11">
        <f>IF($A278="","",COUNTIFS(tblPCSInput[Call Date/Time],"&gt;="&amp;(SETUP!$B$6),tblPCSInput[Call Date/Time],"&lt;"&amp;(SETUP!$B$7),tblPCSInput[Call Direction],"I",tblPCSInput[Agent ID],$A278,tblPCSInput[PCSStatus],1))</f>
        <v/>
      </c>
      <c r="Q278" s="11">
        <f>IF($A278="","",COUNTIFS(tblPCSInput[Call Date/Time],"&gt;="&amp;(SETUP!$B$6),tblPCSInput[Call Date/Time],"&lt;"&amp;(SETUP!$B$7),tblPCSInput[Call Direction],"I",tblPCSInput[Agent ID],$A278,tblPCSInput[Question 1],"&lt;&gt;"))</f>
        <v/>
      </c>
      <c r="R278" s="11">
        <f>IF($A278="","",COUNTIFS(tblPCSInput[Call Date/Time],"&gt;="&amp;(SETUP!$B$6),tblPCSInput[Call Date/Time],"&lt;"&amp;(SETUP!$B$7),tblPCSInput[Call Direction],"I",tblPCSInput[Agent ID],$A278,tblPCSInput[Valid Q1],"&gt;=1"))</f>
        <v/>
      </c>
      <c r="S278" s="12">
        <f>IFERROR(SUMIFS(tblPCSInput[Valid Q1],tblPCSInput[Call Date/Time],"&gt;="&amp;SETUP!$B$6,tblPCSInput[Call Date/Time],"&lt;"&amp;SETUP!$B$7,tblPCSInput[Call Direction],"I",tblPCSInput[Agent ID],$A278)/COUNTIFS(tblPCSInput[Call Date/Time],"&gt;="&amp;(SETUP!$B$6),tblPCSInput[Call Date/Time],"&lt;"&amp;(SETUP!$B$7),tblPCSInput[Call Direction],"I",tblPCSInput[Agent ID],$A278,tblPCSInput[Valid Q1],"&gt;=1"),"")</f>
        <v/>
      </c>
      <c r="T278" s="11">
        <f>IF(S278="","",COUNTIFS(tblPCSInput[Call Date/Time],"&gt;="&amp;(SETUP!$B$6),tblPCSInput[Call Date/Time],"&lt;"&amp;(SETUP!$B$7),tblPCSInput[Call Direction],"I",tblPCSInput[Agent ID],$A278,tblPCSInput[Valid Q1],"&lt;=3",tblPCSInput[Valid Q1],"&gt;=1"))</f>
        <v/>
      </c>
      <c r="U278" s="11">
        <f>IF(S278="","",COUNTIFS(tblPCSInput[Call Date/Time],"&gt;="&amp;(SETUP!$B$6),tblPCSInput[Call Date/Time],"&lt;"&amp;(SETUP!$B$7),tblPCSInput[Call Direction],"I",tblPCSInput[Agent ID],$A278,tblPCSInput[Valid Q1],"&gt;3"))</f>
        <v/>
      </c>
      <c r="V278" s="13">
        <f>IFERROR(Q278/P278,"")</f>
        <v/>
      </c>
      <c r="W278" s="13">
        <f>IFERROR(R278/P278,"")</f>
        <v/>
      </c>
    </row>
    <row r="279" spans="1:23">
      <c r="A279" s="4">
        <f>IF(ROSTER!A279="","",ROSTER!A279)</f>
        <v/>
      </c>
      <c r="B279" s="4">
        <f>IF($A279="","",ROSTER!C279)</f>
        <v/>
      </c>
      <c r="C279" s="4">
        <f>IF($A279="","",ROSTER!D279)</f>
        <v/>
      </c>
      <c r="D279" s="4">
        <f>IF($A279="","",ROSTER!E279)</f>
        <v/>
      </c>
      <c r="E279" s="4">
        <f>IF($A279="","",ROSTER!F279)</f>
        <v/>
      </c>
      <c r="F279" s="11">
        <f>IF($A279="","",COUNTIFS(tblPCSInput[Call Date/Time],"&gt;="&amp;(SETUP!$B$5),tblPCSInput[Call Date/Time],"&lt;"&amp;(SETUP!$B$5+1),tblPCSInput[Call Direction],"I",tblPCSInput[Agent ID],$A279,tblPCSInput[PCSStatus],1))</f>
        <v/>
      </c>
      <c r="G279" s="11">
        <f>IF($A279="","",COUNTIFS(tblPCSInput[Call Date/Time],"&gt;="&amp;(SETUP!$B$5),tblPCSInput[Call Date/Time],"&lt;"&amp;(SETUP!$B$5+1),tblPCSInput[Call Direction],"I",tblPCSInput[Agent ID],$A279,tblPCSInput[Question 1],"&lt;&gt;"))</f>
        <v/>
      </c>
      <c r="H279" s="11">
        <f>IF($A279="","",COUNTIFS(tblPCSInput[Call Date/Time],"&gt;="&amp;(SETUP!$B$5),tblPCSInput[Call Date/Time],"&lt;"&amp;(SETUP!$B$5+1),tblPCSInput[Call Direction],"I",tblPCSInput[Agent ID],$A279,tblPCSInput[Valid Q1],"&gt;=1"))</f>
        <v/>
      </c>
      <c r="I279" s="12">
        <f>IFERROR(SUMIFS(tblPCSInput[Valid Q1],tblPCSInput[Call Date/Time],"&gt;="&amp;SETUP!$B$5,tblPCSInput[Call Date/Time],"&lt;"&amp;SETUP!$B$5+1,tblPCSInput[Call Direction],"I",tblPCSInput[Agent ID],$A279)/COUNTIFS(tblPCSInput[Call Date/Time],"&gt;="&amp;(SETUP!$B$5),tblPCSInput[Call Date/Time],"&lt;"&amp;(SETUP!$B$5+1),tblPCSInput[Call Direction],"I",tblPCSInput[Agent ID],$A279,tblPCSInput[Valid Q1],"&gt;=1"),"")</f>
        <v/>
      </c>
      <c r="J279" s="11">
        <f>IF(I279="","",COUNTIFS(tblPCSInput[Call Date/Time],"&gt;="&amp;(SETUP!$B$5),tblPCSInput[Call Date/Time],"&lt;"&amp;(SETUP!$B$5+1),tblPCSInput[Call Direction],"I",tblPCSInput[Agent ID],$A279,tblPCSInput[Valid Q1],"&lt;=3",tblPCSInput[Valid Q1],"&gt;=1"))</f>
        <v/>
      </c>
      <c r="K279" s="11">
        <f>IF(I279="","",COUNTIFS(tblPCSInput[Call Date/Time],"&gt;="&amp;(SETUP!$B$5),tblPCSInput[Call Date/Time],"&lt;"&amp;(SETUP!$B$5+1),tblPCSInput[Call Direction],"I",tblPCSInput[Agent ID],$A279,tblPCSInput[Valid Q1],"&gt;3"))</f>
        <v/>
      </c>
      <c r="L279" s="13">
        <f>IFERROR(G279/F279,"")</f>
        <v/>
      </c>
      <c r="M279" s="13">
        <f>IFERROR(H279/F279,"")</f>
        <v/>
      </c>
      <c r="N279" s="11">
        <f>IF($A279="","",MAX(0,G279-H279))</f>
        <v/>
      </c>
      <c r="O279" s="4">
        <f>IF($A279="","",IF(H279=0,"NO VALID SURVEY",IF(H279&lt;5,"LOW SAMPLE","OK")))</f>
        <v/>
      </c>
      <c r="P279" s="11">
        <f>IF($A279="","",COUNTIFS(tblPCSInput[Call Date/Time],"&gt;="&amp;(SETUP!$B$6),tblPCSInput[Call Date/Time],"&lt;"&amp;(SETUP!$B$7),tblPCSInput[Call Direction],"I",tblPCSInput[Agent ID],$A279,tblPCSInput[PCSStatus],1))</f>
        <v/>
      </c>
      <c r="Q279" s="11">
        <f>IF($A279="","",COUNTIFS(tblPCSInput[Call Date/Time],"&gt;="&amp;(SETUP!$B$6),tblPCSInput[Call Date/Time],"&lt;"&amp;(SETUP!$B$7),tblPCSInput[Call Direction],"I",tblPCSInput[Agent ID],$A279,tblPCSInput[Question 1],"&lt;&gt;"))</f>
        <v/>
      </c>
      <c r="R279" s="11">
        <f>IF($A279="","",COUNTIFS(tblPCSInput[Call Date/Time],"&gt;="&amp;(SETUP!$B$6),tblPCSInput[Call Date/Time],"&lt;"&amp;(SETUP!$B$7),tblPCSInput[Call Direction],"I",tblPCSInput[Agent ID],$A279,tblPCSInput[Valid Q1],"&gt;=1"))</f>
        <v/>
      </c>
      <c r="S279" s="12">
        <f>IFERROR(SUMIFS(tblPCSInput[Valid Q1],tblPCSInput[Call Date/Time],"&gt;="&amp;SETUP!$B$6,tblPCSInput[Call Date/Time],"&lt;"&amp;SETUP!$B$7,tblPCSInput[Call Direction],"I",tblPCSInput[Agent ID],$A279)/COUNTIFS(tblPCSInput[Call Date/Time],"&gt;="&amp;(SETUP!$B$6),tblPCSInput[Call Date/Time],"&lt;"&amp;(SETUP!$B$7),tblPCSInput[Call Direction],"I",tblPCSInput[Agent ID],$A279,tblPCSInput[Valid Q1],"&gt;=1"),"")</f>
        <v/>
      </c>
      <c r="T279" s="11">
        <f>IF(S279="","",COUNTIFS(tblPCSInput[Call Date/Time],"&gt;="&amp;(SETUP!$B$6),tblPCSInput[Call Date/Time],"&lt;"&amp;(SETUP!$B$7),tblPCSInput[Call Direction],"I",tblPCSInput[Agent ID],$A279,tblPCSInput[Valid Q1],"&lt;=3",tblPCSInput[Valid Q1],"&gt;=1"))</f>
        <v/>
      </c>
      <c r="U279" s="11">
        <f>IF(S279="","",COUNTIFS(tblPCSInput[Call Date/Time],"&gt;="&amp;(SETUP!$B$6),tblPCSInput[Call Date/Time],"&lt;"&amp;(SETUP!$B$7),tblPCSInput[Call Direction],"I",tblPCSInput[Agent ID],$A279,tblPCSInput[Valid Q1],"&gt;3"))</f>
        <v/>
      </c>
      <c r="V279" s="13">
        <f>IFERROR(Q279/P279,"")</f>
        <v/>
      </c>
      <c r="W279" s="13">
        <f>IFERROR(R279/P279,"")</f>
        <v/>
      </c>
    </row>
    <row r="280" spans="1:23">
      <c r="A280" s="4">
        <f>IF(ROSTER!A280="","",ROSTER!A280)</f>
        <v/>
      </c>
      <c r="B280" s="4">
        <f>IF($A280="","",ROSTER!C280)</f>
        <v/>
      </c>
      <c r="C280" s="4">
        <f>IF($A280="","",ROSTER!D280)</f>
        <v/>
      </c>
      <c r="D280" s="4">
        <f>IF($A280="","",ROSTER!E280)</f>
        <v/>
      </c>
      <c r="E280" s="4">
        <f>IF($A280="","",ROSTER!F280)</f>
        <v/>
      </c>
      <c r="F280" s="11">
        <f>IF($A280="","",COUNTIFS(tblPCSInput[Call Date/Time],"&gt;="&amp;(SETUP!$B$5),tblPCSInput[Call Date/Time],"&lt;"&amp;(SETUP!$B$5+1),tblPCSInput[Call Direction],"I",tblPCSInput[Agent ID],$A280,tblPCSInput[PCSStatus],1))</f>
        <v/>
      </c>
      <c r="G280" s="11">
        <f>IF($A280="","",COUNTIFS(tblPCSInput[Call Date/Time],"&gt;="&amp;(SETUP!$B$5),tblPCSInput[Call Date/Time],"&lt;"&amp;(SETUP!$B$5+1),tblPCSInput[Call Direction],"I",tblPCSInput[Agent ID],$A280,tblPCSInput[Question 1],"&lt;&gt;"))</f>
        <v/>
      </c>
      <c r="H280" s="11">
        <f>IF($A280="","",COUNTIFS(tblPCSInput[Call Date/Time],"&gt;="&amp;(SETUP!$B$5),tblPCSInput[Call Date/Time],"&lt;"&amp;(SETUP!$B$5+1),tblPCSInput[Call Direction],"I",tblPCSInput[Agent ID],$A280,tblPCSInput[Valid Q1],"&gt;=1"))</f>
        <v/>
      </c>
      <c r="I280" s="12">
        <f>IFERROR(SUMIFS(tblPCSInput[Valid Q1],tblPCSInput[Call Date/Time],"&gt;="&amp;SETUP!$B$5,tblPCSInput[Call Date/Time],"&lt;"&amp;SETUP!$B$5+1,tblPCSInput[Call Direction],"I",tblPCSInput[Agent ID],$A280)/COUNTIFS(tblPCSInput[Call Date/Time],"&gt;="&amp;(SETUP!$B$5),tblPCSInput[Call Date/Time],"&lt;"&amp;(SETUP!$B$5+1),tblPCSInput[Call Direction],"I",tblPCSInput[Agent ID],$A280,tblPCSInput[Valid Q1],"&gt;=1"),"")</f>
        <v/>
      </c>
      <c r="J280" s="11">
        <f>IF(I280="","",COUNTIFS(tblPCSInput[Call Date/Time],"&gt;="&amp;(SETUP!$B$5),tblPCSInput[Call Date/Time],"&lt;"&amp;(SETUP!$B$5+1),tblPCSInput[Call Direction],"I",tblPCSInput[Agent ID],$A280,tblPCSInput[Valid Q1],"&lt;=3",tblPCSInput[Valid Q1],"&gt;=1"))</f>
        <v/>
      </c>
      <c r="K280" s="11">
        <f>IF(I280="","",COUNTIFS(tblPCSInput[Call Date/Time],"&gt;="&amp;(SETUP!$B$5),tblPCSInput[Call Date/Time],"&lt;"&amp;(SETUP!$B$5+1),tblPCSInput[Call Direction],"I",tblPCSInput[Agent ID],$A280,tblPCSInput[Valid Q1],"&gt;3"))</f>
        <v/>
      </c>
      <c r="L280" s="13">
        <f>IFERROR(G280/F280,"")</f>
        <v/>
      </c>
      <c r="M280" s="13">
        <f>IFERROR(H280/F280,"")</f>
        <v/>
      </c>
      <c r="N280" s="11">
        <f>IF($A280="","",MAX(0,G280-H280))</f>
        <v/>
      </c>
      <c r="O280" s="4">
        <f>IF($A280="","",IF(H280=0,"NO VALID SURVEY",IF(H280&lt;5,"LOW SAMPLE","OK")))</f>
        <v/>
      </c>
      <c r="P280" s="11">
        <f>IF($A280="","",COUNTIFS(tblPCSInput[Call Date/Time],"&gt;="&amp;(SETUP!$B$6),tblPCSInput[Call Date/Time],"&lt;"&amp;(SETUP!$B$7),tblPCSInput[Call Direction],"I",tblPCSInput[Agent ID],$A280,tblPCSInput[PCSStatus],1))</f>
        <v/>
      </c>
      <c r="Q280" s="11">
        <f>IF($A280="","",COUNTIFS(tblPCSInput[Call Date/Time],"&gt;="&amp;(SETUP!$B$6),tblPCSInput[Call Date/Time],"&lt;"&amp;(SETUP!$B$7),tblPCSInput[Call Direction],"I",tblPCSInput[Agent ID],$A280,tblPCSInput[Question 1],"&lt;&gt;"))</f>
        <v/>
      </c>
      <c r="R280" s="11">
        <f>IF($A280="","",COUNTIFS(tblPCSInput[Call Date/Time],"&gt;="&amp;(SETUP!$B$6),tblPCSInput[Call Date/Time],"&lt;"&amp;(SETUP!$B$7),tblPCSInput[Call Direction],"I",tblPCSInput[Agent ID],$A280,tblPCSInput[Valid Q1],"&gt;=1"))</f>
        <v/>
      </c>
      <c r="S280" s="12">
        <f>IFERROR(SUMIFS(tblPCSInput[Valid Q1],tblPCSInput[Call Date/Time],"&gt;="&amp;SETUP!$B$6,tblPCSInput[Call Date/Time],"&lt;"&amp;SETUP!$B$7,tblPCSInput[Call Direction],"I",tblPCSInput[Agent ID],$A280)/COUNTIFS(tblPCSInput[Call Date/Time],"&gt;="&amp;(SETUP!$B$6),tblPCSInput[Call Date/Time],"&lt;"&amp;(SETUP!$B$7),tblPCSInput[Call Direction],"I",tblPCSInput[Agent ID],$A280,tblPCSInput[Valid Q1],"&gt;=1"),"")</f>
        <v/>
      </c>
      <c r="T280" s="11">
        <f>IF(S280="","",COUNTIFS(tblPCSInput[Call Date/Time],"&gt;="&amp;(SETUP!$B$6),tblPCSInput[Call Date/Time],"&lt;"&amp;(SETUP!$B$7),tblPCSInput[Call Direction],"I",tblPCSInput[Agent ID],$A280,tblPCSInput[Valid Q1],"&lt;=3",tblPCSInput[Valid Q1],"&gt;=1"))</f>
        <v/>
      </c>
      <c r="U280" s="11">
        <f>IF(S280="","",COUNTIFS(tblPCSInput[Call Date/Time],"&gt;="&amp;(SETUP!$B$6),tblPCSInput[Call Date/Time],"&lt;"&amp;(SETUP!$B$7),tblPCSInput[Call Direction],"I",tblPCSInput[Agent ID],$A280,tblPCSInput[Valid Q1],"&gt;3"))</f>
        <v/>
      </c>
      <c r="V280" s="13">
        <f>IFERROR(Q280/P280,"")</f>
        <v/>
      </c>
      <c r="W280" s="13">
        <f>IFERROR(R280/P280,"")</f>
        <v/>
      </c>
    </row>
    <row r="281" spans="1:23">
      <c r="A281" s="4">
        <f>IF(ROSTER!A281="","",ROSTER!A281)</f>
        <v/>
      </c>
      <c r="B281" s="4">
        <f>IF($A281="","",ROSTER!C281)</f>
        <v/>
      </c>
      <c r="C281" s="4">
        <f>IF($A281="","",ROSTER!D281)</f>
        <v/>
      </c>
      <c r="D281" s="4">
        <f>IF($A281="","",ROSTER!E281)</f>
        <v/>
      </c>
      <c r="E281" s="4">
        <f>IF($A281="","",ROSTER!F281)</f>
        <v/>
      </c>
      <c r="F281" s="11">
        <f>IF($A281="","",COUNTIFS(tblPCSInput[Call Date/Time],"&gt;="&amp;(SETUP!$B$5),tblPCSInput[Call Date/Time],"&lt;"&amp;(SETUP!$B$5+1),tblPCSInput[Call Direction],"I",tblPCSInput[Agent ID],$A281,tblPCSInput[PCSStatus],1))</f>
        <v/>
      </c>
      <c r="G281" s="11">
        <f>IF($A281="","",COUNTIFS(tblPCSInput[Call Date/Time],"&gt;="&amp;(SETUP!$B$5),tblPCSInput[Call Date/Time],"&lt;"&amp;(SETUP!$B$5+1),tblPCSInput[Call Direction],"I",tblPCSInput[Agent ID],$A281,tblPCSInput[Question 1],"&lt;&gt;"))</f>
        <v/>
      </c>
      <c r="H281" s="11">
        <f>IF($A281="","",COUNTIFS(tblPCSInput[Call Date/Time],"&gt;="&amp;(SETUP!$B$5),tblPCSInput[Call Date/Time],"&lt;"&amp;(SETUP!$B$5+1),tblPCSInput[Call Direction],"I",tblPCSInput[Agent ID],$A281,tblPCSInput[Valid Q1],"&gt;=1"))</f>
        <v/>
      </c>
      <c r="I281" s="12">
        <f>IFERROR(SUMIFS(tblPCSInput[Valid Q1],tblPCSInput[Call Date/Time],"&gt;="&amp;SETUP!$B$5,tblPCSInput[Call Date/Time],"&lt;"&amp;SETUP!$B$5+1,tblPCSInput[Call Direction],"I",tblPCSInput[Agent ID],$A281)/COUNTIFS(tblPCSInput[Call Date/Time],"&gt;="&amp;(SETUP!$B$5),tblPCSInput[Call Date/Time],"&lt;"&amp;(SETUP!$B$5+1),tblPCSInput[Call Direction],"I",tblPCSInput[Agent ID],$A281,tblPCSInput[Valid Q1],"&gt;=1"),"")</f>
        <v/>
      </c>
      <c r="J281" s="11">
        <f>IF(I281="","",COUNTIFS(tblPCSInput[Call Date/Time],"&gt;="&amp;(SETUP!$B$5),tblPCSInput[Call Date/Time],"&lt;"&amp;(SETUP!$B$5+1),tblPCSInput[Call Direction],"I",tblPCSInput[Agent ID],$A281,tblPCSInput[Valid Q1],"&lt;=3",tblPCSInput[Valid Q1],"&gt;=1"))</f>
        <v/>
      </c>
      <c r="K281" s="11">
        <f>IF(I281="","",COUNTIFS(tblPCSInput[Call Date/Time],"&gt;="&amp;(SETUP!$B$5),tblPCSInput[Call Date/Time],"&lt;"&amp;(SETUP!$B$5+1),tblPCSInput[Call Direction],"I",tblPCSInput[Agent ID],$A281,tblPCSInput[Valid Q1],"&gt;3"))</f>
        <v/>
      </c>
      <c r="L281" s="13">
        <f>IFERROR(G281/F281,"")</f>
        <v/>
      </c>
      <c r="M281" s="13">
        <f>IFERROR(H281/F281,"")</f>
        <v/>
      </c>
      <c r="N281" s="11">
        <f>IF($A281="","",MAX(0,G281-H281))</f>
        <v/>
      </c>
      <c r="O281" s="4">
        <f>IF($A281="","",IF(H281=0,"NO VALID SURVEY",IF(H281&lt;5,"LOW SAMPLE","OK")))</f>
        <v/>
      </c>
      <c r="P281" s="11">
        <f>IF($A281="","",COUNTIFS(tblPCSInput[Call Date/Time],"&gt;="&amp;(SETUP!$B$6),tblPCSInput[Call Date/Time],"&lt;"&amp;(SETUP!$B$7),tblPCSInput[Call Direction],"I",tblPCSInput[Agent ID],$A281,tblPCSInput[PCSStatus],1))</f>
        <v/>
      </c>
      <c r="Q281" s="11">
        <f>IF($A281="","",COUNTIFS(tblPCSInput[Call Date/Time],"&gt;="&amp;(SETUP!$B$6),tblPCSInput[Call Date/Time],"&lt;"&amp;(SETUP!$B$7),tblPCSInput[Call Direction],"I",tblPCSInput[Agent ID],$A281,tblPCSInput[Question 1],"&lt;&gt;"))</f>
        <v/>
      </c>
      <c r="R281" s="11">
        <f>IF($A281="","",COUNTIFS(tblPCSInput[Call Date/Time],"&gt;="&amp;(SETUP!$B$6),tblPCSInput[Call Date/Time],"&lt;"&amp;(SETUP!$B$7),tblPCSInput[Call Direction],"I",tblPCSInput[Agent ID],$A281,tblPCSInput[Valid Q1],"&gt;=1"))</f>
        <v/>
      </c>
      <c r="S281" s="12">
        <f>IFERROR(SUMIFS(tblPCSInput[Valid Q1],tblPCSInput[Call Date/Time],"&gt;="&amp;SETUP!$B$6,tblPCSInput[Call Date/Time],"&lt;"&amp;SETUP!$B$7,tblPCSInput[Call Direction],"I",tblPCSInput[Agent ID],$A281)/COUNTIFS(tblPCSInput[Call Date/Time],"&gt;="&amp;(SETUP!$B$6),tblPCSInput[Call Date/Time],"&lt;"&amp;(SETUP!$B$7),tblPCSInput[Call Direction],"I",tblPCSInput[Agent ID],$A281,tblPCSInput[Valid Q1],"&gt;=1"),"")</f>
        <v/>
      </c>
      <c r="T281" s="11">
        <f>IF(S281="","",COUNTIFS(tblPCSInput[Call Date/Time],"&gt;="&amp;(SETUP!$B$6),tblPCSInput[Call Date/Time],"&lt;"&amp;(SETUP!$B$7),tblPCSInput[Call Direction],"I",tblPCSInput[Agent ID],$A281,tblPCSInput[Valid Q1],"&lt;=3",tblPCSInput[Valid Q1],"&gt;=1"))</f>
        <v/>
      </c>
      <c r="U281" s="11">
        <f>IF(S281="","",COUNTIFS(tblPCSInput[Call Date/Time],"&gt;="&amp;(SETUP!$B$6),tblPCSInput[Call Date/Time],"&lt;"&amp;(SETUP!$B$7),tblPCSInput[Call Direction],"I",tblPCSInput[Agent ID],$A281,tblPCSInput[Valid Q1],"&gt;3"))</f>
        <v/>
      </c>
      <c r="V281" s="13">
        <f>IFERROR(Q281/P281,"")</f>
        <v/>
      </c>
      <c r="W281" s="13">
        <f>IFERROR(R281/P281,"")</f>
        <v/>
      </c>
    </row>
    <row r="282" spans="1:23">
      <c r="A282" s="4">
        <f>IF(ROSTER!A282="","",ROSTER!A282)</f>
        <v/>
      </c>
      <c r="B282" s="4">
        <f>IF($A282="","",ROSTER!C282)</f>
        <v/>
      </c>
      <c r="C282" s="4">
        <f>IF($A282="","",ROSTER!D282)</f>
        <v/>
      </c>
      <c r="D282" s="4">
        <f>IF($A282="","",ROSTER!E282)</f>
        <v/>
      </c>
      <c r="E282" s="4">
        <f>IF($A282="","",ROSTER!F282)</f>
        <v/>
      </c>
      <c r="F282" s="11">
        <f>IF($A282="","",COUNTIFS(tblPCSInput[Call Date/Time],"&gt;="&amp;(SETUP!$B$5),tblPCSInput[Call Date/Time],"&lt;"&amp;(SETUP!$B$5+1),tblPCSInput[Call Direction],"I",tblPCSInput[Agent ID],$A282,tblPCSInput[PCSStatus],1))</f>
        <v/>
      </c>
      <c r="G282" s="11">
        <f>IF($A282="","",COUNTIFS(tblPCSInput[Call Date/Time],"&gt;="&amp;(SETUP!$B$5),tblPCSInput[Call Date/Time],"&lt;"&amp;(SETUP!$B$5+1),tblPCSInput[Call Direction],"I",tblPCSInput[Agent ID],$A282,tblPCSInput[Question 1],"&lt;&gt;"))</f>
        <v/>
      </c>
      <c r="H282" s="11">
        <f>IF($A282="","",COUNTIFS(tblPCSInput[Call Date/Time],"&gt;="&amp;(SETUP!$B$5),tblPCSInput[Call Date/Time],"&lt;"&amp;(SETUP!$B$5+1),tblPCSInput[Call Direction],"I",tblPCSInput[Agent ID],$A282,tblPCSInput[Valid Q1],"&gt;=1"))</f>
        <v/>
      </c>
      <c r="I282" s="12">
        <f>IFERROR(SUMIFS(tblPCSInput[Valid Q1],tblPCSInput[Call Date/Time],"&gt;="&amp;SETUP!$B$5,tblPCSInput[Call Date/Time],"&lt;"&amp;SETUP!$B$5+1,tblPCSInput[Call Direction],"I",tblPCSInput[Agent ID],$A282)/COUNTIFS(tblPCSInput[Call Date/Time],"&gt;="&amp;(SETUP!$B$5),tblPCSInput[Call Date/Time],"&lt;"&amp;(SETUP!$B$5+1),tblPCSInput[Call Direction],"I",tblPCSInput[Agent ID],$A282,tblPCSInput[Valid Q1],"&gt;=1"),"")</f>
        <v/>
      </c>
      <c r="J282" s="11">
        <f>IF(I282="","",COUNTIFS(tblPCSInput[Call Date/Time],"&gt;="&amp;(SETUP!$B$5),tblPCSInput[Call Date/Time],"&lt;"&amp;(SETUP!$B$5+1),tblPCSInput[Call Direction],"I",tblPCSInput[Agent ID],$A282,tblPCSInput[Valid Q1],"&lt;=3",tblPCSInput[Valid Q1],"&gt;=1"))</f>
        <v/>
      </c>
      <c r="K282" s="11">
        <f>IF(I282="","",COUNTIFS(tblPCSInput[Call Date/Time],"&gt;="&amp;(SETUP!$B$5),tblPCSInput[Call Date/Time],"&lt;"&amp;(SETUP!$B$5+1),tblPCSInput[Call Direction],"I",tblPCSInput[Agent ID],$A282,tblPCSInput[Valid Q1],"&gt;3"))</f>
        <v/>
      </c>
      <c r="L282" s="13">
        <f>IFERROR(G282/F282,"")</f>
        <v/>
      </c>
      <c r="M282" s="13">
        <f>IFERROR(H282/F282,"")</f>
        <v/>
      </c>
      <c r="N282" s="11">
        <f>IF($A282="","",MAX(0,G282-H282))</f>
        <v/>
      </c>
      <c r="O282" s="4">
        <f>IF($A282="","",IF(H282=0,"NO VALID SURVEY",IF(H282&lt;5,"LOW SAMPLE","OK")))</f>
        <v/>
      </c>
      <c r="P282" s="11">
        <f>IF($A282="","",COUNTIFS(tblPCSInput[Call Date/Time],"&gt;="&amp;(SETUP!$B$6),tblPCSInput[Call Date/Time],"&lt;"&amp;(SETUP!$B$7),tblPCSInput[Call Direction],"I",tblPCSInput[Agent ID],$A282,tblPCSInput[PCSStatus],1))</f>
        <v/>
      </c>
      <c r="Q282" s="11">
        <f>IF($A282="","",COUNTIFS(tblPCSInput[Call Date/Time],"&gt;="&amp;(SETUP!$B$6),tblPCSInput[Call Date/Time],"&lt;"&amp;(SETUP!$B$7),tblPCSInput[Call Direction],"I",tblPCSInput[Agent ID],$A282,tblPCSInput[Question 1],"&lt;&gt;"))</f>
        <v/>
      </c>
      <c r="R282" s="11">
        <f>IF($A282="","",COUNTIFS(tblPCSInput[Call Date/Time],"&gt;="&amp;(SETUP!$B$6),tblPCSInput[Call Date/Time],"&lt;"&amp;(SETUP!$B$7),tblPCSInput[Call Direction],"I",tblPCSInput[Agent ID],$A282,tblPCSInput[Valid Q1],"&gt;=1"))</f>
        <v/>
      </c>
      <c r="S282" s="12">
        <f>IFERROR(SUMIFS(tblPCSInput[Valid Q1],tblPCSInput[Call Date/Time],"&gt;="&amp;SETUP!$B$6,tblPCSInput[Call Date/Time],"&lt;"&amp;SETUP!$B$7,tblPCSInput[Call Direction],"I",tblPCSInput[Agent ID],$A282)/COUNTIFS(tblPCSInput[Call Date/Time],"&gt;="&amp;(SETUP!$B$6),tblPCSInput[Call Date/Time],"&lt;"&amp;(SETUP!$B$7),tblPCSInput[Call Direction],"I",tblPCSInput[Agent ID],$A282,tblPCSInput[Valid Q1],"&gt;=1"),"")</f>
        <v/>
      </c>
      <c r="T282" s="11">
        <f>IF(S282="","",COUNTIFS(tblPCSInput[Call Date/Time],"&gt;="&amp;(SETUP!$B$6),tblPCSInput[Call Date/Time],"&lt;"&amp;(SETUP!$B$7),tblPCSInput[Call Direction],"I",tblPCSInput[Agent ID],$A282,tblPCSInput[Valid Q1],"&lt;=3",tblPCSInput[Valid Q1],"&gt;=1"))</f>
        <v/>
      </c>
      <c r="U282" s="11">
        <f>IF(S282="","",COUNTIFS(tblPCSInput[Call Date/Time],"&gt;="&amp;(SETUP!$B$6),tblPCSInput[Call Date/Time],"&lt;"&amp;(SETUP!$B$7),tblPCSInput[Call Direction],"I",tblPCSInput[Agent ID],$A282,tblPCSInput[Valid Q1],"&gt;3"))</f>
        <v/>
      </c>
      <c r="V282" s="13">
        <f>IFERROR(Q282/P282,"")</f>
        <v/>
      </c>
      <c r="W282" s="13">
        <f>IFERROR(R282/P282,"")</f>
        <v/>
      </c>
    </row>
    <row r="283" spans="1:23">
      <c r="A283" s="4">
        <f>IF(ROSTER!A283="","",ROSTER!A283)</f>
        <v/>
      </c>
      <c r="B283" s="4">
        <f>IF($A283="","",ROSTER!C283)</f>
        <v/>
      </c>
      <c r="C283" s="4">
        <f>IF($A283="","",ROSTER!D283)</f>
        <v/>
      </c>
      <c r="D283" s="4">
        <f>IF($A283="","",ROSTER!E283)</f>
        <v/>
      </c>
      <c r="E283" s="4">
        <f>IF($A283="","",ROSTER!F283)</f>
        <v/>
      </c>
      <c r="F283" s="11">
        <f>IF($A283="","",COUNTIFS(tblPCSInput[Call Date/Time],"&gt;="&amp;(SETUP!$B$5),tblPCSInput[Call Date/Time],"&lt;"&amp;(SETUP!$B$5+1),tblPCSInput[Call Direction],"I",tblPCSInput[Agent ID],$A283,tblPCSInput[PCSStatus],1))</f>
        <v/>
      </c>
      <c r="G283" s="11">
        <f>IF($A283="","",COUNTIFS(tblPCSInput[Call Date/Time],"&gt;="&amp;(SETUP!$B$5),tblPCSInput[Call Date/Time],"&lt;"&amp;(SETUP!$B$5+1),tblPCSInput[Call Direction],"I",tblPCSInput[Agent ID],$A283,tblPCSInput[Question 1],"&lt;&gt;"))</f>
        <v/>
      </c>
      <c r="H283" s="11">
        <f>IF($A283="","",COUNTIFS(tblPCSInput[Call Date/Time],"&gt;="&amp;(SETUP!$B$5),tblPCSInput[Call Date/Time],"&lt;"&amp;(SETUP!$B$5+1),tblPCSInput[Call Direction],"I",tblPCSInput[Agent ID],$A283,tblPCSInput[Valid Q1],"&gt;=1"))</f>
        <v/>
      </c>
      <c r="I283" s="12">
        <f>IFERROR(SUMIFS(tblPCSInput[Valid Q1],tblPCSInput[Call Date/Time],"&gt;="&amp;SETUP!$B$5,tblPCSInput[Call Date/Time],"&lt;"&amp;SETUP!$B$5+1,tblPCSInput[Call Direction],"I",tblPCSInput[Agent ID],$A283)/COUNTIFS(tblPCSInput[Call Date/Time],"&gt;="&amp;(SETUP!$B$5),tblPCSInput[Call Date/Time],"&lt;"&amp;(SETUP!$B$5+1),tblPCSInput[Call Direction],"I",tblPCSInput[Agent ID],$A283,tblPCSInput[Valid Q1],"&gt;=1"),"")</f>
        <v/>
      </c>
      <c r="J283" s="11">
        <f>IF(I283="","",COUNTIFS(tblPCSInput[Call Date/Time],"&gt;="&amp;(SETUP!$B$5),tblPCSInput[Call Date/Time],"&lt;"&amp;(SETUP!$B$5+1),tblPCSInput[Call Direction],"I",tblPCSInput[Agent ID],$A283,tblPCSInput[Valid Q1],"&lt;=3",tblPCSInput[Valid Q1],"&gt;=1"))</f>
        <v/>
      </c>
      <c r="K283" s="11">
        <f>IF(I283="","",COUNTIFS(tblPCSInput[Call Date/Time],"&gt;="&amp;(SETUP!$B$5),tblPCSInput[Call Date/Time],"&lt;"&amp;(SETUP!$B$5+1),tblPCSInput[Call Direction],"I",tblPCSInput[Agent ID],$A283,tblPCSInput[Valid Q1],"&gt;3"))</f>
        <v/>
      </c>
      <c r="L283" s="13">
        <f>IFERROR(G283/F283,"")</f>
        <v/>
      </c>
      <c r="M283" s="13">
        <f>IFERROR(H283/F283,"")</f>
        <v/>
      </c>
      <c r="N283" s="11">
        <f>IF($A283="","",MAX(0,G283-H283))</f>
        <v/>
      </c>
      <c r="O283" s="4">
        <f>IF($A283="","",IF(H283=0,"NO VALID SURVEY",IF(H283&lt;5,"LOW SAMPLE","OK")))</f>
        <v/>
      </c>
      <c r="P283" s="11">
        <f>IF($A283="","",COUNTIFS(tblPCSInput[Call Date/Time],"&gt;="&amp;(SETUP!$B$6),tblPCSInput[Call Date/Time],"&lt;"&amp;(SETUP!$B$7),tblPCSInput[Call Direction],"I",tblPCSInput[Agent ID],$A283,tblPCSInput[PCSStatus],1))</f>
        <v/>
      </c>
      <c r="Q283" s="11">
        <f>IF($A283="","",COUNTIFS(tblPCSInput[Call Date/Time],"&gt;="&amp;(SETUP!$B$6),tblPCSInput[Call Date/Time],"&lt;"&amp;(SETUP!$B$7),tblPCSInput[Call Direction],"I",tblPCSInput[Agent ID],$A283,tblPCSInput[Question 1],"&lt;&gt;"))</f>
        <v/>
      </c>
      <c r="R283" s="11">
        <f>IF($A283="","",COUNTIFS(tblPCSInput[Call Date/Time],"&gt;="&amp;(SETUP!$B$6),tblPCSInput[Call Date/Time],"&lt;"&amp;(SETUP!$B$7),tblPCSInput[Call Direction],"I",tblPCSInput[Agent ID],$A283,tblPCSInput[Valid Q1],"&gt;=1"))</f>
        <v/>
      </c>
      <c r="S283" s="12">
        <f>IFERROR(SUMIFS(tblPCSInput[Valid Q1],tblPCSInput[Call Date/Time],"&gt;="&amp;SETUP!$B$6,tblPCSInput[Call Date/Time],"&lt;"&amp;SETUP!$B$7,tblPCSInput[Call Direction],"I",tblPCSInput[Agent ID],$A283)/COUNTIFS(tblPCSInput[Call Date/Time],"&gt;="&amp;(SETUP!$B$6),tblPCSInput[Call Date/Time],"&lt;"&amp;(SETUP!$B$7),tblPCSInput[Call Direction],"I",tblPCSInput[Agent ID],$A283,tblPCSInput[Valid Q1],"&gt;=1"),"")</f>
        <v/>
      </c>
      <c r="T283" s="11">
        <f>IF(S283="","",COUNTIFS(tblPCSInput[Call Date/Time],"&gt;="&amp;(SETUP!$B$6),tblPCSInput[Call Date/Time],"&lt;"&amp;(SETUP!$B$7),tblPCSInput[Call Direction],"I",tblPCSInput[Agent ID],$A283,tblPCSInput[Valid Q1],"&lt;=3",tblPCSInput[Valid Q1],"&gt;=1"))</f>
        <v/>
      </c>
      <c r="U283" s="11">
        <f>IF(S283="","",COUNTIFS(tblPCSInput[Call Date/Time],"&gt;="&amp;(SETUP!$B$6),tblPCSInput[Call Date/Time],"&lt;"&amp;(SETUP!$B$7),tblPCSInput[Call Direction],"I",tblPCSInput[Agent ID],$A283,tblPCSInput[Valid Q1],"&gt;3"))</f>
        <v/>
      </c>
      <c r="V283" s="13">
        <f>IFERROR(Q283/P283,"")</f>
        <v/>
      </c>
      <c r="W283" s="13">
        <f>IFERROR(R283/P283,"")</f>
        <v/>
      </c>
    </row>
    <row r="284" spans="1:23">
      <c r="A284" s="4">
        <f>IF(ROSTER!A284="","",ROSTER!A284)</f>
        <v/>
      </c>
      <c r="B284" s="4">
        <f>IF($A284="","",ROSTER!C284)</f>
        <v/>
      </c>
      <c r="C284" s="4">
        <f>IF($A284="","",ROSTER!D284)</f>
        <v/>
      </c>
      <c r="D284" s="4">
        <f>IF($A284="","",ROSTER!E284)</f>
        <v/>
      </c>
      <c r="E284" s="4">
        <f>IF($A284="","",ROSTER!F284)</f>
        <v/>
      </c>
      <c r="F284" s="11">
        <f>IF($A284="","",COUNTIFS(tblPCSInput[Call Date/Time],"&gt;="&amp;(SETUP!$B$5),tblPCSInput[Call Date/Time],"&lt;"&amp;(SETUP!$B$5+1),tblPCSInput[Call Direction],"I",tblPCSInput[Agent ID],$A284,tblPCSInput[PCSStatus],1))</f>
        <v/>
      </c>
      <c r="G284" s="11">
        <f>IF($A284="","",COUNTIFS(tblPCSInput[Call Date/Time],"&gt;="&amp;(SETUP!$B$5),tblPCSInput[Call Date/Time],"&lt;"&amp;(SETUP!$B$5+1),tblPCSInput[Call Direction],"I",tblPCSInput[Agent ID],$A284,tblPCSInput[Question 1],"&lt;&gt;"))</f>
        <v/>
      </c>
      <c r="H284" s="11">
        <f>IF($A284="","",COUNTIFS(tblPCSInput[Call Date/Time],"&gt;="&amp;(SETUP!$B$5),tblPCSInput[Call Date/Time],"&lt;"&amp;(SETUP!$B$5+1),tblPCSInput[Call Direction],"I",tblPCSInput[Agent ID],$A284,tblPCSInput[Valid Q1],"&gt;=1"))</f>
        <v/>
      </c>
      <c r="I284" s="12">
        <f>IFERROR(SUMIFS(tblPCSInput[Valid Q1],tblPCSInput[Call Date/Time],"&gt;="&amp;SETUP!$B$5,tblPCSInput[Call Date/Time],"&lt;"&amp;SETUP!$B$5+1,tblPCSInput[Call Direction],"I",tblPCSInput[Agent ID],$A284)/COUNTIFS(tblPCSInput[Call Date/Time],"&gt;="&amp;(SETUP!$B$5),tblPCSInput[Call Date/Time],"&lt;"&amp;(SETUP!$B$5+1),tblPCSInput[Call Direction],"I",tblPCSInput[Agent ID],$A284,tblPCSInput[Valid Q1],"&gt;=1"),"")</f>
        <v/>
      </c>
      <c r="J284" s="11">
        <f>IF(I284="","",COUNTIFS(tblPCSInput[Call Date/Time],"&gt;="&amp;(SETUP!$B$5),tblPCSInput[Call Date/Time],"&lt;"&amp;(SETUP!$B$5+1),tblPCSInput[Call Direction],"I",tblPCSInput[Agent ID],$A284,tblPCSInput[Valid Q1],"&lt;=3",tblPCSInput[Valid Q1],"&gt;=1"))</f>
        <v/>
      </c>
      <c r="K284" s="11">
        <f>IF(I284="","",COUNTIFS(tblPCSInput[Call Date/Time],"&gt;="&amp;(SETUP!$B$5),tblPCSInput[Call Date/Time],"&lt;"&amp;(SETUP!$B$5+1),tblPCSInput[Call Direction],"I",tblPCSInput[Agent ID],$A284,tblPCSInput[Valid Q1],"&gt;3"))</f>
        <v/>
      </c>
      <c r="L284" s="13">
        <f>IFERROR(G284/F284,"")</f>
        <v/>
      </c>
      <c r="M284" s="13">
        <f>IFERROR(H284/F284,"")</f>
        <v/>
      </c>
      <c r="N284" s="11">
        <f>IF($A284="","",MAX(0,G284-H284))</f>
        <v/>
      </c>
      <c r="O284" s="4">
        <f>IF($A284="","",IF(H284=0,"NO VALID SURVEY",IF(H284&lt;5,"LOW SAMPLE","OK")))</f>
        <v/>
      </c>
      <c r="P284" s="11">
        <f>IF($A284="","",COUNTIFS(tblPCSInput[Call Date/Time],"&gt;="&amp;(SETUP!$B$6),tblPCSInput[Call Date/Time],"&lt;"&amp;(SETUP!$B$7),tblPCSInput[Call Direction],"I",tblPCSInput[Agent ID],$A284,tblPCSInput[PCSStatus],1))</f>
        <v/>
      </c>
      <c r="Q284" s="11">
        <f>IF($A284="","",COUNTIFS(tblPCSInput[Call Date/Time],"&gt;="&amp;(SETUP!$B$6),tblPCSInput[Call Date/Time],"&lt;"&amp;(SETUP!$B$7),tblPCSInput[Call Direction],"I",tblPCSInput[Agent ID],$A284,tblPCSInput[Question 1],"&lt;&gt;"))</f>
        <v/>
      </c>
      <c r="R284" s="11">
        <f>IF($A284="","",COUNTIFS(tblPCSInput[Call Date/Time],"&gt;="&amp;(SETUP!$B$6),tblPCSInput[Call Date/Time],"&lt;"&amp;(SETUP!$B$7),tblPCSInput[Call Direction],"I",tblPCSInput[Agent ID],$A284,tblPCSInput[Valid Q1],"&gt;=1"))</f>
        <v/>
      </c>
      <c r="S284" s="12">
        <f>IFERROR(SUMIFS(tblPCSInput[Valid Q1],tblPCSInput[Call Date/Time],"&gt;="&amp;SETUP!$B$6,tblPCSInput[Call Date/Time],"&lt;"&amp;SETUP!$B$7,tblPCSInput[Call Direction],"I",tblPCSInput[Agent ID],$A284)/COUNTIFS(tblPCSInput[Call Date/Time],"&gt;="&amp;(SETUP!$B$6),tblPCSInput[Call Date/Time],"&lt;"&amp;(SETUP!$B$7),tblPCSInput[Call Direction],"I",tblPCSInput[Agent ID],$A284,tblPCSInput[Valid Q1],"&gt;=1"),"")</f>
        <v/>
      </c>
      <c r="T284" s="11">
        <f>IF(S284="","",COUNTIFS(tblPCSInput[Call Date/Time],"&gt;="&amp;(SETUP!$B$6),tblPCSInput[Call Date/Time],"&lt;"&amp;(SETUP!$B$7),tblPCSInput[Call Direction],"I",tblPCSInput[Agent ID],$A284,tblPCSInput[Valid Q1],"&lt;=3",tblPCSInput[Valid Q1],"&gt;=1"))</f>
        <v/>
      </c>
      <c r="U284" s="11">
        <f>IF(S284="","",COUNTIFS(tblPCSInput[Call Date/Time],"&gt;="&amp;(SETUP!$B$6),tblPCSInput[Call Date/Time],"&lt;"&amp;(SETUP!$B$7),tblPCSInput[Call Direction],"I",tblPCSInput[Agent ID],$A284,tblPCSInput[Valid Q1],"&gt;3"))</f>
        <v/>
      </c>
      <c r="V284" s="13">
        <f>IFERROR(Q284/P284,"")</f>
        <v/>
      </c>
      <c r="W284" s="13">
        <f>IFERROR(R284/P284,"")</f>
        <v/>
      </c>
    </row>
    <row r="285" spans="1:23">
      <c r="A285" s="4">
        <f>IF(ROSTER!A285="","",ROSTER!A285)</f>
        <v/>
      </c>
      <c r="B285" s="4">
        <f>IF($A285="","",ROSTER!C285)</f>
        <v/>
      </c>
      <c r="C285" s="4">
        <f>IF($A285="","",ROSTER!D285)</f>
        <v/>
      </c>
      <c r="D285" s="4">
        <f>IF($A285="","",ROSTER!E285)</f>
        <v/>
      </c>
      <c r="E285" s="4">
        <f>IF($A285="","",ROSTER!F285)</f>
        <v/>
      </c>
      <c r="F285" s="11">
        <f>IF($A285="","",COUNTIFS(tblPCSInput[Call Date/Time],"&gt;="&amp;(SETUP!$B$5),tblPCSInput[Call Date/Time],"&lt;"&amp;(SETUP!$B$5+1),tblPCSInput[Call Direction],"I",tblPCSInput[Agent ID],$A285,tblPCSInput[PCSStatus],1))</f>
        <v/>
      </c>
      <c r="G285" s="11">
        <f>IF($A285="","",COUNTIFS(tblPCSInput[Call Date/Time],"&gt;="&amp;(SETUP!$B$5),tblPCSInput[Call Date/Time],"&lt;"&amp;(SETUP!$B$5+1),tblPCSInput[Call Direction],"I",tblPCSInput[Agent ID],$A285,tblPCSInput[Question 1],"&lt;&gt;"))</f>
        <v/>
      </c>
      <c r="H285" s="11">
        <f>IF($A285="","",COUNTIFS(tblPCSInput[Call Date/Time],"&gt;="&amp;(SETUP!$B$5),tblPCSInput[Call Date/Time],"&lt;"&amp;(SETUP!$B$5+1),tblPCSInput[Call Direction],"I",tblPCSInput[Agent ID],$A285,tblPCSInput[Valid Q1],"&gt;=1"))</f>
        <v/>
      </c>
      <c r="I285" s="12">
        <f>IFERROR(SUMIFS(tblPCSInput[Valid Q1],tblPCSInput[Call Date/Time],"&gt;="&amp;SETUP!$B$5,tblPCSInput[Call Date/Time],"&lt;"&amp;SETUP!$B$5+1,tblPCSInput[Call Direction],"I",tblPCSInput[Agent ID],$A285)/COUNTIFS(tblPCSInput[Call Date/Time],"&gt;="&amp;(SETUP!$B$5),tblPCSInput[Call Date/Time],"&lt;"&amp;(SETUP!$B$5+1),tblPCSInput[Call Direction],"I",tblPCSInput[Agent ID],$A285,tblPCSInput[Valid Q1],"&gt;=1"),"")</f>
        <v/>
      </c>
      <c r="J285" s="11">
        <f>IF(I285="","",COUNTIFS(tblPCSInput[Call Date/Time],"&gt;="&amp;(SETUP!$B$5),tblPCSInput[Call Date/Time],"&lt;"&amp;(SETUP!$B$5+1),tblPCSInput[Call Direction],"I",tblPCSInput[Agent ID],$A285,tblPCSInput[Valid Q1],"&lt;=3",tblPCSInput[Valid Q1],"&gt;=1"))</f>
        <v/>
      </c>
      <c r="K285" s="11">
        <f>IF(I285="","",COUNTIFS(tblPCSInput[Call Date/Time],"&gt;="&amp;(SETUP!$B$5),tblPCSInput[Call Date/Time],"&lt;"&amp;(SETUP!$B$5+1),tblPCSInput[Call Direction],"I",tblPCSInput[Agent ID],$A285,tblPCSInput[Valid Q1],"&gt;3"))</f>
        <v/>
      </c>
      <c r="L285" s="13">
        <f>IFERROR(G285/F285,"")</f>
        <v/>
      </c>
      <c r="M285" s="13">
        <f>IFERROR(H285/F285,"")</f>
        <v/>
      </c>
      <c r="N285" s="11">
        <f>IF($A285="","",MAX(0,G285-H285))</f>
        <v/>
      </c>
      <c r="O285" s="4">
        <f>IF($A285="","",IF(H285=0,"NO VALID SURVEY",IF(H285&lt;5,"LOW SAMPLE","OK")))</f>
        <v/>
      </c>
      <c r="P285" s="11">
        <f>IF($A285="","",COUNTIFS(tblPCSInput[Call Date/Time],"&gt;="&amp;(SETUP!$B$6),tblPCSInput[Call Date/Time],"&lt;"&amp;(SETUP!$B$7),tblPCSInput[Call Direction],"I",tblPCSInput[Agent ID],$A285,tblPCSInput[PCSStatus],1))</f>
        <v/>
      </c>
      <c r="Q285" s="11">
        <f>IF($A285="","",COUNTIFS(tblPCSInput[Call Date/Time],"&gt;="&amp;(SETUP!$B$6),tblPCSInput[Call Date/Time],"&lt;"&amp;(SETUP!$B$7),tblPCSInput[Call Direction],"I",tblPCSInput[Agent ID],$A285,tblPCSInput[Question 1],"&lt;&gt;"))</f>
        <v/>
      </c>
      <c r="R285" s="11">
        <f>IF($A285="","",COUNTIFS(tblPCSInput[Call Date/Time],"&gt;="&amp;(SETUP!$B$6),tblPCSInput[Call Date/Time],"&lt;"&amp;(SETUP!$B$7),tblPCSInput[Call Direction],"I",tblPCSInput[Agent ID],$A285,tblPCSInput[Valid Q1],"&gt;=1"))</f>
        <v/>
      </c>
      <c r="S285" s="12">
        <f>IFERROR(SUMIFS(tblPCSInput[Valid Q1],tblPCSInput[Call Date/Time],"&gt;="&amp;SETUP!$B$6,tblPCSInput[Call Date/Time],"&lt;"&amp;SETUP!$B$7,tblPCSInput[Call Direction],"I",tblPCSInput[Agent ID],$A285)/COUNTIFS(tblPCSInput[Call Date/Time],"&gt;="&amp;(SETUP!$B$6),tblPCSInput[Call Date/Time],"&lt;"&amp;(SETUP!$B$7),tblPCSInput[Call Direction],"I",tblPCSInput[Agent ID],$A285,tblPCSInput[Valid Q1],"&gt;=1"),"")</f>
        <v/>
      </c>
      <c r="T285" s="11">
        <f>IF(S285="","",COUNTIFS(tblPCSInput[Call Date/Time],"&gt;="&amp;(SETUP!$B$6),tblPCSInput[Call Date/Time],"&lt;"&amp;(SETUP!$B$7),tblPCSInput[Call Direction],"I",tblPCSInput[Agent ID],$A285,tblPCSInput[Valid Q1],"&lt;=3",tblPCSInput[Valid Q1],"&gt;=1"))</f>
        <v/>
      </c>
      <c r="U285" s="11">
        <f>IF(S285="","",COUNTIFS(tblPCSInput[Call Date/Time],"&gt;="&amp;(SETUP!$B$6),tblPCSInput[Call Date/Time],"&lt;"&amp;(SETUP!$B$7),tblPCSInput[Call Direction],"I",tblPCSInput[Agent ID],$A285,tblPCSInput[Valid Q1],"&gt;3"))</f>
        <v/>
      </c>
      <c r="V285" s="13">
        <f>IFERROR(Q285/P285,"")</f>
        <v/>
      </c>
      <c r="W285" s="13">
        <f>IFERROR(R285/P285,"")</f>
        <v/>
      </c>
    </row>
    <row r="286" spans="1:23">
      <c r="A286" s="4">
        <f>IF(ROSTER!A286="","",ROSTER!A286)</f>
        <v/>
      </c>
      <c r="B286" s="4">
        <f>IF($A286="","",ROSTER!C286)</f>
        <v/>
      </c>
      <c r="C286" s="4">
        <f>IF($A286="","",ROSTER!D286)</f>
        <v/>
      </c>
      <c r="D286" s="4">
        <f>IF($A286="","",ROSTER!E286)</f>
        <v/>
      </c>
      <c r="E286" s="4">
        <f>IF($A286="","",ROSTER!F286)</f>
        <v/>
      </c>
      <c r="F286" s="11">
        <f>IF($A286="","",COUNTIFS(tblPCSInput[Call Date/Time],"&gt;="&amp;(SETUP!$B$5),tblPCSInput[Call Date/Time],"&lt;"&amp;(SETUP!$B$5+1),tblPCSInput[Call Direction],"I",tblPCSInput[Agent ID],$A286,tblPCSInput[PCSStatus],1))</f>
        <v/>
      </c>
      <c r="G286" s="11">
        <f>IF($A286="","",COUNTIFS(tblPCSInput[Call Date/Time],"&gt;="&amp;(SETUP!$B$5),tblPCSInput[Call Date/Time],"&lt;"&amp;(SETUP!$B$5+1),tblPCSInput[Call Direction],"I",tblPCSInput[Agent ID],$A286,tblPCSInput[Question 1],"&lt;&gt;"))</f>
        <v/>
      </c>
      <c r="H286" s="11">
        <f>IF($A286="","",COUNTIFS(tblPCSInput[Call Date/Time],"&gt;="&amp;(SETUP!$B$5),tblPCSInput[Call Date/Time],"&lt;"&amp;(SETUP!$B$5+1),tblPCSInput[Call Direction],"I",tblPCSInput[Agent ID],$A286,tblPCSInput[Valid Q1],"&gt;=1"))</f>
        <v/>
      </c>
      <c r="I286" s="12">
        <f>IFERROR(SUMIFS(tblPCSInput[Valid Q1],tblPCSInput[Call Date/Time],"&gt;="&amp;SETUP!$B$5,tblPCSInput[Call Date/Time],"&lt;"&amp;SETUP!$B$5+1,tblPCSInput[Call Direction],"I",tblPCSInput[Agent ID],$A286)/COUNTIFS(tblPCSInput[Call Date/Time],"&gt;="&amp;(SETUP!$B$5),tblPCSInput[Call Date/Time],"&lt;"&amp;(SETUP!$B$5+1),tblPCSInput[Call Direction],"I",tblPCSInput[Agent ID],$A286,tblPCSInput[Valid Q1],"&gt;=1"),"")</f>
        <v/>
      </c>
      <c r="J286" s="11">
        <f>IF(I286="","",COUNTIFS(tblPCSInput[Call Date/Time],"&gt;="&amp;(SETUP!$B$5),tblPCSInput[Call Date/Time],"&lt;"&amp;(SETUP!$B$5+1),tblPCSInput[Call Direction],"I",tblPCSInput[Agent ID],$A286,tblPCSInput[Valid Q1],"&lt;=3",tblPCSInput[Valid Q1],"&gt;=1"))</f>
        <v/>
      </c>
      <c r="K286" s="11">
        <f>IF(I286="","",COUNTIFS(tblPCSInput[Call Date/Time],"&gt;="&amp;(SETUP!$B$5),tblPCSInput[Call Date/Time],"&lt;"&amp;(SETUP!$B$5+1),tblPCSInput[Call Direction],"I",tblPCSInput[Agent ID],$A286,tblPCSInput[Valid Q1],"&gt;3"))</f>
        <v/>
      </c>
      <c r="L286" s="13">
        <f>IFERROR(G286/F286,"")</f>
        <v/>
      </c>
      <c r="M286" s="13">
        <f>IFERROR(H286/F286,"")</f>
        <v/>
      </c>
      <c r="N286" s="11">
        <f>IF($A286="","",MAX(0,G286-H286))</f>
        <v/>
      </c>
      <c r="O286" s="4">
        <f>IF($A286="","",IF(H286=0,"NO VALID SURVEY",IF(H286&lt;5,"LOW SAMPLE","OK")))</f>
        <v/>
      </c>
      <c r="P286" s="11">
        <f>IF($A286="","",COUNTIFS(tblPCSInput[Call Date/Time],"&gt;="&amp;(SETUP!$B$6),tblPCSInput[Call Date/Time],"&lt;"&amp;(SETUP!$B$7),tblPCSInput[Call Direction],"I",tblPCSInput[Agent ID],$A286,tblPCSInput[PCSStatus],1))</f>
        <v/>
      </c>
      <c r="Q286" s="11">
        <f>IF($A286="","",COUNTIFS(tblPCSInput[Call Date/Time],"&gt;="&amp;(SETUP!$B$6),tblPCSInput[Call Date/Time],"&lt;"&amp;(SETUP!$B$7),tblPCSInput[Call Direction],"I",tblPCSInput[Agent ID],$A286,tblPCSInput[Question 1],"&lt;&gt;"))</f>
        <v/>
      </c>
      <c r="R286" s="11">
        <f>IF($A286="","",COUNTIFS(tblPCSInput[Call Date/Time],"&gt;="&amp;(SETUP!$B$6),tblPCSInput[Call Date/Time],"&lt;"&amp;(SETUP!$B$7),tblPCSInput[Call Direction],"I",tblPCSInput[Agent ID],$A286,tblPCSInput[Valid Q1],"&gt;=1"))</f>
        <v/>
      </c>
      <c r="S286" s="12">
        <f>IFERROR(SUMIFS(tblPCSInput[Valid Q1],tblPCSInput[Call Date/Time],"&gt;="&amp;SETUP!$B$6,tblPCSInput[Call Date/Time],"&lt;"&amp;SETUP!$B$7,tblPCSInput[Call Direction],"I",tblPCSInput[Agent ID],$A286)/COUNTIFS(tblPCSInput[Call Date/Time],"&gt;="&amp;(SETUP!$B$6),tblPCSInput[Call Date/Time],"&lt;"&amp;(SETUP!$B$7),tblPCSInput[Call Direction],"I",tblPCSInput[Agent ID],$A286,tblPCSInput[Valid Q1],"&gt;=1"),"")</f>
        <v/>
      </c>
      <c r="T286" s="11">
        <f>IF(S286="","",COUNTIFS(tblPCSInput[Call Date/Time],"&gt;="&amp;(SETUP!$B$6),tblPCSInput[Call Date/Time],"&lt;"&amp;(SETUP!$B$7),tblPCSInput[Call Direction],"I",tblPCSInput[Agent ID],$A286,tblPCSInput[Valid Q1],"&lt;=3",tblPCSInput[Valid Q1],"&gt;=1"))</f>
        <v/>
      </c>
      <c r="U286" s="11">
        <f>IF(S286="","",COUNTIFS(tblPCSInput[Call Date/Time],"&gt;="&amp;(SETUP!$B$6),tblPCSInput[Call Date/Time],"&lt;"&amp;(SETUP!$B$7),tblPCSInput[Call Direction],"I",tblPCSInput[Agent ID],$A286,tblPCSInput[Valid Q1],"&gt;3"))</f>
        <v/>
      </c>
      <c r="V286" s="13">
        <f>IFERROR(Q286/P286,"")</f>
        <v/>
      </c>
      <c r="W286" s="13">
        <f>IFERROR(R286/P286,"")</f>
        <v/>
      </c>
    </row>
    <row r="287" spans="1:23">
      <c r="A287" s="4">
        <f>IF(ROSTER!A287="","",ROSTER!A287)</f>
        <v/>
      </c>
      <c r="B287" s="4">
        <f>IF($A287="","",ROSTER!C287)</f>
        <v/>
      </c>
      <c r="C287" s="4">
        <f>IF($A287="","",ROSTER!D287)</f>
        <v/>
      </c>
      <c r="D287" s="4">
        <f>IF($A287="","",ROSTER!E287)</f>
        <v/>
      </c>
      <c r="E287" s="4">
        <f>IF($A287="","",ROSTER!F287)</f>
        <v/>
      </c>
      <c r="F287" s="11">
        <f>IF($A287="","",COUNTIFS(tblPCSInput[Call Date/Time],"&gt;="&amp;(SETUP!$B$5),tblPCSInput[Call Date/Time],"&lt;"&amp;(SETUP!$B$5+1),tblPCSInput[Call Direction],"I",tblPCSInput[Agent ID],$A287,tblPCSInput[PCSStatus],1))</f>
        <v/>
      </c>
      <c r="G287" s="11">
        <f>IF($A287="","",COUNTIFS(tblPCSInput[Call Date/Time],"&gt;="&amp;(SETUP!$B$5),tblPCSInput[Call Date/Time],"&lt;"&amp;(SETUP!$B$5+1),tblPCSInput[Call Direction],"I",tblPCSInput[Agent ID],$A287,tblPCSInput[Question 1],"&lt;&gt;"))</f>
        <v/>
      </c>
      <c r="H287" s="11">
        <f>IF($A287="","",COUNTIFS(tblPCSInput[Call Date/Time],"&gt;="&amp;(SETUP!$B$5),tblPCSInput[Call Date/Time],"&lt;"&amp;(SETUP!$B$5+1),tblPCSInput[Call Direction],"I",tblPCSInput[Agent ID],$A287,tblPCSInput[Valid Q1],"&gt;=1"))</f>
        <v/>
      </c>
      <c r="I287" s="12">
        <f>IFERROR(SUMIFS(tblPCSInput[Valid Q1],tblPCSInput[Call Date/Time],"&gt;="&amp;SETUP!$B$5,tblPCSInput[Call Date/Time],"&lt;"&amp;SETUP!$B$5+1,tblPCSInput[Call Direction],"I",tblPCSInput[Agent ID],$A287)/COUNTIFS(tblPCSInput[Call Date/Time],"&gt;="&amp;(SETUP!$B$5),tblPCSInput[Call Date/Time],"&lt;"&amp;(SETUP!$B$5+1),tblPCSInput[Call Direction],"I",tblPCSInput[Agent ID],$A287,tblPCSInput[Valid Q1],"&gt;=1"),"")</f>
        <v/>
      </c>
      <c r="J287" s="11">
        <f>IF(I287="","",COUNTIFS(tblPCSInput[Call Date/Time],"&gt;="&amp;(SETUP!$B$5),tblPCSInput[Call Date/Time],"&lt;"&amp;(SETUP!$B$5+1),tblPCSInput[Call Direction],"I",tblPCSInput[Agent ID],$A287,tblPCSInput[Valid Q1],"&lt;=3",tblPCSInput[Valid Q1],"&gt;=1"))</f>
        <v/>
      </c>
      <c r="K287" s="11">
        <f>IF(I287="","",COUNTIFS(tblPCSInput[Call Date/Time],"&gt;="&amp;(SETUP!$B$5),tblPCSInput[Call Date/Time],"&lt;"&amp;(SETUP!$B$5+1),tblPCSInput[Call Direction],"I",tblPCSInput[Agent ID],$A287,tblPCSInput[Valid Q1],"&gt;3"))</f>
        <v/>
      </c>
      <c r="L287" s="13">
        <f>IFERROR(G287/F287,"")</f>
        <v/>
      </c>
      <c r="M287" s="13">
        <f>IFERROR(H287/F287,"")</f>
        <v/>
      </c>
      <c r="N287" s="11">
        <f>IF($A287="","",MAX(0,G287-H287))</f>
        <v/>
      </c>
      <c r="O287" s="4">
        <f>IF($A287="","",IF(H287=0,"NO VALID SURVEY",IF(H287&lt;5,"LOW SAMPLE","OK")))</f>
        <v/>
      </c>
      <c r="P287" s="11">
        <f>IF($A287="","",COUNTIFS(tblPCSInput[Call Date/Time],"&gt;="&amp;(SETUP!$B$6),tblPCSInput[Call Date/Time],"&lt;"&amp;(SETUP!$B$7),tblPCSInput[Call Direction],"I",tblPCSInput[Agent ID],$A287,tblPCSInput[PCSStatus],1))</f>
        <v/>
      </c>
      <c r="Q287" s="11">
        <f>IF($A287="","",COUNTIFS(tblPCSInput[Call Date/Time],"&gt;="&amp;(SETUP!$B$6),tblPCSInput[Call Date/Time],"&lt;"&amp;(SETUP!$B$7),tblPCSInput[Call Direction],"I",tblPCSInput[Agent ID],$A287,tblPCSInput[Question 1],"&lt;&gt;"))</f>
        <v/>
      </c>
      <c r="R287" s="11">
        <f>IF($A287="","",COUNTIFS(tblPCSInput[Call Date/Time],"&gt;="&amp;(SETUP!$B$6),tblPCSInput[Call Date/Time],"&lt;"&amp;(SETUP!$B$7),tblPCSInput[Call Direction],"I",tblPCSInput[Agent ID],$A287,tblPCSInput[Valid Q1],"&gt;=1"))</f>
        <v/>
      </c>
      <c r="S287" s="12">
        <f>IFERROR(SUMIFS(tblPCSInput[Valid Q1],tblPCSInput[Call Date/Time],"&gt;="&amp;SETUP!$B$6,tblPCSInput[Call Date/Time],"&lt;"&amp;SETUP!$B$7,tblPCSInput[Call Direction],"I",tblPCSInput[Agent ID],$A287)/COUNTIFS(tblPCSInput[Call Date/Time],"&gt;="&amp;(SETUP!$B$6),tblPCSInput[Call Date/Time],"&lt;"&amp;(SETUP!$B$7),tblPCSInput[Call Direction],"I",tblPCSInput[Agent ID],$A287,tblPCSInput[Valid Q1],"&gt;=1"),"")</f>
        <v/>
      </c>
      <c r="T287" s="11">
        <f>IF(S287="","",COUNTIFS(tblPCSInput[Call Date/Time],"&gt;="&amp;(SETUP!$B$6),tblPCSInput[Call Date/Time],"&lt;"&amp;(SETUP!$B$7),tblPCSInput[Call Direction],"I",tblPCSInput[Agent ID],$A287,tblPCSInput[Valid Q1],"&lt;=3",tblPCSInput[Valid Q1],"&gt;=1"))</f>
        <v/>
      </c>
      <c r="U287" s="11">
        <f>IF(S287="","",COUNTIFS(tblPCSInput[Call Date/Time],"&gt;="&amp;(SETUP!$B$6),tblPCSInput[Call Date/Time],"&lt;"&amp;(SETUP!$B$7),tblPCSInput[Call Direction],"I",tblPCSInput[Agent ID],$A287,tblPCSInput[Valid Q1],"&gt;3"))</f>
        <v/>
      </c>
      <c r="V287" s="13">
        <f>IFERROR(Q287/P287,"")</f>
        <v/>
      </c>
      <c r="W287" s="13">
        <f>IFERROR(R287/P287,"")</f>
        <v/>
      </c>
    </row>
    <row r="288" spans="1:23">
      <c r="A288" s="4">
        <f>IF(ROSTER!A288="","",ROSTER!A288)</f>
        <v/>
      </c>
      <c r="B288" s="4">
        <f>IF($A288="","",ROSTER!C288)</f>
        <v/>
      </c>
      <c r="C288" s="4">
        <f>IF($A288="","",ROSTER!D288)</f>
        <v/>
      </c>
      <c r="D288" s="4">
        <f>IF($A288="","",ROSTER!E288)</f>
        <v/>
      </c>
      <c r="E288" s="4">
        <f>IF($A288="","",ROSTER!F288)</f>
        <v/>
      </c>
      <c r="F288" s="11">
        <f>IF($A288="","",COUNTIFS(tblPCSInput[Call Date/Time],"&gt;="&amp;(SETUP!$B$5),tblPCSInput[Call Date/Time],"&lt;"&amp;(SETUP!$B$5+1),tblPCSInput[Call Direction],"I",tblPCSInput[Agent ID],$A288,tblPCSInput[PCSStatus],1))</f>
        <v/>
      </c>
      <c r="G288" s="11">
        <f>IF($A288="","",COUNTIFS(tblPCSInput[Call Date/Time],"&gt;="&amp;(SETUP!$B$5),tblPCSInput[Call Date/Time],"&lt;"&amp;(SETUP!$B$5+1),tblPCSInput[Call Direction],"I",tblPCSInput[Agent ID],$A288,tblPCSInput[Question 1],"&lt;&gt;"))</f>
        <v/>
      </c>
      <c r="H288" s="11">
        <f>IF($A288="","",COUNTIFS(tblPCSInput[Call Date/Time],"&gt;="&amp;(SETUP!$B$5),tblPCSInput[Call Date/Time],"&lt;"&amp;(SETUP!$B$5+1),tblPCSInput[Call Direction],"I",tblPCSInput[Agent ID],$A288,tblPCSInput[Valid Q1],"&gt;=1"))</f>
        <v/>
      </c>
      <c r="I288" s="12">
        <f>IFERROR(SUMIFS(tblPCSInput[Valid Q1],tblPCSInput[Call Date/Time],"&gt;="&amp;SETUP!$B$5,tblPCSInput[Call Date/Time],"&lt;"&amp;SETUP!$B$5+1,tblPCSInput[Call Direction],"I",tblPCSInput[Agent ID],$A288)/COUNTIFS(tblPCSInput[Call Date/Time],"&gt;="&amp;(SETUP!$B$5),tblPCSInput[Call Date/Time],"&lt;"&amp;(SETUP!$B$5+1),tblPCSInput[Call Direction],"I",tblPCSInput[Agent ID],$A288,tblPCSInput[Valid Q1],"&gt;=1"),"")</f>
        <v/>
      </c>
      <c r="J288" s="11">
        <f>IF(I288="","",COUNTIFS(tblPCSInput[Call Date/Time],"&gt;="&amp;(SETUP!$B$5),tblPCSInput[Call Date/Time],"&lt;"&amp;(SETUP!$B$5+1),tblPCSInput[Call Direction],"I",tblPCSInput[Agent ID],$A288,tblPCSInput[Valid Q1],"&lt;=3",tblPCSInput[Valid Q1],"&gt;=1"))</f>
        <v/>
      </c>
      <c r="K288" s="11">
        <f>IF(I288="","",COUNTIFS(tblPCSInput[Call Date/Time],"&gt;="&amp;(SETUP!$B$5),tblPCSInput[Call Date/Time],"&lt;"&amp;(SETUP!$B$5+1),tblPCSInput[Call Direction],"I",tblPCSInput[Agent ID],$A288,tblPCSInput[Valid Q1],"&gt;3"))</f>
        <v/>
      </c>
      <c r="L288" s="13">
        <f>IFERROR(G288/F288,"")</f>
        <v/>
      </c>
      <c r="M288" s="13">
        <f>IFERROR(H288/F288,"")</f>
        <v/>
      </c>
      <c r="N288" s="11">
        <f>IF($A288="","",MAX(0,G288-H288))</f>
        <v/>
      </c>
      <c r="O288" s="4">
        <f>IF($A288="","",IF(H288=0,"NO VALID SURVEY",IF(H288&lt;5,"LOW SAMPLE","OK")))</f>
        <v/>
      </c>
      <c r="P288" s="11">
        <f>IF($A288="","",COUNTIFS(tblPCSInput[Call Date/Time],"&gt;="&amp;(SETUP!$B$6),tblPCSInput[Call Date/Time],"&lt;"&amp;(SETUP!$B$7),tblPCSInput[Call Direction],"I",tblPCSInput[Agent ID],$A288,tblPCSInput[PCSStatus],1))</f>
        <v/>
      </c>
      <c r="Q288" s="11">
        <f>IF($A288="","",COUNTIFS(tblPCSInput[Call Date/Time],"&gt;="&amp;(SETUP!$B$6),tblPCSInput[Call Date/Time],"&lt;"&amp;(SETUP!$B$7),tblPCSInput[Call Direction],"I",tblPCSInput[Agent ID],$A288,tblPCSInput[Question 1],"&lt;&gt;"))</f>
        <v/>
      </c>
      <c r="R288" s="11">
        <f>IF($A288="","",COUNTIFS(tblPCSInput[Call Date/Time],"&gt;="&amp;(SETUP!$B$6),tblPCSInput[Call Date/Time],"&lt;"&amp;(SETUP!$B$7),tblPCSInput[Call Direction],"I",tblPCSInput[Agent ID],$A288,tblPCSInput[Valid Q1],"&gt;=1"))</f>
        <v/>
      </c>
      <c r="S288" s="12">
        <f>IFERROR(SUMIFS(tblPCSInput[Valid Q1],tblPCSInput[Call Date/Time],"&gt;="&amp;SETUP!$B$6,tblPCSInput[Call Date/Time],"&lt;"&amp;SETUP!$B$7,tblPCSInput[Call Direction],"I",tblPCSInput[Agent ID],$A288)/COUNTIFS(tblPCSInput[Call Date/Time],"&gt;="&amp;(SETUP!$B$6),tblPCSInput[Call Date/Time],"&lt;"&amp;(SETUP!$B$7),tblPCSInput[Call Direction],"I",tblPCSInput[Agent ID],$A288,tblPCSInput[Valid Q1],"&gt;=1"),"")</f>
        <v/>
      </c>
      <c r="T288" s="11">
        <f>IF(S288="","",COUNTIFS(tblPCSInput[Call Date/Time],"&gt;="&amp;(SETUP!$B$6),tblPCSInput[Call Date/Time],"&lt;"&amp;(SETUP!$B$7),tblPCSInput[Call Direction],"I",tblPCSInput[Agent ID],$A288,tblPCSInput[Valid Q1],"&lt;=3",tblPCSInput[Valid Q1],"&gt;=1"))</f>
        <v/>
      </c>
      <c r="U288" s="11">
        <f>IF(S288="","",COUNTIFS(tblPCSInput[Call Date/Time],"&gt;="&amp;(SETUP!$B$6),tblPCSInput[Call Date/Time],"&lt;"&amp;(SETUP!$B$7),tblPCSInput[Call Direction],"I",tblPCSInput[Agent ID],$A288,tblPCSInput[Valid Q1],"&gt;3"))</f>
        <v/>
      </c>
      <c r="V288" s="13">
        <f>IFERROR(Q288/P288,"")</f>
        <v/>
      </c>
      <c r="W288" s="13">
        <f>IFERROR(R288/P288,"")</f>
        <v/>
      </c>
    </row>
    <row r="289" spans="1:23">
      <c r="A289" s="4">
        <f>IF(ROSTER!A289="","",ROSTER!A289)</f>
        <v/>
      </c>
      <c r="B289" s="4">
        <f>IF($A289="","",ROSTER!C289)</f>
        <v/>
      </c>
      <c r="C289" s="4">
        <f>IF($A289="","",ROSTER!D289)</f>
        <v/>
      </c>
      <c r="D289" s="4">
        <f>IF($A289="","",ROSTER!E289)</f>
        <v/>
      </c>
      <c r="E289" s="4">
        <f>IF($A289="","",ROSTER!F289)</f>
        <v/>
      </c>
      <c r="F289" s="11">
        <f>IF($A289="","",COUNTIFS(tblPCSInput[Call Date/Time],"&gt;="&amp;(SETUP!$B$5),tblPCSInput[Call Date/Time],"&lt;"&amp;(SETUP!$B$5+1),tblPCSInput[Call Direction],"I",tblPCSInput[Agent ID],$A289,tblPCSInput[PCSStatus],1))</f>
        <v/>
      </c>
      <c r="G289" s="11">
        <f>IF($A289="","",COUNTIFS(tblPCSInput[Call Date/Time],"&gt;="&amp;(SETUP!$B$5),tblPCSInput[Call Date/Time],"&lt;"&amp;(SETUP!$B$5+1),tblPCSInput[Call Direction],"I",tblPCSInput[Agent ID],$A289,tblPCSInput[Question 1],"&lt;&gt;"))</f>
        <v/>
      </c>
      <c r="H289" s="11">
        <f>IF($A289="","",COUNTIFS(tblPCSInput[Call Date/Time],"&gt;="&amp;(SETUP!$B$5),tblPCSInput[Call Date/Time],"&lt;"&amp;(SETUP!$B$5+1),tblPCSInput[Call Direction],"I",tblPCSInput[Agent ID],$A289,tblPCSInput[Valid Q1],"&gt;=1"))</f>
        <v/>
      </c>
      <c r="I289" s="12">
        <f>IFERROR(SUMIFS(tblPCSInput[Valid Q1],tblPCSInput[Call Date/Time],"&gt;="&amp;SETUP!$B$5,tblPCSInput[Call Date/Time],"&lt;"&amp;SETUP!$B$5+1,tblPCSInput[Call Direction],"I",tblPCSInput[Agent ID],$A289)/COUNTIFS(tblPCSInput[Call Date/Time],"&gt;="&amp;(SETUP!$B$5),tblPCSInput[Call Date/Time],"&lt;"&amp;(SETUP!$B$5+1),tblPCSInput[Call Direction],"I",tblPCSInput[Agent ID],$A289,tblPCSInput[Valid Q1],"&gt;=1"),"")</f>
        <v/>
      </c>
      <c r="J289" s="11">
        <f>IF(I289="","",COUNTIFS(tblPCSInput[Call Date/Time],"&gt;="&amp;(SETUP!$B$5),tblPCSInput[Call Date/Time],"&lt;"&amp;(SETUP!$B$5+1),tblPCSInput[Call Direction],"I",tblPCSInput[Agent ID],$A289,tblPCSInput[Valid Q1],"&lt;=3",tblPCSInput[Valid Q1],"&gt;=1"))</f>
        <v/>
      </c>
      <c r="K289" s="11">
        <f>IF(I289="","",COUNTIFS(tblPCSInput[Call Date/Time],"&gt;="&amp;(SETUP!$B$5),tblPCSInput[Call Date/Time],"&lt;"&amp;(SETUP!$B$5+1),tblPCSInput[Call Direction],"I",tblPCSInput[Agent ID],$A289,tblPCSInput[Valid Q1],"&gt;3"))</f>
        <v/>
      </c>
      <c r="L289" s="13">
        <f>IFERROR(G289/F289,"")</f>
        <v/>
      </c>
      <c r="M289" s="13">
        <f>IFERROR(H289/F289,"")</f>
        <v/>
      </c>
      <c r="N289" s="11">
        <f>IF($A289="","",MAX(0,G289-H289))</f>
        <v/>
      </c>
      <c r="O289" s="4">
        <f>IF($A289="","",IF(H289=0,"NO VALID SURVEY",IF(H289&lt;5,"LOW SAMPLE","OK")))</f>
        <v/>
      </c>
      <c r="P289" s="11">
        <f>IF($A289="","",COUNTIFS(tblPCSInput[Call Date/Time],"&gt;="&amp;(SETUP!$B$6),tblPCSInput[Call Date/Time],"&lt;"&amp;(SETUP!$B$7),tblPCSInput[Call Direction],"I",tblPCSInput[Agent ID],$A289,tblPCSInput[PCSStatus],1))</f>
        <v/>
      </c>
      <c r="Q289" s="11">
        <f>IF($A289="","",COUNTIFS(tblPCSInput[Call Date/Time],"&gt;="&amp;(SETUP!$B$6),tblPCSInput[Call Date/Time],"&lt;"&amp;(SETUP!$B$7),tblPCSInput[Call Direction],"I",tblPCSInput[Agent ID],$A289,tblPCSInput[Question 1],"&lt;&gt;"))</f>
        <v/>
      </c>
      <c r="R289" s="11">
        <f>IF($A289="","",COUNTIFS(tblPCSInput[Call Date/Time],"&gt;="&amp;(SETUP!$B$6),tblPCSInput[Call Date/Time],"&lt;"&amp;(SETUP!$B$7),tblPCSInput[Call Direction],"I",tblPCSInput[Agent ID],$A289,tblPCSInput[Valid Q1],"&gt;=1"))</f>
        <v/>
      </c>
      <c r="S289" s="12">
        <f>IFERROR(SUMIFS(tblPCSInput[Valid Q1],tblPCSInput[Call Date/Time],"&gt;="&amp;SETUP!$B$6,tblPCSInput[Call Date/Time],"&lt;"&amp;SETUP!$B$7,tblPCSInput[Call Direction],"I",tblPCSInput[Agent ID],$A289)/COUNTIFS(tblPCSInput[Call Date/Time],"&gt;="&amp;(SETUP!$B$6),tblPCSInput[Call Date/Time],"&lt;"&amp;(SETUP!$B$7),tblPCSInput[Call Direction],"I",tblPCSInput[Agent ID],$A289,tblPCSInput[Valid Q1],"&gt;=1"),"")</f>
        <v/>
      </c>
      <c r="T289" s="11">
        <f>IF(S289="","",COUNTIFS(tblPCSInput[Call Date/Time],"&gt;="&amp;(SETUP!$B$6),tblPCSInput[Call Date/Time],"&lt;"&amp;(SETUP!$B$7),tblPCSInput[Call Direction],"I",tblPCSInput[Agent ID],$A289,tblPCSInput[Valid Q1],"&lt;=3",tblPCSInput[Valid Q1],"&gt;=1"))</f>
        <v/>
      </c>
      <c r="U289" s="11">
        <f>IF(S289="","",COUNTIFS(tblPCSInput[Call Date/Time],"&gt;="&amp;(SETUP!$B$6),tblPCSInput[Call Date/Time],"&lt;"&amp;(SETUP!$B$7),tblPCSInput[Call Direction],"I",tblPCSInput[Agent ID],$A289,tblPCSInput[Valid Q1],"&gt;3"))</f>
        <v/>
      </c>
      <c r="V289" s="13">
        <f>IFERROR(Q289/P289,"")</f>
        <v/>
      </c>
      <c r="W289" s="13">
        <f>IFERROR(R289/P289,"")</f>
        <v/>
      </c>
    </row>
    <row r="290" spans="1:23">
      <c r="A290" s="4">
        <f>IF(ROSTER!A290="","",ROSTER!A290)</f>
        <v/>
      </c>
      <c r="B290" s="4">
        <f>IF($A290="","",ROSTER!C290)</f>
        <v/>
      </c>
      <c r="C290" s="4">
        <f>IF($A290="","",ROSTER!D290)</f>
        <v/>
      </c>
      <c r="D290" s="4">
        <f>IF($A290="","",ROSTER!E290)</f>
        <v/>
      </c>
      <c r="E290" s="4">
        <f>IF($A290="","",ROSTER!F290)</f>
        <v/>
      </c>
      <c r="F290" s="11">
        <f>IF($A290="","",COUNTIFS(tblPCSInput[Call Date/Time],"&gt;="&amp;(SETUP!$B$5),tblPCSInput[Call Date/Time],"&lt;"&amp;(SETUP!$B$5+1),tblPCSInput[Call Direction],"I",tblPCSInput[Agent ID],$A290,tblPCSInput[PCSStatus],1))</f>
        <v/>
      </c>
      <c r="G290" s="11">
        <f>IF($A290="","",COUNTIFS(tblPCSInput[Call Date/Time],"&gt;="&amp;(SETUP!$B$5),tblPCSInput[Call Date/Time],"&lt;"&amp;(SETUP!$B$5+1),tblPCSInput[Call Direction],"I",tblPCSInput[Agent ID],$A290,tblPCSInput[Question 1],"&lt;&gt;"))</f>
        <v/>
      </c>
      <c r="H290" s="11">
        <f>IF($A290="","",COUNTIFS(tblPCSInput[Call Date/Time],"&gt;="&amp;(SETUP!$B$5),tblPCSInput[Call Date/Time],"&lt;"&amp;(SETUP!$B$5+1),tblPCSInput[Call Direction],"I",tblPCSInput[Agent ID],$A290,tblPCSInput[Valid Q1],"&gt;=1"))</f>
        <v/>
      </c>
      <c r="I290" s="12">
        <f>IFERROR(SUMIFS(tblPCSInput[Valid Q1],tblPCSInput[Call Date/Time],"&gt;="&amp;SETUP!$B$5,tblPCSInput[Call Date/Time],"&lt;"&amp;SETUP!$B$5+1,tblPCSInput[Call Direction],"I",tblPCSInput[Agent ID],$A290)/COUNTIFS(tblPCSInput[Call Date/Time],"&gt;="&amp;(SETUP!$B$5),tblPCSInput[Call Date/Time],"&lt;"&amp;(SETUP!$B$5+1),tblPCSInput[Call Direction],"I",tblPCSInput[Agent ID],$A290,tblPCSInput[Valid Q1],"&gt;=1"),"")</f>
        <v/>
      </c>
      <c r="J290" s="11">
        <f>IF(I290="","",COUNTIFS(tblPCSInput[Call Date/Time],"&gt;="&amp;(SETUP!$B$5),tblPCSInput[Call Date/Time],"&lt;"&amp;(SETUP!$B$5+1),tblPCSInput[Call Direction],"I",tblPCSInput[Agent ID],$A290,tblPCSInput[Valid Q1],"&lt;=3",tblPCSInput[Valid Q1],"&gt;=1"))</f>
        <v/>
      </c>
      <c r="K290" s="11">
        <f>IF(I290="","",COUNTIFS(tblPCSInput[Call Date/Time],"&gt;="&amp;(SETUP!$B$5),tblPCSInput[Call Date/Time],"&lt;"&amp;(SETUP!$B$5+1),tblPCSInput[Call Direction],"I",tblPCSInput[Agent ID],$A290,tblPCSInput[Valid Q1],"&gt;3"))</f>
        <v/>
      </c>
      <c r="L290" s="13">
        <f>IFERROR(G290/F290,"")</f>
        <v/>
      </c>
      <c r="M290" s="13">
        <f>IFERROR(H290/F290,"")</f>
        <v/>
      </c>
      <c r="N290" s="11">
        <f>IF($A290="","",MAX(0,G290-H290))</f>
        <v/>
      </c>
      <c r="O290" s="4">
        <f>IF($A290="","",IF(H290=0,"NO VALID SURVEY",IF(H290&lt;5,"LOW SAMPLE","OK")))</f>
        <v/>
      </c>
      <c r="P290" s="11">
        <f>IF($A290="","",COUNTIFS(tblPCSInput[Call Date/Time],"&gt;="&amp;(SETUP!$B$6),tblPCSInput[Call Date/Time],"&lt;"&amp;(SETUP!$B$7),tblPCSInput[Call Direction],"I",tblPCSInput[Agent ID],$A290,tblPCSInput[PCSStatus],1))</f>
        <v/>
      </c>
      <c r="Q290" s="11">
        <f>IF($A290="","",COUNTIFS(tblPCSInput[Call Date/Time],"&gt;="&amp;(SETUP!$B$6),tblPCSInput[Call Date/Time],"&lt;"&amp;(SETUP!$B$7),tblPCSInput[Call Direction],"I",tblPCSInput[Agent ID],$A290,tblPCSInput[Question 1],"&lt;&gt;"))</f>
        <v/>
      </c>
      <c r="R290" s="11">
        <f>IF($A290="","",COUNTIFS(tblPCSInput[Call Date/Time],"&gt;="&amp;(SETUP!$B$6),tblPCSInput[Call Date/Time],"&lt;"&amp;(SETUP!$B$7),tblPCSInput[Call Direction],"I",tblPCSInput[Agent ID],$A290,tblPCSInput[Valid Q1],"&gt;=1"))</f>
        <v/>
      </c>
      <c r="S290" s="12">
        <f>IFERROR(SUMIFS(tblPCSInput[Valid Q1],tblPCSInput[Call Date/Time],"&gt;="&amp;SETUP!$B$6,tblPCSInput[Call Date/Time],"&lt;"&amp;SETUP!$B$7,tblPCSInput[Call Direction],"I",tblPCSInput[Agent ID],$A290)/COUNTIFS(tblPCSInput[Call Date/Time],"&gt;="&amp;(SETUP!$B$6),tblPCSInput[Call Date/Time],"&lt;"&amp;(SETUP!$B$7),tblPCSInput[Call Direction],"I",tblPCSInput[Agent ID],$A290,tblPCSInput[Valid Q1],"&gt;=1"),"")</f>
        <v/>
      </c>
      <c r="T290" s="11">
        <f>IF(S290="","",COUNTIFS(tblPCSInput[Call Date/Time],"&gt;="&amp;(SETUP!$B$6),tblPCSInput[Call Date/Time],"&lt;"&amp;(SETUP!$B$7),tblPCSInput[Call Direction],"I",tblPCSInput[Agent ID],$A290,tblPCSInput[Valid Q1],"&lt;=3",tblPCSInput[Valid Q1],"&gt;=1"))</f>
        <v/>
      </c>
      <c r="U290" s="11">
        <f>IF(S290="","",COUNTIFS(tblPCSInput[Call Date/Time],"&gt;="&amp;(SETUP!$B$6),tblPCSInput[Call Date/Time],"&lt;"&amp;(SETUP!$B$7),tblPCSInput[Call Direction],"I",tblPCSInput[Agent ID],$A290,tblPCSInput[Valid Q1],"&gt;3"))</f>
        <v/>
      </c>
      <c r="V290" s="13">
        <f>IFERROR(Q290/P290,"")</f>
        <v/>
      </c>
      <c r="W290" s="13">
        <f>IFERROR(R290/P290,"")</f>
        <v/>
      </c>
    </row>
    <row r="291" spans="1:23">
      <c r="A291" s="4">
        <f>IF(ROSTER!A291="","",ROSTER!A291)</f>
        <v/>
      </c>
      <c r="B291" s="4">
        <f>IF($A291="","",ROSTER!C291)</f>
        <v/>
      </c>
      <c r="C291" s="4">
        <f>IF($A291="","",ROSTER!D291)</f>
        <v/>
      </c>
      <c r="D291" s="4">
        <f>IF($A291="","",ROSTER!E291)</f>
        <v/>
      </c>
      <c r="E291" s="4">
        <f>IF($A291="","",ROSTER!F291)</f>
        <v/>
      </c>
      <c r="F291" s="11">
        <f>IF($A291="","",COUNTIFS(tblPCSInput[Call Date/Time],"&gt;="&amp;(SETUP!$B$5),tblPCSInput[Call Date/Time],"&lt;"&amp;(SETUP!$B$5+1),tblPCSInput[Call Direction],"I",tblPCSInput[Agent ID],$A291,tblPCSInput[PCSStatus],1))</f>
        <v/>
      </c>
      <c r="G291" s="11">
        <f>IF($A291="","",COUNTIFS(tblPCSInput[Call Date/Time],"&gt;="&amp;(SETUP!$B$5),tblPCSInput[Call Date/Time],"&lt;"&amp;(SETUP!$B$5+1),tblPCSInput[Call Direction],"I",tblPCSInput[Agent ID],$A291,tblPCSInput[Question 1],"&lt;&gt;"))</f>
        <v/>
      </c>
      <c r="H291" s="11">
        <f>IF($A291="","",COUNTIFS(tblPCSInput[Call Date/Time],"&gt;="&amp;(SETUP!$B$5),tblPCSInput[Call Date/Time],"&lt;"&amp;(SETUP!$B$5+1),tblPCSInput[Call Direction],"I",tblPCSInput[Agent ID],$A291,tblPCSInput[Valid Q1],"&gt;=1"))</f>
        <v/>
      </c>
      <c r="I291" s="12">
        <f>IFERROR(SUMIFS(tblPCSInput[Valid Q1],tblPCSInput[Call Date/Time],"&gt;="&amp;SETUP!$B$5,tblPCSInput[Call Date/Time],"&lt;"&amp;SETUP!$B$5+1,tblPCSInput[Call Direction],"I",tblPCSInput[Agent ID],$A291)/COUNTIFS(tblPCSInput[Call Date/Time],"&gt;="&amp;(SETUP!$B$5),tblPCSInput[Call Date/Time],"&lt;"&amp;(SETUP!$B$5+1),tblPCSInput[Call Direction],"I",tblPCSInput[Agent ID],$A291,tblPCSInput[Valid Q1],"&gt;=1"),"")</f>
        <v/>
      </c>
      <c r="J291" s="11">
        <f>IF(I291="","",COUNTIFS(tblPCSInput[Call Date/Time],"&gt;="&amp;(SETUP!$B$5),tblPCSInput[Call Date/Time],"&lt;"&amp;(SETUP!$B$5+1),tblPCSInput[Call Direction],"I",tblPCSInput[Agent ID],$A291,tblPCSInput[Valid Q1],"&lt;=3",tblPCSInput[Valid Q1],"&gt;=1"))</f>
        <v/>
      </c>
      <c r="K291" s="11">
        <f>IF(I291="","",COUNTIFS(tblPCSInput[Call Date/Time],"&gt;="&amp;(SETUP!$B$5),tblPCSInput[Call Date/Time],"&lt;"&amp;(SETUP!$B$5+1),tblPCSInput[Call Direction],"I",tblPCSInput[Agent ID],$A291,tblPCSInput[Valid Q1],"&gt;3"))</f>
        <v/>
      </c>
      <c r="L291" s="13">
        <f>IFERROR(G291/F291,"")</f>
        <v/>
      </c>
      <c r="M291" s="13">
        <f>IFERROR(H291/F291,"")</f>
        <v/>
      </c>
      <c r="N291" s="11">
        <f>IF($A291="","",MAX(0,G291-H291))</f>
        <v/>
      </c>
      <c r="O291" s="4">
        <f>IF($A291="","",IF(H291=0,"NO VALID SURVEY",IF(H291&lt;5,"LOW SAMPLE","OK")))</f>
        <v/>
      </c>
      <c r="P291" s="11">
        <f>IF($A291="","",COUNTIFS(tblPCSInput[Call Date/Time],"&gt;="&amp;(SETUP!$B$6),tblPCSInput[Call Date/Time],"&lt;"&amp;(SETUP!$B$7),tblPCSInput[Call Direction],"I",tblPCSInput[Agent ID],$A291,tblPCSInput[PCSStatus],1))</f>
        <v/>
      </c>
      <c r="Q291" s="11">
        <f>IF($A291="","",COUNTIFS(tblPCSInput[Call Date/Time],"&gt;="&amp;(SETUP!$B$6),tblPCSInput[Call Date/Time],"&lt;"&amp;(SETUP!$B$7),tblPCSInput[Call Direction],"I",tblPCSInput[Agent ID],$A291,tblPCSInput[Question 1],"&lt;&gt;"))</f>
        <v/>
      </c>
      <c r="R291" s="11">
        <f>IF($A291="","",COUNTIFS(tblPCSInput[Call Date/Time],"&gt;="&amp;(SETUP!$B$6),tblPCSInput[Call Date/Time],"&lt;"&amp;(SETUP!$B$7),tblPCSInput[Call Direction],"I",tblPCSInput[Agent ID],$A291,tblPCSInput[Valid Q1],"&gt;=1"))</f>
        <v/>
      </c>
      <c r="S291" s="12">
        <f>IFERROR(SUMIFS(tblPCSInput[Valid Q1],tblPCSInput[Call Date/Time],"&gt;="&amp;SETUP!$B$6,tblPCSInput[Call Date/Time],"&lt;"&amp;SETUP!$B$7,tblPCSInput[Call Direction],"I",tblPCSInput[Agent ID],$A291)/COUNTIFS(tblPCSInput[Call Date/Time],"&gt;="&amp;(SETUP!$B$6),tblPCSInput[Call Date/Time],"&lt;"&amp;(SETUP!$B$7),tblPCSInput[Call Direction],"I",tblPCSInput[Agent ID],$A291,tblPCSInput[Valid Q1],"&gt;=1"),"")</f>
        <v/>
      </c>
      <c r="T291" s="11">
        <f>IF(S291="","",COUNTIFS(tblPCSInput[Call Date/Time],"&gt;="&amp;(SETUP!$B$6),tblPCSInput[Call Date/Time],"&lt;"&amp;(SETUP!$B$7),tblPCSInput[Call Direction],"I",tblPCSInput[Agent ID],$A291,tblPCSInput[Valid Q1],"&lt;=3",tblPCSInput[Valid Q1],"&gt;=1"))</f>
        <v/>
      </c>
      <c r="U291" s="11">
        <f>IF(S291="","",COUNTIFS(tblPCSInput[Call Date/Time],"&gt;="&amp;(SETUP!$B$6),tblPCSInput[Call Date/Time],"&lt;"&amp;(SETUP!$B$7),tblPCSInput[Call Direction],"I",tblPCSInput[Agent ID],$A291,tblPCSInput[Valid Q1],"&gt;3"))</f>
        <v/>
      </c>
      <c r="V291" s="13">
        <f>IFERROR(Q291/P291,"")</f>
        <v/>
      </c>
      <c r="W291" s="13">
        <f>IFERROR(R291/P291,"")</f>
        <v/>
      </c>
    </row>
    <row r="292" spans="1:23">
      <c r="A292" s="4">
        <f>IF(ROSTER!A292="","",ROSTER!A292)</f>
        <v/>
      </c>
      <c r="B292" s="4">
        <f>IF($A292="","",ROSTER!C292)</f>
        <v/>
      </c>
      <c r="C292" s="4">
        <f>IF($A292="","",ROSTER!D292)</f>
        <v/>
      </c>
      <c r="D292" s="4">
        <f>IF($A292="","",ROSTER!E292)</f>
        <v/>
      </c>
      <c r="E292" s="4">
        <f>IF($A292="","",ROSTER!F292)</f>
        <v/>
      </c>
      <c r="F292" s="11">
        <f>IF($A292="","",COUNTIFS(tblPCSInput[Call Date/Time],"&gt;="&amp;(SETUP!$B$5),tblPCSInput[Call Date/Time],"&lt;"&amp;(SETUP!$B$5+1),tblPCSInput[Call Direction],"I",tblPCSInput[Agent ID],$A292,tblPCSInput[PCSStatus],1))</f>
        <v/>
      </c>
      <c r="G292" s="11">
        <f>IF($A292="","",COUNTIFS(tblPCSInput[Call Date/Time],"&gt;="&amp;(SETUP!$B$5),tblPCSInput[Call Date/Time],"&lt;"&amp;(SETUP!$B$5+1),tblPCSInput[Call Direction],"I",tblPCSInput[Agent ID],$A292,tblPCSInput[Question 1],"&lt;&gt;"))</f>
        <v/>
      </c>
      <c r="H292" s="11">
        <f>IF($A292="","",COUNTIFS(tblPCSInput[Call Date/Time],"&gt;="&amp;(SETUP!$B$5),tblPCSInput[Call Date/Time],"&lt;"&amp;(SETUP!$B$5+1),tblPCSInput[Call Direction],"I",tblPCSInput[Agent ID],$A292,tblPCSInput[Valid Q1],"&gt;=1"))</f>
        <v/>
      </c>
      <c r="I292" s="12">
        <f>IFERROR(SUMIFS(tblPCSInput[Valid Q1],tblPCSInput[Call Date/Time],"&gt;="&amp;SETUP!$B$5,tblPCSInput[Call Date/Time],"&lt;"&amp;SETUP!$B$5+1,tblPCSInput[Call Direction],"I",tblPCSInput[Agent ID],$A292)/COUNTIFS(tblPCSInput[Call Date/Time],"&gt;="&amp;(SETUP!$B$5),tblPCSInput[Call Date/Time],"&lt;"&amp;(SETUP!$B$5+1),tblPCSInput[Call Direction],"I",tblPCSInput[Agent ID],$A292,tblPCSInput[Valid Q1],"&gt;=1"),"")</f>
        <v/>
      </c>
      <c r="J292" s="11">
        <f>IF(I292="","",COUNTIFS(tblPCSInput[Call Date/Time],"&gt;="&amp;(SETUP!$B$5),tblPCSInput[Call Date/Time],"&lt;"&amp;(SETUP!$B$5+1),tblPCSInput[Call Direction],"I",tblPCSInput[Agent ID],$A292,tblPCSInput[Valid Q1],"&lt;=3",tblPCSInput[Valid Q1],"&gt;=1"))</f>
        <v/>
      </c>
      <c r="K292" s="11">
        <f>IF(I292="","",COUNTIFS(tblPCSInput[Call Date/Time],"&gt;="&amp;(SETUP!$B$5),tblPCSInput[Call Date/Time],"&lt;"&amp;(SETUP!$B$5+1),tblPCSInput[Call Direction],"I",tblPCSInput[Agent ID],$A292,tblPCSInput[Valid Q1],"&gt;3"))</f>
        <v/>
      </c>
      <c r="L292" s="13">
        <f>IFERROR(G292/F292,"")</f>
        <v/>
      </c>
      <c r="M292" s="13">
        <f>IFERROR(H292/F292,"")</f>
        <v/>
      </c>
      <c r="N292" s="11">
        <f>IF($A292="","",MAX(0,G292-H292))</f>
        <v/>
      </c>
      <c r="O292" s="4">
        <f>IF($A292="","",IF(H292=0,"NO VALID SURVEY",IF(H292&lt;5,"LOW SAMPLE","OK")))</f>
        <v/>
      </c>
      <c r="P292" s="11">
        <f>IF($A292="","",COUNTIFS(tblPCSInput[Call Date/Time],"&gt;="&amp;(SETUP!$B$6),tblPCSInput[Call Date/Time],"&lt;"&amp;(SETUP!$B$7),tblPCSInput[Call Direction],"I",tblPCSInput[Agent ID],$A292,tblPCSInput[PCSStatus],1))</f>
        <v/>
      </c>
      <c r="Q292" s="11">
        <f>IF($A292="","",COUNTIFS(tblPCSInput[Call Date/Time],"&gt;="&amp;(SETUP!$B$6),tblPCSInput[Call Date/Time],"&lt;"&amp;(SETUP!$B$7),tblPCSInput[Call Direction],"I",tblPCSInput[Agent ID],$A292,tblPCSInput[Question 1],"&lt;&gt;"))</f>
        <v/>
      </c>
      <c r="R292" s="11">
        <f>IF($A292="","",COUNTIFS(tblPCSInput[Call Date/Time],"&gt;="&amp;(SETUP!$B$6),tblPCSInput[Call Date/Time],"&lt;"&amp;(SETUP!$B$7),tblPCSInput[Call Direction],"I",tblPCSInput[Agent ID],$A292,tblPCSInput[Valid Q1],"&gt;=1"))</f>
        <v/>
      </c>
      <c r="S292" s="12">
        <f>IFERROR(SUMIFS(tblPCSInput[Valid Q1],tblPCSInput[Call Date/Time],"&gt;="&amp;SETUP!$B$6,tblPCSInput[Call Date/Time],"&lt;"&amp;SETUP!$B$7,tblPCSInput[Call Direction],"I",tblPCSInput[Agent ID],$A292)/COUNTIFS(tblPCSInput[Call Date/Time],"&gt;="&amp;(SETUP!$B$6),tblPCSInput[Call Date/Time],"&lt;"&amp;(SETUP!$B$7),tblPCSInput[Call Direction],"I",tblPCSInput[Agent ID],$A292,tblPCSInput[Valid Q1],"&gt;=1"),"")</f>
        <v/>
      </c>
      <c r="T292" s="11">
        <f>IF(S292="","",COUNTIFS(tblPCSInput[Call Date/Time],"&gt;="&amp;(SETUP!$B$6),tblPCSInput[Call Date/Time],"&lt;"&amp;(SETUP!$B$7),tblPCSInput[Call Direction],"I",tblPCSInput[Agent ID],$A292,tblPCSInput[Valid Q1],"&lt;=3",tblPCSInput[Valid Q1],"&gt;=1"))</f>
        <v/>
      </c>
      <c r="U292" s="11">
        <f>IF(S292="","",COUNTIFS(tblPCSInput[Call Date/Time],"&gt;="&amp;(SETUP!$B$6),tblPCSInput[Call Date/Time],"&lt;"&amp;(SETUP!$B$7),tblPCSInput[Call Direction],"I",tblPCSInput[Agent ID],$A292,tblPCSInput[Valid Q1],"&gt;3"))</f>
        <v/>
      </c>
      <c r="V292" s="13">
        <f>IFERROR(Q292/P292,"")</f>
        <v/>
      </c>
      <c r="W292" s="13">
        <f>IFERROR(R292/P292,"")</f>
        <v/>
      </c>
    </row>
    <row r="293" spans="1:23">
      <c r="A293" s="4">
        <f>IF(ROSTER!A293="","",ROSTER!A293)</f>
        <v/>
      </c>
      <c r="B293" s="4">
        <f>IF($A293="","",ROSTER!C293)</f>
        <v/>
      </c>
      <c r="C293" s="4">
        <f>IF($A293="","",ROSTER!D293)</f>
        <v/>
      </c>
      <c r="D293" s="4">
        <f>IF($A293="","",ROSTER!E293)</f>
        <v/>
      </c>
      <c r="E293" s="4">
        <f>IF($A293="","",ROSTER!F293)</f>
        <v/>
      </c>
      <c r="F293" s="11">
        <f>IF($A293="","",COUNTIFS(tblPCSInput[Call Date/Time],"&gt;="&amp;(SETUP!$B$5),tblPCSInput[Call Date/Time],"&lt;"&amp;(SETUP!$B$5+1),tblPCSInput[Call Direction],"I",tblPCSInput[Agent ID],$A293,tblPCSInput[PCSStatus],1))</f>
        <v/>
      </c>
      <c r="G293" s="11">
        <f>IF($A293="","",COUNTIFS(tblPCSInput[Call Date/Time],"&gt;="&amp;(SETUP!$B$5),tblPCSInput[Call Date/Time],"&lt;"&amp;(SETUP!$B$5+1),tblPCSInput[Call Direction],"I",tblPCSInput[Agent ID],$A293,tblPCSInput[Question 1],"&lt;&gt;"))</f>
        <v/>
      </c>
      <c r="H293" s="11">
        <f>IF($A293="","",COUNTIFS(tblPCSInput[Call Date/Time],"&gt;="&amp;(SETUP!$B$5),tblPCSInput[Call Date/Time],"&lt;"&amp;(SETUP!$B$5+1),tblPCSInput[Call Direction],"I",tblPCSInput[Agent ID],$A293,tblPCSInput[Valid Q1],"&gt;=1"))</f>
        <v/>
      </c>
      <c r="I293" s="12">
        <f>IFERROR(SUMIFS(tblPCSInput[Valid Q1],tblPCSInput[Call Date/Time],"&gt;="&amp;SETUP!$B$5,tblPCSInput[Call Date/Time],"&lt;"&amp;SETUP!$B$5+1,tblPCSInput[Call Direction],"I",tblPCSInput[Agent ID],$A293)/COUNTIFS(tblPCSInput[Call Date/Time],"&gt;="&amp;(SETUP!$B$5),tblPCSInput[Call Date/Time],"&lt;"&amp;(SETUP!$B$5+1),tblPCSInput[Call Direction],"I",tblPCSInput[Agent ID],$A293,tblPCSInput[Valid Q1],"&gt;=1"),"")</f>
        <v/>
      </c>
      <c r="J293" s="11">
        <f>IF(I293="","",COUNTIFS(tblPCSInput[Call Date/Time],"&gt;="&amp;(SETUP!$B$5),tblPCSInput[Call Date/Time],"&lt;"&amp;(SETUP!$B$5+1),tblPCSInput[Call Direction],"I",tblPCSInput[Agent ID],$A293,tblPCSInput[Valid Q1],"&lt;=3",tblPCSInput[Valid Q1],"&gt;=1"))</f>
        <v/>
      </c>
      <c r="K293" s="11">
        <f>IF(I293="","",COUNTIFS(tblPCSInput[Call Date/Time],"&gt;="&amp;(SETUP!$B$5),tblPCSInput[Call Date/Time],"&lt;"&amp;(SETUP!$B$5+1),tblPCSInput[Call Direction],"I",tblPCSInput[Agent ID],$A293,tblPCSInput[Valid Q1],"&gt;3"))</f>
        <v/>
      </c>
      <c r="L293" s="13">
        <f>IFERROR(G293/F293,"")</f>
        <v/>
      </c>
      <c r="M293" s="13">
        <f>IFERROR(H293/F293,"")</f>
        <v/>
      </c>
      <c r="N293" s="11">
        <f>IF($A293="","",MAX(0,G293-H293))</f>
        <v/>
      </c>
      <c r="O293" s="4">
        <f>IF($A293="","",IF(H293=0,"NO VALID SURVEY",IF(H293&lt;5,"LOW SAMPLE","OK")))</f>
        <v/>
      </c>
      <c r="P293" s="11">
        <f>IF($A293="","",COUNTIFS(tblPCSInput[Call Date/Time],"&gt;="&amp;(SETUP!$B$6),tblPCSInput[Call Date/Time],"&lt;"&amp;(SETUP!$B$7),tblPCSInput[Call Direction],"I",tblPCSInput[Agent ID],$A293,tblPCSInput[PCSStatus],1))</f>
        <v/>
      </c>
      <c r="Q293" s="11">
        <f>IF($A293="","",COUNTIFS(tblPCSInput[Call Date/Time],"&gt;="&amp;(SETUP!$B$6),tblPCSInput[Call Date/Time],"&lt;"&amp;(SETUP!$B$7),tblPCSInput[Call Direction],"I",tblPCSInput[Agent ID],$A293,tblPCSInput[Question 1],"&lt;&gt;"))</f>
        <v/>
      </c>
      <c r="R293" s="11">
        <f>IF($A293="","",COUNTIFS(tblPCSInput[Call Date/Time],"&gt;="&amp;(SETUP!$B$6),tblPCSInput[Call Date/Time],"&lt;"&amp;(SETUP!$B$7),tblPCSInput[Call Direction],"I",tblPCSInput[Agent ID],$A293,tblPCSInput[Valid Q1],"&gt;=1"))</f>
        <v/>
      </c>
      <c r="S293" s="12">
        <f>IFERROR(SUMIFS(tblPCSInput[Valid Q1],tblPCSInput[Call Date/Time],"&gt;="&amp;SETUP!$B$6,tblPCSInput[Call Date/Time],"&lt;"&amp;SETUP!$B$7,tblPCSInput[Call Direction],"I",tblPCSInput[Agent ID],$A293)/COUNTIFS(tblPCSInput[Call Date/Time],"&gt;="&amp;(SETUP!$B$6),tblPCSInput[Call Date/Time],"&lt;"&amp;(SETUP!$B$7),tblPCSInput[Call Direction],"I",tblPCSInput[Agent ID],$A293,tblPCSInput[Valid Q1],"&gt;=1"),"")</f>
        <v/>
      </c>
      <c r="T293" s="11">
        <f>IF(S293="","",COUNTIFS(tblPCSInput[Call Date/Time],"&gt;="&amp;(SETUP!$B$6),tblPCSInput[Call Date/Time],"&lt;"&amp;(SETUP!$B$7),tblPCSInput[Call Direction],"I",tblPCSInput[Agent ID],$A293,tblPCSInput[Valid Q1],"&lt;=3",tblPCSInput[Valid Q1],"&gt;=1"))</f>
        <v/>
      </c>
      <c r="U293" s="11">
        <f>IF(S293="","",COUNTIFS(tblPCSInput[Call Date/Time],"&gt;="&amp;(SETUP!$B$6),tblPCSInput[Call Date/Time],"&lt;"&amp;(SETUP!$B$7),tblPCSInput[Call Direction],"I",tblPCSInput[Agent ID],$A293,tblPCSInput[Valid Q1],"&gt;3"))</f>
        <v/>
      </c>
      <c r="V293" s="13">
        <f>IFERROR(Q293/P293,"")</f>
        <v/>
      </c>
      <c r="W293" s="13">
        <f>IFERROR(R293/P293,"")</f>
        <v/>
      </c>
    </row>
    <row r="294" spans="1:23">
      <c r="A294" s="4">
        <f>IF(ROSTER!A294="","",ROSTER!A294)</f>
        <v/>
      </c>
      <c r="B294" s="4">
        <f>IF($A294="","",ROSTER!C294)</f>
        <v/>
      </c>
      <c r="C294" s="4">
        <f>IF($A294="","",ROSTER!D294)</f>
        <v/>
      </c>
      <c r="D294" s="4">
        <f>IF($A294="","",ROSTER!E294)</f>
        <v/>
      </c>
      <c r="E294" s="4">
        <f>IF($A294="","",ROSTER!F294)</f>
        <v/>
      </c>
      <c r="F294" s="11">
        <f>IF($A294="","",COUNTIFS(tblPCSInput[Call Date/Time],"&gt;="&amp;(SETUP!$B$5),tblPCSInput[Call Date/Time],"&lt;"&amp;(SETUP!$B$5+1),tblPCSInput[Call Direction],"I",tblPCSInput[Agent ID],$A294,tblPCSInput[PCSStatus],1))</f>
        <v/>
      </c>
      <c r="G294" s="11">
        <f>IF($A294="","",COUNTIFS(tblPCSInput[Call Date/Time],"&gt;="&amp;(SETUP!$B$5),tblPCSInput[Call Date/Time],"&lt;"&amp;(SETUP!$B$5+1),tblPCSInput[Call Direction],"I",tblPCSInput[Agent ID],$A294,tblPCSInput[Question 1],"&lt;&gt;"))</f>
        <v/>
      </c>
      <c r="H294" s="11">
        <f>IF($A294="","",COUNTIFS(tblPCSInput[Call Date/Time],"&gt;="&amp;(SETUP!$B$5),tblPCSInput[Call Date/Time],"&lt;"&amp;(SETUP!$B$5+1),tblPCSInput[Call Direction],"I",tblPCSInput[Agent ID],$A294,tblPCSInput[Valid Q1],"&gt;=1"))</f>
        <v/>
      </c>
      <c r="I294" s="12">
        <f>IFERROR(SUMIFS(tblPCSInput[Valid Q1],tblPCSInput[Call Date/Time],"&gt;="&amp;SETUP!$B$5,tblPCSInput[Call Date/Time],"&lt;"&amp;SETUP!$B$5+1,tblPCSInput[Call Direction],"I",tblPCSInput[Agent ID],$A294)/COUNTIFS(tblPCSInput[Call Date/Time],"&gt;="&amp;(SETUP!$B$5),tblPCSInput[Call Date/Time],"&lt;"&amp;(SETUP!$B$5+1),tblPCSInput[Call Direction],"I",tblPCSInput[Agent ID],$A294,tblPCSInput[Valid Q1],"&gt;=1"),"")</f>
        <v/>
      </c>
      <c r="J294" s="11">
        <f>IF(I294="","",COUNTIFS(tblPCSInput[Call Date/Time],"&gt;="&amp;(SETUP!$B$5),tblPCSInput[Call Date/Time],"&lt;"&amp;(SETUP!$B$5+1),tblPCSInput[Call Direction],"I",tblPCSInput[Agent ID],$A294,tblPCSInput[Valid Q1],"&lt;=3",tblPCSInput[Valid Q1],"&gt;=1"))</f>
        <v/>
      </c>
      <c r="K294" s="11">
        <f>IF(I294="","",COUNTIFS(tblPCSInput[Call Date/Time],"&gt;="&amp;(SETUP!$B$5),tblPCSInput[Call Date/Time],"&lt;"&amp;(SETUP!$B$5+1),tblPCSInput[Call Direction],"I",tblPCSInput[Agent ID],$A294,tblPCSInput[Valid Q1],"&gt;3"))</f>
        <v/>
      </c>
      <c r="L294" s="13">
        <f>IFERROR(G294/F294,"")</f>
        <v/>
      </c>
      <c r="M294" s="13">
        <f>IFERROR(H294/F294,"")</f>
        <v/>
      </c>
      <c r="N294" s="11">
        <f>IF($A294="","",MAX(0,G294-H294))</f>
        <v/>
      </c>
      <c r="O294" s="4">
        <f>IF($A294="","",IF(H294=0,"NO VALID SURVEY",IF(H294&lt;5,"LOW SAMPLE","OK")))</f>
        <v/>
      </c>
      <c r="P294" s="11">
        <f>IF($A294="","",COUNTIFS(tblPCSInput[Call Date/Time],"&gt;="&amp;(SETUP!$B$6),tblPCSInput[Call Date/Time],"&lt;"&amp;(SETUP!$B$7),tblPCSInput[Call Direction],"I",tblPCSInput[Agent ID],$A294,tblPCSInput[PCSStatus],1))</f>
        <v/>
      </c>
      <c r="Q294" s="11">
        <f>IF($A294="","",COUNTIFS(tblPCSInput[Call Date/Time],"&gt;="&amp;(SETUP!$B$6),tblPCSInput[Call Date/Time],"&lt;"&amp;(SETUP!$B$7),tblPCSInput[Call Direction],"I",tblPCSInput[Agent ID],$A294,tblPCSInput[Question 1],"&lt;&gt;"))</f>
        <v/>
      </c>
      <c r="R294" s="11">
        <f>IF($A294="","",COUNTIFS(tblPCSInput[Call Date/Time],"&gt;="&amp;(SETUP!$B$6),tblPCSInput[Call Date/Time],"&lt;"&amp;(SETUP!$B$7),tblPCSInput[Call Direction],"I",tblPCSInput[Agent ID],$A294,tblPCSInput[Valid Q1],"&gt;=1"))</f>
        <v/>
      </c>
      <c r="S294" s="12">
        <f>IFERROR(SUMIFS(tblPCSInput[Valid Q1],tblPCSInput[Call Date/Time],"&gt;="&amp;SETUP!$B$6,tblPCSInput[Call Date/Time],"&lt;"&amp;SETUP!$B$7,tblPCSInput[Call Direction],"I",tblPCSInput[Agent ID],$A294)/COUNTIFS(tblPCSInput[Call Date/Time],"&gt;="&amp;(SETUP!$B$6),tblPCSInput[Call Date/Time],"&lt;"&amp;(SETUP!$B$7),tblPCSInput[Call Direction],"I",tblPCSInput[Agent ID],$A294,tblPCSInput[Valid Q1],"&gt;=1"),"")</f>
        <v/>
      </c>
      <c r="T294" s="11">
        <f>IF(S294="","",COUNTIFS(tblPCSInput[Call Date/Time],"&gt;="&amp;(SETUP!$B$6),tblPCSInput[Call Date/Time],"&lt;"&amp;(SETUP!$B$7),tblPCSInput[Call Direction],"I",tblPCSInput[Agent ID],$A294,tblPCSInput[Valid Q1],"&lt;=3",tblPCSInput[Valid Q1],"&gt;=1"))</f>
        <v/>
      </c>
      <c r="U294" s="11">
        <f>IF(S294="","",COUNTIFS(tblPCSInput[Call Date/Time],"&gt;="&amp;(SETUP!$B$6),tblPCSInput[Call Date/Time],"&lt;"&amp;(SETUP!$B$7),tblPCSInput[Call Direction],"I",tblPCSInput[Agent ID],$A294,tblPCSInput[Valid Q1],"&gt;3"))</f>
        <v/>
      </c>
      <c r="V294" s="13">
        <f>IFERROR(Q294/P294,"")</f>
        <v/>
      </c>
      <c r="W294" s="13">
        <f>IFERROR(R294/P294,"")</f>
        <v/>
      </c>
    </row>
    <row r="295" spans="1:23">
      <c r="A295" s="4">
        <f>IF(ROSTER!A295="","",ROSTER!A295)</f>
        <v/>
      </c>
      <c r="B295" s="4">
        <f>IF($A295="","",ROSTER!C295)</f>
        <v/>
      </c>
      <c r="C295" s="4">
        <f>IF($A295="","",ROSTER!D295)</f>
        <v/>
      </c>
      <c r="D295" s="4">
        <f>IF($A295="","",ROSTER!E295)</f>
        <v/>
      </c>
      <c r="E295" s="4">
        <f>IF($A295="","",ROSTER!F295)</f>
        <v/>
      </c>
      <c r="F295" s="11">
        <f>IF($A295="","",COUNTIFS(tblPCSInput[Call Date/Time],"&gt;="&amp;(SETUP!$B$5),tblPCSInput[Call Date/Time],"&lt;"&amp;(SETUP!$B$5+1),tblPCSInput[Call Direction],"I",tblPCSInput[Agent ID],$A295,tblPCSInput[PCSStatus],1))</f>
        <v/>
      </c>
      <c r="G295" s="11">
        <f>IF($A295="","",COUNTIFS(tblPCSInput[Call Date/Time],"&gt;="&amp;(SETUP!$B$5),tblPCSInput[Call Date/Time],"&lt;"&amp;(SETUP!$B$5+1),tblPCSInput[Call Direction],"I",tblPCSInput[Agent ID],$A295,tblPCSInput[Question 1],"&lt;&gt;"))</f>
        <v/>
      </c>
      <c r="H295" s="11">
        <f>IF($A295="","",COUNTIFS(tblPCSInput[Call Date/Time],"&gt;="&amp;(SETUP!$B$5),tblPCSInput[Call Date/Time],"&lt;"&amp;(SETUP!$B$5+1),tblPCSInput[Call Direction],"I",tblPCSInput[Agent ID],$A295,tblPCSInput[Valid Q1],"&gt;=1"))</f>
        <v/>
      </c>
      <c r="I295" s="12">
        <f>IFERROR(SUMIFS(tblPCSInput[Valid Q1],tblPCSInput[Call Date/Time],"&gt;="&amp;SETUP!$B$5,tblPCSInput[Call Date/Time],"&lt;"&amp;SETUP!$B$5+1,tblPCSInput[Call Direction],"I",tblPCSInput[Agent ID],$A295)/COUNTIFS(tblPCSInput[Call Date/Time],"&gt;="&amp;(SETUP!$B$5),tblPCSInput[Call Date/Time],"&lt;"&amp;(SETUP!$B$5+1),tblPCSInput[Call Direction],"I",tblPCSInput[Agent ID],$A295,tblPCSInput[Valid Q1],"&gt;=1"),"")</f>
        <v/>
      </c>
      <c r="J295" s="11">
        <f>IF(I295="","",COUNTIFS(tblPCSInput[Call Date/Time],"&gt;="&amp;(SETUP!$B$5),tblPCSInput[Call Date/Time],"&lt;"&amp;(SETUP!$B$5+1),tblPCSInput[Call Direction],"I",tblPCSInput[Agent ID],$A295,tblPCSInput[Valid Q1],"&lt;=3",tblPCSInput[Valid Q1],"&gt;=1"))</f>
        <v/>
      </c>
      <c r="K295" s="11">
        <f>IF(I295="","",COUNTIFS(tblPCSInput[Call Date/Time],"&gt;="&amp;(SETUP!$B$5),tblPCSInput[Call Date/Time],"&lt;"&amp;(SETUP!$B$5+1),tblPCSInput[Call Direction],"I",tblPCSInput[Agent ID],$A295,tblPCSInput[Valid Q1],"&gt;3"))</f>
        <v/>
      </c>
      <c r="L295" s="13">
        <f>IFERROR(G295/F295,"")</f>
        <v/>
      </c>
      <c r="M295" s="13">
        <f>IFERROR(H295/F295,"")</f>
        <v/>
      </c>
      <c r="N295" s="11">
        <f>IF($A295="","",MAX(0,G295-H295))</f>
        <v/>
      </c>
      <c r="O295" s="4">
        <f>IF($A295="","",IF(H295=0,"NO VALID SURVEY",IF(H295&lt;5,"LOW SAMPLE","OK")))</f>
        <v/>
      </c>
      <c r="P295" s="11">
        <f>IF($A295="","",COUNTIFS(tblPCSInput[Call Date/Time],"&gt;="&amp;(SETUP!$B$6),tblPCSInput[Call Date/Time],"&lt;"&amp;(SETUP!$B$7),tblPCSInput[Call Direction],"I",tblPCSInput[Agent ID],$A295,tblPCSInput[PCSStatus],1))</f>
        <v/>
      </c>
      <c r="Q295" s="11">
        <f>IF($A295="","",COUNTIFS(tblPCSInput[Call Date/Time],"&gt;="&amp;(SETUP!$B$6),tblPCSInput[Call Date/Time],"&lt;"&amp;(SETUP!$B$7),tblPCSInput[Call Direction],"I",tblPCSInput[Agent ID],$A295,tblPCSInput[Question 1],"&lt;&gt;"))</f>
        <v/>
      </c>
      <c r="R295" s="11">
        <f>IF($A295="","",COUNTIFS(tblPCSInput[Call Date/Time],"&gt;="&amp;(SETUP!$B$6),tblPCSInput[Call Date/Time],"&lt;"&amp;(SETUP!$B$7),tblPCSInput[Call Direction],"I",tblPCSInput[Agent ID],$A295,tblPCSInput[Valid Q1],"&gt;=1"))</f>
        <v/>
      </c>
      <c r="S295" s="12">
        <f>IFERROR(SUMIFS(tblPCSInput[Valid Q1],tblPCSInput[Call Date/Time],"&gt;="&amp;SETUP!$B$6,tblPCSInput[Call Date/Time],"&lt;"&amp;SETUP!$B$7,tblPCSInput[Call Direction],"I",tblPCSInput[Agent ID],$A295)/COUNTIFS(tblPCSInput[Call Date/Time],"&gt;="&amp;(SETUP!$B$6),tblPCSInput[Call Date/Time],"&lt;"&amp;(SETUP!$B$7),tblPCSInput[Call Direction],"I",tblPCSInput[Agent ID],$A295,tblPCSInput[Valid Q1],"&gt;=1"),"")</f>
        <v/>
      </c>
      <c r="T295" s="11">
        <f>IF(S295="","",COUNTIFS(tblPCSInput[Call Date/Time],"&gt;="&amp;(SETUP!$B$6),tblPCSInput[Call Date/Time],"&lt;"&amp;(SETUP!$B$7),tblPCSInput[Call Direction],"I",tblPCSInput[Agent ID],$A295,tblPCSInput[Valid Q1],"&lt;=3",tblPCSInput[Valid Q1],"&gt;=1"))</f>
        <v/>
      </c>
      <c r="U295" s="11">
        <f>IF(S295="","",COUNTIFS(tblPCSInput[Call Date/Time],"&gt;="&amp;(SETUP!$B$6),tblPCSInput[Call Date/Time],"&lt;"&amp;(SETUP!$B$7),tblPCSInput[Call Direction],"I",tblPCSInput[Agent ID],$A295,tblPCSInput[Valid Q1],"&gt;3"))</f>
        <v/>
      </c>
      <c r="V295" s="13">
        <f>IFERROR(Q295/P295,"")</f>
        <v/>
      </c>
      <c r="W295" s="13">
        <f>IFERROR(R295/P295,"")</f>
        <v/>
      </c>
    </row>
    <row r="296" spans="1:23">
      <c r="A296" s="4">
        <f>IF(ROSTER!A296="","",ROSTER!A296)</f>
        <v/>
      </c>
      <c r="B296" s="4">
        <f>IF($A296="","",ROSTER!C296)</f>
        <v/>
      </c>
      <c r="C296" s="4">
        <f>IF($A296="","",ROSTER!D296)</f>
        <v/>
      </c>
      <c r="D296" s="4">
        <f>IF($A296="","",ROSTER!E296)</f>
        <v/>
      </c>
      <c r="E296" s="4">
        <f>IF($A296="","",ROSTER!F296)</f>
        <v/>
      </c>
      <c r="F296" s="11">
        <f>IF($A296="","",COUNTIFS(tblPCSInput[Call Date/Time],"&gt;="&amp;(SETUP!$B$5),tblPCSInput[Call Date/Time],"&lt;"&amp;(SETUP!$B$5+1),tblPCSInput[Call Direction],"I",tblPCSInput[Agent ID],$A296,tblPCSInput[PCSStatus],1))</f>
        <v/>
      </c>
      <c r="G296" s="11">
        <f>IF($A296="","",COUNTIFS(tblPCSInput[Call Date/Time],"&gt;="&amp;(SETUP!$B$5),tblPCSInput[Call Date/Time],"&lt;"&amp;(SETUP!$B$5+1),tblPCSInput[Call Direction],"I",tblPCSInput[Agent ID],$A296,tblPCSInput[Question 1],"&lt;&gt;"))</f>
        <v/>
      </c>
      <c r="H296" s="11">
        <f>IF($A296="","",COUNTIFS(tblPCSInput[Call Date/Time],"&gt;="&amp;(SETUP!$B$5),tblPCSInput[Call Date/Time],"&lt;"&amp;(SETUP!$B$5+1),tblPCSInput[Call Direction],"I",tblPCSInput[Agent ID],$A296,tblPCSInput[Valid Q1],"&gt;=1"))</f>
        <v/>
      </c>
      <c r="I296" s="12">
        <f>IFERROR(SUMIFS(tblPCSInput[Valid Q1],tblPCSInput[Call Date/Time],"&gt;="&amp;SETUP!$B$5,tblPCSInput[Call Date/Time],"&lt;"&amp;SETUP!$B$5+1,tblPCSInput[Call Direction],"I",tblPCSInput[Agent ID],$A296)/COUNTIFS(tblPCSInput[Call Date/Time],"&gt;="&amp;(SETUP!$B$5),tblPCSInput[Call Date/Time],"&lt;"&amp;(SETUP!$B$5+1),tblPCSInput[Call Direction],"I",tblPCSInput[Agent ID],$A296,tblPCSInput[Valid Q1],"&gt;=1"),"")</f>
        <v/>
      </c>
      <c r="J296" s="11">
        <f>IF(I296="","",COUNTIFS(tblPCSInput[Call Date/Time],"&gt;="&amp;(SETUP!$B$5),tblPCSInput[Call Date/Time],"&lt;"&amp;(SETUP!$B$5+1),tblPCSInput[Call Direction],"I",tblPCSInput[Agent ID],$A296,tblPCSInput[Valid Q1],"&lt;=3",tblPCSInput[Valid Q1],"&gt;=1"))</f>
        <v/>
      </c>
      <c r="K296" s="11">
        <f>IF(I296="","",COUNTIFS(tblPCSInput[Call Date/Time],"&gt;="&amp;(SETUP!$B$5),tblPCSInput[Call Date/Time],"&lt;"&amp;(SETUP!$B$5+1),tblPCSInput[Call Direction],"I",tblPCSInput[Agent ID],$A296,tblPCSInput[Valid Q1],"&gt;3"))</f>
        <v/>
      </c>
      <c r="L296" s="13">
        <f>IFERROR(G296/F296,"")</f>
        <v/>
      </c>
      <c r="M296" s="13">
        <f>IFERROR(H296/F296,"")</f>
        <v/>
      </c>
      <c r="N296" s="11">
        <f>IF($A296="","",MAX(0,G296-H296))</f>
        <v/>
      </c>
      <c r="O296" s="4">
        <f>IF($A296="","",IF(H296=0,"NO VALID SURVEY",IF(H296&lt;5,"LOW SAMPLE","OK")))</f>
        <v/>
      </c>
      <c r="P296" s="11">
        <f>IF($A296="","",COUNTIFS(tblPCSInput[Call Date/Time],"&gt;="&amp;(SETUP!$B$6),tblPCSInput[Call Date/Time],"&lt;"&amp;(SETUP!$B$7),tblPCSInput[Call Direction],"I",tblPCSInput[Agent ID],$A296,tblPCSInput[PCSStatus],1))</f>
        <v/>
      </c>
      <c r="Q296" s="11">
        <f>IF($A296="","",COUNTIFS(tblPCSInput[Call Date/Time],"&gt;="&amp;(SETUP!$B$6),tblPCSInput[Call Date/Time],"&lt;"&amp;(SETUP!$B$7),tblPCSInput[Call Direction],"I",tblPCSInput[Agent ID],$A296,tblPCSInput[Question 1],"&lt;&gt;"))</f>
        <v/>
      </c>
      <c r="R296" s="11">
        <f>IF($A296="","",COUNTIFS(tblPCSInput[Call Date/Time],"&gt;="&amp;(SETUP!$B$6),tblPCSInput[Call Date/Time],"&lt;"&amp;(SETUP!$B$7),tblPCSInput[Call Direction],"I",tblPCSInput[Agent ID],$A296,tblPCSInput[Valid Q1],"&gt;=1"))</f>
        <v/>
      </c>
      <c r="S296" s="12">
        <f>IFERROR(SUMIFS(tblPCSInput[Valid Q1],tblPCSInput[Call Date/Time],"&gt;="&amp;SETUP!$B$6,tblPCSInput[Call Date/Time],"&lt;"&amp;SETUP!$B$7,tblPCSInput[Call Direction],"I",tblPCSInput[Agent ID],$A296)/COUNTIFS(tblPCSInput[Call Date/Time],"&gt;="&amp;(SETUP!$B$6),tblPCSInput[Call Date/Time],"&lt;"&amp;(SETUP!$B$7),tblPCSInput[Call Direction],"I",tblPCSInput[Agent ID],$A296,tblPCSInput[Valid Q1],"&gt;=1"),"")</f>
        <v/>
      </c>
      <c r="T296" s="11">
        <f>IF(S296="","",COUNTIFS(tblPCSInput[Call Date/Time],"&gt;="&amp;(SETUP!$B$6),tblPCSInput[Call Date/Time],"&lt;"&amp;(SETUP!$B$7),tblPCSInput[Call Direction],"I",tblPCSInput[Agent ID],$A296,tblPCSInput[Valid Q1],"&lt;=3",tblPCSInput[Valid Q1],"&gt;=1"))</f>
        <v/>
      </c>
      <c r="U296" s="11">
        <f>IF(S296="","",COUNTIFS(tblPCSInput[Call Date/Time],"&gt;="&amp;(SETUP!$B$6),tblPCSInput[Call Date/Time],"&lt;"&amp;(SETUP!$B$7),tblPCSInput[Call Direction],"I",tblPCSInput[Agent ID],$A296,tblPCSInput[Valid Q1],"&gt;3"))</f>
        <v/>
      </c>
      <c r="V296" s="13">
        <f>IFERROR(Q296/P296,"")</f>
        <v/>
      </c>
      <c r="W296" s="13">
        <f>IFERROR(R296/P296,"")</f>
        <v/>
      </c>
    </row>
    <row r="297" spans="1:23">
      <c r="A297" s="4">
        <f>IF(ROSTER!A297="","",ROSTER!A297)</f>
        <v/>
      </c>
      <c r="B297" s="4">
        <f>IF($A297="","",ROSTER!C297)</f>
        <v/>
      </c>
      <c r="C297" s="4">
        <f>IF($A297="","",ROSTER!D297)</f>
        <v/>
      </c>
      <c r="D297" s="4">
        <f>IF($A297="","",ROSTER!E297)</f>
        <v/>
      </c>
      <c r="E297" s="4">
        <f>IF($A297="","",ROSTER!F297)</f>
        <v/>
      </c>
      <c r="F297" s="11">
        <f>IF($A297="","",COUNTIFS(tblPCSInput[Call Date/Time],"&gt;="&amp;(SETUP!$B$5),tblPCSInput[Call Date/Time],"&lt;"&amp;(SETUP!$B$5+1),tblPCSInput[Call Direction],"I",tblPCSInput[Agent ID],$A297,tblPCSInput[PCSStatus],1))</f>
        <v/>
      </c>
      <c r="G297" s="11">
        <f>IF($A297="","",COUNTIFS(tblPCSInput[Call Date/Time],"&gt;="&amp;(SETUP!$B$5),tblPCSInput[Call Date/Time],"&lt;"&amp;(SETUP!$B$5+1),tblPCSInput[Call Direction],"I",tblPCSInput[Agent ID],$A297,tblPCSInput[Question 1],"&lt;&gt;"))</f>
        <v/>
      </c>
      <c r="H297" s="11">
        <f>IF($A297="","",COUNTIFS(tblPCSInput[Call Date/Time],"&gt;="&amp;(SETUP!$B$5),tblPCSInput[Call Date/Time],"&lt;"&amp;(SETUP!$B$5+1),tblPCSInput[Call Direction],"I",tblPCSInput[Agent ID],$A297,tblPCSInput[Valid Q1],"&gt;=1"))</f>
        <v/>
      </c>
      <c r="I297" s="12">
        <f>IFERROR(SUMIFS(tblPCSInput[Valid Q1],tblPCSInput[Call Date/Time],"&gt;="&amp;SETUP!$B$5,tblPCSInput[Call Date/Time],"&lt;"&amp;SETUP!$B$5+1,tblPCSInput[Call Direction],"I",tblPCSInput[Agent ID],$A297)/COUNTIFS(tblPCSInput[Call Date/Time],"&gt;="&amp;(SETUP!$B$5),tblPCSInput[Call Date/Time],"&lt;"&amp;(SETUP!$B$5+1),tblPCSInput[Call Direction],"I",tblPCSInput[Agent ID],$A297,tblPCSInput[Valid Q1],"&gt;=1"),"")</f>
        <v/>
      </c>
      <c r="J297" s="11">
        <f>IF(I297="","",COUNTIFS(tblPCSInput[Call Date/Time],"&gt;="&amp;(SETUP!$B$5),tblPCSInput[Call Date/Time],"&lt;"&amp;(SETUP!$B$5+1),tblPCSInput[Call Direction],"I",tblPCSInput[Agent ID],$A297,tblPCSInput[Valid Q1],"&lt;=3",tblPCSInput[Valid Q1],"&gt;=1"))</f>
        <v/>
      </c>
      <c r="K297" s="11">
        <f>IF(I297="","",COUNTIFS(tblPCSInput[Call Date/Time],"&gt;="&amp;(SETUP!$B$5),tblPCSInput[Call Date/Time],"&lt;"&amp;(SETUP!$B$5+1),tblPCSInput[Call Direction],"I",tblPCSInput[Agent ID],$A297,tblPCSInput[Valid Q1],"&gt;3"))</f>
        <v/>
      </c>
      <c r="L297" s="13">
        <f>IFERROR(G297/F297,"")</f>
        <v/>
      </c>
      <c r="M297" s="13">
        <f>IFERROR(H297/F297,"")</f>
        <v/>
      </c>
      <c r="N297" s="11">
        <f>IF($A297="","",MAX(0,G297-H297))</f>
        <v/>
      </c>
      <c r="O297" s="4">
        <f>IF($A297="","",IF(H297=0,"NO VALID SURVEY",IF(H297&lt;5,"LOW SAMPLE","OK")))</f>
        <v/>
      </c>
      <c r="P297" s="11">
        <f>IF($A297="","",COUNTIFS(tblPCSInput[Call Date/Time],"&gt;="&amp;(SETUP!$B$6),tblPCSInput[Call Date/Time],"&lt;"&amp;(SETUP!$B$7),tblPCSInput[Call Direction],"I",tblPCSInput[Agent ID],$A297,tblPCSInput[PCSStatus],1))</f>
        <v/>
      </c>
      <c r="Q297" s="11">
        <f>IF($A297="","",COUNTIFS(tblPCSInput[Call Date/Time],"&gt;="&amp;(SETUP!$B$6),tblPCSInput[Call Date/Time],"&lt;"&amp;(SETUP!$B$7),tblPCSInput[Call Direction],"I",tblPCSInput[Agent ID],$A297,tblPCSInput[Question 1],"&lt;&gt;"))</f>
        <v/>
      </c>
      <c r="R297" s="11">
        <f>IF($A297="","",COUNTIFS(tblPCSInput[Call Date/Time],"&gt;="&amp;(SETUP!$B$6),tblPCSInput[Call Date/Time],"&lt;"&amp;(SETUP!$B$7),tblPCSInput[Call Direction],"I",tblPCSInput[Agent ID],$A297,tblPCSInput[Valid Q1],"&gt;=1"))</f>
        <v/>
      </c>
      <c r="S297" s="12">
        <f>IFERROR(SUMIFS(tblPCSInput[Valid Q1],tblPCSInput[Call Date/Time],"&gt;="&amp;SETUP!$B$6,tblPCSInput[Call Date/Time],"&lt;"&amp;SETUP!$B$7,tblPCSInput[Call Direction],"I",tblPCSInput[Agent ID],$A297)/COUNTIFS(tblPCSInput[Call Date/Time],"&gt;="&amp;(SETUP!$B$6),tblPCSInput[Call Date/Time],"&lt;"&amp;(SETUP!$B$7),tblPCSInput[Call Direction],"I",tblPCSInput[Agent ID],$A297,tblPCSInput[Valid Q1],"&gt;=1"),"")</f>
        <v/>
      </c>
      <c r="T297" s="11">
        <f>IF(S297="","",COUNTIFS(tblPCSInput[Call Date/Time],"&gt;="&amp;(SETUP!$B$6),tblPCSInput[Call Date/Time],"&lt;"&amp;(SETUP!$B$7),tblPCSInput[Call Direction],"I",tblPCSInput[Agent ID],$A297,tblPCSInput[Valid Q1],"&lt;=3",tblPCSInput[Valid Q1],"&gt;=1"))</f>
        <v/>
      </c>
      <c r="U297" s="11">
        <f>IF(S297="","",COUNTIFS(tblPCSInput[Call Date/Time],"&gt;="&amp;(SETUP!$B$6),tblPCSInput[Call Date/Time],"&lt;"&amp;(SETUP!$B$7),tblPCSInput[Call Direction],"I",tblPCSInput[Agent ID],$A297,tblPCSInput[Valid Q1],"&gt;3"))</f>
        <v/>
      </c>
      <c r="V297" s="13">
        <f>IFERROR(Q297/P297,"")</f>
        <v/>
      </c>
      <c r="W297" s="13">
        <f>IFERROR(R297/P297,"")</f>
        <v/>
      </c>
    </row>
    <row r="298" spans="1:23">
      <c r="A298" s="4">
        <f>IF(ROSTER!A298="","",ROSTER!A298)</f>
        <v/>
      </c>
      <c r="B298" s="4">
        <f>IF($A298="","",ROSTER!C298)</f>
        <v/>
      </c>
      <c r="C298" s="4">
        <f>IF($A298="","",ROSTER!D298)</f>
        <v/>
      </c>
      <c r="D298" s="4">
        <f>IF($A298="","",ROSTER!E298)</f>
        <v/>
      </c>
      <c r="E298" s="4">
        <f>IF($A298="","",ROSTER!F298)</f>
        <v/>
      </c>
      <c r="F298" s="11">
        <f>IF($A298="","",COUNTIFS(tblPCSInput[Call Date/Time],"&gt;="&amp;(SETUP!$B$5),tblPCSInput[Call Date/Time],"&lt;"&amp;(SETUP!$B$5+1),tblPCSInput[Call Direction],"I",tblPCSInput[Agent ID],$A298,tblPCSInput[PCSStatus],1))</f>
        <v/>
      </c>
      <c r="G298" s="11">
        <f>IF($A298="","",COUNTIFS(tblPCSInput[Call Date/Time],"&gt;="&amp;(SETUP!$B$5),tblPCSInput[Call Date/Time],"&lt;"&amp;(SETUP!$B$5+1),tblPCSInput[Call Direction],"I",tblPCSInput[Agent ID],$A298,tblPCSInput[Question 1],"&lt;&gt;"))</f>
        <v/>
      </c>
      <c r="H298" s="11">
        <f>IF($A298="","",COUNTIFS(tblPCSInput[Call Date/Time],"&gt;="&amp;(SETUP!$B$5),tblPCSInput[Call Date/Time],"&lt;"&amp;(SETUP!$B$5+1),tblPCSInput[Call Direction],"I",tblPCSInput[Agent ID],$A298,tblPCSInput[Valid Q1],"&gt;=1"))</f>
        <v/>
      </c>
      <c r="I298" s="12">
        <f>IFERROR(SUMIFS(tblPCSInput[Valid Q1],tblPCSInput[Call Date/Time],"&gt;="&amp;SETUP!$B$5,tblPCSInput[Call Date/Time],"&lt;"&amp;SETUP!$B$5+1,tblPCSInput[Call Direction],"I",tblPCSInput[Agent ID],$A298)/COUNTIFS(tblPCSInput[Call Date/Time],"&gt;="&amp;(SETUP!$B$5),tblPCSInput[Call Date/Time],"&lt;"&amp;(SETUP!$B$5+1),tblPCSInput[Call Direction],"I",tblPCSInput[Agent ID],$A298,tblPCSInput[Valid Q1],"&gt;=1"),"")</f>
        <v/>
      </c>
      <c r="J298" s="11">
        <f>IF(I298="","",COUNTIFS(tblPCSInput[Call Date/Time],"&gt;="&amp;(SETUP!$B$5),tblPCSInput[Call Date/Time],"&lt;"&amp;(SETUP!$B$5+1),tblPCSInput[Call Direction],"I",tblPCSInput[Agent ID],$A298,tblPCSInput[Valid Q1],"&lt;=3",tblPCSInput[Valid Q1],"&gt;=1"))</f>
        <v/>
      </c>
      <c r="K298" s="11">
        <f>IF(I298="","",COUNTIFS(tblPCSInput[Call Date/Time],"&gt;="&amp;(SETUP!$B$5),tblPCSInput[Call Date/Time],"&lt;"&amp;(SETUP!$B$5+1),tblPCSInput[Call Direction],"I",tblPCSInput[Agent ID],$A298,tblPCSInput[Valid Q1],"&gt;3"))</f>
        <v/>
      </c>
      <c r="L298" s="13">
        <f>IFERROR(G298/F298,"")</f>
        <v/>
      </c>
      <c r="M298" s="13">
        <f>IFERROR(H298/F298,"")</f>
        <v/>
      </c>
      <c r="N298" s="11">
        <f>IF($A298="","",MAX(0,G298-H298))</f>
        <v/>
      </c>
      <c r="O298" s="4">
        <f>IF($A298="","",IF(H298=0,"NO VALID SURVEY",IF(H298&lt;5,"LOW SAMPLE","OK")))</f>
        <v/>
      </c>
      <c r="P298" s="11">
        <f>IF($A298="","",COUNTIFS(tblPCSInput[Call Date/Time],"&gt;="&amp;(SETUP!$B$6),tblPCSInput[Call Date/Time],"&lt;"&amp;(SETUP!$B$7),tblPCSInput[Call Direction],"I",tblPCSInput[Agent ID],$A298,tblPCSInput[PCSStatus],1))</f>
        <v/>
      </c>
      <c r="Q298" s="11">
        <f>IF($A298="","",COUNTIFS(tblPCSInput[Call Date/Time],"&gt;="&amp;(SETUP!$B$6),tblPCSInput[Call Date/Time],"&lt;"&amp;(SETUP!$B$7),tblPCSInput[Call Direction],"I",tblPCSInput[Agent ID],$A298,tblPCSInput[Question 1],"&lt;&gt;"))</f>
        <v/>
      </c>
      <c r="R298" s="11">
        <f>IF($A298="","",COUNTIFS(tblPCSInput[Call Date/Time],"&gt;="&amp;(SETUP!$B$6),tblPCSInput[Call Date/Time],"&lt;"&amp;(SETUP!$B$7),tblPCSInput[Call Direction],"I",tblPCSInput[Agent ID],$A298,tblPCSInput[Valid Q1],"&gt;=1"))</f>
        <v/>
      </c>
      <c r="S298" s="12">
        <f>IFERROR(SUMIFS(tblPCSInput[Valid Q1],tblPCSInput[Call Date/Time],"&gt;="&amp;SETUP!$B$6,tblPCSInput[Call Date/Time],"&lt;"&amp;SETUP!$B$7,tblPCSInput[Call Direction],"I",tblPCSInput[Agent ID],$A298)/COUNTIFS(tblPCSInput[Call Date/Time],"&gt;="&amp;(SETUP!$B$6),tblPCSInput[Call Date/Time],"&lt;"&amp;(SETUP!$B$7),tblPCSInput[Call Direction],"I",tblPCSInput[Agent ID],$A298,tblPCSInput[Valid Q1],"&gt;=1"),"")</f>
        <v/>
      </c>
      <c r="T298" s="11">
        <f>IF(S298="","",COUNTIFS(tblPCSInput[Call Date/Time],"&gt;="&amp;(SETUP!$B$6),tblPCSInput[Call Date/Time],"&lt;"&amp;(SETUP!$B$7),tblPCSInput[Call Direction],"I",tblPCSInput[Agent ID],$A298,tblPCSInput[Valid Q1],"&lt;=3",tblPCSInput[Valid Q1],"&gt;=1"))</f>
        <v/>
      </c>
      <c r="U298" s="11">
        <f>IF(S298="","",COUNTIFS(tblPCSInput[Call Date/Time],"&gt;="&amp;(SETUP!$B$6),tblPCSInput[Call Date/Time],"&lt;"&amp;(SETUP!$B$7),tblPCSInput[Call Direction],"I",tblPCSInput[Agent ID],$A298,tblPCSInput[Valid Q1],"&gt;3"))</f>
        <v/>
      </c>
      <c r="V298" s="13">
        <f>IFERROR(Q298/P298,"")</f>
        <v/>
      </c>
      <c r="W298" s="13">
        <f>IFERROR(R298/P298,"")</f>
        <v/>
      </c>
    </row>
    <row r="299" spans="1:23">
      <c r="A299" s="4">
        <f>IF(ROSTER!A299="","",ROSTER!A299)</f>
        <v/>
      </c>
      <c r="B299" s="4">
        <f>IF($A299="","",ROSTER!C299)</f>
        <v/>
      </c>
      <c r="C299" s="4">
        <f>IF($A299="","",ROSTER!D299)</f>
        <v/>
      </c>
      <c r="D299" s="4">
        <f>IF($A299="","",ROSTER!E299)</f>
        <v/>
      </c>
      <c r="E299" s="4">
        <f>IF($A299="","",ROSTER!F299)</f>
        <v/>
      </c>
      <c r="F299" s="11">
        <f>IF($A299="","",COUNTIFS(tblPCSInput[Call Date/Time],"&gt;="&amp;(SETUP!$B$5),tblPCSInput[Call Date/Time],"&lt;"&amp;(SETUP!$B$5+1),tblPCSInput[Call Direction],"I",tblPCSInput[Agent ID],$A299,tblPCSInput[PCSStatus],1))</f>
        <v/>
      </c>
      <c r="G299" s="11">
        <f>IF($A299="","",COUNTIFS(tblPCSInput[Call Date/Time],"&gt;="&amp;(SETUP!$B$5),tblPCSInput[Call Date/Time],"&lt;"&amp;(SETUP!$B$5+1),tblPCSInput[Call Direction],"I",tblPCSInput[Agent ID],$A299,tblPCSInput[Question 1],"&lt;&gt;"))</f>
        <v/>
      </c>
      <c r="H299" s="11">
        <f>IF($A299="","",COUNTIFS(tblPCSInput[Call Date/Time],"&gt;="&amp;(SETUP!$B$5),tblPCSInput[Call Date/Time],"&lt;"&amp;(SETUP!$B$5+1),tblPCSInput[Call Direction],"I",tblPCSInput[Agent ID],$A299,tblPCSInput[Valid Q1],"&gt;=1"))</f>
        <v/>
      </c>
      <c r="I299" s="12">
        <f>IFERROR(SUMIFS(tblPCSInput[Valid Q1],tblPCSInput[Call Date/Time],"&gt;="&amp;SETUP!$B$5,tblPCSInput[Call Date/Time],"&lt;"&amp;SETUP!$B$5+1,tblPCSInput[Call Direction],"I",tblPCSInput[Agent ID],$A299)/COUNTIFS(tblPCSInput[Call Date/Time],"&gt;="&amp;(SETUP!$B$5),tblPCSInput[Call Date/Time],"&lt;"&amp;(SETUP!$B$5+1),tblPCSInput[Call Direction],"I",tblPCSInput[Agent ID],$A299,tblPCSInput[Valid Q1],"&gt;=1"),"")</f>
        <v/>
      </c>
      <c r="J299" s="11">
        <f>IF(I299="","",COUNTIFS(tblPCSInput[Call Date/Time],"&gt;="&amp;(SETUP!$B$5),tblPCSInput[Call Date/Time],"&lt;"&amp;(SETUP!$B$5+1),tblPCSInput[Call Direction],"I",tblPCSInput[Agent ID],$A299,tblPCSInput[Valid Q1],"&lt;=3",tblPCSInput[Valid Q1],"&gt;=1"))</f>
        <v/>
      </c>
      <c r="K299" s="11">
        <f>IF(I299="","",COUNTIFS(tblPCSInput[Call Date/Time],"&gt;="&amp;(SETUP!$B$5),tblPCSInput[Call Date/Time],"&lt;"&amp;(SETUP!$B$5+1),tblPCSInput[Call Direction],"I",tblPCSInput[Agent ID],$A299,tblPCSInput[Valid Q1],"&gt;3"))</f>
        <v/>
      </c>
      <c r="L299" s="13">
        <f>IFERROR(G299/F299,"")</f>
        <v/>
      </c>
      <c r="M299" s="13">
        <f>IFERROR(H299/F299,"")</f>
        <v/>
      </c>
      <c r="N299" s="11">
        <f>IF($A299="","",MAX(0,G299-H299))</f>
        <v/>
      </c>
      <c r="O299" s="4">
        <f>IF($A299="","",IF(H299=0,"NO VALID SURVEY",IF(H299&lt;5,"LOW SAMPLE","OK")))</f>
        <v/>
      </c>
      <c r="P299" s="11">
        <f>IF($A299="","",COUNTIFS(tblPCSInput[Call Date/Time],"&gt;="&amp;(SETUP!$B$6),tblPCSInput[Call Date/Time],"&lt;"&amp;(SETUP!$B$7),tblPCSInput[Call Direction],"I",tblPCSInput[Agent ID],$A299,tblPCSInput[PCSStatus],1))</f>
        <v/>
      </c>
      <c r="Q299" s="11">
        <f>IF($A299="","",COUNTIFS(tblPCSInput[Call Date/Time],"&gt;="&amp;(SETUP!$B$6),tblPCSInput[Call Date/Time],"&lt;"&amp;(SETUP!$B$7),tblPCSInput[Call Direction],"I",tblPCSInput[Agent ID],$A299,tblPCSInput[Question 1],"&lt;&gt;"))</f>
        <v/>
      </c>
      <c r="R299" s="11">
        <f>IF($A299="","",COUNTIFS(tblPCSInput[Call Date/Time],"&gt;="&amp;(SETUP!$B$6),tblPCSInput[Call Date/Time],"&lt;"&amp;(SETUP!$B$7),tblPCSInput[Call Direction],"I",tblPCSInput[Agent ID],$A299,tblPCSInput[Valid Q1],"&gt;=1"))</f>
        <v/>
      </c>
      <c r="S299" s="12">
        <f>IFERROR(SUMIFS(tblPCSInput[Valid Q1],tblPCSInput[Call Date/Time],"&gt;="&amp;SETUP!$B$6,tblPCSInput[Call Date/Time],"&lt;"&amp;SETUP!$B$7,tblPCSInput[Call Direction],"I",tblPCSInput[Agent ID],$A299)/COUNTIFS(tblPCSInput[Call Date/Time],"&gt;="&amp;(SETUP!$B$6),tblPCSInput[Call Date/Time],"&lt;"&amp;(SETUP!$B$7),tblPCSInput[Call Direction],"I",tblPCSInput[Agent ID],$A299,tblPCSInput[Valid Q1],"&gt;=1"),"")</f>
        <v/>
      </c>
      <c r="T299" s="11">
        <f>IF(S299="","",COUNTIFS(tblPCSInput[Call Date/Time],"&gt;="&amp;(SETUP!$B$6),tblPCSInput[Call Date/Time],"&lt;"&amp;(SETUP!$B$7),tblPCSInput[Call Direction],"I",tblPCSInput[Agent ID],$A299,tblPCSInput[Valid Q1],"&lt;=3",tblPCSInput[Valid Q1],"&gt;=1"))</f>
        <v/>
      </c>
      <c r="U299" s="11">
        <f>IF(S299="","",COUNTIFS(tblPCSInput[Call Date/Time],"&gt;="&amp;(SETUP!$B$6),tblPCSInput[Call Date/Time],"&lt;"&amp;(SETUP!$B$7),tblPCSInput[Call Direction],"I",tblPCSInput[Agent ID],$A299,tblPCSInput[Valid Q1],"&gt;3"))</f>
        <v/>
      </c>
      <c r="V299" s="13">
        <f>IFERROR(Q299/P299,"")</f>
        <v/>
      </c>
      <c r="W299" s="13">
        <f>IFERROR(R299/P299,"")</f>
        <v/>
      </c>
    </row>
    <row r="300" spans="1:23">
      <c r="A300" s="4">
        <f>IF(ROSTER!A300="","",ROSTER!A300)</f>
        <v/>
      </c>
      <c r="B300" s="4">
        <f>IF($A300="","",ROSTER!C300)</f>
        <v/>
      </c>
      <c r="C300" s="4">
        <f>IF($A300="","",ROSTER!D300)</f>
        <v/>
      </c>
      <c r="D300" s="4">
        <f>IF($A300="","",ROSTER!E300)</f>
        <v/>
      </c>
      <c r="E300" s="4">
        <f>IF($A300="","",ROSTER!F300)</f>
        <v/>
      </c>
      <c r="F300" s="11">
        <f>IF($A300="","",COUNTIFS(tblPCSInput[Call Date/Time],"&gt;="&amp;(SETUP!$B$5),tblPCSInput[Call Date/Time],"&lt;"&amp;(SETUP!$B$5+1),tblPCSInput[Call Direction],"I",tblPCSInput[Agent ID],$A300,tblPCSInput[PCSStatus],1))</f>
        <v/>
      </c>
      <c r="G300" s="11">
        <f>IF($A300="","",COUNTIFS(tblPCSInput[Call Date/Time],"&gt;="&amp;(SETUP!$B$5),tblPCSInput[Call Date/Time],"&lt;"&amp;(SETUP!$B$5+1),tblPCSInput[Call Direction],"I",tblPCSInput[Agent ID],$A300,tblPCSInput[Question 1],"&lt;&gt;"))</f>
        <v/>
      </c>
      <c r="H300" s="11">
        <f>IF($A300="","",COUNTIFS(tblPCSInput[Call Date/Time],"&gt;="&amp;(SETUP!$B$5),tblPCSInput[Call Date/Time],"&lt;"&amp;(SETUP!$B$5+1),tblPCSInput[Call Direction],"I",tblPCSInput[Agent ID],$A300,tblPCSInput[Valid Q1],"&gt;=1"))</f>
        <v/>
      </c>
      <c r="I300" s="12">
        <f>IFERROR(SUMIFS(tblPCSInput[Valid Q1],tblPCSInput[Call Date/Time],"&gt;="&amp;SETUP!$B$5,tblPCSInput[Call Date/Time],"&lt;"&amp;SETUP!$B$5+1,tblPCSInput[Call Direction],"I",tblPCSInput[Agent ID],$A300)/COUNTIFS(tblPCSInput[Call Date/Time],"&gt;="&amp;(SETUP!$B$5),tblPCSInput[Call Date/Time],"&lt;"&amp;(SETUP!$B$5+1),tblPCSInput[Call Direction],"I",tblPCSInput[Agent ID],$A300,tblPCSInput[Valid Q1],"&gt;=1"),"")</f>
        <v/>
      </c>
      <c r="J300" s="11">
        <f>IF(I300="","",COUNTIFS(tblPCSInput[Call Date/Time],"&gt;="&amp;(SETUP!$B$5),tblPCSInput[Call Date/Time],"&lt;"&amp;(SETUP!$B$5+1),tblPCSInput[Call Direction],"I",tblPCSInput[Agent ID],$A300,tblPCSInput[Valid Q1],"&lt;=3",tblPCSInput[Valid Q1],"&gt;=1"))</f>
        <v/>
      </c>
      <c r="K300" s="11">
        <f>IF(I300="","",COUNTIFS(tblPCSInput[Call Date/Time],"&gt;="&amp;(SETUP!$B$5),tblPCSInput[Call Date/Time],"&lt;"&amp;(SETUP!$B$5+1),tblPCSInput[Call Direction],"I",tblPCSInput[Agent ID],$A300,tblPCSInput[Valid Q1],"&gt;3"))</f>
        <v/>
      </c>
      <c r="L300" s="13">
        <f>IFERROR(G300/F300,"")</f>
        <v/>
      </c>
      <c r="M300" s="13">
        <f>IFERROR(H300/F300,"")</f>
        <v/>
      </c>
      <c r="N300" s="11">
        <f>IF($A300="","",MAX(0,G300-H300))</f>
        <v/>
      </c>
      <c r="O300" s="4">
        <f>IF($A300="","",IF(H300=0,"NO VALID SURVEY",IF(H300&lt;5,"LOW SAMPLE","OK")))</f>
        <v/>
      </c>
      <c r="P300" s="11">
        <f>IF($A300="","",COUNTIFS(tblPCSInput[Call Date/Time],"&gt;="&amp;(SETUP!$B$6),tblPCSInput[Call Date/Time],"&lt;"&amp;(SETUP!$B$7),tblPCSInput[Call Direction],"I",tblPCSInput[Agent ID],$A300,tblPCSInput[PCSStatus],1))</f>
        <v/>
      </c>
      <c r="Q300" s="11">
        <f>IF($A300="","",COUNTIFS(tblPCSInput[Call Date/Time],"&gt;="&amp;(SETUP!$B$6),tblPCSInput[Call Date/Time],"&lt;"&amp;(SETUP!$B$7),tblPCSInput[Call Direction],"I",tblPCSInput[Agent ID],$A300,tblPCSInput[Question 1],"&lt;&gt;"))</f>
        <v/>
      </c>
      <c r="R300" s="11">
        <f>IF($A300="","",COUNTIFS(tblPCSInput[Call Date/Time],"&gt;="&amp;(SETUP!$B$6),tblPCSInput[Call Date/Time],"&lt;"&amp;(SETUP!$B$7),tblPCSInput[Call Direction],"I",tblPCSInput[Agent ID],$A300,tblPCSInput[Valid Q1],"&gt;=1"))</f>
        <v/>
      </c>
      <c r="S300" s="12">
        <f>IFERROR(SUMIFS(tblPCSInput[Valid Q1],tblPCSInput[Call Date/Time],"&gt;="&amp;SETUP!$B$6,tblPCSInput[Call Date/Time],"&lt;"&amp;SETUP!$B$7,tblPCSInput[Call Direction],"I",tblPCSInput[Agent ID],$A300)/COUNTIFS(tblPCSInput[Call Date/Time],"&gt;="&amp;(SETUP!$B$6),tblPCSInput[Call Date/Time],"&lt;"&amp;(SETUP!$B$7),tblPCSInput[Call Direction],"I",tblPCSInput[Agent ID],$A300,tblPCSInput[Valid Q1],"&gt;=1"),"")</f>
        <v/>
      </c>
      <c r="T300" s="11">
        <f>IF(S300="","",COUNTIFS(tblPCSInput[Call Date/Time],"&gt;="&amp;(SETUP!$B$6),tblPCSInput[Call Date/Time],"&lt;"&amp;(SETUP!$B$7),tblPCSInput[Call Direction],"I",tblPCSInput[Agent ID],$A300,tblPCSInput[Valid Q1],"&lt;=3",tblPCSInput[Valid Q1],"&gt;=1"))</f>
        <v/>
      </c>
      <c r="U300" s="11">
        <f>IF(S300="","",COUNTIFS(tblPCSInput[Call Date/Time],"&gt;="&amp;(SETUP!$B$6),tblPCSInput[Call Date/Time],"&lt;"&amp;(SETUP!$B$7),tblPCSInput[Call Direction],"I",tblPCSInput[Agent ID],$A300,tblPCSInput[Valid Q1],"&gt;3"))</f>
        <v/>
      </c>
      <c r="V300" s="13">
        <f>IFERROR(Q300/P300,"")</f>
        <v/>
      </c>
      <c r="W300" s="13">
        <f>IFERROR(R300/P300,"")</f>
        <v/>
      </c>
    </row>
    <row r="301" spans="1:23">
      <c r="A301" s="4">
        <f>IF(ROSTER!A301="","",ROSTER!A301)</f>
        <v/>
      </c>
      <c r="B301" s="4">
        <f>IF($A301="","",ROSTER!C301)</f>
        <v/>
      </c>
      <c r="C301" s="4">
        <f>IF($A301="","",ROSTER!D301)</f>
        <v/>
      </c>
      <c r="D301" s="4">
        <f>IF($A301="","",ROSTER!E301)</f>
        <v/>
      </c>
      <c r="E301" s="4">
        <f>IF($A301="","",ROSTER!F301)</f>
        <v/>
      </c>
      <c r="F301" s="11">
        <f>IF($A301="","",COUNTIFS(tblPCSInput[Call Date/Time],"&gt;="&amp;(SETUP!$B$5),tblPCSInput[Call Date/Time],"&lt;"&amp;(SETUP!$B$5+1),tblPCSInput[Call Direction],"I",tblPCSInput[Agent ID],$A301,tblPCSInput[PCSStatus],1))</f>
        <v/>
      </c>
      <c r="G301" s="11">
        <f>IF($A301="","",COUNTIFS(tblPCSInput[Call Date/Time],"&gt;="&amp;(SETUP!$B$5),tblPCSInput[Call Date/Time],"&lt;"&amp;(SETUP!$B$5+1),tblPCSInput[Call Direction],"I",tblPCSInput[Agent ID],$A301,tblPCSInput[Question 1],"&lt;&gt;"))</f>
        <v/>
      </c>
      <c r="H301" s="11">
        <f>IF($A301="","",COUNTIFS(tblPCSInput[Call Date/Time],"&gt;="&amp;(SETUP!$B$5),tblPCSInput[Call Date/Time],"&lt;"&amp;(SETUP!$B$5+1),tblPCSInput[Call Direction],"I",tblPCSInput[Agent ID],$A301,tblPCSInput[Valid Q1],"&gt;=1"))</f>
        <v/>
      </c>
      <c r="I301" s="12">
        <f>IFERROR(SUMIFS(tblPCSInput[Valid Q1],tblPCSInput[Call Date/Time],"&gt;="&amp;SETUP!$B$5,tblPCSInput[Call Date/Time],"&lt;"&amp;SETUP!$B$5+1,tblPCSInput[Call Direction],"I",tblPCSInput[Agent ID],$A301)/COUNTIFS(tblPCSInput[Call Date/Time],"&gt;="&amp;(SETUP!$B$5),tblPCSInput[Call Date/Time],"&lt;"&amp;(SETUP!$B$5+1),tblPCSInput[Call Direction],"I",tblPCSInput[Agent ID],$A301,tblPCSInput[Valid Q1],"&gt;=1"),"")</f>
        <v/>
      </c>
      <c r="J301" s="11">
        <f>IF(I301="","",COUNTIFS(tblPCSInput[Call Date/Time],"&gt;="&amp;(SETUP!$B$5),tblPCSInput[Call Date/Time],"&lt;"&amp;(SETUP!$B$5+1),tblPCSInput[Call Direction],"I",tblPCSInput[Agent ID],$A301,tblPCSInput[Valid Q1],"&lt;=3",tblPCSInput[Valid Q1],"&gt;=1"))</f>
        <v/>
      </c>
      <c r="K301" s="11">
        <f>IF(I301="","",COUNTIFS(tblPCSInput[Call Date/Time],"&gt;="&amp;(SETUP!$B$5),tblPCSInput[Call Date/Time],"&lt;"&amp;(SETUP!$B$5+1),tblPCSInput[Call Direction],"I",tblPCSInput[Agent ID],$A301,tblPCSInput[Valid Q1],"&gt;3"))</f>
        <v/>
      </c>
      <c r="L301" s="13">
        <f>IFERROR(G301/F301,"")</f>
        <v/>
      </c>
      <c r="M301" s="13">
        <f>IFERROR(H301/F301,"")</f>
        <v/>
      </c>
      <c r="N301" s="11">
        <f>IF($A301="","",MAX(0,G301-H301))</f>
        <v/>
      </c>
      <c r="O301" s="4">
        <f>IF($A301="","",IF(H301=0,"NO VALID SURVEY",IF(H301&lt;5,"LOW SAMPLE","OK")))</f>
        <v/>
      </c>
      <c r="P301" s="11">
        <f>IF($A301="","",COUNTIFS(tblPCSInput[Call Date/Time],"&gt;="&amp;(SETUP!$B$6),tblPCSInput[Call Date/Time],"&lt;"&amp;(SETUP!$B$7),tblPCSInput[Call Direction],"I",tblPCSInput[Agent ID],$A301,tblPCSInput[PCSStatus],1))</f>
        <v/>
      </c>
      <c r="Q301" s="11">
        <f>IF($A301="","",COUNTIFS(tblPCSInput[Call Date/Time],"&gt;="&amp;(SETUP!$B$6),tblPCSInput[Call Date/Time],"&lt;"&amp;(SETUP!$B$7),tblPCSInput[Call Direction],"I",tblPCSInput[Agent ID],$A301,tblPCSInput[Question 1],"&lt;&gt;"))</f>
        <v/>
      </c>
      <c r="R301" s="11">
        <f>IF($A301="","",COUNTIFS(tblPCSInput[Call Date/Time],"&gt;="&amp;(SETUP!$B$6),tblPCSInput[Call Date/Time],"&lt;"&amp;(SETUP!$B$7),tblPCSInput[Call Direction],"I",tblPCSInput[Agent ID],$A301,tblPCSInput[Valid Q1],"&gt;=1"))</f>
        <v/>
      </c>
      <c r="S301" s="12">
        <f>IFERROR(SUMIFS(tblPCSInput[Valid Q1],tblPCSInput[Call Date/Time],"&gt;="&amp;SETUP!$B$6,tblPCSInput[Call Date/Time],"&lt;"&amp;SETUP!$B$7,tblPCSInput[Call Direction],"I",tblPCSInput[Agent ID],$A301)/COUNTIFS(tblPCSInput[Call Date/Time],"&gt;="&amp;(SETUP!$B$6),tblPCSInput[Call Date/Time],"&lt;"&amp;(SETUP!$B$7),tblPCSInput[Call Direction],"I",tblPCSInput[Agent ID],$A301,tblPCSInput[Valid Q1],"&gt;=1"),"")</f>
        <v/>
      </c>
      <c r="T301" s="11">
        <f>IF(S301="","",COUNTIFS(tblPCSInput[Call Date/Time],"&gt;="&amp;(SETUP!$B$6),tblPCSInput[Call Date/Time],"&lt;"&amp;(SETUP!$B$7),tblPCSInput[Call Direction],"I",tblPCSInput[Agent ID],$A301,tblPCSInput[Valid Q1],"&lt;=3",tblPCSInput[Valid Q1],"&gt;=1"))</f>
        <v/>
      </c>
      <c r="U301" s="11">
        <f>IF(S301="","",COUNTIFS(tblPCSInput[Call Date/Time],"&gt;="&amp;(SETUP!$B$6),tblPCSInput[Call Date/Time],"&lt;"&amp;(SETUP!$B$7),tblPCSInput[Call Direction],"I",tblPCSInput[Agent ID],$A301,tblPCSInput[Valid Q1],"&gt;3"))</f>
        <v/>
      </c>
      <c r="V301" s="13">
        <f>IFERROR(Q301/P301,"")</f>
        <v/>
      </c>
      <c r="W301" s="13">
        <f>IFERROR(R301/P301,"")</f>
        <v/>
      </c>
    </row>
    <row r="302" spans="1:23">
      <c r="A302" s="4">
        <f>IF(ROSTER!A302="","",ROSTER!A302)</f>
        <v/>
      </c>
      <c r="B302" s="4">
        <f>IF($A302="","",ROSTER!C302)</f>
        <v/>
      </c>
      <c r="C302" s="4">
        <f>IF($A302="","",ROSTER!D302)</f>
        <v/>
      </c>
      <c r="D302" s="4">
        <f>IF($A302="","",ROSTER!E302)</f>
        <v/>
      </c>
      <c r="E302" s="4">
        <f>IF($A302="","",ROSTER!F302)</f>
        <v/>
      </c>
      <c r="F302" s="11">
        <f>IF($A302="","",COUNTIFS(tblPCSInput[Call Date/Time],"&gt;="&amp;(SETUP!$B$5),tblPCSInput[Call Date/Time],"&lt;"&amp;(SETUP!$B$5+1),tblPCSInput[Call Direction],"I",tblPCSInput[Agent ID],$A302,tblPCSInput[PCSStatus],1))</f>
        <v/>
      </c>
      <c r="G302" s="11">
        <f>IF($A302="","",COUNTIFS(tblPCSInput[Call Date/Time],"&gt;="&amp;(SETUP!$B$5),tblPCSInput[Call Date/Time],"&lt;"&amp;(SETUP!$B$5+1),tblPCSInput[Call Direction],"I",tblPCSInput[Agent ID],$A302,tblPCSInput[Question 1],"&lt;&gt;"))</f>
        <v/>
      </c>
      <c r="H302" s="11">
        <f>IF($A302="","",COUNTIFS(tblPCSInput[Call Date/Time],"&gt;="&amp;(SETUP!$B$5),tblPCSInput[Call Date/Time],"&lt;"&amp;(SETUP!$B$5+1),tblPCSInput[Call Direction],"I",tblPCSInput[Agent ID],$A302,tblPCSInput[Valid Q1],"&gt;=1"))</f>
        <v/>
      </c>
      <c r="I302" s="12">
        <f>IFERROR(SUMIFS(tblPCSInput[Valid Q1],tblPCSInput[Call Date/Time],"&gt;="&amp;SETUP!$B$5,tblPCSInput[Call Date/Time],"&lt;"&amp;SETUP!$B$5+1,tblPCSInput[Call Direction],"I",tblPCSInput[Agent ID],$A302)/COUNTIFS(tblPCSInput[Call Date/Time],"&gt;="&amp;(SETUP!$B$5),tblPCSInput[Call Date/Time],"&lt;"&amp;(SETUP!$B$5+1),tblPCSInput[Call Direction],"I",tblPCSInput[Agent ID],$A302,tblPCSInput[Valid Q1],"&gt;=1"),"")</f>
        <v/>
      </c>
      <c r="J302" s="11">
        <f>IF(I302="","",COUNTIFS(tblPCSInput[Call Date/Time],"&gt;="&amp;(SETUP!$B$5),tblPCSInput[Call Date/Time],"&lt;"&amp;(SETUP!$B$5+1),tblPCSInput[Call Direction],"I",tblPCSInput[Agent ID],$A302,tblPCSInput[Valid Q1],"&lt;=3",tblPCSInput[Valid Q1],"&gt;=1"))</f>
        <v/>
      </c>
      <c r="K302" s="11">
        <f>IF(I302="","",COUNTIFS(tblPCSInput[Call Date/Time],"&gt;="&amp;(SETUP!$B$5),tblPCSInput[Call Date/Time],"&lt;"&amp;(SETUP!$B$5+1),tblPCSInput[Call Direction],"I",tblPCSInput[Agent ID],$A302,tblPCSInput[Valid Q1],"&gt;3"))</f>
        <v/>
      </c>
      <c r="L302" s="13">
        <f>IFERROR(G302/F302,"")</f>
        <v/>
      </c>
      <c r="M302" s="13">
        <f>IFERROR(H302/F302,"")</f>
        <v/>
      </c>
      <c r="N302" s="11">
        <f>IF($A302="","",MAX(0,G302-H302))</f>
        <v/>
      </c>
      <c r="O302" s="4">
        <f>IF($A302="","",IF(H302=0,"NO VALID SURVEY",IF(H302&lt;5,"LOW SAMPLE","OK")))</f>
        <v/>
      </c>
      <c r="P302" s="11">
        <f>IF($A302="","",COUNTIFS(tblPCSInput[Call Date/Time],"&gt;="&amp;(SETUP!$B$6),tblPCSInput[Call Date/Time],"&lt;"&amp;(SETUP!$B$7),tblPCSInput[Call Direction],"I",tblPCSInput[Agent ID],$A302,tblPCSInput[PCSStatus],1))</f>
        <v/>
      </c>
      <c r="Q302" s="11">
        <f>IF($A302="","",COUNTIFS(tblPCSInput[Call Date/Time],"&gt;="&amp;(SETUP!$B$6),tblPCSInput[Call Date/Time],"&lt;"&amp;(SETUP!$B$7),tblPCSInput[Call Direction],"I",tblPCSInput[Agent ID],$A302,tblPCSInput[Question 1],"&lt;&gt;"))</f>
        <v/>
      </c>
      <c r="R302" s="11">
        <f>IF($A302="","",COUNTIFS(tblPCSInput[Call Date/Time],"&gt;="&amp;(SETUP!$B$6),tblPCSInput[Call Date/Time],"&lt;"&amp;(SETUP!$B$7),tblPCSInput[Call Direction],"I",tblPCSInput[Agent ID],$A302,tblPCSInput[Valid Q1],"&gt;=1"))</f>
        <v/>
      </c>
      <c r="S302" s="12">
        <f>IFERROR(SUMIFS(tblPCSInput[Valid Q1],tblPCSInput[Call Date/Time],"&gt;="&amp;SETUP!$B$6,tblPCSInput[Call Date/Time],"&lt;"&amp;SETUP!$B$7,tblPCSInput[Call Direction],"I",tblPCSInput[Agent ID],$A302)/COUNTIFS(tblPCSInput[Call Date/Time],"&gt;="&amp;(SETUP!$B$6),tblPCSInput[Call Date/Time],"&lt;"&amp;(SETUP!$B$7),tblPCSInput[Call Direction],"I",tblPCSInput[Agent ID],$A302,tblPCSInput[Valid Q1],"&gt;=1"),"")</f>
        <v/>
      </c>
      <c r="T302" s="11">
        <f>IF(S302="","",COUNTIFS(tblPCSInput[Call Date/Time],"&gt;="&amp;(SETUP!$B$6),tblPCSInput[Call Date/Time],"&lt;"&amp;(SETUP!$B$7),tblPCSInput[Call Direction],"I",tblPCSInput[Agent ID],$A302,tblPCSInput[Valid Q1],"&lt;=3",tblPCSInput[Valid Q1],"&gt;=1"))</f>
        <v/>
      </c>
      <c r="U302" s="11">
        <f>IF(S302="","",COUNTIFS(tblPCSInput[Call Date/Time],"&gt;="&amp;(SETUP!$B$6),tblPCSInput[Call Date/Time],"&lt;"&amp;(SETUP!$B$7),tblPCSInput[Call Direction],"I",tblPCSInput[Agent ID],$A302,tblPCSInput[Valid Q1],"&gt;3"))</f>
        <v/>
      </c>
      <c r="V302" s="13">
        <f>IFERROR(Q302/P302,"")</f>
        <v/>
      </c>
      <c r="W302" s="13">
        <f>IFERROR(R302/P302,"")</f>
        <v/>
      </c>
    </row>
    <row r="303" spans="1:23">
      <c r="A303" s="4">
        <f>IF(ROSTER!A303="","",ROSTER!A303)</f>
        <v/>
      </c>
      <c r="B303" s="4">
        <f>IF($A303="","",ROSTER!C303)</f>
        <v/>
      </c>
      <c r="C303" s="4">
        <f>IF($A303="","",ROSTER!D303)</f>
        <v/>
      </c>
      <c r="D303" s="4">
        <f>IF($A303="","",ROSTER!E303)</f>
        <v/>
      </c>
      <c r="E303" s="4">
        <f>IF($A303="","",ROSTER!F303)</f>
        <v/>
      </c>
      <c r="F303" s="11">
        <f>IF($A303="","",COUNTIFS(tblPCSInput[Call Date/Time],"&gt;="&amp;(SETUP!$B$5),tblPCSInput[Call Date/Time],"&lt;"&amp;(SETUP!$B$5+1),tblPCSInput[Call Direction],"I",tblPCSInput[Agent ID],$A303,tblPCSInput[PCSStatus],1))</f>
        <v/>
      </c>
      <c r="G303" s="11">
        <f>IF($A303="","",COUNTIFS(tblPCSInput[Call Date/Time],"&gt;="&amp;(SETUP!$B$5),tblPCSInput[Call Date/Time],"&lt;"&amp;(SETUP!$B$5+1),tblPCSInput[Call Direction],"I",tblPCSInput[Agent ID],$A303,tblPCSInput[Question 1],"&lt;&gt;"))</f>
        <v/>
      </c>
      <c r="H303" s="11">
        <f>IF($A303="","",COUNTIFS(tblPCSInput[Call Date/Time],"&gt;="&amp;(SETUP!$B$5),tblPCSInput[Call Date/Time],"&lt;"&amp;(SETUP!$B$5+1),tblPCSInput[Call Direction],"I",tblPCSInput[Agent ID],$A303,tblPCSInput[Valid Q1],"&gt;=1"))</f>
        <v/>
      </c>
      <c r="I303" s="12">
        <f>IFERROR(SUMIFS(tblPCSInput[Valid Q1],tblPCSInput[Call Date/Time],"&gt;="&amp;SETUP!$B$5,tblPCSInput[Call Date/Time],"&lt;"&amp;SETUP!$B$5+1,tblPCSInput[Call Direction],"I",tblPCSInput[Agent ID],$A303)/COUNTIFS(tblPCSInput[Call Date/Time],"&gt;="&amp;(SETUP!$B$5),tblPCSInput[Call Date/Time],"&lt;"&amp;(SETUP!$B$5+1),tblPCSInput[Call Direction],"I",tblPCSInput[Agent ID],$A303,tblPCSInput[Valid Q1],"&gt;=1"),"")</f>
        <v/>
      </c>
      <c r="J303" s="11">
        <f>IF(I303="","",COUNTIFS(tblPCSInput[Call Date/Time],"&gt;="&amp;(SETUP!$B$5),tblPCSInput[Call Date/Time],"&lt;"&amp;(SETUP!$B$5+1),tblPCSInput[Call Direction],"I",tblPCSInput[Agent ID],$A303,tblPCSInput[Valid Q1],"&lt;=3",tblPCSInput[Valid Q1],"&gt;=1"))</f>
        <v/>
      </c>
      <c r="K303" s="11">
        <f>IF(I303="","",COUNTIFS(tblPCSInput[Call Date/Time],"&gt;="&amp;(SETUP!$B$5),tblPCSInput[Call Date/Time],"&lt;"&amp;(SETUP!$B$5+1),tblPCSInput[Call Direction],"I",tblPCSInput[Agent ID],$A303,tblPCSInput[Valid Q1],"&gt;3"))</f>
        <v/>
      </c>
      <c r="L303" s="13">
        <f>IFERROR(G303/F303,"")</f>
        <v/>
      </c>
      <c r="M303" s="13">
        <f>IFERROR(H303/F303,"")</f>
        <v/>
      </c>
      <c r="N303" s="11">
        <f>IF($A303="","",MAX(0,G303-H303))</f>
        <v/>
      </c>
      <c r="O303" s="4">
        <f>IF($A303="","",IF(H303=0,"NO VALID SURVEY",IF(H303&lt;5,"LOW SAMPLE","OK")))</f>
        <v/>
      </c>
      <c r="P303" s="11">
        <f>IF($A303="","",COUNTIFS(tblPCSInput[Call Date/Time],"&gt;="&amp;(SETUP!$B$6),tblPCSInput[Call Date/Time],"&lt;"&amp;(SETUP!$B$7),tblPCSInput[Call Direction],"I",tblPCSInput[Agent ID],$A303,tblPCSInput[PCSStatus],1))</f>
        <v/>
      </c>
      <c r="Q303" s="11">
        <f>IF($A303="","",COUNTIFS(tblPCSInput[Call Date/Time],"&gt;="&amp;(SETUP!$B$6),tblPCSInput[Call Date/Time],"&lt;"&amp;(SETUP!$B$7),tblPCSInput[Call Direction],"I",tblPCSInput[Agent ID],$A303,tblPCSInput[Question 1],"&lt;&gt;"))</f>
        <v/>
      </c>
      <c r="R303" s="11">
        <f>IF($A303="","",COUNTIFS(tblPCSInput[Call Date/Time],"&gt;="&amp;(SETUP!$B$6),tblPCSInput[Call Date/Time],"&lt;"&amp;(SETUP!$B$7),tblPCSInput[Call Direction],"I",tblPCSInput[Agent ID],$A303,tblPCSInput[Valid Q1],"&gt;=1"))</f>
        <v/>
      </c>
      <c r="S303" s="12">
        <f>IFERROR(SUMIFS(tblPCSInput[Valid Q1],tblPCSInput[Call Date/Time],"&gt;="&amp;SETUP!$B$6,tblPCSInput[Call Date/Time],"&lt;"&amp;SETUP!$B$7,tblPCSInput[Call Direction],"I",tblPCSInput[Agent ID],$A303)/COUNTIFS(tblPCSInput[Call Date/Time],"&gt;="&amp;(SETUP!$B$6),tblPCSInput[Call Date/Time],"&lt;"&amp;(SETUP!$B$7),tblPCSInput[Call Direction],"I",tblPCSInput[Agent ID],$A303,tblPCSInput[Valid Q1],"&gt;=1"),"")</f>
        <v/>
      </c>
      <c r="T303" s="11">
        <f>IF(S303="","",COUNTIFS(tblPCSInput[Call Date/Time],"&gt;="&amp;(SETUP!$B$6),tblPCSInput[Call Date/Time],"&lt;"&amp;(SETUP!$B$7),tblPCSInput[Call Direction],"I",tblPCSInput[Agent ID],$A303,tblPCSInput[Valid Q1],"&lt;=3",tblPCSInput[Valid Q1],"&gt;=1"))</f>
        <v/>
      </c>
      <c r="U303" s="11">
        <f>IF(S303="","",COUNTIFS(tblPCSInput[Call Date/Time],"&gt;="&amp;(SETUP!$B$6),tblPCSInput[Call Date/Time],"&lt;"&amp;(SETUP!$B$7),tblPCSInput[Call Direction],"I",tblPCSInput[Agent ID],$A303,tblPCSInput[Valid Q1],"&gt;3"))</f>
        <v/>
      </c>
      <c r="V303" s="13">
        <f>IFERROR(Q303/P303,"")</f>
        <v/>
      </c>
      <c r="W303" s="13">
        <f>IFERROR(R303/P303,"")</f>
        <v/>
      </c>
    </row>
    <row r="304" spans="1:23">
      <c r="A304" s="4">
        <f>IF(ROSTER!A304="","",ROSTER!A304)</f>
        <v/>
      </c>
      <c r="B304" s="4">
        <f>IF($A304="","",ROSTER!C304)</f>
        <v/>
      </c>
      <c r="C304" s="4">
        <f>IF($A304="","",ROSTER!D304)</f>
        <v/>
      </c>
      <c r="D304" s="4">
        <f>IF($A304="","",ROSTER!E304)</f>
        <v/>
      </c>
      <c r="E304" s="4">
        <f>IF($A304="","",ROSTER!F304)</f>
        <v/>
      </c>
      <c r="F304" s="11">
        <f>IF($A304="","",COUNTIFS(tblPCSInput[Call Date/Time],"&gt;="&amp;(SETUP!$B$5),tblPCSInput[Call Date/Time],"&lt;"&amp;(SETUP!$B$5+1),tblPCSInput[Call Direction],"I",tblPCSInput[Agent ID],$A304,tblPCSInput[PCSStatus],1))</f>
        <v/>
      </c>
      <c r="G304" s="11">
        <f>IF($A304="","",COUNTIFS(tblPCSInput[Call Date/Time],"&gt;="&amp;(SETUP!$B$5),tblPCSInput[Call Date/Time],"&lt;"&amp;(SETUP!$B$5+1),tblPCSInput[Call Direction],"I",tblPCSInput[Agent ID],$A304,tblPCSInput[Question 1],"&lt;&gt;"))</f>
        <v/>
      </c>
      <c r="H304" s="11">
        <f>IF($A304="","",COUNTIFS(tblPCSInput[Call Date/Time],"&gt;="&amp;(SETUP!$B$5),tblPCSInput[Call Date/Time],"&lt;"&amp;(SETUP!$B$5+1),tblPCSInput[Call Direction],"I",tblPCSInput[Agent ID],$A304,tblPCSInput[Valid Q1],"&gt;=1"))</f>
        <v/>
      </c>
      <c r="I304" s="12">
        <f>IFERROR(SUMIFS(tblPCSInput[Valid Q1],tblPCSInput[Call Date/Time],"&gt;="&amp;SETUP!$B$5,tblPCSInput[Call Date/Time],"&lt;"&amp;SETUP!$B$5+1,tblPCSInput[Call Direction],"I",tblPCSInput[Agent ID],$A304)/COUNTIFS(tblPCSInput[Call Date/Time],"&gt;="&amp;(SETUP!$B$5),tblPCSInput[Call Date/Time],"&lt;"&amp;(SETUP!$B$5+1),tblPCSInput[Call Direction],"I",tblPCSInput[Agent ID],$A304,tblPCSInput[Valid Q1],"&gt;=1"),"")</f>
        <v/>
      </c>
      <c r="J304" s="11">
        <f>IF(I304="","",COUNTIFS(tblPCSInput[Call Date/Time],"&gt;="&amp;(SETUP!$B$5),tblPCSInput[Call Date/Time],"&lt;"&amp;(SETUP!$B$5+1),tblPCSInput[Call Direction],"I",tblPCSInput[Agent ID],$A304,tblPCSInput[Valid Q1],"&lt;=3",tblPCSInput[Valid Q1],"&gt;=1"))</f>
        <v/>
      </c>
      <c r="K304" s="11">
        <f>IF(I304="","",COUNTIFS(tblPCSInput[Call Date/Time],"&gt;="&amp;(SETUP!$B$5),tblPCSInput[Call Date/Time],"&lt;"&amp;(SETUP!$B$5+1),tblPCSInput[Call Direction],"I",tblPCSInput[Agent ID],$A304,tblPCSInput[Valid Q1],"&gt;3"))</f>
        <v/>
      </c>
      <c r="L304" s="13">
        <f>IFERROR(G304/F304,"")</f>
        <v/>
      </c>
      <c r="M304" s="13">
        <f>IFERROR(H304/F304,"")</f>
        <v/>
      </c>
      <c r="N304" s="11">
        <f>IF($A304="","",MAX(0,G304-H304))</f>
        <v/>
      </c>
      <c r="O304" s="4">
        <f>IF($A304="","",IF(H304=0,"NO VALID SURVEY",IF(H304&lt;5,"LOW SAMPLE","OK")))</f>
        <v/>
      </c>
      <c r="P304" s="11">
        <f>IF($A304="","",COUNTIFS(tblPCSInput[Call Date/Time],"&gt;="&amp;(SETUP!$B$6),tblPCSInput[Call Date/Time],"&lt;"&amp;(SETUP!$B$7),tblPCSInput[Call Direction],"I",tblPCSInput[Agent ID],$A304,tblPCSInput[PCSStatus],1))</f>
        <v/>
      </c>
      <c r="Q304" s="11">
        <f>IF($A304="","",COUNTIFS(tblPCSInput[Call Date/Time],"&gt;="&amp;(SETUP!$B$6),tblPCSInput[Call Date/Time],"&lt;"&amp;(SETUP!$B$7),tblPCSInput[Call Direction],"I",tblPCSInput[Agent ID],$A304,tblPCSInput[Question 1],"&lt;&gt;"))</f>
        <v/>
      </c>
      <c r="R304" s="11">
        <f>IF($A304="","",COUNTIFS(tblPCSInput[Call Date/Time],"&gt;="&amp;(SETUP!$B$6),tblPCSInput[Call Date/Time],"&lt;"&amp;(SETUP!$B$7),tblPCSInput[Call Direction],"I",tblPCSInput[Agent ID],$A304,tblPCSInput[Valid Q1],"&gt;=1"))</f>
        <v/>
      </c>
      <c r="S304" s="12">
        <f>IFERROR(SUMIFS(tblPCSInput[Valid Q1],tblPCSInput[Call Date/Time],"&gt;="&amp;SETUP!$B$6,tblPCSInput[Call Date/Time],"&lt;"&amp;SETUP!$B$7,tblPCSInput[Call Direction],"I",tblPCSInput[Agent ID],$A304)/COUNTIFS(tblPCSInput[Call Date/Time],"&gt;="&amp;(SETUP!$B$6),tblPCSInput[Call Date/Time],"&lt;"&amp;(SETUP!$B$7),tblPCSInput[Call Direction],"I",tblPCSInput[Agent ID],$A304,tblPCSInput[Valid Q1],"&gt;=1"),"")</f>
        <v/>
      </c>
      <c r="T304" s="11">
        <f>IF(S304="","",COUNTIFS(tblPCSInput[Call Date/Time],"&gt;="&amp;(SETUP!$B$6),tblPCSInput[Call Date/Time],"&lt;"&amp;(SETUP!$B$7),tblPCSInput[Call Direction],"I",tblPCSInput[Agent ID],$A304,tblPCSInput[Valid Q1],"&lt;=3",tblPCSInput[Valid Q1],"&gt;=1"))</f>
        <v/>
      </c>
      <c r="U304" s="11">
        <f>IF(S304="","",COUNTIFS(tblPCSInput[Call Date/Time],"&gt;="&amp;(SETUP!$B$6),tblPCSInput[Call Date/Time],"&lt;"&amp;(SETUP!$B$7),tblPCSInput[Call Direction],"I",tblPCSInput[Agent ID],$A304,tblPCSInput[Valid Q1],"&gt;3"))</f>
        <v/>
      </c>
      <c r="V304" s="13">
        <f>IFERROR(Q304/P304,"")</f>
        <v/>
      </c>
      <c r="W304" s="13">
        <f>IFERROR(R304/P304,"")</f>
        <v/>
      </c>
    </row>
  </sheetData>
  <mergeCells count="2">
    <mergeCell ref="A1:W1"/>
    <mergeCell ref="A2:W2"/>
  </mergeCells>
  <conditionalFormatting sqref="O5:O304">
    <cfRule type="containsText" dxfId="0" priority="1" operator="containsText" text="LOW">
      <formula>NOT(ISERROR(SEARCH("LOW",O5)))</formula>
    </cfRule>
  </conditionalFormatting>
  <pageMargins left="0.7" right="0.7" top="0.75" bottom="0.75" header="0.3" footer="0.3"/>
  <pageSetup fitToHeight="0" orientation="landscape"/>
  <headerFooter>
    <oddFooter>&amp;LWFMHub | made by Anass ASSRI&amp;CPage &amp;P of &amp;N&amp;RConfidential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7C83"/>
    <pageSetUpPr fitToPage="1"/>
  </sheetPr>
  <dimension ref="A1:O19"/>
  <sheetViews>
    <sheetView showGridLines="0"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5" width="18.7109375" customWidth="1"/>
  </cols>
  <sheetData>
    <row r="1" spans="1:15" ht="32" customHeight="1">
      <c r="A1" s="1" t="s">
        <v>207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A2" s="2" t="s">
        <v>208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spans="1:15">
      <c r="A4" s="3" t="s">
        <v>20</v>
      </c>
      <c r="B4" s="3" t="s">
        <v>189</v>
      </c>
      <c r="C4" s="3" t="s">
        <v>190</v>
      </c>
      <c r="D4" s="3" t="s">
        <v>191</v>
      </c>
      <c r="E4" s="3" t="s">
        <v>192</v>
      </c>
      <c r="F4" s="3" t="s">
        <v>193</v>
      </c>
      <c r="G4" s="3" t="s">
        <v>194</v>
      </c>
      <c r="H4" s="3" t="s">
        <v>195</v>
      </c>
      <c r="I4" s="3" t="s">
        <v>196</v>
      </c>
      <c r="J4" s="3" t="s">
        <v>199</v>
      </c>
      <c r="K4" s="3" t="s">
        <v>201</v>
      </c>
      <c r="L4" s="3" t="s">
        <v>202</v>
      </c>
      <c r="M4" s="3" t="s">
        <v>205</v>
      </c>
      <c r="N4" s="3" t="s">
        <v>206</v>
      </c>
      <c r="O4" s="3" t="s">
        <v>198</v>
      </c>
    </row>
    <row r="5" spans="1:15">
      <c r="A5" s="7" t="s">
        <v>39</v>
      </c>
      <c r="B5" s="11">
        <f>IF($A5="","",SUMIFS(tblPCSAgent[Eligible Calls Day],tblPCSAgent[LOB],$A5))</f>
        <v/>
      </c>
      <c r="C5" s="11">
        <f>IF($A5="","",SUMIFS(tblPCSAgent[Q1 Nonblank Day],tblPCSAgent[LOB],$A5))</f>
        <v/>
      </c>
      <c r="D5" s="11">
        <f>IF($A5="","",SUMIFS(tblPCSAgent[Valid Q1 Day],tblPCSAgent[LOB],$A5))</f>
        <v/>
      </c>
      <c r="E5" s="12">
        <f>IFERROR(SUMPRODUCT((tblPCSAgent[LOB]=$A5)*tblPCSAgent[Valid Q1 Day]*tblPCSAgent[PCS Average Day])/D5,"")</f>
        <v/>
      </c>
      <c r="F5" s="11">
        <f>IF($A5="","",SUMIFS(tblPCSAgent[&lt;=3 Day],tblPCSAgent[LOB],$A5))</f>
        <v/>
      </c>
      <c r="G5" s="11">
        <f>IF($A5="","",SUMIFS(tblPCSAgent[&gt;3 Day],tblPCSAgent[LOB],$A5))</f>
        <v/>
      </c>
      <c r="H5" s="13">
        <f>IFERROR(C5/B5,"")</f>
        <v/>
      </c>
      <c r="I5" s="13">
        <f>IFERROR(D5/B5,"")</f>
        <v/>
      </c>
      <c r="J5" s="11">
        <f>IF($A5="","",SUMIFS(tblPCSAgent[Eligible Calls 3H],tblPCSAgent[LOB],$A5))</f>
        <v/>
      </c>
      <c r="K5" s="11">
        <f>IF($A5="","",SUMIFS(tblPCSAgent[Valid Q1 3H],tblPCSAgent[LOB],$A5))</f>
        <v/>
      </c>
      <c r="L5" s="12">
        <f>IFERROR(SUMPRODUCT((tblPCSAgent[LOB]=$A5)*tblPCSAgent[Valid Q1 3H]*tblPCSAgent[PCS Average 3H])/K5,"")</f>
        <v/>
      </c>
      <c r="M5" s="13">
        <f>IFERROR(SUMIFS(tblPCSAgent[Q1 Nonblank 3H],tblPCSAgent[LOB],$A5)/J5,"")</f>
        <v/>
      </c>
      <c r="N5" s="13">
        <f>IFERROR(K5/J5,"")</f>
        <v/>
      </c>
      <c r="O5" s="4">
        <f>IF($A5="","",IF(K5=0,"NO VALID SURVEY",IF(K5&lt;20,"LOW SAMPLE","OK")))</f>
        <v/>
      </c>
    </row>
    <row r="6" spans="1:15">
      <c r="A6" s="7" t="s">
        <v>60</v>
      </c>
      <c r="B6" s="11">
        <f>IF($A6="","",SUMIFS(tblPCSAgent[Eligible Calls Day],tblPCSAgent[LOB],$A6))</f>
        <v/>
      </c>
      <c r="C6" s="11">
        <f>IF($A6="","",SUMIFS(tblPCSAgent[Q1 Nonblank Day],tblPCSAgent[LOB],$A6))</f>
        <v/>
      </c>
      <c r="D6" s="11">
        <f>IF($A6="","",SUMIFS(tblPCSAgent[Valid Q1 Day],tblPCSAgent[LOB],$A6))</f>
        <v/>
      </c>
      <c r="E6" s="12">
        <f>IFERROR(SUMPRODUCT((tblPCSAgent[LOB]=$A6)*tblPCSAgent[Valid Q1 Day]*tblPCSAgent[PCS Average Day])/D6,"")</f>
        <v/>
      </c>
      <c r="F6" s="11">
        <f>IF($A6="","",SUMIFS(tblPCSAgent[&lt;=3 Day],tblPCSAgent[LOB],$A6))</f>
        <v/>
      </c>
      <c r="G6" s="11">
        <f>IF($A6="","",SUMIFS(tblPCSAgent[&gt;3 Day],tblPCSAgent[LOB],$A6))</f>
        <v/>
      </c>
      <c r="H6" s="13">
        <f>IFERROR(C6/B6,"")</f>
        <v/>
      </c>
      <c r="I6" s="13">
        <f>IFERROR(D6/B6,"")</f>
        <v/>
      </c>
      <c r="J6" s="11">
        <f>IF($A6="","",SUMIFS(tblPCSAgent[Eligible Calls 3H],tblPCSAgent[LOB],$A6))</f>
        <v/>
      </c>
      <c r="K6" s="11">
        <f>IF($A6="","",SUMIFS(tblPCSAgent[Valid Q1 3H],tblPCSAgent[LOB],$A6))</f>
        <v/>
      </c>
      <c r="L6" s="12">
        <f>IFERROR(SUMPRODUCT((tblPCSAgent[LOB]=$A6)*tblPCSAgent[Valid Q1 3H]*tblPCSAgent[PCS Average 3H])/K6,"")</f>
        <v/>
      </c>
      <c r="M6" s="13">
        <f>IFERROR(SUMIFS(tblPCSAgent[Q1 Nonblank 3H],tblPCSAgent[LOB],$A6)/J6,"")</f>
        <v/>
      </c>
      <c r="N6" s="13">
        <f>IFERROR(K6/J6,"")</f>
        <v/>
      </c>
      <c r="O6" s="4">
        <f>IF($A6="","",IF(K6=0,"NO VALID SURVEY",IF(K6&lt;20,"LOW SAMPLE","OK")))</f>
        <v/>
      </c>
    </row>
    <row r="7" spans="1:15">
      <c r="A7" s="7" t="s">
        <v>25</v>
      </c>
      <c r="B7" s="11">
        <f>IF($A7="","",SUMIFS(tblPCSAgent[Eligible Calls Day],tblPCSAgent[LOB],$A7))</f>
        <v/>
      </c>
      <c r="C7" s="11">
        <f>IF($A7="","",SUMIFS(tblPCSAgent[Q1 Nonblank Day],tblPCSAgent[LOB],$A7))</f>
        <v/>
      </c>
      <c r="D7" s="11">
        <f>IF($A7="","",SUMIFS(tblPCSAgent[Valid Q1 Day],tblPCSAgent[LOB],$A7))</f>
        <v/>
      </c>
      <c r="E7" s="12">
        <f>IFERROR(SUMPRODUCT((tblPCSAgent[LOB]=$A7)*tblPCSAgent[Valid Q1 Day]*tblPCSAgent[PCS Average Day])/D7,"")</f>
        <v/>
      </c>
      <c r="F7" s="11">
        <f>IF($A7="","",SUMIFS(tblPCSAgent[&lt;=3 Day],tblPCSAgent[LOB],$A7))</f>
        <v/>
      </c>
      <c r="G7" s="11">
        <f>IF($A7="","",SUMIFS(tblPCSAgent[&gt;3 Day],tblPCSAgent[LOB],$A7))</f>
        <v/>
      </c>
      <c r="H7" s="13">
        <f>IFERROR(C7/B7,"")</f>
        <v/>
      </c>
      <c r="I7" s="13">
        <f>IFERROR(D7/B7,"")</f>
        <v/>
      </c>
      <c r="J7" s="11">
        <f>IF($A7="","",SUMIFS(tblPCSAgent[Eligible Calls 3H],tblPCSAgent[LOB],$A7))</f>
        <v/>
      </c>
      <c r="K7" s="11">
        <f>IF($A7="","",SUMIFS(tblPCSAgent[Valid Q1 3H],tblPCSAgent[LOB],$A7))</f>
        <v/>
      </c>
      <c r="L7" s="12">
        <f>IFERROR(SUMPRODUCT((tblPCSAgent[LOB]=$A7)*tblPCSAgent[Valid Q1 3H]*tblPCSAgent[PCS Average 3H])/K7,"")</f>
        <v/>
      </c>
      <c r="M7" s="13">
        <f>IFERROR(SUMIFS(tblPCSAgent[Q1 Nonblank 3H],tblPCSAgent[LOB],$A7)/J7,"")</f>
        <v/>
      </c>
      <c r="N7" s="13">
        <f>IFERROR(K7/J7,"")</f>
        <v/>
      </c>
      <c r="O7" s="4">
        <f>IF($A7="","",IF(K7=0,"NO VALID SURVEY",IF(K7&lt;20,"LOW SAMPLE","OK")))</f>
        <v/>
      </c>
    </row>
    <row r="8" spans="1:15">
      <c r="A8" s="7" t="s">
        <v>36</v>
      </c>
      <c r="B8" s="11">
        <f>IF($A8="","",SUMIFS(tblPCSAgent[Eligible Calls Day],tblPCSAgent[LOB],$A8))</f>
        <v/>
      </c>
      <c r="C8" s="11">
        <f>IF($A8="","",SUMIFS(tblPCSAgent[Q1 Nonblank Day],tblPCSAgent[LOB],$A8))</f>
        <v/>
      </c>
      <c r="D8" s="11">
        <f>IF($A8="","",SUMIFS(tblPCSAgent[Valid Q1 Day],tblPCSAgent[LOB],$A8))</f>
        <v/>
      </c>
      <c r="E8" s="12">
        <f>IFERROR(SUMPRODUCT((tblPCSAgent[LOB]=$A8)*tblPCSAgent[Valid Q1 Day]*tblPCSAgent[PCS Average Day])/D8,"")</f>
        <v/>
      </c>
      <c r="F8" s="11">
        <f>IF($A8="","",SUMIFS(tblPCSAgent[&lt;=3 Day],tblPCSAgent[LOB],$A8))</f>
        <v/>
      </c>
      <c r="G8" s="11">
        <f>IF($A8="","",SUMIFS(tblPCSAgent[&gt;3 Day],tblPCSAgent[LOB],$A8))</f>
        <v/>
      </c>
      <c r="H8" s="13">
        <f>IFERROR(C8/B8,"")</f>
        <v/>
      </c>
      <c r="I8" s="13">
        <f>IFERROR(D8/B8,"")</f>
        <v/>
      </c>
      <c r="J8" s="11">
        <f>IF($A8="","",SUMIFS(tblPCSAgent[Eligible Calls 3H],tblPCSAgent[LOB],$A8))</f>
        <v/>
      </c>
      <c r="K8" s="11">
        <f>IF($A8="","",SUMIFS(tblPCSAgent[Valid Q1 3H],tblPCSAgent[LOB],$A8))</f>
        <v/>
      </c>
      <c r="L8" s="12">
        <f>IFERROR(SUMPRODUCT((tblPCSAgent[LOB]=$A8)*tblPCSAgent[Valid Q1 3H]*tblPCSAgent[PCS Average 3H])/K8,"")</f>
        <v/>
      </c>
      <c r="M8" s="13">
        <f>IFERROR(SUMIFS(tblPCSAgent[Q1 Nonblank 3H],tblPCSAgent[LOB],$A8)/J8,"")</f>
        <v/>
      </c>
      <c r="N8" s="13">
        <f>IFERROR(K8/J8,"")</f>
        <v/>
      </c>
      <c r="O8" s="4">
        <f>IF($A8="","",IF(K8=0,"NO VALID SURVEY",IF(K8&lt;20,"LOW SAMPLE","OK")))</f>
        <v/>
      </c>
    </row>
    <row r="9" spans="1:15">
      <c r="A9" s="7" t="s">
        <v>62</v>
      </c>
      <c r="B9" s="11">
        <f>IF($A9="","",SUMIFS(tblPCSAgent[Eligible Calls Day],tblPCSAgent[LOB],$A9))</f>
        <v/>
      </c>
      <c r="C9" s="11">
        <f>IF($A9="","",SUMIFS(tblPCSAgent[Q1 Nonblank Day],tblPCSAgent[LOB],$A9))</f>
        <v/>
      </c>
      <c r="D9" s="11">
        <f>IF($A9="","",SUMIFS(tblPCSAgent[Valid Q1 Day],tblPCSAgent[LOB],$A9))</f>
        <v/>
      </c>
      <c r="E9" s="12">
        <f>IFERROR(SUMPRODUCT((tblPCSAgent[LOB]=$A9)*tblPCSAgent[Valid Q1 Day]*tblPCSAgent[PCS Average Day])/D9,"")</f>
        <v/>
      </c>
      <c r="F9" s="11">
        <f>IF($A9="","",SUMIFS(tblPCSAgent[&lt;=3 Day],tblPCSAgent[LOB],$A9))</f>
        <v/>
      </c>
      <c r="G9" s="11">
        <f>IF($A9="","",SUMIFS(tblPCSAgent[&gt;3 Day],tblPCSAgent[LOB],$A9))</f>
        <v/>
      </c>
      <c r="H9" s="13">
        <f>IFERROR(C9/B9,"")</f>
        <v/>
      </c>
      <c r="I9" s="13">
        <f>IFERROR(D9/B9,"")</f>
        <v/>
      </c>
      <c r="J9" s="11">
        <f>IF($A9="","",SUMIFS(tblPCSAgent[Eligible Calls 3H],tblPCSAgent[LOB],$A9))</f>
        <v/>
      </c>
      <c r="K9" s="11">
        <f>IF($A9="","",SUMIFS(tblPCSAgent[Valid Q1 3H],tblPCSAgent[LOB],$A9))</f>
        <v/>
      </c>
      <c r="L9" s="12">
        <f>IFERROR(SUMPRODUCT((tblPCSAgent[LOB]=$A9)*tblPCSAgent[Valid Q1 3H]*tblPCSAgent[PCS Average 3H])/K9,"")</f>
        <v/>
      </c>
      <c r="M9" s="13">
        <f>IFERROR(SUMIFS(tblPCSAgent[Q1 Nonblank 3H],tblPCSAgent[LOB],$A9)/J9,"")</f>
        <v/>
      </c>
      <c r="N9" s="13">
        <f>IFERROR(K9/J9,"")</f>
        <v/>
      </c>
      <c r="O9" s="4">
        <f>IF($A9="","",IF(K9=0,"NO VALID SURVEY",IF(K9&lt;20,"LOW SAMPLE","OK")))</f>
        <v/>
      </c>
    </row>
    <row r="10" spans="1:15">
      <c r="A10" s="7"/>
      <c r="B10" s="11">
        <f>IF($A10="","",SUMIFS(tblPCSAgent[Eligible Calls Day],tblPCSAgent[LOB],$A10))</f>
        <v/>
      </c>
      <c r="C10" s="11">
        <f>IF($A10="","",SUMIFS(tblPCSAgent[Q1 Nonblank Day],tblPCSAgent[LOB],$A10))</f>
        <v/>
      </c>
      <c r="D10" s="11">
        <f>IF($A10="","",SUMIFS(tblPCSAgent[Valid Q1 Day],tblPCSAgent[LOB],$A10))</f>
        <v/>
      </c>
      <c r="E10" s="12">
        <f>IFERROR(SUMPRODUCT((tblPCSAgent[LOB]=$A10)*tblPCSAgent[Valid Q1 Day]*tblPCSAgent[PCS Average Day])/D10,"")</f>
        <v/>
      </c>
      <c r="F10" s="11">
        <f>IF($A10="","",SUMIFS(tblPCSAgent[&lt;=3 Day],tblPCSAgent[LOB],$A10))</f>
        <v/>
      </c>
      <c r="G10" s="11">
        <f>IF($A10="","",SUMIFS(tblPCSAgent[&gt;3 Day],tblPCSAgent[LOB],$A10))</f>
        <v/>
      </c>
      <c r="H10" s="13">
        <f>IFERROR(C10/B10,"")</f>
        <v/>
      </c>
      <c r="I10" s="13">
        <f>IFERROR(D10/B10,"")</f>
        <v/>
      </c>
      <c r="J10" s="11">
        <f>IF($A10="","",SUMIFS(tblPCSAgent[Eligible Calls 3H],tblPCSAgent[LOB],$A10))</f>
        <v/>
      </c>
      <c r="K10" s="11">
        <f>IF($A10="","",SUMIFS(tblPCSAgent[Valid Q1 3H],tblPCSAgent[LOB],$A10))</f>
        <v/>
      </c>
      <c r="L10" s="12">
        <f>IFERROR(SUMPRODUCT((tblPCSAgent[LOB]=$A10)*tblPCSAgent[Valid Q1 3H]*tblPCSAgent[PCS Average 3H])/K10,"")</f>
        <v/>
      </c>
      <c r="M10" s="13">
        <f>IFERROR(SUMIFS(tblPCSAgent[Q1 Nonblank 3H],tblPCSAgent[LOB],$A10)/J10,"")</f>
        <v/>
      </c>
      <c r="N10" s="13">
        <f>IFERROR(K10/J10,"")</f>
        <v/>
      </c>
      <c r="O10" s="4">
        <f>IF($A10="","",IF(K10=0,"NO VALID SURVEY",IF(K10&lt;20,"LOW SAMPLE","OK")))</f>
        <v/>
      </c>
    </row>
    <row r="11" spans="1:15">
      <c r="A11" s="7"/>
      <c r="B11" s="11">
        <f>IF($A11="","",SUMIFS(tblPCSAgent[Eligible Calls Day],tblPCSAgent[LOB],$A11))</f>
        <v/>
      </c>
      <c r="C11" s="11">
        <f>IF($A11="","",SUMIFS(tblPCSAgent[Q1 Nonblank Day],tblPCSAgent[LOB],$A11))</f>
        <v/>
      </c>
      <c r="D11" s="11">
        <f>IF($A11="","",SUMIFS(tblPCSAgent[Valid Q1 Day],tblPCSAgent[LOB],$A11))</f>
        <v/>
      </c>
      <c r="E11" s="12">
        <f>IFERROR(SUMPRODUCT((tblPCSAgent[LOB]=$A11)*tblPCSAgent[Valid Q1 Day]*tblPCSAgent[PCS Average Day])/D11,"")</f>
        <v/>
      </c>
      <c r="F11" s="11">
        <f>IF($A11="","",SUMIFS(tblPCSAgent[&lt;=3 Day],tblPCSAgent[LOB],$A11))</f>
        <v/>
      </c>
      <c r="G11" s="11">
        <f>IF($A11="","",SUMIFS(tblPCSAgent[&gt;3 Day],tblPCSAgent[LOB],$A11))</f>
        <v/>
      </c>
      <c r="H11" s="13">
        <f>IFERROR(C11/B11,"")</f>
        <v/>
      </c>
      <c r="I11" s="13">
        <f>IFERROR(D11/B11,"")</f>
        <v/>
      </c>
      <c r="J11" s="11">
        <f>IF($A11="","",SUMIFS(tblPCSAgent[Eligible Calls 3H],tblPCSAgent[LOB],$A11))</f>
        <v/>
      </c>
      <c r="K11" s="11">
        <f>IF($A11="","",SUMIFS(tblPCSAgent[Valid Q1 3H],tblPCSAgent[LOB],$A11))</f>
        <v/>
      </c>
      <c r="L11" s="12">
        <f>IFERROR(SUMPRODUCT((tblPCSAgent[LOB]=$A11)*tblPCSAgent[Valid Q1 3H]*tblPCSAgent[PCS Average 3H])/K11,"")</f>
        <v/>
      </c>
      <c r="M11" s="13">
        <f>IFERROR(SUMIFS(tblPCSAgent[Q1 Nonblank 3H],tblPCSAgent[LOB],$A11)/J11,"")</f>
        <v/>
      </c>
      <c r="N11" s="13">
        <f>IFERROR(K11/J11,"")</f>
        <v/>
      </c>
      <c r="O11" s="4">
        <f>IF($A11="","",IF(K11=0,"NO VALID SURVEY",IF(K11&lt;20,"LOW SAMPLE","OK")))</f>
        <v/>
      </c>
    </row>
    <row r="12" spans="1:15">
      <c r="A12" s="7"/>
      <c r="B12" s="11">
        <f>IF($A12="","",SUMIFS(tblPCSAgent[Eligible Calls Day],tblPCSAgent[LOB],$A12))</f>
        <v/>
      </c>
      <c r="C12" s="11">
        <f>IF($A12="","",SUMIFS(tblPCSAgent[Q1 Nonblank Day],tblPCSAgent[LOB],$A12))</f>
        <v/>
      </c>
      <c r="D12" s="11">
        <f>IF($A12="","",SUMIFS(tblPCSAgent[Valid Q1 Day],tblPCSAgent[LOB],$A12))</f>
        <v/>
      </c>
      <c r="E12" s="12">
        <f>IFERROR(SUMPRODUCT((tblPCSAgent[LOB]=$A12)*tblPCSAgent[Valid Q1 Day]*tblPCSAgent[PCS Average Day])/D12,"")</f>
        <v/>
      </c>
      <c r="F12" s="11">
        <f>IF($A12="","",SUMIFS(tblPCSAgent[&lt;=3 Day],tblPCSAgent[LOB],$A12))</f>
        <v/>
      </c>
      <c r="G12" s="11">
        <f>IF($A12="","",SUMIFS(tblPCSAgent[&gt;3 Day],tblPCSAgent[LOB],$A12))</f>
        <v/>
      </c>
      <c r="H12" s="13">
        <f>IFERROR(C12/B12,"")</f>
        <v/>
      </c>
      <c r="I12" s="13">
        <f>IFERROR(D12/B12,"")</f>
        <v/>
      </c>
      <c r="J12" s="11">
        <f>IF($A12="","",SUMIFS(tblPCSAgent[Eligible Calls 3H],tblPCSAgent[LOB],$A12))</f>
        <v/>
      </c>
      <c r="K12" s="11">
        <f>IF($A12="","",SUMIFS(tblPCSAgent[Valid Q1 3H],tblPCSAgent[LOB],$A12))</f>
        <v/>
      </c>
      <c r="L12" s="12">
        <f>IFERROR(SUMPRODUCT((tblPCSAgent[LOB]=$A12)*tblPCSAgent[Valid Q1 3H]*tblPCSAgent[PCS Average 3H])/K12,"")</f>
        <v/>
      </c>
      <c r="M12" s="13">
        <f>IFERROR(SUMIFS(tblPCSAgent[Q1 Nonblank 3H],tblPCSAgent[LOB],$A12)/J12,"")</f>
        <v/>
      </c>
      <c r="N12" s="13">
        <f>IFERROR(K12/J12,"")</f>
        <v/>
      </c>
      <c r="O12" s="4">
        <f>IF($A12="","",IF(K12=0,"NO VALID SURVEY",IF(K12&lt;20,"LOW SAMPLE","OK")))</f>
        <v/>
      </c>
    </row>
    <row r="13" spans="1:15">
      <c r="A13" s="7"/>
      <c r="B13" s="11">
        <f>IF($A13="","",SUMIFS(tblPCSAgent[Eligible Calls Day],tblPCSAgent[LOB],$A13))</f>
        <v/>
      </c>
      <c r="C13" s="11">
        <f>IF($A13="","",SUMIFS(tblPCSAgent[Q1 Nonblank Day],tblPCSAgent[LOB],$A13))</f>
        <v/>
      </c>
      <c r="D13" s="11">
        <f>IF($A13="","",SUMIFS(tblPCSAgent[Valid Q1 Day],tblPCSAgent[LOB],$A13))</f>
        <v/>
      </c>
      <c r="E13" s="12">
        <f>IFERROR(SUMPRODUCT((tblPCSAgent[LOB]=$A13)*tblPCSAgent[Valid Q1 Day]*tblPCSAgent[PCS Average Day])/D13,"")</f>
        <v/>
      </c>
      <c r="F13" s="11">
        <f>IF($A13="","",SUMIFS(tblPCSAgent[&lt;=3 Day],tblPCSAgent[LOB],$A13))</f>
        <v/>
      </c>
      <c r="G13" s="11">
        <f>IF($A13="","",SUMIFS(tblPCSAgent[&gt;3 Day],tblPCSAgent[LOB],$A13))</f>
        <v/>
      </c>
      <c r="H13" s="13">
        <f>IFERROR(C13/B13,"")</f>
        <v/>
      </c>
      <c r="I13" s="13">
        <f>IFERROR(D13/B13,"")</f>
        <v/>
      </c>
      <c r="J13" s="11">
        <f>IF($A13="","",SUMIFS(tblPCSAgent[Eligible Calls 3H],tblPCSAgent[LOB],$A13))</f>
        <v/>
      </c>
      <c r="K13" s="11">
        <f>IF($A13="","",SUMIFS(tblPCSAgent[Valid Q1 3H],tblPCSAgent[LOB],$A13))</f>
        <v/>
      </c>
      <c r="L13" s="12">
        <f>IFERROR(SUMPRODUCT((tblPCSAgent[LOB]=$A13)*tblPCSAgent[Valid Q1 3H]*tblPCSAgent[PCS Average 3H])/K13,"")</f>
        <v/>
      </c>
      <c r="M13" s="13">
        <f>IFERROR(SUMIFS(tblPCSAgent[Q1 Nonblank 3H],tblPCSAgent[LOB],$A13)/J13,"")</f>
        <v/>
      </c>
      <c r="N13" s="13">
        <f>IFERROR(K13/J13,"")</f>
        <v/>
      </c>
      <c r="O13" s="4">
        <f>IF($A13="","",IF(K13=0,"NO VALID SURVEY",IF(K13&lt;20,"LOW SAMPLE","OK")))</f>
        <v/>
      </c>
    </row>
    <row r="14" spans="1:15">
      <c r="A14" s="7"/>
      <c r="B14" s="11">
        <f>IF($A14="","",SUMIFS(tblPCSAgent[Eligible Calls Day],tblPCSAgent[LOB],$A14))</f>
        <v/>
      </c>
      <c r="C14" s="11">
        <f>IF($A14="","",SUMIFS(tblPCSAgent[Q1 Nonblank Day],tblPCSAgent[LOB],$A14))</f>
        <v/>
      </c>
      <c r="D14" s="11">
        <f>IF($A14="","",SUMIFS(tblPCSAgent[Valid Q1 Day],tblPCSAgent[LOB],$A14))</f>
        <v/>
      </c>
      <c r="E14" s="12">
        <f>IFERROR(SUMPRODUCT((tblPCSAgent[LOB]=$A14)*tblPCSAgent[Valid Q1 Day]*tblPCSAgent[PCS Average Day])/D14,"")</f>
        <v/>
      </c>
      <c r="F14" s="11">
        <f>IF($A14="","",SUMIFS(tblPCSAgent[&lt;=3 Day],tblPCSAgent[LOB],$A14))</f>
        <v/>
      </c>
      <c r="G14" s="11">
        <f>IF($A14="","",SUMIFS(tblPCSAgent[&gt;3 Day],tblPCSAgent[LOB],$A14))</f>
        <v/>
      </c>
      <c r="H14" s="13">
        <f>IFERROR(C14/B14,"")</f>
        <v/>
      </c>
      <c r="I14" s="13">
        <f>IFERROR(D14/B14,"")</f>
        <v/>
      </c>
      <c r="J14" s="11">
        <f>IF($A14="","",SUMIFS(tblPCSAgent[Eligible Calls 3H],tblPCSAgent[LOB],$A14))</f>
        <v/>
      </c>
      <c r="K14" s="11">
        <f>IF($A14="","",SUMIFS(tblPCSAgent[Valid Q1 3H],tblPCSAgent[LOB],$A14))</f>
        <v/>
      </c>
      <c r="L14" s="12">
        <f>IFERROR(SUMPRODUCT((tblPCSAgent[LOB]=$A14)*tblPCSAgent[Valid Q1 3H]*tblPCSAgent[PCS Average 3H])/K14,"")</f>
        <v/>
      </c>
      <c r="M14" s="13">
        <f>IFERROR(SUMIFS(tblPCSAgent[Q1 Nonblank 3H],tblPCSAgent[LOB],$A14)/J14,"")</f>
        <v/>
      </c>
      <c r="N14" s="13">
        <f>IFERROR(K14/J14,"")</f>
        <v/>
      </c>
      <c r="O14" s="4">
        <f>IF($A14="","",IF(K14=0,"NO VALID SURVEY",IF(K14&lt;20,"LOW SAMPLE","OK")))</f>
        <v/>
      </c>
    </row>
    <row r="15" spans="1:15">
      <c r="A15" s="7"/>
      <c r="B15" s="11">
        <f>IF($A15="","",SUMIFS(tblPCSAgent[Eligible Calls Day],tblPCSAgent[LOB],$A15))</f>
        <v/>
      </c>
      <c r="C15" s="11">
        <f>IF($A15="","",SUMIFS(tblPCSAgent[Q1 Nonblank Day],tblPCSAgent[LOB],$A15))</f>
        <v/>
      </c>
      <c r="D15" s="11">
        <f>IF($A15="","",SUMIFS(tblPCSAgent[Valid Q1 Day],tblPCSAgent[LOB],$A15))</f>
        <v/>
      </c>
      <c r="E15" s="12">
        <f>IFERROR(SUMPRODUCT((tblPCSAgent[LOB]=$A15)*tblPCSAgent[Valid Q1 Day]*tblPCSAgent[PCS Average Day])/D15,"")</f>
        <v/>
      </c>
      <c r="F15" s="11">
        <f>IF($A15="","",SUMIFS(tblPCSAgent[&lt;=3 Day],tblPCSAgent[LOB],$A15))</f>
        <v/>
      </c>
      <c r="G15" s="11">
        <f>IF($A15="","",SUMIFS(tblPCSAgent[&gt;3 Day],tblPCSAgent[LOB],$A15))</f>
        <v/>
      </c>
      <c r="H15" s="13">
        <f>IFERROR(C15/B15,"")</f>
        <v/>
      </c>
      <c r="I15" s="13">
        <f>IFERROR(D15/B15,"")</f>
        <v/>
      </c>
      <c r="J15" s="11">
        <f>IF($A15="","",SUMIFS(tblPCSAgent[Eligible Calls 3H],tblPCSAgent[LOB],$A15))</f>
        <v/>
      </c>
      <c r="K15" s="11">
        <f>IF($A15="","",SUMIFS(tblPCSAgent[Valid Q1 3H],tblPCSAgent[LOB],$A15))</f>
        <v/>
      </c>
      <c r="L15" s="12">
        <f>IFERROR(SUMPRODUCT((tblPCSAgent[LOB]=$A15)*tblPCSAgent[Valid Q1 3H]*tblPCSAgent[PCS Average 3H])/K15,"")</f>
        <v/>
      </c>
      <c r="M15" s="13">
        <f>IFERROR(SUMIFS(tblPCSAgent[Q1 Nonblank 3H],tblPCSAgent[LOB],$A15)/J15,"")</f>
        <v/>
      </c>
      <c r="N15" s="13">
        <f>IFERROR(K15/J15,"")</f>
        <v/>
      </c>
      <c r="O15" s="4">
        <f>IF($A15="","",IF(K15=0,"NO VALID SURVEY",IF(K15&lt;20,"LOW SAMPLE","OK")))</f>
        <v/>
      </c>
    </row>
    <row r="16" spans="1:15">
      <c r="A16" s="7"/>
      <c r="B16" s="11">
        <f>IF($A16="","",SUMIFS(tblPCSAgent[Eligible Calls Day],tblPCSAgent[LOB],$A16))</f>
        <v/>
      </c>
      <c r="C16" s="11">
        <f>IF($A16="","",SUMIFS(tblPCSAgent[Q1 Nonblank Day],tblPCSAgent[LOB],$A16))</f>
        <v/>
      </c>
      <c r="D16" s="11">
        <f>IF($A16="","",SUMIFS(tblPCSAgent[Valid Q1 Day],tblPCSAgent[LOB],$A16))</f>
        <v/>
      </c>
      <c r="E16" s="12">
        <f>IFERROR(SUMPRODUCT((tblPCSAgent[LOB]=$A16)*tblPCSAgent[Valid Q1 Day]*tblPCSAgent[PCS Average Day])/D16,"")</f>
        <v/>
      </c>
      <c r="F16" s="11">
        <f>IF($A16="","",SUMIFS(tblPCSAgent[&lt;=3 Day],tblPCSAgent[LOB],$A16))</f>
        <v/>
      </c>
      <c r="G16" s="11">
        <f>IF($A16="","",SUMIFS(tblPCSAgent[&gt;3 Day],tblPCSAgent[LOB],$A16))</f>
        <v/>
      </c>
      <c r="H16" s="13">
        <f>IFERROR(C16/B16,"")</f>
        <v/>
      </c>
      <c r="I16" s="13">
        <f>IFERROR(D16/B16,"")</f>
        <v/>
      </c>
      <c r="J16" s="11">
        <f>IF($A16="","",SUMIFS(tblPCSAgent[Eligible Calls 3H],tblPCSAgent[LOB],$A16))</f>
        <v/>
      </c>
      <c r="K16" s="11">
        <f>IF($A16="","",SUMIFS(tblPCSAgent[Valid Q1 3H],tblPCSAgent[LOB],$A16))</f>
        <v/>
      </c>
      <c r="L16" s="12">
        <f>IFERROR(SUMPRODUCT((tblPCSAgent[LOB]=$A16)*tblPCSAgent[Valid Q1 3H]*tblPCSAgent[PCS Average 3H])/K16,"")</f>
        <v/>
      </c>
      <c r="M16" s="13">
        <f>IFERROR(SUMIFS(tblPCSAgent[Q1 Nonblank 3H],tblPCSAgent[LOB],$A16)/J16,"")</f>
        <v/>
      </c>
      <c r="N16" s="13">
        <f>IFERROR(K16/J16,"")</f>
        <v/>
      </c>
      <c r="O16" s="4">
        <f>IF($A16="","",IF(K16=0,"NO VALID SURVEY",IF(K16&lt;20,"LOW SAMPLE","OK")))</f>
        <v/>
      </c>
    </row>
    <row r="17" spans="1:15">
      <c r="A17" s="7"/>
      <c r="B17" s="11">
        <f>IF($A17="","",SUMIFS(tblPCSAgent[Eligible Calls Day],tblPCSAgent[LOB],$A17))</f>
        <v/>
      </c>
      <c r="C17" s="11">
        <f>IF($A17="","",SUMIFS(tblPCSAgent[Q1 Nonblank Day],tblPCSAgent[LOB],$A17))</f>
        <v/>
      </c>
      <c r="D17" s="11">
        <f>IF($A17="","",SUMIFS(tblPCSAgent[Valid Q1 Day],tblPCSAgent[LOB],$A17))</f>
        <v/>
      </c>
      <c r="E17" s="12">
        <f>IFERROR(SUMPRODUCT((tblPCSAgent[LOB]=$A17)*tblPCSAgent[Valid Q1 Day]*tblPCSAgent[PCS Average Day])/D17,"")</f>
        <v/>
      </c>
      <c r="F17" s="11">
        <f>IF($A17="","",SUMIFS(tblPCSAgent[&lt;=3 Day],tblPCSAgent[LOB],$A17))</f>
        <v/>
      </c>
      <c r="G17" s="11">
        <f>IF($A17="","",SUMIFS(tblPCSAgent[&gt;3 Day],tblPCSAgent[LOB],$A17))</f>
        <v/>
      </c>
      <c r="H17" s="13">
        <f>IFERROR(C17/B17,"")</f>
        <v/>
      </c>
      <c r="I17" s="13">
        <f>IFERROR(D17/B17,"")</f>
        <v/>
      </c>
      <c r="J17" s="11">
        <f>IF($A17="","",SUMIFS(tblPCSAgent[Eligible Calls 3H],tblPCSAgent[LOB],$A17))</f>
        <v/>
      </c>
      <c r="K17" s="11">
        <f>IF($A17="","",SUMIFS(tblPCSAgent[Valid Q1 3H],tblPCSAgent[LOB],$A17))</f>
        <v/>
      </c>
      <c r="L17" s="12">
        <f>IFERROR(SUMPRODUCT((tblPCSAgent[LOB]=$A17)*tblPCSAgent[Valid Q1 3H]*tblPCSAgent[PCS Average 3H])/K17,"")</f>
        <v/>
      </c>
      <c r="M17" s="13">
        <f>IFERROR(SUMIFS(tblPCSAgent[Q1 Nonblank 3H],tblPCSAgent[LOB],$A17)/J17,"")</f>
        <v/>
      </c>
      <c r="N17" s="13">
        <f>IFERROR(K17/J17,"")</f>
        <v/>
      </c>
      <c r="O17" s="4">
        <f>IF($A17="","",IF(K17=0,"NO VALID SURVEY",IF(K17&lt;20,"LOW SAMPLE","OK")))</f>
        <v/>
      </c>
    </row>
    <row r="18" spans="1:15">
      <c r="A18" s="7"/>
      <c r="B18" s="11">
        <f>IF($A18="","",SUMIFS(tblPCSAgent[Eligible Calls Day],tblPCSAgent[LOB],$A18))</f>
        <v/>
      </c>
      <c r="C18" s="11">
        <f>IF($A18="","",SUMIFS(tblPCSAgent[Q1 Nonblank Day],tblPCSAgent[LOB],$A18))</f>
        <v/>
      </c>
      <c r="D18" s="11">
        <f>IF($A18="","",SUMIFS(tblPCSAgent[Valid Q1 Day],tblPCSAgent[LOB],$A18))</f>
        <v/>
      </c>
      <c r="E18" s="12">
        <f>IFERROR(SUMPRODUCT((tblPCSAgent[LOB]=$A18)*tblPCSAgent[Valid Q1 Day]*tblPCSAgent[PCS Average Day])/D18,"")</f>
        <v/>
      </c>
      <c r="F18" s="11">
        <f>IF($A18="","",SUMIFS(tblPCSAgent[&lt;=3 Day],tblPCSAgent[LOB],$A18))</f>
        <v/>
      </c>
      <c r="G18" s="11">
        <f>IF($A18="","",SUMIFS(tblPCSAgent[&gt;3 Day],tblPCSAgent[LOB],$A18))</f>
        <v/>
      </c>
      <c r="H18" s="13">
        <f>IFERROR(C18/B18,"")</f>
        <v/>
      </c>
      <c r="I18" s="13">
        <f>IFERROR(D18/B18,"")</f>
        <v/>
      </c>
      <c r="J18" s="11">
        <f>IF($A18="","",SUMIFS(tblPCSAgent[Eligible Calls 3H],tblPCSAgent[LOB],$A18))</f>
        <v/>
      </c>
      <c r="K18" s="11">
        <f>IF($A18="","",SUMIFS(tblPCSAgent[Valid Q1 3H],tblPCSAgent[LOB],$A18))</f>
        <v/>
      </c>
      <c r="L18" s="12">
        <f>IFERROR(SUMPRODUCT((tblPCSAgent[LOB]=$A18)*tblPCSAgent[Valid Q1 3H]*tblPCSAgent[PCS Average 3H])/K18,"")</f>
        <v/>
      </c>
      <c r="M18" s="13">
        <f>IFERROR(SUMIFS(tblPCSAgent[Q1 Nonblank 3H],tblPCSAgent[LOB],$A18)/J18,"")</f>
        <v/>
      </c>
      <c r="N18" s="13">
        <f>IFERROR(K18/J18,"")</f>
        <v/>
      </c>
      <c r="O18" s="4">
        <f>IF($A18="","",IF(K18=0,"NO VALID SURVEY",IF(K18&lt;20,"LOW SAMPLE","OK")))</f>
        <v/>
      </c>
    </row>
    <row r="19" spans="1:15">
      <c r="A19" s="7"/>
      <c r="B19" s="11">
        <f>IF($A19="","",SUMIFS(tblPCSAgent[Eligible Calls Day],tblPCSAgent[LOB],$A19))</f>
        <v/>
      </c>
      <c r="C19" s="11">
        <f>IF($A19="","",SUMIFS(tblPCSAgent[Q1 Nonblank Day],tblPCSAgent[LOB],$A19))</f>
        <v/>
      </c>
      <c r="D19" s="11">
        <f>IF($A19="","",SUMIFS(tblPCSAgent[Valid Q1 Day],tblPCSAgent[LOB],$A19))</f>
        <v/>
      </c>
      <c r="E19" s="12">
        <f>IFERROR(SUMPRODUCT((tblPCSAgent[LOB]=$A19)*tblPCSAgent[Valid Q1 Day]*tblPCSAgent[PCS Average Day])/D19,"")</f>
        <v/>
      </c>
      <c r="F19" s="11">
        <f>IF($A19="","",SUMIFS(tblPCSAgent[&lt;=3 Day],tblPCSAgent[LOB],$A19))</f>
        <v/>
      </c>
      <c r="G19" s="11">
        <f>IF($A19="","",SUMIFS(tblPCSAgent[&gt;3 Day],tblPCSAgent[LOB],$A19))</f>
        <v/>
      </c>
      <c r="H19" s="13">
        <f>IFERROR(C19/B19,"")</f>
        <v/>
      </c>
      <c r="I19" s="13">
        <f>IFERROR(D19/B19,"")</f>
        <v/>
      </c>
      <c r="J19" s="11">
        <f>IF($A19="","",SUMIFS(tblPCSAgent[Eligible Calls 3H],tblPCSAgent[LOB],$A19))</f>
        <v/>
      </c>
      <c r="K19" s="11">
        <f>IF($A19="","",SUMIFS(tblPCSAgent[Valid Q1 3H],tblPCSAgent[LOB],$A19))</f>
        <v/>
      </c>
      <c r="L19" s="12">
        <f>IFERROR(SUMPRODUCT((tblPCSAgent[LOB]=$A19)*tblPCSAgent[Valid Q1 3H]*tblPCSAgent[PCS Average 3H])/K19,"")</f>
        <v/>
      </c>
      <c r="M19" s="13">
        <f>IFERROR(SUMIFS(tblPCSAgent[Q1 Nonblank 3H],tblPCSAgent[LOB],$A19)/J19,"")</f>
        <v/>
      </c>
      <c r="N19" s="13">
        <f>IFERROR(K19/J19,"")</f>
        <v/>
      </c>
      <c r="O19" s="4">
        <f>IF($A19="","",IF(K19=0,"NO VALID SURVEY",IF(K19&lt;20,"LOW SAMPLE","OK")))</f>
        <v/>
      </c>
    </row>
  </sheetData>
  <mergeCells count="2">
    <mergeCell ref="A1:O1"/>
    <mergeCell ref="A2:O2"/>
  </mergeCells>
  <pageMargins left="0.7" right="0.7" top="0.75" bottom="0.75" header="0.3" footer="0.3"/>
  <pageSetup fitToHeight="0" orientation="landscape"/>
  <headerFooter>
    <oddFooter>&amp;LWFMHub | made by Anass ASSRI&amp;CPage &amp;P of &amp;N&amp;RConfidential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007C83"/>
    <pageSetUpPr fitToPage="1"/>
  </sheetPr>
  <dimension ref="A1:L32"/>
  <sheetViews>
    <sheetView showGridLines="0" tabSelected="1" zoomScale="90" zoomScaleNormal="90" workbookViewId="0"/>
  </sheetViews>
  <sheetFormatPr defaultRowHeight="15"/>
  <cols>
    <col min="1" max="12" width="14.7109375" customWidth="1"/>
  </cols>
  <sheetData>
    <row r="1" spans="1:12" ht="32" customHeight="1">
      <c r="A1" s="1" t="s">
        <v>209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0" customHeight="1">
      <c r="A2" s="2" t="s">
        <v>210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 ht="27" customHeight="1">
      <c r="A4" s="14" t="s">
        <v>211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</row>
    <row r="6" spans="1:12">
      <c r="A6" s="15" t="s">
        <v>212</v>
      </c>
      <c r="B6" s="15"/>
      <c r="C6" s="15" t="s">
        <v>213</v>
      </c>
      <c r="D6" s="15"/>
      <c r="E6" s="15" t="s">
        <v>214</v>
      </c>
      <c r="F6" s="15"/>
      <c r="G6" s="15" t="s">
        <v>215</v>
      </c>
      <c r="H6" s="15"/>
      <c r="I6" s="15" t="s">
        <v>216</v>
      </c>
      <c r="J6" s="15"/>
      <c r="K6" s="15" t="s">
        <v>217</v>
      </c>
      <c r="L6" s="15"/>
    </row>
    <row r="7" spans="1:12" ht="25" customHeight="1">
      <c r="A7" s="16">
        <f>IFERROR(SUMIFS(tblPCSInput[Valid Q1],tblPCSInput[Call Date/Time],"&gt;="&amp;SETUP!$B$5,tblPCSInput[Call Date/Time],"&lt;"&amp;SETUP!$B$5+1,tblPCSInput[Call Direction],"I")/COUNTIFS(tblPCSInput[Call Date/Time],"&gt;="&amp;(SETUP!$B$5),tblPCSInput[Call Date/Time],"&lt;"&amp;(SETUP!$B$5+1),tblPCSInput[Call Direction],"I",tblPCSInput[Valid Q1],"&gt;=1"),"")</f>
        <v/>
      </c>
      <c r="B7" s="16"/>
      <c r="C7" s="17">
        <f>IFERROR(COUNTIFS(tblPCSInput[Call Date/Time],"&gt;="&amp;(SETUP!$B$5),tblPCSInput[Call Date/Time],"&lt;"&amp;(SETUP!$B$5+1),tblPCSInput[Call Direction],"I",tblPCSInput[Question 1],"&lt;&gt;")/COUNTIFS(tblPCSInput[Call Date/Time],"&gt;="&amp;(SETUP!$B$5),tblPCSInput[Call Date/Time],"&lt;"&amp;(SETUP!$B$5+1),tblPCSInput[Call Direction],"I",tblPCSInput[PCSStatus],1),"")</f>
        <v/>
      </c>
      <c r="D7" s="17"/>
      <c r="E7" s="17">
        <f>IFERROR(COUNTIFS(tblPCSInput[Call Date/Time],"&gt;="&amp;(SETUP!$B$5),tblPCSInput[Call Date/Time],"&lt;"&amp;(SETUP!$B$5+1),tblPCSInput[Call Direction],"I",tblPCSInput[Valid Q1],"&gt;=1")/COUNTIFS(tblPCSInput[Call Date/Time],"&gt;="&amp;(SETUP!$B$5),tblPCSInput[Call Date/Time],"&lt;"&amp;(SETUP!$B$5+1),tblPCSInput[Call Direction],"I",tblPCSInput[PCSStatus],1),"")</f>
        <v/>
      </c>
      <c r="F7" s="17"/>
      <c r="G7" s="16">
        <f>IFERROR(SUMIFS(tblPCSInput[Valid Q1],tblPCSInput[Call Date/Time],"&gt;="&amp;SETUP!$B$6,tblPCSInput[Call Date/Time],"&lt;"&amp;SETUP!$B$7,tblPCSInput[Call Direction],"I")/COUNTIFS(tblPCSInput[Call Date/Time],"&gt;="&amp;(SETUP!$B$6),tblPCSInput[Call Date/Time],"&lt;"&amp;(SETUP!$B$7),tblPCSInput[Call Direction],"I",tblPCSInput[Valid Q1],"&gt;=1"),"")</f>
        <v/>
      </c>
      <c r="H7" s="16"/>
      <c r="I7" s="17">
        <f>IFERROR(COUNTIFS(tblPCSInput[Call Date/Time],"&gt;="&amp;(SETUP!$B$6),tblPCSInput[Call Date/Time],"&lt;"&amp;(SETUP!$B$7),tblPCSInput[Call Direction],"I",tblPCSInput[Question 1],"&lt;&gt;")/COUNTIFS(tblPCSInput[Call Date/Time],"&gt;="&amp;(SETUP!$B$6),tblPCSInput[Call Date/Time],"&lt;"&amp;(SETUP!$B$7),tblPCSInput[Call Direction],"I",tblPCSInput[PCSStatus],1),"")</f>
        <v/>
      </c>
      <c r="J7" s="17"/>
      <c r="K7" s="17">
        <f>IFERROR(COUNTIFS(tblPCSInput[Call Date/Time],"&gt;="&amp;(SETUP!$B$6),tblPCSInput[Call Date/Time],"&lt;"&amp;(SETUP!$B$7),tblPCSInput[Call Direction],"I",tblPCSInput[Valid Q1],"&gt;=1")/COUNTIFS(tblPCSInput[Call Date/Time],"&gt;="&amp;(SETUP!$B$6),tblPCSInput[Call Date/Time],"&lt;"&amp;(SETUP!$B$7),tblPCSInput[Call Direction],"I",tblPCSInput[PCSStatus],1),"")</f>
        <v/>
      </c>
      <c r="L7" s="17"/>
    </row>
    <row r="8" spans="1:12" ht="25" customHeight="1">
      <c r="A8" s="16"/>
      <c r="B8" s="16"/>
      <c r="C8" s="17"/>
      <c r="D8" s="17"/>
      <c r="E8" s="17"/>
      <c r="F8" s="17"/>
      <c r="G8" s="16"/>
      <c r="H8" s="16"/>
      <c r="I8" s="17"/>
      <c r="J8" s="17"/>
      <c r="K8" s="17"/>
      <c r="L8" s="17"/>
    </row>
    <row r="11" spans="1:12">
      <c r="A11" s="9" t="s">
        <v>218</v>
      </c>
    </row>
    <row r="12" spans="1:12">
      <c r="A12" s="4" t="s">
        <v>4</v>
      </c>
      <c r="B12" s="18">
        <f>SETUP!B5</f>
        <v>2026-08-31</v>
      </c>
    </row>
    <row r="13" spans="1:12">
      <c r="A13" s="4" t="s">
        <v>219</v>
      </c>
      <c r="B13" s="8">
        <f>SETUP!B6</f>
        <v>2026-08-31 09:00:00</v>
      </c>
    </row>
    <row r="14" spans="1:12">
      <c r="A14" s="4" t="s">
        <v>220</v>
      </c>
      <c r="B14" s="8">
        <f>SETUP!B7</f>
        <v>2026-08-31 12:00:00</v>
      </c>
    </row>
    <row r="15" spans="1:12">
      <c r="A15" s="4" t="s">
        <v>10</v>
      </c>
      <c r="B15" s="8">
        <f>SETUP!B11</f>
        <v/>
      </c>
    </row>
    <row r="17" spans="1:5">
      <c r="A17" s="3" t="s">
        <v>20</v>
      </c>
      <c r="B17" s="3" t="s">
        <v>221</v>
      </c>
      <c r="C17" s="3" t="s">
        <v>222</v>
      </c>
      <c r="D17" s="3" t="s">
        <v>223</v>
      </c>
      <c r="E17" s="3" t="s">
        <v>224</v>
      </c>
    </row>
    <row r="18" spans="1:5">
      <c r="A18" s="4" t="str">
        <f>LOB_SUMMARY!A5</f>
        <v>Ford Dutch</v>
      </c>
      <c r="B18" s="11">
        <f>LOB_SUMMARY!J5</f>
        <v/>
      </c>
      <c r="C18" s="11">
        <f>LOB_SUMMARY!K5</f>
        <v/>
      </c>
      <c r="D18" s="12">
        <f>LOB_SUMMARY!L5</f>
        <v/>
      </c>
      <c r="E18" s="13">
        <f>LOB_SUMMARY!M5</f>
        <v/>
      </c>
    </row>
    <row r="19" spans="1:5">
      <c r="A19" s="4" t="str">
        <f>LOB_SUMMARY!A6</f>
        <v>OEM FR</v>
      </c>
      <c r="B19" s="11">
        <f>LOB_SUMMARY!J6</f>
        <v/>
      </c>
      <c r="C19" s="11">
        <f>LOB_SUMMARY!K6</f>
        <v/>
      </c>
      <c r="D19" s="12">
        <f>LOB_SUMMARY!L6</f>
        <v/>
      </c>
      <c r="E19" s="13">
        <f>LOB_SUMMARY!M6</f>
        <v/>
      </c>
    </row>
    <row r="20" spans="1:5">
      <c r="A20" s="4" t="str">
        <f>LOB_SUMMARY!A7</f>
        <v>RSA FR</v>
      </c>
      <c r="B20" s="11">
        <f>LOB_SUMMARY!J7</f>
        <v/>
      </c>
      <c r="C20" s="11">
        <f>LOB_SUMMARY!K7</f>
        <v/>
      </c>
      <c r="D20" s="12">
        <f>LOB_SUMMARY!L7</f>
        <v/>
      </c>
      <c r="E20" s="13">
        <f>LOB_SUMMARY!M7</f>
        <v/>
      </c>
    </row>
    <row r="21" spans="1:5">
      <c r="A21" s="4" t="str">
        <f>LOB_SUMMARY!A8</f>
        <v>RSA NL</v>
      </c>
      <c r="B21" s="11">
        <f>LOB_SUMMARY!J8</f>
        <v/>
      </c>
      <c r="C21" s="11">
        <f>LOB_SUMMARY!K8</f>
        <v/>
      </c>
      <c r="D21" s="12">
        <f>LOB_SUMMARY!L8</f>
        <v/>
      </c>
      <c r="E21" s="13">
        <f>LOB_SUMMARY!M8</f>
        <v/>
      </c>
    </row>
    <row r="22" spans="1:5">
      <c r="A22" s="4" t="str">
        <f>LOB_SUMMARY!A9</f>
        <v>RSA VL</v>
      </c>
      <c r="B22" s="11">
        <f>LOB_SUMMARY!J9</f>
        <v/>
      </c>
      <c r="C22" s="11">
        <f>LOB_SUMMARY!K9</f>
        <v/>
      </c>
      <c r="D22" s="12">
        <f>LOB_SUMMARY!L9</f>
        <v/>
      </c>
      <c r="E22" s="13">
        <f>LOB_SUMMARY!M9</f>
        <v/>
      </c>
    </row>
    <row r="23" spans="1:5">
      <c r="A23" s="4">
        <f>LOB_SUMMARY!A10</f>
        <v/>
      </c>
      <c r="B23" s="11">
        <f>LOB_SUMMARY!J10</f>
        <v/>
      </c>
      <c r="C23" s="11">
        <f>LOB_SUMMARY!K10</f>
        <v/>
      </c>
      <c r="D23" s="12">
        <f>LOB_SUMMARY!L10</f>
        <v/>
      </c>
      <c r="E23" s="13">
        <f>LOB_SUMMARY!M10</f>
        <v/>
      </c>
    </row>
    <row r="24" spans="1:5">
      <c r="A24" s="4">
        <f>LOB_SUMMARY!A11</f>
        <v/>
      </c>
      <c r="B24" s="11">
        <f>LOB_SUMMARY!J11</f>
        <v/>
      </c>
      <c r="C24" s="11">
        <f>LOB_SUMMARY!K11</f>
        <v/>
      </c>
      <c r="D24" s="12">
        <f>LOB_SUMMARY!L11</f>
        <v/>
      </c>
      <c r="E24" s="13">
        <f>LOB_SUMMARY!M11</f>
        <v/>
      </c>
    </row>
    <row r="25" spans="1:5">
      <c r="A25" s="4">
        <f>LOB_SUMMARY!A12</f>
        <v/>
      </c>
      <c r="B25" s="11">
        <f>LOB_SUMMARY!J12</f>
        <v/>
      </c>
      <c r="C25" s="11">
        <f>LOB_SUMMARY!K12</f>
        <v/>
      </c>
      <c r="D25" s="12">
        <f>LOB_SUMMARY!L12</f>
        <v/>
      </c>
      <c r="E25" s="13">
        <f>LOB_SUMMARY!M12</f>
        <v/>
      </c>
    </row>
    <row r="26" spans="1:5">
      <c r="A26" s="4">
        <f>LOB_SUMMARY!A13</f>
        <v/>
      </c>
      <c r="B26" s="11">
        <f>LOB_SUMMARY!J13</f>
        <v/>
      </c>
      <c r="C26" s="11">
        <f>LOB_SUMMARY!K13</f>
        <v/>
      </c>
      <c r="D26" s="12">
        <f>LOB_SUMMARY!L13</f>
        <v/>
      </c>
      <c r="E26" s="13">
        <f>LOB_SUMMARY!M13</f>
        <v/>
      </c>
    </row>
    <row r="27" spans="1:5">
      <c r="A27" s="4">
        <f>LOB_SUMMARY!A14</f>
        <v/>
      </c>
      <c r="B27" s="11">
        <f>LOB_SUMMARY!J14</f>
        <v/>
      </c>
      <c r="C27" s="11">
        <f>LOB_SUMMARY!K14</f>
        <v/>
      </c>
      <c r="D27" s="12">
        <f>LOB_SUMMARY!L14</f>
        <v/>
      </c>
      <c r="E27" s="13">
        <f>LOB_SUMMARY!M14</f>
        <v/>
      </c>
    </row>
    <row r="28" spans="1:5">
      <c r="A28" s="4">
        <f>LOB_SUMMARY!A15</f>
        <v/>
      </c>
      <c r="B28" s="11">
        <f>LOB_SUMMARY!J15</f>
        <v/>
      </c>
      <c r="C28" s="11">
        <f>LOB_SUMMARY!K15</f>
        <v/>
      </c>
      <c r="D28" s="12">
        <f>LOB_SUMMARY!L15</f>
        <v/>
      </c>
      <c r="E28" s="13">
        <f>LOB_SUMMARY!M15</f>
        <v/>
      </c>
    </row>
    <row r="29" spans="1:5">
      <c r="A29" s="4">
        <f>LOB_SUMMARY!A16</f>
        <v/>
      </c>
      <c r="B29" s="11">
        <f>LOB_SUMMARY!J16</f>
        <v/>
      </c>
      <c r="C29" s="11">
        <f>LOB_SUMMARY!K16</f>
        <v/>
      </c>
      <c r="D29" s="12">
        <f>LOB_SUMMARY!L16</f>
        <v/>
      </c>
      <c r="E29" s="13">
        <f>LOB_SUMMARY!M16</f>
        <v/>
      </c>
    </row>
    <row r="30" spans="1:5">
      <c r="A30" s="4">
        <f>LOB_SUMMARY!A17</f>
        <v/>
      </c>
      <c r="B30" s="11">
        <f>LOB_SUMMARY!J17</f>
        <v/>
      </c>
      <c r="C30" s="11">
        <f>LOB_SUMMARY!K17</f>
        <v/>
      </c>
      <c r="D30" s="12">
        <f>LOB_SUMMARY!L17</f>
        <v/>
      </c>
      <c r="E30" s="13">
        <f>LOB_SUMMARY!M17</f>
        <v/>
      </c>
    </row>
    <row r="31" spans="1:5">
      <c r="A31" s="4">
        <f>LOB_SUMMARY!A18</f>
        <v/>
      </c>
      <c r="B31" s="11">
        <f>LOB_SUMMARY!J18</f>
        <v/>
      </c>
      <c r="C31" s="11">
        <f>LOB_SUMMARY!K18</f>
        <v/>
      </c>
      <c r="D31" s="12">
        <f>LOB_SUMMARY!L18</f>
        <v/>
      </c>
      <c r="E31" s="13">
        <f>LOB_SUMMARY!M18</f>
        <v/>
      </c>
    </row>
    <row r="32" spans="1:5">
      <c r="A32" s="4">
        <f>LOB_SUMMARY!A19</f>
        <v/>
      </c>
      <c r="B32" s="11">
        <f>LOB_SUMMARY!J19</f>
        <v/>
      </c>
      <c r="C32" s="11">
        <f>LOB_SUMMARY!K19</f>
        <v/>
      </c>
      <c r="D32" s="12">
        <f>LOB_SUMMARY!L19</f>
        <v/>
      </c>
      <c r="E32" s="13">
        <f>LOB_SUMMARY!M19</f>
        <v/>
      </c>
    </row>
  </sheetData>
  <mergeCells count="15">
    <mergeCell ref="A1:L1"/>
    <mergeCell ref="A2:L2"/>
    <mergeCell ref="A4:L4"/>
    <mergeCell ref="A6:B6"/>
    <mergeCell ref="A7:B8"/>
    <mergeCell ref="C6:D6"/>
    <mergeCell ref="C7:D8"/>
    <mergeCell ref="E6:F6"/>
    <mergeCell ref="E7:F8"/>
    <mergeCell ref="G6:H6"/>
    <mergeCell ref="G7:H8"/>
    <mergeCell ref="I6:J6"/>
    <mergeCell ref="I7:J8"/>
    <mergeCell ref="K6:L6"/>
    <mergeCell ref="K7:L8"/>
  </mergeCells>
  <pageMargins left="0.7" right="0.7" top="0.75" bottom="0.75" header="0.3" footer="0.3"/>
  <pageSetup fitToHeight="0" orientation="landscape"/>
  <headerFooter>
    <oddFooter>&amp;LWFMHub | made by Anass ASSRI&amp;CPage &amp;P of &amp;N&amp;RConfidential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007C83"/>
    <pageSetUpPr fitToPage="1"/>
  </sheetPr>
  <dimension ref="A1:H11"/>
  <sheetViews>
    <sheetView showGridLines="0" zoomScale="90" zoomScaleNormal="90" workbookViewId="0"/>
  </sheetViews>
  <sheetFormatPr defaultRowHeight="15"/>
  <cols>
    <col min="1" max="1" width="25.7109375" customWidth="1"/>
    <col min="2" max="2" width="20.7109375" customWidth="1"/>
    <col min="3" max="3" width="75.7109375" customWidth="1"/>
  </cols>
  <sheetData>
    <row r="1" spans="1:8" ht="32" customHeight="1">
      <c r="A1" s="1" t="s">
        <v>225</v>
      </c>
      <c r="B1" s="1"/>
      <c r="C1" s="1"/>
      <c r="D1" s="1"/>
      <c r="E1" s="1"/>
      <c r="F1" s="1"/>
      <c r="G1" s="1"/>
      <c r="H1" s="1"/>
    </row>
    <row r="2" spans="1:8" ht="20" customHeight="1">
      <c r="A2" s="2" t="s">
        <v>226</v>
      </c>
      <c r="B2" s="2"/>
      <c r="C2" s="2"/>
      <c r="D2" s="2"/>
      <c r="E2" s="2"/>
      <c r="F2" s="2"/>
      <c r="G2" s="2"/>
      <c r="H2" s="2"/>
    </row>
    <row r="4" spans="1:8">
      <c r="A4" s="3" t="s">
        <v>2</v>
      </c>
      <c r="B4" s="3" t="s">
        <v>227</v>
      </c>
      <c r="C4" s="3" t="s">
        <v>228</v>
      </c>
    </row>
    <row r="5" spans="1:8" ht="30" customHeight="1">
      <c r="A5" s="4" t="s">
        <v>229</v>
      </c>
      <c r="B5" s="4">
        <f>COUNT(tblPCSInput[Call Date/Time])</f>
        <v/>
      </c>
      <c r="C5" s="10" t="s">
        <v>230</v>
      </c>
    </row>
    <row r="6" spans="1:8" ht="30" customHeight="1">
      <c r="A6" s="4" t="s">
        <v>231</v>
      </c>
      <c r="B6" s="4">
        <f>COUNTIF(tblPCSInput[Call Direction],"I")</f>
        <v/>
      </c>
      <c r="C6" s="10" t="s">
        <v>232</v>
      </c>
    </row>
    <row r="7" spans="1:8" ht="30" customHeight="1">
      <c r="A7" s="4" t="s">
        <v>233</v>
      </c>
      <c r="B7" s="4">
        <f>COUNTIF(tblPCSInput[Data Issue],"UNMATCHED AGENT")</f>
        <v/>
      </c>
      <c r="C7" s="10" t="s">
        <v>234</v>
      </c>
    </row>
    <row r="8" spans="1:8" ht="30" customHeight="1">
      <c r="A8" s="4" t="s">
        <v>235</v>
      </c>
      <c r="B8" s="4">
        <f>COUNTIF(tblPCSInput[Data Issue],"MISSING AGENT ID")</f>
        <v/>
      </c>
      <c r="C8" s="10" t="s">
        <v>236</v>
      </c>
    </row>
    <row r="9" spans="1:8" ht="30" customHeight="1">
      <c r="A9" s="4" t="s">
        <v>237</v>
      </c>
      <c r="B9" s="4">
        <f>COUNTIF(tblPCSInput[Data Issue],"INVALID Q1")</f>
        <v/>
      </c>
      <c r="C9" s="10" t="s">
        <v>238</v>
      </c>
    </row>
    <row r="10" spans="1:8" ht="30" customHeight="1">
      <c r="A10" s="4" t="s">
        <v>239</v>
      </c>
      <c r="B10" s="4">
        <f>SUMPRODUCT(--(tblPCSInput[Call ID]&lt;&gt;""),--(COUNTIF(tblPCSInput[Call ID],tblPCSInput[Call ID])&gt;1))</f>
        <v/>
      </c>
      <c r="C10" s="10" t="s">
        <v>240</v>
      </c>
    </row>
    <row r="11" spans="1:8" ht="30" customHeight="1">
      <c r="A11" s="4" t="s">
        <v>10</v>
      </c>
      <c r="B11" s="4">
        <f>IFERROR(MAX(tblPCSInput[Call Date/Time]),"")</f>
        <v/>
      </c>
      <c r="C11" s="10" t="s">
        <v>241</v>
      </c>
    </row>
  </sheetData>
  <mergeCells count="2">
    <mergeCell ref="A1:H1"/>
    <mergeCell ref="A2:H2"/>
  </mergeCells>
  <pageMargins left="0.7" right="0.7" top="0.75" bottom="0.75" header="0.3" footer="0.3"/>
  <pageSetup fitToHeight="0" orientation="landscape"/>
  <headerFooter>
    <oddFooter>&amp;LWFMHub | made by Anass ASSRI&amp;CPage &amp;P of &amp;N&amp;RConfidential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007C83"/>
    <pageSetUpPr fitToPage="1"/>
  </sheetPr>
  <dimension ref="A1:I26"/>
  <sheetViews>
    <sheetView showGridLines="0" zoomScale="90" zoomScaleNormal="90" workbookViewId="0"/>
  </sheetViews>
  <sheetFormatPr defaultRowHeight="15"/>
  <cols>
    <col min="1" max="1" width="31.7109375" customWidth="1"/>
    <col min="2" max="2" width="100.7109375" customWidth="1"/>
  </cols>
  <sheetData>
    <row r="1" spans="1:9" ht="32" customHeight="1">
      <c r="A1" s="1" t="s">
        <v>242</v>
      </c>
      <c r="B1" s="1"/>
      <c r="C1" s="1"/>
      <c r="D1" s="1"/>
      <c r="E1" s="1"/>
      <c r="F1" s="1"/>
      <c r="G1" s="1"/>
      <c r="H1" s="1"/>
      <c r="I1" s="1"/>
    </row>
    <row r="2" spans="1:9" ht="20" customHeight="1">
      <c r="A2" s="2" t="s">
        <v>243</v>
      </c>
      <c r="B2" s="2"/>
      <c r="C2" s="2"/>
      <c r="D2" s="2"/>
      <c r="E2" s="2"/>
      <c r="F2" s="2"/>
      <c r="G2" s="2"/>
      <c r="H2" s="2"/>
      <c r="I2" s="2"/>
    </row>
    <row r="4" spans="1:9">
      <c r="A4" s="3" t="s">
        <v>244</v>
      </c>
      <c r="B4" s="3" t="s">
        <v>245</v>
      </c>
    </row>
    <row r="5" spans="1:9" ht="34" customHeight="1">
      <c r="A5" s="4" t="s">
        <v>246</v>
      </c>
      <c r="B5" s="10" t="s">
        <v>247</v>
      </c>
    </row>
    <row r="6" spans="1:9" ht="34" customHeight="1">
      <c r="A6" s="4" t="s">
        <v>248</v>
      </c>
      <c r="B6" s="10" t="s">
        <v>249</v>
      </c>
    </row>
    <row r="7" spans="1:9" ht="34" customHeight="1">
      <c r="A7" s="4" t="s">
        <v>184</v>
      </c>
      <c r="B7" s="10" t="s">
        <v>250</v>
      </c>
    </row>
    <row r="8" spans="1:9" ht="34" customHeight="1">
      <c r="A8" s="4" t="s">
        <v>251</v>
      </c>
      <c r="B8" s="10" t="s">
        <v>252</v>
      </c>
    </row>
    <row r="9" spans="1:9" ht="34" customHeight="1">
      <c r="A9" s="4" t="s">
        <v>253</v>
      </c>
      <c r="B9" s="10" t="s">
        <v>254</v>
      </c>
    </row>
    <row r="10" spans="1:9" ht="34" customHeight="1">
      <c r="A10" s="4" t="s">
        <v>255</v>
      </c>
      <c r="B10" s="10" t="s">
        <v>256</v>
      </c>
    </row>
    <row r="11" spans="1:9" ht="34" customHeight="1">
      <c r="A11" s="4" t="s">
        <v>257</v>
      </c>
      <c r="B11" s="10" t="s">
        <v>258</v>
      </c>
    </row>
    <row r="12" spans="1:9" ht="34" customHeight="1">
      <c r="A12" s="4" t="s">
        <v>259</v>
      </c>
      <c r="B12" s="10" t="s">
        <v>260</v>
      </c>
    </row>
    <row r="13" spans="1:9" ht="34" customHeight="1">
      <c r="A13" s="4" t="s">
        <v>261</v>
      </c>
      <c r="B13" s="10" t="s">
        <v>262</v>
      </c>
    </row>
    <row r="14" spans="1:9" ht="34" customHeight="1">
      <c r="A14" s="4" t="s">
        <v>263</v>
      </c>
      <c r="B14" s="10" t="s">
        <v>264</v>
      </c>
    </row>
    <row r="15" spans="1:9" ht="34" customHeight="1">
      <c r="A15" s="4" t="s">
        <v>265</v>
      </c>
      <c r="B15" s="10" t="s">
        <v>266</v>
      </c>
    </row>
    <row r="16" spans="1:9" ht="34" customHeight="1">
      <c r="A16" s="4" t="s">
        <v>267</v>
      </c>
      <c r="B16" s="10" t="s">
        <v>268</v>
      </c>
    </row>
    <row r="19" spans="1:9">
      <c r="A19" s="9" t="s">
        <v>269</v>
      </c>
    </row>
    <row r="20" spans="1:9">
      <c r="A20" s="10">
        <f>IFERROR(AVERAGEIFS(RDATA!BO:BO,RDATA!C:C,report_date,RDATA!T:T,agent_id),"")</f>
        <v>0</v>
      </c>
      <c r="B20" s="10"/>
      <c r="C20" s="10"/>
      <c r="D20" s="10"/>
      <c r="E20" s="10"/>
      <c r="F20" s="10"/>
      <c r="G20" s="10"/>
      <c r="H20" s="10"/>
      <c r="I20" s="10"/>
    </row>
    <row r="21" spans="1:9">
      <c r="A21" s="10"/>
      <c r="B21" s="10"/>
      <c r="C21" s="10"/>
      <c r="D21" s="10"/>
      <c r="E21" s="10"/>
      <c r="F21" s="10"/>
      <c r="G21" s="10"/>
      <c r="H21" s="10"/>
      <c r="I21" s="10"/>
    </row>
    <row r="23" spans="1:9">
      <c r="A23" s="9" t="s">
        <v>270</v>
      </c>
    </row>
    <row r="24" spans="1:9">
      <c r="A24" s="10">
        <f>IFERROR(Q1_nonblank_rows / PCSStatus_1_rows,"")</f>
        <v>0</v>
      </c>
      <c r="B24" s="10"/>
      <c r="C24" s="10"/>
      <c r="D24" s="10"/>
      <c r="E24" s="10"/>
      <c r="F24" s="10"/>
      <c r="G24" s="10"/>
      <c r="H24" s="10"/>
      <c r="I24" s="10"/>
    </row>
    <row r="25" spans="1:9">
      <c r="A25" s="10"/>
      <c r="B25" s="10"/>
      <c r="C25" s="10"/>
      <c r="D25" s="10"/>
      <c r="E25" s="10"/>
      <c r="F25" s="10"/>
      <c r="G25" s="10"/>
      <c r="H25" s="10"/>
      <c r="I25" s="10"/>
    </row>
    <row r="26" spans="1:9">
      <c r="A26" s="10"/>
      <c r="B26" s="10"/>
      <c r="C26" s="10"/>
      <c r="D26" s="10"/>
      <c r="E26" s="10"/>
      <c r="F26" s="10"/>
      <c r="G26" s="10"/>
      <c r="H26" s="10"/>
      <c r="I26" s="10"/>
    </row>
  </sheetData>
  <mergeCells count="4">
    <mergeCell ref="A1:I1"/>
    <mergeCell ref="A2:I2"/>
    <mergeCell ref="A20:I21"/>
    <mergeCell ref="A24:I26"/>
  </mergeCells>
  <pageMargins left="0.7" right="0.7" top="0.75" bottom="0.75" header="0.3" footer="0.3"/>
  <pageSetup fitToHeight="0" orientation="landscape"/>
  <headerFooter>
    <oddFooter>&amp;LWFMHub | made by Anass ASSRI&amp;CPage &amp;P of &amp;N&amp;RConfidential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007C83"/>
    <pageSetUpPr fitToPage="1"/>
  </sheetPr>
  <dimension ref="A1:H18"/>
  <sheetViews>
    <sheetView showGridLines="0" zoomScale="90" zoomScaleNormal="90" workbookViewId="0"/>
  </sheetViews>
  <sheetFormatPr defaultRowHeight="15"/>
  <cols>
    <col min="1" max="8" width="18.7109375" customWidth="1"/>
  </cols>
  <sheetData>
    <row r="1" spans="1:8" ht="32" customHeight="1">
      <c r="A1" s="1" t="s">
        <v>271</v>
      </c>
      <c r="B1" s="1"/>
      <c r="C1" s="1"/>
      <c r="D1" s="1"/>
      <c r="E1" s="1"/>
      <c r="F1" s="1"/>
      <c r="G1" s="1"/>
      <c r="H1" s="1"/>
    </row>
    <row r="2" spans="1:8" ht="20" customHeight="1">
      <c r="A2" s="2" t="s">
        <v>272</v>
      </c>
      <c r="B2" s="2"/>
      <c r="C2" s="2"/>
      <c r="D2" s="2"/>
      <c r="E2" s="2"/>
      <c r="F2" s="2"/>
      <c r="G2" s="2"/>
      <c r="H2" s="2"/>
    </row>
    <row r="4" spans="1:8">
      <c r="A4" s="3" t="s">
        <v>273</v>
      </c>
      <c r="B4" s="7" t="s">
        <v>274</v>
      </c>
      <c r="C4" s="7"/>
      <c r="D4" s="7"/>
      <c r="E4" s="7"/>
      <c r="F4" s="7"/>
      <c r="G4" s="7"/>
      <c r="H4" s="7"/>
    </row>
    <row r="6" spans="1:8">
      <c r="A6" s="3" t="s">
        <v>275</v>
      </c>
      <c r="B6" s="10" t="s">
        <v>276</v>
      </c>
      <c r="C6" s="10"/>
      <c r="D6" s="10"/>
      <c r="E6" s="10"/>
      <c r="F6" s="10"/>
      <c r="G6" s="10"/>
      <c r="H6" s="10"/>
    </row>
    <row r="7" spans="1:8">
      <c r="B7" s="10"/>
      <c r="C7" s="10"/>
      <c r="D7" s="10"/>
      <c r="E7" s="10"/>
      <c r="F7" s="10"/>
      <c r="G7" s="10"/>
      <c r="H7" s="10"/>
    </row>
    <row r="8" spans="1:8">
      <c r="B8" s="10"/>
      <c r="C8" s="10"/>
      <c r="D8" s="10"/>
      <c r="E8" s="10"/>
      <c r="F8" s="10"/>
      <c r="G8" s="10"/>
      <c r="H8" s="10"/>
    </row>
    <row r="9" spans="1:8">
      <c r="B9" s="10"/>
      <c r="C9" s="10"/>
      <c r="D9" s="10"/>
      <c r="E9" s="10"/>
      <c r="F9" s="10"/>
      <c r="G9" s="10"/>
      <c r="H9" s="10"/>
    </row>
    <row r="10" spans="1:8">
      <c r="B10" s="10"/>
      <c r="C10" s="10"/>
      <c r="D10" s="10"/>
      <c r="E10" s="10"/>
      <c r="F10" s="10"/>
      <c r="G10" s="10"/>
      <c r="H10" s="10"/>
    </row>
    <row r="11" spans="1:8">
      <c r="B11" s="10"/>
      <c r="C11" s="10"/>
      <c r="D11" s="10"/>
      <c r="E11" s="10"/>
      <c r="F11" s="10"/>
      <c r="G11" s="10"/>
      <c r="H11" s="10"/>
    </row>
    <row r="12" spans="1:8">
      <c r="B12" s="10"/>
      <c r="C12" s="10"/>
      <c r="D12" s="10"/>
      <c r="E12" s="10"/>
      <c r="F12" s="10"/>
      <c r="G12" s="10"/>
      <c r="H12" s="10"/>
    </row>
    <row r="13" spans="1:8">
      <c r="B13" s="10"/>
      <c r="C13" s="10"/>
      <c r="D13" s="10"/>
      <c r="E13" s="10"/>
      <c r="F13" s="10"/>
      <c r="G13" s="10"/>
      <c r="H13" s="10"/>
    </row>
    <row r="14" spans="1:8">
      <c r="B14" s="10"/>
      <c r="C14" s="10"/>
      <c r="D14" s="10"/>
      <c r="E14" s="10"/>
      <c r="F14" s="10"/>
      <c r="G14" s="10"/>
      <c r="H14" s="10"/>
    </row>
    <row r="15" spans="1:8">
      <c r="B15" s="10"/>
      <c r="C15" s="10"/>
      <c r="D15" s="10"/>
      <c r="E15" s="10"/>
      <c r="F15" s="10"/>
      <c r="G15" s="10"/>
      <c r="H15" s="10"/>
    </row>
    <row r="16" spans="1:8">
      <c r="B16" s="10"/>
      <c r="C16" s="10"/>
      <c r="D16" s="10"/>
      <c r="E16" s="10"/>
      <c r="F16" s="10"/>
      <c r="G16" s="10"/>
      <c r="H16" s="10"/>
    </row>
    <row r="17" spans="2:8">
      <c r="B17" s="10"/>
      <c r="C17" s="10"/>
      <c r="D17" s="10"/>
      <c r="E17" s="10"/>
      <c r="F17" s="10"/>
      <c r="G17" s="10"/>
      <c r="H17" s="10"/>
    </row>
    <row r="18" spans="2:8">
      <c r="B18" s="10"/>
      <c r="C18" s="10"/>
      <c r="D18" s="10"/>
      <c r="E18" s="10"/>
      <c r="F18" s="10"/>
      <c r="G18" s="10"/>
      <c r="H18" s="10"/>
    </row>
  </sheetData>
  <mergeCells count="4">
    <mergeCell ref="A1:H1"/>
    <mergeCell ref="A2:H2"/>
    <mergeCell ref="B4:H4"/>
    <mergeCell ref="B6:H18"/>
  </mergeCells>
  <pageMargins left="0.7" right="0.7" top="0.75" bottom="0.75" header="0.3" footer="0.3"/>
  <pageSetup fitToHeight="0" orientation="landscape"/>
  <headerFooter>
    <oddFooter>&amp;LWFMHub | made by Anass ASSRI&amp;CPage &amp;P of &amp;N&amp;RConfidential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SETUP</vt:lpstr>
      <vt:lpstr>ROSTER</vt:lpstr>
      <vt:lpstr>INPUT_CALLS</vt:lpstr>
      <vt:lpstr>AGENT_DETAIL</vt:lpstr>
      <vt:lpstr>LOB_SUMMARY</vt:lpstr>
      <vt:lpstr>PCS_REPORT</vt:lpstr>
      <vt:lpstr>DATA_QUALITY</vt:lpstr>
      <vt:lpstr>FORMULA_LOGIC</vt:lpstr>
      <vt:lpstr>EMAIL_BRIEF</vt:lpstr>
      <vt:lpstr>PCS_Report_Date</vt:lpstr>
      <vt:lpstr>PCS_Window_End</vt:lpstr>
      <vt:lpstr>PCS_Window_Start</vt:lpstr>
    </vt:vector>
  </TitlesOfParts>
  <Company>WFM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PCS Management 3-Hour Report</dc:title>
  <dc:subject>WFMHub manually shared management report</dc:subject>
  <dc:creator>Anass ASSRI</dc:creator>
  <dc:description>Generated by WFMHub; source files were not modified.</dc:description>
  <cp:lastModifiedBy>Anass ASSRI</cp:lastModifiedBy>
  <dcterms:created xsi:type="dcterms:W3CDTF">2026-08-30T22:17:31Z</dcterms:created>
  <dcterms:modified xsi:type="dcterms:W3CDTF">2026-08-30T22:17:31Z</dcterms:modified>
</cp:coreProperties>
</file>