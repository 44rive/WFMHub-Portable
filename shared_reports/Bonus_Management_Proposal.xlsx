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activeTab="5"/>
  </bookViews>
  <sheets>
    <sheet name="SETUP" sheetId="1" r:id="rId1"/>
    <sheet name="POLICY_APPROVAL" sheetId="2" r:id="rId2"/>
    <sheet name="BONUS_RULES" sheetId="3" r:id="rId3"/>
    <sheet name="AGENT_INPUT" sheetId="4" r:id="rId4"/>
    <sheet name="AGENT_RESULTS" sheetId="5" r:id="rId5"/>
    <sheet name="MANAGEMENT" sheetId="6" r:id="rId6"/>
    <sheet name="CONTROLS" sheetId="7" r:id="rId7"/>
    <sheet name="FORMULA_LOGIC" sheetId="8" r:id="rId8"/>
    <sheet name="EMAIL_BRIEF" sheetId="9" r:id="rId9"/>
  </sheets>
  <definedNames>
    <definedName name="Bonus_Report_Period">SETUP!$B$5</definedName>
  </definedNames>
  <calcPr calcId="124519" fullCalcOnLoad="1"/>
</workbook>
</file>

<file path=xl/sharedStrings.xml><?xml version="1.0" encoding="utf-8"?>
<sst xmlns="http://schemas.openxmlformats.org/spreadsheetml/2006/main" count="1373" uniqueCount="348">
  <si>
    <t>Bonus management setup</t>
  </si>
  <si>
    <t>Blue cells are the only operating inputs. One period controls the complete workbook.</t>
  </si>
  <si>
    <t>Control</t>
  </si>
  <si>
    <t>Value</t>
  </si>
  <si>
    <t>Report period</t>
  </si>
  <si>
    <t>2026-07</t>
  </si>
  <si>
    <t>Generated at</t>
  </si>
  <si>
    <t>Prepared by</t>
  </si>
  <si>
    <t>Anass ASSRI</t>
  </si>
  <si>
    <t>Workbook version</t>
  </si>
  <si>
    <t>1.0</t>
  </si>
  <si>
    <t>Policy release gate</t>
  </si>
  <si>
    <t>Operating rule</t>
  </si>
  <si>
    <t>Scenario payout is visible for management discussion. Released payout remains blank until every policy is Validated, the employee is eligible, and Data Status is VALIDATED. The source workbook is never modified.</t>
  </si>
  <si>
    <t>Policy approval</t>
  </si>
  <si>
    <t>Every row must be Validated before payroll release. Owners must document the approved choice.</t>
  </si>
  <si>
    <t>Policy</t>
  </si>
  <si>
    <t>Selected Decision</t>
  </si>
  <si>
    <t>Allowed Values</t>
  </si>
  <si>
    <t>Formula Impact</t>
  </si>
  <si>
    <t>Owner</t>
  </si>
  <si>
    <t>Status</t>
  </si>
  <si>
    <t>Comments</t>
  </si>
  <si>
    <t>Malus method</t>
  </si>
  <si>
    <t>Proportional</t>
  </si>
  <si>
    <t>Proportional | Percentage points</t>
  </si>
  <si>
    <t>Final Achievement = Gross x (1-Malus), or Gross-Malus</t>
  </si>
  <si>
    <t>HR / Compensation</t>
  </si>
  <si>
    <t>Validated</t>
  </si>
  <si>
    <t>Extra PCS treatment</t>
  </si>
  <si>
    <t>Additive</t>
  </si>
  <si>
    <t>Additive | Replacement</t>
  </si>
  <si>
    <t>Additive sums standard and extra PCS; Replacement keeps the higher PCS award</t>
  </si>
  <si>
    <t>Operations / HR</t>
  </si>
  <si>
    <t>Target bonus rate basis</t>
  </si>
  <si>
    <t>Monthly</t>
  </si>
  <si>
    <t>Monthly | Annual</t>
  </si>
  <si>
    <t>Annual rates are divided by 12 before monthly payout calculation</t>
  </si>
  <si>
    <t>HR / Payroll</t>
  </si>
  <si>
    <t>Proration denominator</t>
  </si>
  <si>
    <t>Calendar days</t>
  </si>
  <si>
    <t>Calendar days | Working days | Planned days</t>
  </si>
  <si>
    <t>Determines how Scheduled Days and Eligible Days must be populated</t>
  </si>
  <si>
    <t>Absence treatment</t>
  </si>
  <si>
    <t>KPI only</t>
  </si>
  <si>
    <t>KPI only | Eligibility only | Both</t>
  </si>
  <si>
    <t>Prevents unintended double reduction unless Both is explicitly approved</t>
  </si>
  <si>
    <t>HR / Operations</t>
  </si>
  <si>
    <t>Achievement cap</t>
  </si>
  <si>
    <t>0% to 200%</t>
  </si>
  <si>
    <t>Caps Gross Achievement after KPI aggregation</t>
  </si>
  <si>
    <t>Rounding</t>
  </si>
  <si>
    <t>Centime</t>
  </si>
  <si>
    <t>Centime | Whole MAD</t>
  </si>
  <si>
    <t>Final Payout rounded to 2 decimals or 0 decimals</t>
  </si>
  <si>
    <t>Payroll</t>
  </si>
  <si>
    <t>To validate</t>
  </si>
  <si>
    <t>Employee eligibility</t>
  </si>
  <si>
    <t>Active eligible population</t>
  </si>
  <si>
    <t>Policy reference required</t>
  </si>
  <si>
    <t>Controls joiners, leavers, probation and exclusions</t>
  </si>
  <si>
    <t>HR</t>
  </si>
  <si>
    <t>Central bonus rules</t>
  </si>
  <si>
    <t>All thresholds and weights are visible here. Duplicate Population + KPI rows are blocked by controls.</t>
  </si>
  <si>
    <t>Population</t>
  </si>
  <si>
    <t>KPI</t>
  </si>
  <si>
    <t>Direction</t>
  </si>
  <si>
    <t>Tier 1 Bonus %</t>
  </si>
  <si>
    <t>Tier 1 Target</t>
  </si>
  <si>
    <t>Tier 2 Bonus %</t>
  </si>
  <si>
    <t>Tier 2 Target</t>
  </si>
  <si>
    <t>Ford GER</t>
  </si>
  <si>
    <t>AHT</t>
  </si>
  <si>
    <t>L</t>
  </si>
  <si>
    <t>Productivity</t>
  </si>
  <si>
    <t>H</t>
  </si>
  <si>
    <t>PCS Score</t>
  </si>
  <si>
    <t>PCS % (Participation)</t>
  </si>
  <si>
    <t>QM</t>
  </si>
  <si>
    <t>Abs%</t>
  </si>
  <si>
    <t>Extra Bonus (PCS Score)</t>
  </si>
  <si>
    <t>Ford Dutch</t>
  </si>
  <si>
    <t>OEM FR</t>
  </si>
  <si>
    <t>RSA FR</t>
  </si>
  <si>
    <t>RSA NL</t>
  </si>
  <si>
    <t>RSA VL</t>
  </si>
  <si>
    <t>VOC detractors</t>
  </si>
  <si>
    <t>Malus impact</t>
  </si>
  <si>
    <t>VOC Detractors</t>
  </si>
  <si>
    <t>Malus Impact</t>
  </si>
  <si>
    <t>Agent bonus input</t>
  </si>
  <si>
    <t>Paste or type one agent-period per row. Blue cells are inputs; synthetic rows remain clearly labelled.</t>
  </si>
  <si>
    <t>Agent ID</t>
  </si>
  <si>
    <t>Agent Name</t>
  </si>
  <si>
    <t>Period</t>
  </si>
  <si>
    <t>PCS Participation</t>
  </si>
  <si>
    <t>Absence %</t>
  </si>
  <si>
    <t>Currency</t>
  </si>
  <si>
    <t>Monthly Fixed Salary</t>
  </si>
  <si>
    <t>Target Bonus Rate</t>
  </si>
  <si>
    <t>Reference Bonus Override</t>
  </si>
  <si>
    <t>Eligible Days</t>
  </si>
  <si>
    <t>Scheduled Days</t>
  </si>
  <si>
    <t>Employment Status</t>
  </si>
  <si>
    <t>Data Status</t>
  </si>
  <si>
    <t>Notes</t>
  </si>
  <si>
    <t>Felhane Mohamed Amine</t>
  </si>
  <si>
    <t>MAD</t>
  </si>
  <si>
    <t>Not supplied</t>
  </si>
  <si>
    <t>ICMP</t>
  </si>
  <si>
    <t>Zekhnini Mustapha</t>
  </si>
  <si>
    <t>Talhajit Abdellah</t>
  </si>
  <si>
    <t>AYMAZ Abdelhay</t>
  </si>
  <si>
    <t>MOUSSA Amjad</t>
  </si>
  <si>
    <t>DRISSI Sidi Youssef</t>
  </si>
  <si>
    <t>NABACH Lara</t>
  </si>
  <si>
    <t>Mohamed Amine MERSAK</t>
  </si>
  <si>
    <t>Mejhed Asmaa</t>
  </si>
  <si>
    <t>Achraf ENNAJAH</t>
  </si>
  <si>
    <t>Ayoub EL ADRAOUI</t>
  </si>
  <si>
    <t>Mohamed Zuljami</t>
  </si>
  <si>
    <t>Ouadie REGRAGUI</t>
  </si>
  <si>
    <t>Khalid BOJADA</t>
  </si>
  <si>
    <t>Zineb ZAAROURI</t>
  </si>
  <si>
    <t>Oulad Abdelaziz Youssef</t>
  </si>
  <si>
    <t>Youssef AZIZ</t>
  </si>
  <si>
    <t>Youssef AMNAD</t>
  </si>
  <si>
    <t>Youness ZBATI</t>
  </si>
  <si>
    <t>Youness OUAHBI</t>
  </si>
  <si>
    <t>HADRI Younes</t>
  </si>
  <si>
    <t>Younes EL FELLAH EL OUAZZANI</t>
  </si>
  <si>
    <t>Yazid LAGDEM</t>
  </si>
  <si>
    <t>Yassir Issarti</t>
  </si>
  <si>
    <t>El Mekkaoui Yassir</t>
  </si>
  <si>
    <t>Yassine Athmane</t>
  </si>
  <si>
    <t>Jemkar Yasmine</t>
  </si>
  <si>
    <t>EL BAROUDI El Yassmine</t>
  </si>
  <si>
    <t>Van der Laan Tim</t>
  </si>
  <si>
    <t>Tasnim NAJI</t>
  </si>
  <si>
    <t>Taoufik MANOUNI</t>
  </si>
  <si>
    <t>taissir Bakour</t>
  </si>
  <si>
    <t>Taha Aboulhaoul</t>
  </si>
  <si>
    <t>Soufiane ROUH</t>
  </si>
  <si>
    <t>Shaib Hashemi</t>
  </si>
  <si>
    <t>SCOTT BAHRU DE COENE</t>
  </si>
  <si>
    <t>Ait El Bashir Salah Eddine</t>
  </si>
  <si>
    <t>SAMAR Said</t>
  </si>
  <si>
    <t>HAJHOUJ Said</t>
  </si>
  <si>
    <t>Chantoufi Said</t>
  </si>
  <si>
    <t>Rhauni Safwane</t>
  </si>
  <si>
    <t>EZZOHARI Saad</t>
  </si>
  <si>
    <t>Rim Fatih</t>
  </si>
  <si>
    <t>Redwane Ajouaoui</t>
  </si>
  <si>
    <t>Ghalbi Redouane</t>
  </si>
  <si>
    <t>OUASKIOT Rachida</t>
  </si>
  <si>
    <t>Rachid  Mourad</t>
  </si>
  <si>
    <t>EL HARRAK Rachid</t>
  </si>
  <si>
    <t>Sy Ousmane</t>
  </si>
  <si>
    <t>Oumaima LARIANI</t>
  </si>
  <si>
    <t>Fifadji Orphélia Yvelines</t>
  </si>
  <si>
    <t>NABAT Nouhaila</t>
  </si>
  <si>
    <t>Lamtibbou Nizar</t>
  </si>
  <si>
    <t>Nassim Abdelrzak STITOU</t>
  </si>
  <si>
    <t>EL ARKOUBI Nasseri</t>
  </si>
  <si>
    <t>Najib  Abdelhadi</t>
  </si>
  <si>
    <t>ERRAIT Najia</t>
  </si>
  <si>
    <t>Ennajari Naima</t>
  </si>
  <si>
    <t>Nahid TALLIH</t>
  </si>
  <si>
    <t>El Mornaki Mustapha</t>
  </si>
  <si>
    <t>Diallo Mustapha Salam</t>
  </si>
  <si>
    <t>Mouna  SAHIL</t>
  </si>
  <si>
    <t>Nissaoui Morad</t>
  </si>
  <si>
    <t>Monir Chouhaibi</t>
  </si>
  <si>
    <t>VERMEIRE Monique</t>
  </si>
  <si>
    <t>QNICHER Mohammed Ali</t>
  </si>
  <si>
    <t>Amine Bensid</t>
  </si>
  <si>
    <t>Mohamed ALHABIB AIT HAMID</t>
  </si>
  <si>
    <t>Mohamed ABOURHAZAOUAT</t>
  </si>
  <si>
    <t xml:space="preserve">Mohamed Mansour  El hassnaoui </t>
  </si>
  <si>
    <t>Mohamed Ali Dreif</t>
  </si>
  <si>
    <t>Mohamed adnane saidi</t>
  </si>
  <si>
    <t>M’hammed BELLOUARAK</t>
  </si>
  <si>
    <t>NASSER Meryem</t>
  </si>
  <si>
    <t>LAOOUINA Meryem</t>
  </si>
  <si>
    <t>Meryem GHAYOR</t>
  </si>
  <si>
    <t>MADHLOUM Mehdi</t>
  </si>
  <si>
    <t>Serigne Mouhamadou Mansour Sy Gueye</t>
  </si>
  <si>
    <t>EL MAGHROUDI Malak</t>
  </si>
  <si>
    <t>Vermeire Linda</t>
  </si>
  <si>
    <t>Dekker Leila</t>
  </si>
  <si>
    <t>Boeckx Lars</t>
  </si>
  <si>
    <t>Lahcen OUASSIT</t>
  </si>
  <si>
    <t xml:space="preserve">Khawla EL BOUAANANI </t>
  </si>
  <si>
    <t>Ajermite Khalil</t>
  </si>
  <si>
    <t>Ajaouaou Khalid</t>
  </si>
  <si>
    <t>MOKHTAR Kawtar</t>
  </si>
  <si>
    <t>Benmrieh Kawtar</t>
  </si>
  <si>
    <t>Saoud Karim</t>
  </si>
  <si>
    <t>BENABDALLAH Karim</t>
  </si>
  <si>
    <t>Beekman Kai</t>
  </si>
  <si>
    <t>Jacqueline SINT</t>
  </si>
  <si>
    <t>jalal  BARHMI</t>
  </si>
  <si>
    <t>Issam  MESKOURI</t>
  </si>
  <si>
    <t>Insafe OUAJAL</t>
  </si>
  <si>
    <t>Imane LAHOUCINE</t>
  </si>
  <si>
    <t>Imane Karoui</t>
  </si>
  <si>
    <t>BANANE Imane</t>
  </si>
  <si>
    <t>Moussaoui Ilias</t>
  </si>
  <si>
    <t>Idriss Wardi</t>
  </si>
  <si>
    <t>El Ayoubi Ichraf</t>
  </si>
  <si>
    <t>Houda  Rawis</t>
  </si>
  <si>
    <t>Houcine Benhaddo</t>
  </si>
  <si>
    <t xml:space="preserve">Haytham Mhafoudi </t>
  </si>
  <si>
    <t>KHATIR Hassan</t>
  </si>
  <si>
    <t>Hanane BADIR</t>
  </si>
  <si>
    <t>Hamza TALBY</t>
  </si>
  <si>
    <t>Hamza  OUABI</t>
  </si>
  <si>
    <t>Hamza Mellak</t>
  </si>
  <si>
    <t>Jadda Hamza</t>
  </si>
  <si>
    <t>Hamza Ghazi</t>
  </si>
  <si>
    <t>Hamza  BOUWAB</t>
  </si>
  <si>
    <t>Hamza BOUJIDI</t>
  </si>
  <si>
    <t>Hamza BOUAMAL</t>
  </si>
  <si>
    <t>BENSIF Hamza</t>
  </si>
  <si>
    <t>Hakim Mohamed Harhour</t>
  </si>
  <si>
    <t>Ghali Haddad</t>
  </si>
  <si>
    <t>Van Driesche Freya</t>
  </si>
  <si>
    <t>Fouad Talbi</t>
  </si>
  <si>
    <t>El Yakhloufi Fouad</t>
  </si>
  <si>
    <t xml:space="preserve">Firdaouss  EL Battay </t>
  </si>
  <si>
    <t>Fatima SOUALA</t>
  </si>
  <si>
    <t>EL OUASGHIRI Farid</t>
  </si>
  <si>
    <t>Channane Fadwa</t>
  </si>
  <si>
    <t>ULUDAG Erkan</t>
  </si>
  <si>
    <t>Meftaha Elfahry-Elfassi</t>
  </si>
  <si>
    <t>El Mehdi El Guiri</t>
  </si>
  <si>
    <t>Moslyh El Mahdi</t>
  </si>
  <si>
    <t>Dylan Joren</t>
  </si>
  <si>
    <t>Sbai Driss</t>
  </si>
  <si>
    <t>Driss Oujer</t>
  </si>
  <si>
    <t>AL GAMOUS Dounya</t>
  </si>
  <si>
    <t>Dembah Cheikh</t>
  </si>
  <si>
    <t>Chaimaa Benlaghlimi</t>
  </si>
  <si>
    <t>LOUKMAN CHAARA</t>
  </si>
  <si>
    <t>DAOUAYRY Bouchta</t>
  </si>
  <si>
    <t>TALEB Benyounes</t>
  </si>
  <si>
    <t>Senghor Baptistine</t>
  </si>
  <si>
    <t>Ayoub Failouss</t>
  </si>
  <si>
    <t>Boujloud Ayoub</t>
  </si>
  <si>
    <t>Aymen  HAFDALLAH</t>
  </si>
  <si>
    <t>Islah Aymane</t>
  </si>
  <si>
    <t>Kabbouh Ayman</t>
  </si>
  <si>
    <t>DICKMANNS Arno</t>
  </si>
  <si>
    <t>Koppens Arko</t>
  </si>
  <si>
    <t>YEKHLEFAnouar</t>
  </si>
  <si>
    <t>Jaouan Anouar</t>
  </si>
  <si>
    <t>El Jassifi Anas</t>
  </si>
  <si>
    <t>Belcaid Anas</t>
  </si>
  <si>
    <t>Anas Belbahlol</t>
  </si>
  <si>
    <t>Ez-Zouaghi Amira</t>
  </si>
  <si>
    <t>Wajid Amine</t>
  </si>
  <si>
    <t>Amine HAMDAOUI</t>
  </si>
  <si>
    <t>Cissokho Alioune</t>
  </si>
  <si>
    <t>Cetin Ali</t>
  </si>
  <si>
    <t>El Mansouri Ajaoud</t>
  </si>
  <si>
    <t>AHLAL Ainane</t>
  </si>
  <si>
    <t>ADIL Hachhouch</t>
  </si>
  <si>
    <t xml:space="preserve">Adil Chouhaibi </t>
  </si>
  <si>
    <t>SBAI Abderrahim</t>
  </si>
  <si>
    <t>Assague Abderrahim</t>
  </si>
  <si>
    <t>Farahi Abdelmalek</t>
  </si>
  <si>
    <t>Redouane Abdelhamid</t>
  </si>
  <si>
    <t>Khillane Abdelfattah</t>
  </si>
  <si>
    <t>Hajjab Abdelfatah</t>
  </si>
  <si>
    <t>BEN SALAH Abdelali</t>
  </si>
  <si>
    <t>Abdel Halim Pakhrou</t>
  </si>
  <si>
    <t>Agent calculation</t>
  </si>
  <si>
    <t>Formula-driven scenario and released payout. Released payout cannot appear while a gate is blocked.</t>
  </si>
  <si>
    <t>Agent</t>
  </si>
  <si>
    <t>Core Input</t>
  </si>
  <si>
    <t>Eligibility Review</t>
  </si>
  <si>
    <t>AHT Earned</t>
  </si>
  <si>
    <t>Productivity Earned</t>
  </si>
  <si>
    <t>PCS Earned</t>
  </si>
  <si>
    <t>Participation Earned</t>
  </si>
  <si>
    <t>QM Earned</t>
  </si>
  <si>
    <t>Absence Earned</t>
  </si>
  <si>
    <t>Extra PCS Earned</t>
  </si>
  <si>
    <t>Gross Achievement</t>
  </si>
  <si>
    <t>VOC Malus</t>
  </si>
  <si>
    <t>Final Achievement</t>
  </si>
  <si>
    <t>Reference Bonus</t>
  </si>
  <si>
    <t>Proration</t>
  </si>
  <si>
    <t>Scenario Payout</t>
  </si>
  <si>
    <t>Released Payout</t>
  </si>
  <si>
    <t>Release Status</t>
  </si>
  <si>
    <t>Data Issue</t>
  </si>
  <si>
    <t>Bonus management proposal</t>
  </si>
  <si>
    <t>Period 2026-07 | management scenario | generated 2026-08-31 00:19</t>
  </si>
  <si>
    <t>ILLUSTRATIVE SCENARIO — BLOCKED FOR PAYROLL UNTIL POLICY AND DATA VALIDATION</t>
  </si>
  <si>
    <t>MODELED AGENTS</t>
  </si>
  <si>
    <t>AVG ACHIEVEMENT</t>
  </si>
  <si>
    <t>GROSS PAYOUT</t>
  </si>
  <si>
    <t>MALUS DEDUCTION</t>
  </si>
  <si>
    <t>SCENARIO PAYOUT</t>
  </si>
  <si>
    <t>RELEASED PAYOUT</t>
  </si>
  <si>
    <t>Agents</t>
  </si>
  <si>
    <t>Scenario payout</t>
  </si>
  <si>
    <t>Average achievement</t>
  </si>
  <si>
    <t>Decision message</t>
  </si>
  <si>
    <t>This model makes every threshold, policy, and agent-level calculation visible. The scenario can be discussed now; payroll output remains technically blocked until HR/Compensation owners validate all eight policy decisions and the input rows are marked VALIDATED.</t>
  </si>
  <si>
    <t>Release controls</t>
  </si>
  <si>
    <t>Resolve every BLOCKED control before treating any payout as operational.</t>
  </si>
  <si>
    <t>Result</t>
  </si>
  <si>
    <t>Policies validated</t>
  </si>
  <si>
    <t>Validated input rows</t>
  </si>
  <si>
    <t>Synthetic rows</t>
  </si>
  <si>
    <t>Blocked core input</t>
  </si>
  <si>
    <t>Eligibility review</t>
  </si>
  <si>
    <t>Duplicate agent-period rows</t>
  </si>
  <si>
    <t>Released payout</t>
  </si>
  <si>
    <t>Bonus formula logic</t>
  </si>
  <si>
    <t>Plain-language definitions and the exact workbook implementation contract.</t>
  </si>
  <si>
    <t>Calculation</t>
  </si>
  <si>
    <t>Definition</t>
  </si>
  <si>
    <t>Core input gate</t>
  </si>
  <si>
    <t>All six KPIs, VOC, population config, bonus basis, and valid proration days must be present.</t>
  </si>
  <si>
    <t>KPI award</t>
  </si>
  <si>
    <t>Lower-is-better: actual &lt;= target. Higher-is-better: actual &gt;= target. Tier 1 is evaluated before Tier 2.</t>
  </si>
  <si>
    <t>Extra PCS</t>
  </si>
  <si>
    <t>Additive sums the extra PCS award; Replacement substitutes the higher of standard PCS and extra PCS.</t>
  </si>
  <si>
    <t>Gross achievement</t>
  </si>
  <si>
    <t>Sum of earned KPI weights after absence treatment, then capped by Achievement cap.</t>
  </si>
  <si>
    <t>VOC malus</t>
  </si>
  <si>
    <t>0/1/2/3/4/5+ detractors map to 0%/10%/20%/50%/75%/100%.</t>
  </si>
  <si>
    <t>Final achievement</t>
  </si>
  <si>
    <t>Proportional: Gross × (1 − malus). Percentage points: MAX(0, Gross − malus).</t>
  </si>
  <si>
    <t>Reference bonus</t>
  </si>
  <si>
    <t>Override when positive; otherwise monthly salary × target rate, divided by 12 only when rate basis is Annual.</t>
  </si>
  <si>
    <t>MIN(1, Eligible Days ÷ Scheduled Days). Scheduled Days must follow the selected denominator policy.</t>
  </si>
  <si>
    <t>Reference bonus × proration × final achievement, rounded per policy.</t>
  </si>
  <si>
    <t>Scenario payout only when every policy is Validated, data is VALIDATED, core input is ready, and eligibility passes.</t>
  </si>
  <si>
    <t>Management email brief</t>
  </si>
  <si>
    <t>Copy the subject and body below into your email; keep the governance warning.</t>
  </si>
  <si>
    <t>Subject</t>
  </si>
  <si>
    <t>Bonus management proposal | 2026-07 | policy validation required</t>
  </si>
  <si>
    <t>Body</t>
  </si>
  <si>
    <t>Hello,
Please find attached the WFM bonus management proposal for 2026-07. It models 167 illustrative agent records and a scenario payout of 130,000.00 MAD. The model centralizes KPI thresholds, VOC malus, proration, eligibility, and approval controls. It is intentionally blocked for payroll until all policy owners validate their decisions and operational data replaces synthetic records.
The MANAGEMENT sheet provides the executive view; POLICY_APPROVAL and CONTROLS show the decisions required for release.
Regards,
Anass ASSRI</t>
  </si>
</sst>
</file>

<file path=xl/styles.xml><?xml version="1.0" encoding="utf-8"?>
<styleSheet xmlns="http://schemas.openxmlformats.org/spreadsheetml/2006/main">
  <numFmts count="4">
    <numFmt numFmtId="164" formatCode="yyyy-mm-dd hh:mm"/>
    <numFmt numFmtId="165" formatCode="0.0%"/>
    <numFmt numFmtId="166" formatCode="#,##0.00 &quot;MAD&quot;"/>
    <numFmt numFmtId="167" formatCode="#,##0"/>
  </numFmts>
  <fonts count="12">
    <font>
      <sz val="11"/>
      <color theme="1"/>
      <name val="Calibri"/>
      <family val="2"/>
      <scheme val="minor"/>
    </font>
    <font>
      <b/>
      <sz val="20"/>
      <color rgb="FFFFFFFF"/>
      <name val="Aptos Display"/>
      <family val="2"/>
    </font>
    <font>
      <sz val="9"/>
      <color rgb="FFFFFFFF"/>
      <name val="Aptos"/>
      <family val="2"/>
    </font>
    <font>
      <b/>
      <sz val="10"/>
      <color rgb="FFFFFFFF"/>
      <name val="Aptos"/>
      <family val="2"/>
    </font>
    <font>
      <sz val="10"/>
      <color rgb="FF1F2933"/>
      <name val="Aptos"/>
      <family val="2"/>
    </font>
    <font>
      <sz val="10"/>
      <color rgb="FF0563C1"/>
      <name val="Aptos"/>
      <family val="2"/>
    </font>
    <font>
      <b/>
      <sz val="10"/>
      <color rgb="FFB42318"/>
      <name val="Aptos"/>
      <family val="2"/>
    </font>
    <font>
      <b/>
      <sz val="12"/>
      <color rgb="FF007C83"/>
      <name val="Aptos Display"/>
      <family val="2"/>
    </font>
    <font>
      <sz val="9"/>
      <color rgb="FF536474"/>
      <name val="Aptos"/>
      <family val="2"/>
    </font>
    <font>
      <b/>
      <sz val="9"/>
      <color rgb="FF536474"/>
      <name val="Aptos"/>
      <family val="2"/>
    </font>
    <font>
      <b/>
      <sz val="20"/>
      <color rgb="FF0B1F33"/>
      <name val="Aptos Display"/>
      <family val="2"/>
    </font>
    <font>
      <b/>
      <sz val="18"/>
      <color rgb="FF0B1F33"/>
      <name val="Aptos Display"/>
      <family val="2"/>
    </font>
  </fonts>
  <fills count="8">
    <fill>
      <patternFill patternType="none"/>
    </fill>
    <fill>
      <patternFill patternType="gray125"/>
    </fill>
    <fill>
      <patternFill patternType="solid">
        <fgColor rgb="FF0B1F33"/>
        <bgColor indexed="64"/>
      </patternFill>
    </fill>
    <fill>
      <patternFill patternType="solid">
        <fgColor rgb="FF007C83"/>
        <bgColor indexed="64"/>
      </patternFill>
    </fill>
    <fill>
      <patternFill patternType="solid">
        <fgColor rgb="FFE3F0FA"/>
        <bgColor indexed="64"/>
      </patternFill>
    </fill>
    <fill>
      <patternFill patternType="solid">
        <fgColor rgb="FFFDE7E5"/>
        <bgColor indexed="64"/>
      </patternFill>
    </fill>
    <fill>
      <patternFill patternType="solid">
        <fgColor rgb="FFF4F7F9"/>
        <bgColor indexed="64"/>
      </patternFill>
    </fill>
    <fill>
      <patternFill patternType="solid">
        <fgColor rgb="FFFFFFFF"/>
        <bgColor indexed="64"/>
      </patternFill>
    </fill>
  </fills>
  <borders count="4">
    <border>
      <left/>
      <right/>
      <top/>
      <bottom/>
      <diagonal/>
    </border>
    <border>
      <left/>
      <right/>
      <top/>
      <bottom style="medium">
        <color rgb="FFD6A84B"/>
      </bottom>
      <diagonal/>
    </border>
    <border>
      <left/>
      <right/>
      <top/>
      <bottom style="thin">
        <color rgb="FFD8E0E6"/>
      </bottom>
      <diagonal/>
    </border>
    <border>
      <left style="thin">
        <color rgb="FFD8E0E6"/>
      </left>
      <right style="thin">
        <color rgb="FFD8E0E6"/>
      </right>
      <top style="thin">
        <color rgb="FFD8E0E6"/>
      </top>
      <bottom style="thin">
        <color rgb="FFD8E0E6"/>
      </bottom>
      <diagonal/>
    </border>
  </borders>
  <cellStyleXfs count="1">
    <xf numFmtId="0" fontId="0" fillId="0" borderId="0"/>
  </cellStyleXfs>
  <cellXfs count="17">
    <xf numFmtId="0" fontId="0" fillId="0" borderId="0" xfId="0"/>
    <xf numFmtId="0" fontId="1" fillId="2" borderId="0" xfId="0" applyFont="1" applyFill="1" applyAlignment="1">
      <alignment horizontal="left" vertical="center" indent="1"/>
    </xf>
    <xf numFmtId="0" fontId="2" fillId="3" borderId="0" xfId="0" applyFont="1" applyFill="1" applyAlignment="1">
      <alignment horizontal="left" vertical="center" indent="1"/>
    </xf>
    <xf numFmtId="0" fontId="3" fillId="3" borderId="1" xfId="0" applyFont="1" applyFill="1" applyBorder="1" applyAlignment="1">
      <alignment vertical="center" wrapText="1"/>
    </xf>
    <xf numFmtId="0" fontId="4" fillId="0" borderId="2" xfId="0" applyFont="1" applyBorder="1"/>
    <xf numFmtId="0" fontId="5" fillId="4" borderId="2" xfId="0" applyFont="1" applyFill="1" applyBorder="1"/>
    <xf numFmtId="164" fontId="4" fillId="0" borderId="2" xfId="0" applyNumberFormat="1" applyFont="1" applyBorder="1"/>
    <xf numFmtId="0" fontId="6" fillId="5" borderId="0" xfId="0" applyFont="1" applyFill="1" applyAlignment="1">
      <alignment horizontal="center" wrapText="1"/>
    </xf>
    <xf numFmtId="0" fontId="7" fillId="0" borderId="1" xfId="0" applyFont="1" applyBorder="1"/>
    <xf numFmtId="0" fontId="8" fillId="0" borderId="0" xfId="0" applyFont="1" applyAlignment="1">
      <alignment vertical="top" wrapText="1"/>
    </xf>
    <xf numFmtId="165" fontId="4" fillId="0" borderId="2" xfId="0" applyNumberFormat="1" applyFont="1" applyBorder="1"/>
    <xf numFmtId="166" fontId="4" fillId="0" borderId="2" xfId="0" applyNumberFormat="1" applyFont="1" applyBorder="1"/>
    <xf numFmtId="0" fontId="9" fillId="6" borderId="3" xfId="0" applyFont="1" applyFill="1" applyBorder="1" applyAlignment="1">
      <alignment horizontal="center" vertical="center"/>
    </xf>
    <xf numFmtId="0" fontId="10" fillId="7" borderId="3" xfId="0" applyFont="1" applyFill="1" applyBorder="1" applyAlignment="1">
      <alignment horizontal="center" vertical="center"/>
    </xf>
    <xf numFmtId="165" fontId="10" fillId="7" borderId="3" xfId="0" applyNumberFormat="1" applyFont="1" applyFill="1" applyBorder="1" applyAlignment="1">
      <alignment horizontal="center" vertical="center"/>
    </xf>
    <xf numFmtId="166" fontId="11" fillId="7" borderId="3" xfId="0" applyNumberFormat="1" applyFont="1" applyFill="1" applyBorder="1" applyAlignment="1">
      <alignment horizontal="center" vertical="center"/>
    </xf>
    <xf numFmtId="167" fontId="4" fillId="0" borderId="2" xfId="0" applyNumberFormat="1" applyFont="1" applyBorder="1"/>
  </cellXfs>
  <cellStyles count="1">
    <cellStyle name="Normal" xfId="0" builtinId="0"/>
  </cellStyles>
  <dxfs count="2">
    <dxf>
      <font>
        <b/>
        <color rgb="FF1F7A53"/>
      </font>
      <fill>
        <patternFill>
          <bgColor rgb="FFDDF3E8"/>
        </patternFill>
      </fill>
    </dxf>
    <dxf>
      <font>
        <b/>
        <color rgb="FFB42318"/>
      </font>
      <fill>
        <patternFill>
          <bgColor rgb="FFFDE7E5"/>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Scenario payout by population</a:t>
            </a:r>
          </a:p>
        </c:rich>
      </c:tx>
      <c:layout/>
    </c:title>
    <c:plotArea>
      <c:layout/>
      <c:barChart>
        <c:barDir val="col"/>
        <c:grouping val="clustered"/>
        <c:ser>
          <c:idx val="0"/>
          <c:order val="0"/>
          <c:tx>
            <c:v>Scenario payout</c:v>
          </c:tx>
          <c:spPr>
            <a:solidFill>
              <a:srgbClr val="007C83"/>
            </a:solidFill>
            <a:ln>
              <a:noFill/>
            </a:ln>
          </c:spPr>
          <c:cat>
            <c:strRef>
              <c:f>MANAGEMENT!$A$12:$A$17</c:f>
              <c:strCache>
                <c:ptCount val="6"/>
                <c:pt idx="0">
                  <c:v>Ford Dutch</c:v>
                </c:pt>
                <c:pt idx="1">
                  <c:v>Ford GER</c:v>
                </c:pt>
                <c:pt idx="2">
                  <c:v>OEM FR</c:v>
                </c:pt>
                <c:pt idx="3">
                  <c:v>RSA FR</c:v>
                </c:pt>
                <c:pt idx="4">
                  <c:v>RSA NL</c:v>
                </c:pt>
                <c:pt idx="5">
                  <c:v>RSA VL</c:v>
                </c:pt>
              </c:strCache>
            </c:strRef>
          </c:cat>
          <c:val>
            <c:numRef>
              <c:f>MANAGEMENT!$C$12:$C$17</c:f>
              <c:numCache>
                <c:formatCode>General</c:formatCode>
                <c:ptCount val="6"/>
                <c:pt idx="0">
                  <c:v>20500.0</c:v>
                </c:pt>
                <c:pt idx="1">
                  <c:v>0</c:v>
                </c:pt>
                <c:pt idx="2">
                  <c:v>56700.0</c:v>
                </c:pt>
                <c:pt idx="3">
                  <c:v>12500.0</c:v>
                </c:pt>
                <c:pt idx="4">
                  <c:v>28600.0</c:v>
                </c:pt>
                <c:pt idx="5">
                  <c:v>11700.0</c:v>
                </c:pt>
              </c:numCache>
            </c:numRef>
          </c:val>
        </c:ser>
        <c:axId val="50010001"/>
        <c:axId val="50010002"/>
      </c:barChart>
      <c:catAx>
        <c:axId val="50010001"/>
        <c:scaling>
          <c:orientation val="minMax"/>
        </c:scaling>
        <c:axPos val="b"/>
        <c:tickLblPos val="nextTo"/>
        <c:crossAx val="50010002"/>
        <c:crosses val="autoZero"/>
        <c:auto val="1"/>
        <c:lblAlgn val="ctr"/>
        <c:lblOffset val="100"/>
      </c:catAx>
      <c:valAx>
        <c:axId val="50010002"/>
        <c:scaling>
          <c:orientation val="minMax"/>
        </c:scaling>
        <c:axPos val="l"/>
        <c:majorGridlines/>
        <c:numFmt formatCode="General" sourceLinked="1"/>
        <c:tickLblPos val="nextTo"/>
        <c:crossAx val="50010001"/>
        <c:crosses val="autoZero"/>
        <c:crossBetween val="between"/>
      </c:valAx>
      <c:spPr>
        <a:solidFill>
          <a:srgbClr val="FFFFFF"/>
        </a:solidFill>
        <a:ln>
          <a:noFill/>
        </a:ln>
      </c:spPr>
    </c:plotArea>
    <c:plotVisOnly val="1"/>
  </c:chart>
  <c:spPr>
    <a:solidFill>
      <a:srgbClr val="FFFFFF"/>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0</xdr:colOff>
      <xdr:row>10</xdr:row>
      <xdr:rowOff>0</xdr:rowOff>
    </xdr:from>
    <xdr:to>
      <xdr:col>10</xdr:col>
      <xdr:colOff>809625</xdr:colOff>
      <xdr:row>26</xdr:row>
      <xdr:rowOff>28575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tblPolicies" displayName="tblPolicies" ref="A4:G12" totalsRowShown="0">
  <autoFilter ref="A4:G12"/>
  <tableColumns count="7">
    <tableColumn id="1" name="Policy"/>
    <tableColumn id="2" name="Selected Decision"/>
    <tableColumn id="3" name="Allowed Values"/>
    <tableColumn id="4" name="Formula Impact"/>
    <tableColumn id="5" name="Owner"/>
    <tableColumn id="6" name="Status"/>
    <tableColumn id="7" name="Comments"/>
  </tableColumns>
  <tableStyleInfo name="TableStyleLight9" showFirstColumn="0" showLastColumn="0" showRowStripes="1" showColumnStripes="0"/>
</table>
</file>

<file path=xl/tables/table2.xml><?xml version="1.0" encoding="utf-8"?>
<table xmlns="http://schemas.openxmlformats.org/spreadsheetml/2006/main" id="2" name="tblBonusRules" displayName="tblBonusRules" ref="A4:G46" totalsRowShown="0">
  <autoFilter ref="A4:G46"/>
  <tableColumns count="7">
    <tableColumn id="1" name="Population"/>
    <tableColumn id="2" name="KPI"/>
    <tableColumn id="3" name="Direction"/>
    <tableColumn id="4" name="Tier 1 Bonus %"/>
    <tableColumn id="5" name="Tier 1 Target"/>
    <tableColumn id="6" name="Tier 2 Bonus %"/>
    <tableColumn id="7" name="Tier 2 Target"/>
  </tableColumns>
  <tableStyleInfo name="TableStyleLight9" showFirstColumn="0" showLastColumn="0" showRowStripes="1" showColumnStripes="0"/>
</table>
</file>

<file path=xl/tables/table3.xml><?xml version="1.0" encoding="utf-8"?>
<table xmlns="http://schemas.openxmlformats.org/spreadsheetml/2006/main" id="3" name="tblMalusRules" displayName="tblMalusRules" ref="I4:J10" totalsRowShown="0">
  <autoFilter ref="I4:J10"/>
  <tableColumns count="2">
    <tableColumn id="1" name="VOC Detractors"/>
    <tableColumn id="2" name="Malus Impact"/>
  </tableColumns>
  <tableStyleInfo name="TableStyleLight9" showFirstColumn="0" showLastColumn="0" showRowStripes="1" showColumnStripes="0"/>
</table>
</file>

<file path=xl/tables/table4.xml><?xml version="1.0" encoding="utf-8"?>
<table xmlns="http://schemas.openxmlformats.org/spreadsheetml/2006/main" id="4" name="tblBonusInput" displayName="tblBonusInput" ref="A4:T254" totalsRowShown="0">
  <autoFilter ref="A4:T254"/>
  <tableColumns count="20">
    <tableColumn id="1" name="Agent ID"/>
    <tableColumn id="2" name="Agent Name"/>
    <tableColumn id="3" name="Population"/>
    <tableColumn id="4" name="Period"/>
    <tableColumn id="5" name="AHT"/>
    <tableColumn id="6" name="Productivity"/>
    <tableColumn id="7" name="PCS Score"/>
    <tableColumn id="8" name="PCS Participation"/>
    <tableColumn id="9" name="QM"/>
    <tableColumn id="10" name="Absence %"/>
    <tableColumn id="11" name="VOC Detractors"/>
    <tableColumn id="12" name="Currency"/>
    <tableColumn id="13" name="Monthly Fixed Salary"/>
    <tableColumn id="14" name="Target Bonus Rate"/>
    <tableColumn id="15" name="Reference Bonus Override"/>
    <tableColumn id="16" name="Eligible Days"/>
    <tableColumn id="17" name="Scheduled Days"/>
    <tableColumn id="18" name="Employment Status"/>
    <tableColumn id="19" name="Data Status"/>
    <tableColumn id="20" name="Notes"/>
  </tableColumns>
  <tableStyleInfo name="TableStyleLight9" showFirstColumn="0" showLastColumn="0" showRowStripes="1" showColumnStripes="0"/>
</table>
</file>

<file path=xl/tables/table5.xml><?xml version="1.0" encoding="utf-8"?>
<table xmlns="http://schemas.openxmlformats.org/spreadsheetml/2006/main" id="5" name="tblBonusCalc" displayName="tblBonusCalc" ref="A4:U254" totalsRowShown="0">
  <autoFilter ref="A4:U254"/>
  <tableColumns count="21">
    <tableColumn id="1" name="Agent ID"/>
    <tableColumn id="2" name="Agent"/>
    <tableColumn id="3" name="Population"/>
    <tableColumn id="4" name="Core Input"/>
    <tableColumn id="5" name="Eligibility Review"/>
    <tableColumn id="6" name="AHT Earned"/>
    <tableColumn id="7" name="Productivity Earned"/>
    <tableColumn id="8" name="PCS Earned"/>
    <tableColumn id="9" name="Participation Earned"/>
    <tableColumn id="10" name="QM Earned"/>
    <tableColumn id="11" name="Absence Earned"/>
    <tableColumn id="12" name="Extra PCS Earned"/>
    <tableColumn id="13" name="Gross Achievement"/>
    <tableColumn id="14" name="VOC Malus"/>
    <tableColumn id="15" name="Final Achievement"/>
    <tableColumn id="16" name="Reference Bonus"/>
    <tableColumn id="17" name="Proration"/>
    <tableColumn id="18" name="Scenario Payout"/>
    <tableColumn id="19" name="Released Payout"/>
    <tableColumn id="20" name="Release Status"/>
    <tableColumn id="21" name="Data Issu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 Id="rId2"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sheetPr>
    <tabColor rgb="FF007C83"/>
    <pageSetUpPr fitToPage="1"/>
  </sheetPr>
  <dimension ref="A1:H14"/>
  <sheetViews>
    <sheetView showGridLines="0" zoomScale="90" zoomScaleNormal="90" workbookViewId="0"/>
  </sheetViews>
  <sheetFormatPr defaultRowHeight="15"/>
  <cols>
    <col min="1" max="1" width="31.7109375" customWidth="1"/>
    <col min="2" max="2" width="24.7109375" customWidth="1"/>
    <col min="3" max="8" width="17.7109375" customWidth="1"/>
  </cols>
  <sheetData>
    <row r="1" spans="1:8" ht="32" customHeight="1">
      <c r="A1" s="1" t="s">
        <v>0</v>
      </c>
      <c r="B1" s="1"/>
      <c r="C1" s="1"/>
      <c r="D1" s="1"/>
      <c r="E1" s="1"/>
      <c r="F1" s="1"/>
      <c r="G1" s="1"/>
      <c r="H1" s="1"/>
    </row>
    <row r="2" spans="1:8" ht="20" customHeight="1">
      <c r="A2" s="2" t="s">
        <v>1</v>
      </c>
      <c r="B2" s="2"/>
      <c r="C2" s="2"/>
      <c r="D2" s="2"/>
      <c r="E2" s="2"/>
      <c r="F2" s="2"/>
      <c r="G2" s="2"/>
      <c r="H2" s="2"/>
    </row>
    <row r="4" spans="1:8">
      <c r="A4" s="3" t="s">
        <v>2</v>
      </c>
      <c r="B4" s="3" t="s">
        <v>3</v>
      </c>
    </row>
    <row r="5" spans="1:8">
      <c r="A5" s="4" t="s">
        <v>4</v>
      </c>
      <c r="B5" s="5" t="s">
        <v>5</v>
      </c>
    </row>
    <row r="6" spans="1:8">
      <c r="A6" s="4" t="s">
        <v>6</v>
      </c>
      <c r="B6" s="6">
        <v>46265.01356947106</v>
      </c>
    </row>
    <row r="7" spans="1:8">
      <c r="A7" s="4" t="s">
        <v>7</v>
      </c>
      <c r="B7" s="5" t="s">
        <v>8</v>
      </c>
    </row>
    <row r="8" spans="1:8">
      <c r="A8" s="4" t="s">
        <v>9</v>
      </c>
      <c r="B8" s="4" t="s">
        <v>10</v>
      </c>
    </row>
    <row r="9" spans="1:8">
      <c r="A9" s="4" t="s">
        <v>11</v>
      </c>
      <c r="B9" s="7" t="str">
        <f>IF(COUNTIF(tblPolicies[Status],"Validated")=ROWS(tblPolicies[Status]),"READY","BLOCKED")</f>
        <v>BLOCKED</v>
      </c>
    </row>
    <row r="11" spans="1:8">
      <c r="A11" s="8" t="s">
        <v>12</v>
      </c>
    </row>
    <row r="12" spans="1:8">
      <c r="A12" s="9" t="s">
        <v>13</v>
      </c>
      <c r="B12" s="9"/>
      <c r="C12" s="9"/>
      <c r="D12" s="9"/>
      <c r="E12" s="9"/>
      <c r="F12" s="9"/>
      <c r="G12" s="9"/>
      <c r="H12" s="9"/>
    </row>
    <row r="13" spans="1:8">
      <c r="A13" s="9"/>
      <c r="B13" s="9"/>
      <c r="C13" s="9"/>
      <c r="D13" s="9"/>
      <c r="E13" s="9"/>
      <c r="F13" s="9"/>
      <c r="G13" s="9"/>
      <c r="H13" s="9"/>
    </row>
    <row r="14" spans="1:8">
      <c r="A14" s="9"/>
      <c r="B14" s="9"/>
      <c r="C14" s="9"/>
      <c r="D14" s="9"/>
      <c r="E14" s="9"/>
      <c r="F14" s="9"/>
      <c r="G14" s="9"/>
      <c r="H14" s="9"/>
    </row>
  </sheetData>
  <mergeCells count="3">
    <mergeCell ref="A1:H1"/>
    <mergeCell ref="A2:H2"/>
    <mergeCell ref="A12:H14"/>
  </mergeCells>
  <pageMargins left="0.7" right="0.7" top="0.75" bottom="0.75" header="0.3" footer="0.3"/>
  <pageSetup fitToHeight="0" orientation="landscape"/>
  <headerFooter>
    <oddFooter>&amp;LWFMHub | made by Anass ASSRI&amp;CPage &amp;P of &amp;N&amp;RConfidential</oddFooter>
  </headerFooter>
</worksheet>
</file>

<file path=xl/worksheets/sheet2.xml><?xml version="1.0" encoding="utf-8"?>
<worksheet xmlns="http://schemas.openxmlformats.org/spreadsheetml/2006/main" xmlns:r="http://schemas.openxmlformats.org/officeDocument/2006/relationships">
  <sheetPr>
    <tabColor rgb="FF007C83"/>
    <pageSetUpPr fitToPage="1"/>
  </sheetPr>
  <dimension ref="A1:G12"/>
  <sheetViews>
    <sheetView showGridLines="0" zoomScale="90" zoomScaleNormal="90" workbookViewId="0">
      <pane ySplit="4" topLeftCell="A5" activePane="bottomLeft" state="frozen"/>
      <selection pane="bottomLeft"/>
    </sheetView>
  </sheetViews>
  <sheetFormatPr defaultRowHeight="15"/>
  <cols>
    <col min="1" max="1" width="28.7109375" customWidth="1"/>
    <col min="2" max="2" width="22.7109375" customWidth="1"/>
    <col min="3" max="3" width="35.7109375" customWidth="1"/>
    <col min="4" max="4" width="36.7109375" customWidth="1"/>
    <col min="5" max="5" width="22.7109375" customWidth="1"/>
    <col min="6" max="6" width="16.7109375" customWidth="1"/>
    <col min="7" max="7" width="30.7109375" customWidth="1"/>
  </cols>
  <sheetData>
    <row r="1" spans="1:7" ht="32" customHeight="1">
      <c r="A1" s="1" t="s">
        <v>14</v>
      </c>
      <c r="B1" s="1"/>
      <c r="C1" s="1"/>
      <c r="D1" s="1"/>
      <c r="E1" s="1"/>
      <c r="F1" s="1"/>
      <c r="G1" s="1"/>
    </row>
    <row r="2" spans="1:7" ht="20" customHeight="1">
      <c r="A2" s="2" t="s">
        <v>15</v>
      </c>
      <c r="B2" s="2"/>
      <c r="C2" s="2"/>
      <c r="D2" s="2"/>
      <c r="E2" s="2"/>
      <c r="F2" s="2"/>
      <c r="G2" s="2"/>
    </row>
    <row r="4" spans="1:7">
      <c r="A4" s="3" t="s">
        <v>16</v>
      </c>
      <c r="B4" s="3" t="s">
        <v>17</v>
      </c>
      <c r="C4" s="3" t="s">
        <v>18</v>
      </c>
      <c r="D4" s="3" t="s">
        <v>19</v>
      </c>
      <c r="E4" s="3" t="s">
        <v>20</v>
      </c>
      <c r="F4" s="3" t="s">
        <v>21</v>
      </c>
      <c r="G4" s="3" t="s">
        <v>22</v>
      </c>
    </row>
    <row r="5" spans="1:7">
      <c r="A5" s="4" t="s">
        <v>23</v>
      </c>
      <c r="B5" s="5" t="s">
        <v>24</v>
      </c>
      <c r="C5" s="4" t="s">
        <v>25</v>
      </c>
      <c r="D5" s="4" t="s">
        <v>26</v>
      </c>
      <c r="E5" s="4" t="s">
        <v>27</v>
      </c>
      <c r="F5" s="5" t="s">
        <v>28</v>
      </c>
      <c r="G5" s="5"/>
    </row>
    <row r="6" spans="1:7">
      <c r="A6" s="4" t="s">
        <v>29</v>
      </c>
      <c r="B6" s="5" t="s">
        <v>30</v>
      </c>
      <c r="C6" s="4" t="s">
        <v>31</v>
      </c>
      <c r="D6" s="4" t="s">
        <v>32</v>
      </c>
      <c r="E6" s="4" t="s">
        <v>33</v>
      </c>
      <c r="F6" s="5" t="s">
        <v>28</v>
      </c>
      <c r="G6" s="5"/>
    </row>
    <row r="7" spans="1:7">
      <c r="A7" s="4" t="s">
        <v>34</v>
      </c>
      <c r="B7" s="5" t="s">
        <v>35</v>
      </c>
      <c r="C7" s="4" t="s">
        <v>36</v>
      </c>
      <c r="D7" s="4" t="s">
        <v>37</v>
      </c>
      <c r="E7" s="4" t="s">
        <v>38</v>
      </c>
      <c r="F7" s="5" t="s">
        <v>28</v>
      </c>
      <c r="G7" s="5"/>
    </row>
    <row r="8" spans="1:7">
      <c r="A8" s="4" t="s">
        <v>39</v>
      </c>
      <c r="B8" s="5" t="s">
        <v>40</v>
      </c>
      <c r="C8" s="4" t="s">
        <v>41</v>
      </c>
      <c r="D8" s="4" t="s">
        <v>42</v>
      </c>
      <c r="E8" s="4" t="s">
        <v>38</v>
      </c>
      <c r="F8" s="5" t="s">
        <v>28</v>
      </c>
      <c r="G8" s="5"/>
    </row>
    <row r="9" spans="1:7">
      <c r="A9" s="4" t="s">
        <v>43</v>
      </c>
      <c r="B9" s="5" t="s">
        <v>44</v>
      </c>
      <c r="C9" s="4" t="s">
        <v>45</v>
      </c>
      <c r="D9" s="4" t="s">
        <v>46</v>
      </c>
      <c r="E9" s="4" t="s">
        <v>47</v>
      </c>
      <c r="F9" s="5" t="s">
        <v>28</v>
      </c>
      <c r="G9" s="5"/>
    </row>
    <row r="10" spans="1:7">
      <c r="A10" s="4" t="s">
        <v>48</v>
      </c>
      <c r="B10" s="5">
        <v>1.3</v>
      </c>
      <c r="C10" s="4" t="s">
        <v>49</v>
      </c>
      <c r="D10" s="4" t="s">
        <v>50</v>
      </c>
      <c r="E10" s="4" t="s">
        <v>27</v>
      </c>
      <c r="F10" s="5" t="s">
        <v>28</v>
      </c>
      <c r="G10" s="5"/>
    </row>
    <row r="11" spans="1:7">
      <c r="A11" s="4" t="s">
        <v>51</v>
      </c>
      <c r="B11" s="5" t="s">
        <v>52</v>
      </c>
      <c r="C11" s="4" t="s">
        <v>53</v>
      </c>
      <c r="D11" s="4" t="s">
        <v>54</v>
      </c>
      <c r="E11" s="4" t="s">
        <v>55</v>
      </c>
      <c r="F11" s="5" t="s">
        <v>56</v>
      </c>
      <c r="G11" s="5"/>
    </row>
    <row r="12" spans="1:7">
      <c r="A12" s="4" t="s">
        <v>57</v>
      </c>
      <c r="B12" s="5" t="s">
        <v>58</v>
      </c>
      <c r="C12" s="4" t="s">
        <v>59</v>
      </c>
      <c r="D12" s="4" t="s">
        <v>60</v>
      </c>
      <c r="E12" s="4" t="s">
        <v>61</v>
      </c>
      <c r="F12" s="5" t="s">
        <v>56</v>
      </c>
      <c r="G12" s="5"/>
    </row>
  </sheetData>
  <mergeCells count="2">
    <mergeCell ref="A1:G1"/>
    <mergeCell ref="A2:G2"/>
  </mergeCells>
  <conditionalFormatting sqref="F5:F12">
    <cfRule type="containsText" dxfId="0" priority="1" operator="containsText" text="Validated">
      <formula>NOT(ISERROR(SEARCH("Validated",F5)))</formula>
    </cfRule>
    <cfRule type="notContainsText" dxfId="1" priority="2" operator="notContains" text="Validated">
      <formula>ISERROR(SEARCH("Validated",F5))</formula>
    </cfRule>
  </conditionalFormatting>
  <dataValidations count="1">
    <dataValidation type="list" allowBlank="1" showInputMessage="1" showErrorMessage="1" sqref="F5:F12">
      <formula1>"To validate,Validated,Rejected"</formula1>
    </dataValidation>
  </dataValidations>
  <pageMargins left="0.7" right="0.7" top="0.75" bottom="0.75" header="0.3" footer="0.3"/>
  <pageSetup fitToHeight="0" orientation="landscape"/>
  <headerFooter>
    <oddFooter>&amp;LWFMHub | made by Anass ASSRI&amp;CPage &amp;P of &amp;N&amp;RConfidential</oddFooter>
  </headerFooter>
  <tableParts count="1">
    <tablePart r:id="rId1"/>
  </tableParts>
</worksheet>
</file>

<file path=xl/worksheets/sheet3.xml><?xml version="1.0" encoding="utf-8"?>
<worksheet xmlns="http://schemas.openxmlformats.org/spreadsheetml/2006/main" xmlns:r="http://schemas.openxmlformats.org/officeDocument/2006/relationships">
  <sheetPr>
    <tabColor rgb="FF007C83"/>
    <pageSetUpPr fitToPage="1"/>
  </sheetPr>
  <dimension ref="A1:J46"/>
  <sheetViews>
    <sheetView showGridLines="0" zoomScale="90" zoomScaleNormal="90" workbookViewId="0"/>
  </sheetViews>
  <sheetFormatPr defaultRowHeight="15"/>
  <cols>
    <col min="1" max="1" width="16.7109375" customWidth="1"/>
    <col min="2" max="2" width="28.7109375" customWidth="1"/>
    <col min="3" max="3" width="11.7109375" customWidth="1"/>
    <col min="4" max="7" width="18.7109375" customWidth="1"/>
    <col min="9" max="10" width="18.7109375" customWidth="1"/>
  </cols>
  <sheetData>
    <row r="1" spans="1:10" ht="32" customHeight="1">
      <c r="A1" s="1" t="s">
        <v>62</v>
      </c>
      <c r="B1" s="1"/>
      <c r="C1" s="1"/>
      <c r="D1" s="1"/>
      <c r="E1" s="1"/>
      <c r="F1" s="1"/>
      <c r="G1" s="1"/>
      <c r="H1" s="1"/>
      <c r="I1" s="1"/>
      <c r="J1" s="1"/>
    </row>
    <row r="2" spans="1:10" ht="20" customHeight="1">
      <c r="A2" s="2" t="s">
        <v>63</v>
      </c>
      <c r="B2" s="2"/>
      <c r="C2" s="2"/>
      <c r="D2" s="2"/>
      <c r="E2" s="2"/>
      <c r="F2" s="2"/>
      <c r="G2" s="2"/>
      <c r="H2" s="2"/>
      <c r="I2" s="2"/>
      <c r="J2" s="2"/>
    </row>
    <row r="4" spans="1:10">
      <c r="A4" s="3" t="s">
        <v>64</v>
      </c>
      <c r="B4" s="3" t="s">
        <v>65</v>
      </c>
      <c r="C4" s="3" t="s">
        <v>66</v>
      </c>
      <c r="D4" s="3" t="s">
        <v>67</v>
      </c>
      <c r="E4" s="3" t="s">
        <v>68</v>
      </c>
      <c r="F4" s="3" t="s">
        <v>69</v>
      </c>
      <c r="G4" s="3" t="s">
        <v>70</v>
      </c>
      <c r="I4" t="s">
        <v>88</v>
      </c>
      <c r="J4" t="s">
        <v>89</v>
      </c>
    </row>
    <row r="5" spans="1:10">
      <c r="A5" s="4" t="s">
        <v>71</v>
      </c>
      <c r="B5" s="4" t="s">
        <v>72</v>
      </c>
      <c r="C5" s="5" t="s">
        <v>73</v>
      </c>
      <c r="D5" s="5">
        <v>0.15</v>
      </c>
      <c r="E5" s="5">
        <v>450</v>
      </c>
      <c r="F5" s="5">
        <v>0</v>
      </c>
      <c r="G5" s="5">
        <v>0</v>
      </c>
      <c r="I5" s="5">
        <v>0</v>
      </c>
      <c r="J5" s="5">
        <v>0</v>
      </c>
    </row>
    <row r="6" spans="1:10">
      <c r="A6" s="4" t="s">
        <v>71</v>
      </c>
      <c r="B6" s="4" t="s">
        <v>74</v>
      </c>
      <c r="C6" s="5" t="s">
        <v>75</v>
      </c>
      <c r="D6" s="5">
        <v>0.15</v>
      </c>
      <c r="E6" s="5">
        <v>7</v>
      </c>
      <c r="F6" s="5">
        <v>0</v>
      </c>
      <c r="G6" s="5">
        <v>0</v>
      </c>
      <c r="I6" s="5">
        <v>1</v>
      </c>
      <c r="J6" s="5">
        <v>0.1</v>
      </c>
    </row>
    <row r="7" spans="1:10">
      <c r="A7" s="4" t="s">
        <v>71</v>
      </c>
      <c r="B7" s="4" t="s">
        <v>76</v>
      </c>
      <c r="C7" s="5" t="s">
        <v>75</v>
      </c>
      <c r="D7" s="5">
        <v>0.2</v>
      </c>
      <c r="E7" s="5">
        <v>4.3</v>
      </c>
      <c r="F7" s="5">
        <v>0.15</v>
      </c>
      <c r="G7" s="5">
        <v>4.1</v>
      </c>
      <c r="I7" s="5">
        <v>2</v>
      </c>
      <c r="J7" s="5">
        <v>0.2</v>
      </c>
    </row>
    <row r="8" spans="1:10">
      <c r="A8" s="4" t="s">
        <v>71</v>
      </c>
      <c r="B8" s="4" t="s">
        <v>77</v>
      </c>
      <c r="C8" s="5" t="s">
        <v>75</v>
      </c>
      <c r="D8" s="5">
        <v>0.15</v>
      </c>
      <c r="E8" s="5">
        <v>0.5</v>
      </c>
      <c r="F8" s="5">
        <v>0.1</v>
      </c>
      <c r="G8" s="5">
        <v>0.4</v>
      </c>
      <c r="I8" s="5">
        <v>3</v>
      </c>
      <c r="J8" s="5">
        <v>0.5</v>
      </c>
    </row>
    <row r="9" spans="1:10">
      <c r="A9" s="4" t="s">
        <v>71</v>
      </c>
      <c r="B9" s="4" t="s">
        <v>78</v>
      </c>
      <c r="C9" s="5" t="s">
        <v>75</v>
      </c>
      <c r="D9" s="5">
        <v>0.2</v>
      </c>
      <c r="E9" s="5">
        <v>0.9</v>
      </c>
      <c r="F9" s="5">
        <v>0.15</v>
      </c>
      <c r="G9" s="5">
        <v>0.8</v>
      </c>
      <c r="I9" s="5">
        <v>4</v>
      </c>
      <c r="J9" s="5">
        <v>0.75</v>
      </c>
    </row>
    <row r="10" spans="1:10">
      <c r="A10" s="4" t="s">
        <v>71</v>
      </c>
      <c r="B10" s="4" t="s">
        <v>79</v>
      </c>
      <c r="C10" s="5" t="s">
        <v>73</v>
      </c>
      <c r="D10" s="5">
        <v>0.15</v>
      </c>
      <c r="E10" s="5">
        <v>0.05</v>
      </c>
      <c r="F10" s="5">
        <v>0</v>
      </c>
      <c r="G10" s="5">
        <v>0</v>
      </c>
      <c r="I10" s="5">
        <v>5</v>
      </c>
      <c r="J10" s="5">
        <v>1</v>
      </c>
    </row>
    <row r="11" spans="1:10">
      <c r="A11" s="4" t="s">
        <v>71</v>
      </c>
      <c r="B11" s="4" t="s">
        <v>80</v>
      </c>
      <c r="C11" s="5" t="s">
        <v>75</v>
      </c>
      <c r="D11" s="5">
        <v>0.3</v>
      </c>
      <c r="E11" s="5">
        <v>4.5</v>
      </c>
      <c r="F11" s="5">
        <v>0.2</v>
      </c>
      <c r="G11" s="5">
        <v>4.3</v>
      </c>
    </row>
    <row r="12" spans="1:10">
      <c r="A12" s="4" t="s">
        <v>81</v>
      </c>
      <c r="B12" s="4" t="s">
        <v>72</v>
      </c>
      <c r="C12" s="5" t="s">
        <v>73</v>
      </c>
      <c r="D12" s="5">
        <v>0.15</v>
      </c>
      <c r="E12" s="5">
        <v>450</v>
      </c>
      <c r="F12" s="5">
        <v>0</v>
      </c>
      <c r="G12" s="5">
        <v>0</v>
      </c>
    </row>
    <row r="13" spans="1:10">
      <c r="A13" s="4" t="s">
        <v>81</v>
      </c>
      <c r="B13" s="4" t="s">
        <v>74</v>
      </c>
      <c r="C13" s="5" t="s">
        <v>75</v>
      </c>
      <c r="D13" s="5">
        <v>0.15</v>
      </c>
      <c r="E13" s="5">
        <v>7</v>
      </c>
      <c r="F13" s="5">
        <v>0</v>
      </c>
      <c r="G13" s="5">
        <v>0</v>
      </c>
    </row>
    <row r="14" spans="1:10">
      <c r="A14" s="4" t="s">
        <v>81</v>
      </c>
      <c r="B14" s="4" t="s">
        <v>76</v>
      </c>
      <c r="C14" s="5" t="s">
        <v>75</v>
      </c>
      <c r="D14" s="5">
        <v>0.2</v>
      </c>
      <c r="E14" s="5">
        <v>4.3</v>
      </c>
      <c r="F14" s="5">
        <v>0.15</v>
      </c>
      <c r="G14" s="5">
        <v>4.1</v>
      </c>
    </row>
    <row r="15" spans="1:10">
      <c r="A15" s="4" t="s">
        <v>81</v>
      </c>
      <c r="B15" s="4" t="s">
        <v>77</v>
      </c>
      <c r="C15" s="5" t="s">
        <v>75</v>
      </c>
      <c r="D15" s="5">
        <v>0.15</v>
      </c>
      <c r="E15" s="5">
        <v>0.5</v>
      </c>
      <c r="F15" s="5">
        <v>0.1</v>
      </c>
      <c r="G15" s="5">
        <v>0.4</v>
      </c>
    </row>
    <row r="16" spans="1:10">
      <c r="A16" s="4" t="s">
        <v>81</v>
      </c>
      <c r="B16" s="4" t="s">
        <v>78</v>
      </c>
      <c r="C16" s="5" t="s">
        <v>75</v>
      </c>
      <c r="D16" s="5">
        <v>0.2</v>
      </c>
      <c r="E16" s="5">
        <v>0.9</v>
      </c>
      <c r="F16" s="5">
        <v>0.15</v>
      </c>
      <c r="G16" s="5">
        <v>0.8</v>
      </c>
    </row>
    <row r="17" spans="1:7">
      <c r="A17" s="4" t="s">
        <v>81</v>
      </c>
      <c r="B17" s="4" t="s">
        <v>79</v>
      </c>
      <c r="C17" s="5" t="s">
        <v>73</v>
      </c>
      <c r="D17" s="5">
        <v>0.15</v>
      </c>
      <c r="E17" s="5">
        <v>0.05</v>
      </c>
      <c r="F17" s="5">
        <v>0</v>
      </c>
      <c r="G17" s="5">
        <v>0</v>
      </c>
    </row>
    <row r="18" spans="1:7">
      <c r="A18" s="4" t="s">
        <v>81</v>
      </c>
      <c r="B18" s="4" t="s">
        <v>80</v>
      </c>
      <c r="C18" s="5" t="s">
        <v>75</v>
      </c>
      <c r="D18" s="5">
        <v>0.3</v>
      </c>
      <c r="E18" s="5">
        <v>4.5</v>
      </c>
      <c r="F18" s="5">
        <v>0.2</v>
      </c>
      <c r="G18" s="5">
        <v>4.3</v>
      </c>
    </row>
    <row r="19" spans="1:7">
      <c r="A19" s="4" t="s">
        <v>82</v>
      </c>
      <c r="B19" s="4" t="s">
        <v>72</v>
      </c>
      <c r="C19" s="5" t="s">
        <v>73</v>
      </c>
      <c r="D19" s="5">
        <v>0.15</v>
      </c>
      <c r="E19" s="5">
        <v>450</v>
      </c>
      <c r="F19" s="5">
        <v>0</v>
      </c>
      <c r="G19" s="5">
        <v>0</v>
      </c>
    </row>
    <row r="20" spans="1:7">
      <c r="A20" s="4" t="s">
        <v>82</v>
      </c>
      <c r="B20" s="4" t="s">
        <v>74</v>
      </c>
      <c r="C20" s="5" t="s">
        <v>75</v>
      </c>
      <c r="D20" s="5">
        <v>0.15</v>
      </c>
      <c r="E20" s="5">
        <v>7</v>
      </c>
      <c r="F20" s="5">
        <v>0</v>
      </c>
      <c r="G20" s="5">
        <v>0</v>
      </c>
    </row>
    <row r="21" spans="1:7">
      <c r="A21" s="4" t="s">
        <v>82</v>
      </c>
      <c r="B21" s="4" t="s">
        <v>76</v>
      </c>
      <c r="C21" s="5" t="s">
        <v>75</v>
      </c>
      <c r="D21" s="5">
        <v>0.2</v>
      </c>
      <c r="E21" s="5">
        <v>4.3</v>
      </c>
      <c r="F21" s="5">
        <v>0.15</v>
      </c>
      <c r="G21" s="5">
        <v>4.1</v>
      </c>
    </row>
    <row r="22" spans="1:7">
      <c r="A22" s="4" t="s">
        <v>82</v>
      </c>
      <c r="B22" s="4" t="s">
        <v>77</v>
      </c>
      <c r="C22" s="5" t="s">
        <v>75</v>
      </c>
      <c r="D22" s="5">
        <v>0.15</v>
      </c>
      <c r="E22" s="5">
        <v>0.5</v>
      </c>
      <c r="F22" s="5">
        <v>0.1</v>
      </c>
      <c r="G22" s="5">
        <v>0.4</v>
      </c>
    </row>
    <row r="23" spans="1:7">
      <c r="A23" s="4" t="s">
        <v>82</v>
      </c>
      <c r="B23" s="4" t="s">
        <v>78</v>
      </c>
      <c r="C23" s="5" t="s">
        <v>75</v>
      </c>
      <c r="D23" s="5">
        <v>0.2</v>
      </c>
      <c r="E23" s="5">
        <v>0.9</v>
      </c>
      <c r="F23" s="5">
        <v>0.15</v>
      </c>
      <c r="G23" s="5">
        <v>0.8</v>
      </c>
    </row>
    <row r="24" spans="1:7">
      <c r="A24" s="4" t="s">
        <v>82</v>
      </c>
      <c r="B24" s="4" t="s">
        <v>79</v>
      </c>
      <c r="C24" s="5" t="s">
        <v>73</v>
      </c>
      <c r="D24" s="5">
        <v>0.15</v>
      </c>
      <c r="E24" s="5">
        <v>0.05</v>
      </c>
      <c r="F24" s="5">
        <v>0</v>
      </c>
      <c r="G24" s="5">
        <v>0</v>
      </c>
    </row>
    <row r="25" spans="1:7">
      <c r="A25" s="4" t="s">
        <v>82</v>
      </c>
      <c r="B25" s="4" t="s">
        <v>80</v>
      </c>
      <c r="C25" s="5" t="s">
        <v>75</v>
      </c>
      <c r="D25" s="5">
        <v>0.3</v>
      </c>
      <c r="E25" s="5">
        <v>4.5</v>
      </c>
      <c r="F25" s="5">
        <v>0.2</v>
      </c>
      <c r="G25" s="5">
        <v>4.3</v>
      </c>
    </row>
    <row r="26" spans="1:7">
      <c r="A26" s="4" t="s">
        <v>83</v>
      </c>
      <c r="B26" s="4" t="s">
        <v>72</v>
      </c>
      <c r="C26" s="5" t="s">
        <v>73</v>
      </c>
      <c r="D26" s="5">
        <v>0.15</v>
      </c>
      <c r="E26" s="5">
        <v>450</v>
      </c>
      <c r="F26" s="5">
        <v>0</v>
      </c>
      <c r="G26" s="5">
        <v>0</v>
      </c>
    </row>
    <row r="27" spans="1:7">
      <c r="A27" s="4" t="s">
        <v>83</v>
      </c>
      <c r="B27" s="4" t="s">
        <v>74</v>
      </c>
      <c r="C27" s="5" t="s">
        <v>75</v>
      </c>
      <c r="D27" s="5">
        <v>0.15</v>
      </c>
      <c r="E27" s="5">
        <v>7</v>
      </c>
      <c r="F27" s="5">
        <v>0</v>
      </c>
      <c r="G27" s="5">
        <v>0</v>
      </c>
    </row>
    <row r="28" spans="1:7">
      <c r="A28" s="4" t="s">
        <v>83</v>
      </c>
      <c r="B28" s="4" t="s">
        <v>76</v>
      </c>
      <c r="C28" s="5" t="s">
        <v>75</v>
      </c>
      <c r="D28" s="5">
        <v>0.2</v>
      </c>
      <c r="E28" s="5">
        <v>4.3</v>
      </c>
      <c r="F28" s="5">
        <v>0.15</v>
      </c>
      <c r="G28" s="5">
        <v>4.1</v>
      </c>
    </row>
    <row r="29" spans="1:7">
      <c r="A29" s="4" t="s">
        <v>83</v>
      </c>
      <c r="B29" s="4" t="s">
        <v>77</v>
      </c>
      <c r="C29" s="5" t="s">
        <v>75</v>
      </c>
      <c r="D29" s="5">
        <v>0.15</v>
      </c>
      <c r="E29" s="5">
        <v>0.5</v>
      </c>
      <c r="F29" s="5">
        <v>0.1</v>
      </c>
      <c r="G29" s="5">
        <v>0.4</v>
      </c>
    </row>
    <row r="30" spans="1:7">
      <c r="A30" s="4" t="s">
        <v>83</v>
      </c>
      <c r="B30" s="4" t="s">
        <v>78</v>
      </c>
      <c r="C30" s="5" t="s">
        <v>75</v>
      </c>
      <c r="D30" s="5">
        <v>0.2</v>
      </c>
      <c r="E30" s="5">
        <v>0.9</v>
      </c>
      <c r="F30" s="5">
        <v>0.15</v>
      </c>
      <c r="G30" s="5">
        <v>0.8</v>
      </c>
    </row>
    <row r="31" spans="1:7">
      <c r="A31" s="4" t="s">
        <v>83</v>
      </c>
      <c r="B31" s="4" t="s">
        <v>79</v>
      </c>
      <c r="C31" s="5" t="s">
        <v>73</v>
      </c>
      <c r="D31" s="5">
        <v>0.15</v>
      </c>
      <c r="E31" s="5">
        <v>0.05</v>
      </c>
      <c r="F31" s="5">
        <v>0</v>
      </c>
      <c r="G31" s="5">
        <v>0</v>
      </c>
    </row>
    <row r="32" spans="1:7">
      <c r="A32" s="4" t="s">
        <v>83</v>
      </c>
      <c r="B32" s="4" t="s">
        <v>80</v>
      </c>
      <c r="C32" s="5" t="s">
        <v>75</v>
      </c>
      <c r="D32" s="5">
        <v>0.3</v>
      </c>
      <c r="E32" s="5">
        <v>4.5</v>
      </c>
      <c r="F32" s="5">
        <v>0.2</v>
      </c>
      <c r="G32" s="5">
        <v>4.3</v>
      </c>
    </row>
    <row r="33" spans="1:7">
      <c r="A33" s="4" t="s">
        <v>84</v>
      </c>
      <c r="B33" s="4" t="s">
        <v>72</v>
      </c>
      <c r="C33" s="5" t="s">
        <v>73</v>
      </c>
      <c r="D33" s="5">
        <v>0.15</v>
      </c>
      <c r="E33" s="5">
        <v>450</v>
      </c>
      <c r="F33" s="5">
        <v>0</v>
      </c>
      <c r="G33" s="5">
        <v>0</v>
      </c>
    </row>
    <row r="34" spans="1:7">
      <c r="A34" s="4" t="s">
        <v>84</v>
      </c>
      <c r="B34" s="4" t="s">
        <v>74</v>
      </c>
      <c r="C34" s="5" t="s">
        <v>75</v>
      </c>
      <c r="D34" s="5">
        <v>0.15</v>
      </c>
      <c r="E34" s="5">
        <v>7</v>
      </c>
      <c r="F34" s="5">
        <v>0</v>
      </c>
      <c r="G34" s="5">
        <v>0</v>
      </c>
    </row>
    <row r="35" spans="1:7">
      <c r="A35" s="4" t="s">
        <v>84</v>
      </c>
      <c r="B35" s="4" t="s">
        <v>76</v>
      </c>
      <c r="C35" s="5" t="s">
        <v>75</v>
      </c>
      <c r="D35" s="5">
        <v>0.2</v>
      </c>
      <c r="E35" s="5">
        <v>4.3</v>
      </c>
      <c r="F35" s="5">
        <v>0.15</v>
      </c>
      <c r="G35" s="5">
        <v>4.1</v>
      </c>
    </row>
    <row r="36" spans="1:7">
      <c r="A36" s="4" t="s">
        <v>84</v>
      </c>
      <c r="B36" s="4" t="s">
        <v>77</v>
      </c>
      <c r="C36" s="5" t="s">
        <v>75</v>
      </c>
      <c r="D36" s="5">
        <v>0.15</v>
      </c>
      <c r="E36" s="5">
        <v>0.5</v>
      </c>
      <c r="F36" s="5">
        <v>0.1</v>
      </c>
      <c r="G36" s="5">
        <v>0.4</v>
      </c>
    </row>
    <row r="37" spans="1:7">
      <c r="A37" s="4" t="s">
        <v>84</v>
      </c>
      <c r="B37" s="4" t="s">
        <v>78</v>
      </c>
      <c r="C37" s="5" t="s">
        <v>75</v>
      </c>
      <c r="D37" s="5">
        <v>0.2</v>
      </c>
      <c r="E37" s="5">
        <v>0.9</v>
      </c>
      <c r="F37" s="5">
        <v>0.15</v>
      </c>
      <c r="G37" s="5">
        <v>0.8</v>
      </c>
    </row>
    <row r="38" spans="1:7">
      <c r="A38" s="4" t="s">
        <v>84</v>
      </c>
      <c r="B38" s="4" t="s">
        <v>79</v>
      </c>
      <c r="C38" s="5" t="s">
        <v>73</v>
      </c>
      <c r="D38" s="5">
        <v>0.15</v>
      </c>
      <c r="E38" s="5">
        <v>0.05</v>
      </c>
      <c r="F38" s="5">
        <v>0</v>
      </c>
      <c r="G38" s="5">
        <v>0</v>
      </c>
    </row>
    <row r="39" spans="1:7">
      <c r="A39" s="4" t="s">
        <v>84</v>
      </c>
      <c r="B39" s="4" t="s">
        <v>80</v>
      </c>
      <c r="C39" s="5" t="s">
        <v>75</v>
      </c>
      <c r="D39" s="5">
        <v>0.3</v>
      </c>
      <c r="E39" s="5">
        <v>4.5</v>
      </c>
      <c r="F39" s="5">
        <v>0.2</v>
      </c>
      <c r="G39" s="5">
        <v>4.3</v>
      </c>
    </row>
    <row r="40" spans="1:7">
      <c r="A40" s="4" t="s">
        <v>85</v>
      </c>
      <c r="B40" s="4" t="s">
        <v>72</v>
      </c>
      <c r="C40" s="5" t="s">
        <v>73</v>
      </c>
      <c r="D40" s="5">
        <v>0.15</v>
      </c>
      <c r="E40" s="5">
        <v>450</v>
      </c>
      <c r="F40" s="5">
        <v>0</v>
      </c>
      <c r="G40" s="5">
        <v>0</v>
      </c>
    </row>
    <row r="41" spans="1:7">
      <c r="A41" s="4" t="s">
        <v>85</v>
      </c>
      <c r="B41" s="4" t="s">
        <v>74</v>
      </c>
      <c r="C41" s="5" t="s">
        <v>75</v>
      </c>
      <c r="D41" s="5">
        <v>0.15</v>
      </c>
      <c r="E41" s="5">
        <v>7</v>
      </c>
      <c r="F41" s="5">
        <v>0</v>
      </c>
      <c r="G41" s="5">
        <v>0</v>
      </c>
    </row>
    <row r="42" spans="1:7">
      <c r="A42" s="4" t="s">
        <v>85</v>
      </c>
      <c r="B42" s="4" t="s">
        <v>76</v>
      </c>
      <c r="C42" s="5" t="s">
        <v>75</v>
      </c>
      <c r="D42" s="5">
        <v>0.2</v>
      </c>
      <c r="E42" s="5">
        <v>4.3</v>
      </c>
      <c r="F42" s="5">
        <v>0.15</v>
      </c>
      <c r="G42" s="5">
        <v>4.1</v>
      </c>
    </row>
    <row r="43" spans="1:7">
      <c r="A43" s="4" t="s">
        <v>85</v>
      </c>
      <c r="B43" s="4" t="s">
        <v>77</v>
      </c>
      <c r="C43" s="5" t="s">
        <v>75</v>
      </c>
      <c r="D43" s="5">
        <v>0.15</v>
      </c>
      <c r="E43" s="5">
        <v>0.5</v>
      </c>
      <c r="F43" s="5">
        <v>0.1</v>
      </c>
      <c r="G43" s="5">
        <v>0.4</v>
      </c>
    </row>
    <row r="44" spans="1:7">
      <c r="A44" s="4" t="s">
        <v>85</v>
      </c>
      <c r="B44" s="4" t="s">
        <v>78</v>
      </c>
      <c r="C44" s="5" t="s">
        <v>75</v>
      </c>
      <c r="D44" s="5">
        <v>0.2</v>
      </c>
      <c r="E44" s="5">
        <v>0.9</v>
      </c>
      <c r="F44" s="5">
        <v>0.15</v>
      </c>
      <c r="G44" s="5">
        <v>0.8</v>
      </c>
    </row>
    <row r="45" spans="1:7">
      <c r="A45" s="4" t="s">
        <v>85</v>
      </c>
      <c r="B45" s="4" t="s">
        <v>79</v>
      </c>
      <c r="C45" s="5" t="s">
        <v>73</v>
      </c>
      <c r="D45" s="5">
        <v>0.15</v>
      </c>
      <c r="E45" s="5">
        <v>0.05</v>
      </c>
      <c r="F45" s="5">
        <v>0</v>
      </c>
      <c r="G45" s="5">
        <v>0</v>
      </c>
    </row>
    <row r="46" spans="1:7">
      <c r="A46" s="4" t="s">
        <v>85</v>
      </c>
      <c r="B46" s="4" t="s">
        <v>80</v>
      </c>
      <c r="C46" s="5" t="s">
        <v>75</v>
      </c>
      <c r="D46" s="5">
        <v>0.3</v>
      </c>
      <c r="E46" s="5">
        <v>4.5</v>
      </c>
      <c r="F46" s="5">
        <v>0.2</v>
      </c>
      <c r="G46" s="5">
        <v>4.3</v>
      </c>
    </row>
  </sheetData>
  <mergeCells count="2">
    <mergeCell ref="A1:J1"/>
    <mergeCell ref="A2:J2"/>
  </mergeCells>
  <pageMargins left="0.7" right="0.7" top="0.75" bottom="0.75" header="0.3" footer="0.3"/>
  <pageSetup fitToHeight="0" orientation="landscape"/>
  <headerFooter>
    <oddFooter>&amp;LWFMHub | made by Anass ASSRI&amp;CPage &amp;P of &amp;N&amp;RConfidential</oddFooter>
  </headerFooter>
  <tableParts count="2">
    <tablePart r:id="rId1"/>
    <tablePart r:id="rId2"/>
  </tableParts>
</worksheet>
</file>

<file path=xl/worksheets/sheet4.xml><?xml version="1.0" encoding="utf-8"?>
<worksheet xmlns="http://schemas.openxmlformats.org/spreadsheetml/2006/main" xmlns:r="http://schemas.openxmlformats.org/officeDocument/2006/relationships">
  <sheetPr>
    <tabColor rgb="FF007C83"/>
    <pageSetUpPr fitToPage="1"/>
  </sheetPr>
  <dimension ref="A1:T254"/>
  <sheetViews>
    <sheetView showGridLines="0" zoomScale="90" zoomScaleNormal="90" workbookViewId="0">
      <pane xSplit="4" ySplit="4" topLeftCell="E5" activePane="bottomRight" state="frozen"/>
      <selection pane="topRight" activeCell="E1" sqref="E1"/>
      <selection pane="bottomLeft" activeCell="A5" sqref="A5"/>
      <selection pane="bottomRight"/>
    </sheetView>
  </sheetViews>
  <sheetFormatPr defaultRowHeight="15"/>
  <cols>
    <col min="1" max="1" width="14.7109375" customWidth="1"/>
    <col min="2" max="2" width="25.7109375" customWidth="1"/>
    <col min="3" max="4" width="15.7109375" customWidth="1"/>
    <col min="5" max="17" width="17.7109375" customWidth="1"/>
    <col min="18" max="19" width="18.7109375" customWidth="1"/>
    <col min="20" max="20" width="30.7109375" customWidth="1"/>
  </cols>
  <sheetData>
    <row r="1" spans="1:20" ht="32" customHeight="1">
      <c r="A1" s="1" t="s">
        <v>90</v>
      </c>
      <c r="B1" s="1"/>
      <c r="C1" s="1"/>
      <c r="D1" s="1"/>
      <c r="E1" s="1"/>
      <c r="F1" s="1"/>
      <c r="G1" s="1"/>
      <c r="H1" s="1"/>
      <c r="I1" s="1"/>
      <c r="J1" s="1"/>
      <c r="K1" s="1"/>
      <c r="L1" s="1"/>
      <c r="M1" s="1"/>
      <c r="N1" s="1"/>
      <c r="O1" s="1"/>
      <c r="P1" s="1"/>
      <c r="Q1" s="1"/>
      <c r="R1" s="1"/>
      <c r="S1" s="1"/>
      <c r="T1" s="1"/>
    </row>
    <row r="2" spans="1:20" ht="20" customHeight="1">
      <c r="A2" s="2" t="s">
        <v>91</v>
      </c>
      <c r="B2" s="2"/>
      <c r="C2" s="2"/>
      <c r="D2" s="2"/>
      <c r="E2" s="2"/>
      <c r="F2" s="2"/>
      <c r="G2" s="2"/>
      <c r="H2" s="2"/>
      <c r="I2" s="2"/>
      <c r="J2" s="2"/>
      <c r="K2" s="2"/>
      <c r="L2" s="2"/>
      <c r="M2" s="2"/>
      <c r="N2" s="2"/>
      <c r="O2" s="2"/>
      <c r="P2" s="2"/>
      <c r="Q2" s="2"/>
      <c r="R2" s="2"/>
      <c r="S2" s="2"/>
      <c r="T2" s="2"/>
    </row>
    <row r="4" spans="1:20">
      <c r="A4" s="3" t="s">
        <v>92</v>
      </c>
      <c r="B4" s="3" t="s">
        <v>93</v>
      </c>
      <c r="C4" s="3" t="s">
        <v>64</v>
      </c>
      <c r="D4" s="3" t="s">
        <v>94</v>
      </c>
      <c r="E4" s="3" t="s">
        <v>72</v>
      </c>
      <c r="F4" s="3" t="s">
        <v>74</v>
      </c>
      <c r="G4" s="3" t="s">
        <v>76</v>
      </c>
      <c r="H4" s="3" t="s">
        <v>95</v>
      </c>
      <c r="I4" s="3" t="s">
        <v>78</v>
      </c>
      <c r="J4" s="3" t="s">
        <v>96</v>
      </c>
      <c r="K4" s="3" t="s">
        <v>88</v>
      </c>
      <c r="L4" s="3" t="s">
        <v>97</v>
      </c>
      <c r="M4" s="3" t="s">
        <v>98</v>
      </c>
      <c r="N4" s="3" t="s">
        <v>99</v>
      </c>
      <c r="O4" s="3" t="s">
        <v>100</v>
      </c>
      <c r="P4" s="3" t="s">
        <v>101</v>
      </c>
      <c r="Q4" s="3" t="s">
        <v>102</v>
      </c>
      <c r="R4" s="3" t="s">
        <v>103</v>
      </c>
      <c r="S4" s="3" t="s">
        <v>104</v>
      </c>
      <c r="T4" s="3" t="s">
        <v>105</v>
      </c>
    </row>
    <row r="5" spans="1:20">
      <c r="A5" s="5">
        <v>204341</v>
      </c>
      <c r="B5" s="5" t="s">
        <v>106</v>
      </c>
      <c r="C5" s="5" t="s">
        <v>71</v>
      </c>
      <c r="D5" s="5" t="s">
        <v>5</v>
      </c>
      <c r="E5" s="5">
        <v>451.415254237288</v>
      </c>
      <c r="F5" s="5">
        <v>7.31034223815871</v>
      </c>
      <c r="G5" s="5">
        <v>2.15384615384615</v>
      </c>
      <c r="H5" s="10">
        <v>0.0918727915194346</v>
      </c>
      <c r="I5" s="5"/>
      <c r="J5" s="5"/>
      <c r="K5" s="5">
        <v>0</v>
      </c>
      <c r="L5" s="5" t="s">
        <v>107</v>
      </c>
      <c r="M5" s="5"/>
      <c r="N5" s="5"/>
      <c r="O5" s="5">
        <v>2000</v>
      </c>
      <c r="P5" s="5">
        <v>31</v>
      </c>
      <c r="Q5" s="5">
        <v>31</v>
      </c>
      <c r="R5" s="5" t="s">
        <v>108</v>
      </c>
      <c r="S5" s="5" t="s">
        <v>109</v>
      </c>
      <c r="T5" s="5"/>
    </row>
    <row r="6" spans="1:20">
      <c r="A6" s="5">
        <v>204342</v>
      </c>
      <c r="B6" s="5" t="s">
        <v>110</v>
      </c>
      <c r="C6" s="5" t="s">
        <v>71</v>
      </c>
      <c r="D6" s="5" t="s">
        <v>5</v>
      </c>
      <c r="E6" s="5">
        <v>664.040767386091</v>
      </c>
      <c r="F6" s="5">
        <v>4.96957440277351</v>
      </c>
      <c r="G6" s="5">
        <v>4.71428571428571</v>
      </c>
      <c r="H6" s="10">
        <v>0.0901287553648069</v>
      </c>
      <c r="I6" s="5"/>
      <c r="J6" s="5"/>
      <c r="K6" s="5">
        <v>0</v>
      </c>
      <c r="L6" s="5" t="s">
        <v>107</v>
      </c>
      <c r="M6" s="5"/>
      <c r="N6" s="5"/>
      <c r="O6" s="5">
        <v>2000</v>
      </c>
      <c r="P6" s="5">
        <v>31</v>
      </c>
      <c r="Q6" s="5">
        <v>31</v>
      </c>
      <c r="R6" s="5" t="s">
        <v>108</v>
      </c>
      <c r="S6" s="5" t="s">
        <v>109</v>
      </c>
      <c r="T6" s="5"/>
    </row>
    <row r="7" spans="1:20">
      <c r="A7" s="5">
        <v>204343</v>
      </c>
      <c r="B7" s="5" t="s">
        <v>111</v>
      </c>
      <c r="C7" s="5" t="s">
        <v>71</v>
      </c>
      <c r="D7" s="5" t="s">
        <v>5</v>
      </c>
      <c r="E7" s="5">
        <v>589.971739130435</v>
      </c>
      <c r="F7" s="5">
        <v>5.5934882658344</v>
      </c>
      <c r="G7" s="5">
        <v>1</v>
      </c>
      <c r="H7" s="10">
        <v>0.109375</v>
      </c>
      <c r="I7" s="5"/>
      <c r="J7" s="5"/>
      <c r="K7" s="5">
        <v>0</v>
      </c>
      <c r="L7" s="5" t="s">
        <v>107</v>
      </c>
      <c r="M7" s="5"/>
      <c r="N7" s="5"/>
      <c r="O7" s="5">
        <v>2000</v>
      </c>
      <c r="P7" s="5">
        <v>31</v>
      </c>
      <c r="Q7" s="5">
        <v>31</v>
      </c>
      <c r="R7" s="5" t="s">
        <v>108</v>
      </c>
      <c r="S7" s="5" t="s">
        <v>109</v>
      </c>
      <c r="T7" s="5"/>
    </row>
    <row r="8" spans="1:20">
      <c r="A8" s="5">
        <v>204344</v>
      </c>
      <c r="B8" s="5" t="s">
        <v>112</v>
      </c>
      <c r="C8" s="5" t="s">
        <v>71</v>
      </c>
      <c r="D8" s="5" t="s">
        <v>5</v>
      </c>
      <c r="E8" s="5">
        <v>717.1025</v>
      </c>
      <c r="F8" s="5">
        <v>4.6018525942944</v>
      </c>
      <c r="G8" s="5">
        <v>4.7</v>
      </c>
      <c r="H8" s="10">
        <v>0.123893805309735</v>
      </c>
      <c r="I8" s="5"/>
      <c r="J8" s="5"/>
      <c r="K8" s="5">
        <v>0</v>
      </c>
      <c r="L8" s="5" t="s">
        <v>107</v>
      </c>
      <c r="M8" s="5"/>
      <c r="N8" s="5"/>
      <c r="O8" s="5">
        <v>2000</v>
      </c>
      <c r="P8" s="5">
        <v>31</v>
      </c>
      <c r="Q8" s="5">
        <v>31</v>
      </c>
      <c r="R8" s="5" t="s">
        <v>108</v>
      </c>
      <c r="S8" s="5" t="s">
        <v>109</v>
      </c>
      <c r="T8" s="5"/>
    </row>
    <row r="9" spans="1:20">
      <c r="A9" s="5">
        <v>204345</v>
      </c>
      <c r="B9" s="5" t="s">
        <v>113</v>
      </c>
      <c r="C9" s="5" t="s">
        <v>71</v>
      </c>
      <c r="D9" s="5" t="s">
        <v>5</v>
      </c>
      <c r="E9" s="5">
        <v>784.956331877729</v>
      </c>
      <c r="F9" s="5">
        <v>4.20405552001335</v>
      </c>
      <c r="G9" s="5">
        <v>4</v>
      </c>
      <c r="H9" s="10">
        <v>0.0298507462686567</v>
      </c>
      <c r="I9" s="5"/>
      <c r="J9" s="5"/>
      <c r="K9" s="5">
        <v>0</v>
      </c>
      <c r="L9" s="5" t="s">
        <v>107</v>
      </c>
      <c r="M9" s="5"/>
      <c r="N9" s="5"/>
      <c r="O9" s="5">
        <v>2000</v>
      </c>
      <c r="P9" s="5">
        <v>31</v>
      </c>
      <c r="Q9" s="5">
        <v>31</v>
      </c>
      <c r="R9" s="5" t="s">
        <v>108</v>
      </c>
      <c r="S9" s="5" t="s">
        <v>109</v>
      </c>
      <c r="T9" s="5"/>
    </row>
    <row r="10" spans="1:20">
      <c r="A10" s="5">
        <v>204602</v>
      </c>
      <c r="B10" s="5" t="s">
        <v>114</v>
      </c>
      <c r="C10" s="5" t="s">
        <v>71</v>
      </c>
      <c r="D10" s="5" t="s">
        <v>5</v>
      </c>
      <c r="E10" s="5">
        <v>707.70197044335</v>
      </c>
      <c r="F10" s="5">
        <v>4.66297981045986</v>
      </c>
      <c r="G10" s="5">
        <v>3.84615384615385</v>
      </c>
      <c r="H10" s="10">
        <v>0.0829875518672199</v>
      </c>
      <c r="I10" s="5"/>
      <c r="J10" s="5"/>
      <c r="K10" s="5">
        <v>0</v>
      </c>
      <c r="L10" s="5" t="s">
        <v>107</v>
      </c>
      <c r="M10" s="5"/>
      <c r="N10" s="5"/>
      <c r="O10" s="5">
        <v>2000</v>
      </c>
      <c r="P10" s="5">
        <v>31</v>
      </c>
      <c r="Q10" s="5">
        <v>31</v>
      </c>
      <c r="R10" s="5" t="s">
        <v>108</v>
      </c>
      <c r="S10" s="5" t="s">
        <v>109</v>
      </c>
      <c r="T10" s="5"/>
    </row>
    <row r="11" spans="1:20">
      <c r="A11" s="5">
        <v>204349</v>
      </c>
      <c r="B11" s="5" t="s">
        <v>115</v>
      </c>
      <c r="C11" s="5" t="s">
        <v>71</v>
      </c>
      <c r="D11" s="5" t="s">
        <v>5</v>
      </c>
      <c r="E11" s="5">
        <v>459.942477876106</v>
      </c>
      <c r="F11" s="5">
        <v>7.17481023983376</v>
      </c>
      <c r="G11" s="5">
        <v>4.22222222222222</v>
      </c>
      <c r="H11" s="10">
        <v>0.10655737704918</v>
      </c>
      <c r="I11" s="5"/>
      <c r="J11" s="5"/>
      <c r="K11" s="5">
        <v>0</v>
      </c>
      <c r="L11" s="5" t="s">
        <v>107</v>
      </c>
      <c r="M11" s="5"/>
      <c r="N11" s="5"/>
      <c r="O11" s="5">
        <v>2000</v>
      </c>
      <c r="P11" s="5">
        <v>31</v>
      </c>
      <c r="Q11" s="5">
        <v>31</v>
      </c>
      <c r="R11" s="5" t="s">
        <v>108</v>
      </c>
      <c r="S11" s="5" t="s">
        <v>109</v>
      </c>
      <c r="T11" s="5"/>
    </row>
    <row r="12" spans="1:20">
      <c r="A12" s="5">
        <v>228205</v>
      </c>
      <c r="B12" s="5" t="s">
        <v>116</v>
      </c>
      <c r="C12" s="5" t="s">
        <v>82</v>
      </c>
      <c r="D12" s="5" t="s">
        <v>5</v>
      </c>
      <c r="E12" s="5">
        <v>437.322580645161</v>
      </c>
      <c r="F12" s="5">
        <v>7.54591723832707</v>
      </c>
      <c r="G12" s="5">
        <v>4.93103448275862</v>
      </c>
      <c r="H12" s="10">
        <v>0.393034825870647</v>
      </c>
      <c r="I12" s="10">
        <v>0.636</v>
      </c>
      <c r="J12" s="5"/>
      <c r="K12" s="5">
        <v>0</v>
      </c>
      <c r="L12" s="5" t="s">
        <v>107</v>
      </c>
      <c r="M12" s="5"/>
      <c r="N12" s="5"/>
      <c r="O12" s="5">
        <v>2000</v>
      </c>
      <c r="P12" s="5">
        <v>31</v>
      </c>
      <c r="Q12" s="5">
        <v>31</v>
      </c>
      <c r="R12" s="5" t="s">
        <v>108</v>
      </c>
      <c r="S12" s="5" t="s">
        <v>109</v>
      </c>
      <c r="T12" s="5"/>
    </row>
    <row r="13" spans="1:20">
      <c r="A13" s="5">
        <v>204018</v>
      </c>
      <c r="B13" s="5" t="s">
        <v>117</v>
      </c>
      <c r="C13" s="5" t="s">
        <v>81</v>
      </c>
      <c r="D13" s="5" t="s">
        <v>5</v>
      </c>
      <c r="E13" s="5"/>
      <c r="F13" s="5"/>
      <c r="G13" s="5">
        <v>4.11111111111111</v>
      </c>
      <c r="H13" s="10">
        <v>0.056672760511883</v>
      </c>
      <c r="I13" s="10">
        <v>0</v>
      </c>
      <c r="J13" s="5"/>
      <c r="K13" s="5">
        <v>0</v>
      </c>
      <c r="L13" s="5" t="s">
        <v>107</v>
      </c>
      <c r="M13" s="5"/>
      <c r="N13" s="5"/>
      <c r="O13" s="5">
        <v>2000</v>
      </c>
      <c r="P13" s="5">
        <v>31</v>
      </c>
      <c r="Q13" s="5">
        <v>31</v>
      </c>
      <c r="R13" s="5" t="s">
        <v>108</v>
      </c>
      <c r="S13" s="5" t="s">
        <v>109</v>
      </c>
      <c r="T13" s="5"/>
    </row>
    <row r="14" spans="1:20">
      <c r="A14" s="5">
        <v>250749</v>
      </c>
      <c r="B14" s="5" t="s">
        <v>118</v>
      </c>
      <c r="C14" s="5" t="s">
        <v>82</v>
      </c>
      <c r="D14" s="5" t="s">
        <v>5</v>
      </c>
      <c r="E14" s="5"/>
      <c r="F14" s="5"/>
      <c r="G14" s="5"/>
      <c r="H14" s="5"/>
      <c r="I14" s="5"/>
      <c r="J14" s="5"/>
      <c r="K14" s="5">
        <v>0</v>
      </c>
      <c r="L14" s="5" t="s">
        <v>107</v>
      </c>
      <c r="M14" s="5"/>
      <c r="N14" s="5"/>
      <c r="O14" s="5">
        <v>2000</v>
      </c>
      <c r="P14" s="5">
        <v>31</v>
      </c>
      <c r="Q14" s="5">
        <v>31</v>
      </c>
      <c r="R14" s="5" t="s">
        <v>108</v>
      </c>
      <c r="S14" s="5" t="s">
        <v>109</v>
      </c>
      <c r="T14" s="5"/>
    </row>
    <row r="15" spans="1:20">
      <c r="A15" s="5">
        <v>250750</v>
      </c>
      <c r="B15" s="5" t="s">
        <v>119</v>
      </c>
      <c r="C15" s="5" t="s">
        <v>82</v>
      </c>
      <c r="D15" s="5" t="s">
        <v>5</v>
      </c>
      <c r="E15" s="5"/>
      <c r="F15" s="5"/>
      <c r="G15" s="5"/>
      <c r="H15" s="5"/>
      <c r="I15" s="5"/>
      <c r="J15" s="5"/>
      <c r="K15" s="5">
        <v>0</v>
      </c>
      <c r="L15" s="5" t="s">
        <v>107</v>
      </c>
      <c r="M15" s="5"/>
      <c r="N15" s="5"/>
      <c r="O15" s="5">
        <v>2000</v>
      </c>
      <c r="P15" s="5">
        <v>31</v>
      </c>
      <c r="Q15" s="5">
        <v>31</v>
      </c>
      <c r="R15" s="5" t="s">
        <v>108</v>
      </c>
      <c r="S15" s="5" t="s">
        <v>109</v>
      </c>
      <c r="T15" s="5"/>
    </row>
    <row r="16" spans="1:20">
      <c r="A16" s="5">
        <v>266361</v>
      </c>
      <c r="B16" s="5" t="s">
        <v>120</v>
      </c>
      <c r="C16" s="5" t="s">
        <v>85</v>
      </c>
      <c r="D16" s="5" t="s">
        <v>5</v>
      </c>
      <c r="E16" s="5"/>
      <c r="F16" s="5"/>
      <c r="G16" s="5"/>
      <c r="H16" s="5"/>
      <c r="I16" s="5"/>
      <c r="J16" s="5"/>
      <c r="K16" s="5">
        <v>0</v>
      </c>
      <c r="L16" s="5" t="s">
        <v>107</v>
      </c>
      <c r="M16" s="5"/>
      <c r="N16" s="5"/>
      <c r="O16" s="5">
        <v>2000</v>
      </c>
      <c r="P16" s="5">
        <v>31</v>
      </c>
      <c r="Q16" s="5">
        <v>31</v>
      </c>
      <c r="R16" s="5" t="s">
        <v>108</v>
      </c>
      <c r="S16" s="5" t="s">
        <v>109</v>
      </c>
      <c r="T16" s="5"/>
    </row>
    <row r="17" spans="1:20">
      <c r="A17" s="5">
        <v>204037</v>
      </c>
      <c r="B17" s="5" t="s">
        <v>121</v>
      </c>
      <c r="C17" s="5" t="s">
        <v>84</v>
      </c>
      <c r="D17" s="5" t="s">
        <v>5</v>
      </c>
      <c r="E17" s="5">
        <v>497.662921348315</v>
      </c>
      <c r="F17" s="5">
        <v>6.63099431048496</v>
      </c>
      <c r="G17" s="5">
        <v>3</v>
      </c>
      <c r="H17" s="10">
        <v>0.0361842105263158</v>
      </c>
      <c r="I17" s="10">
        <v>0.88</v>
      </c>
      <c r="J17" s="10">
        <v>0.14</v>
      </c>
      <c r="K17" s="5">
        <v>0</v>
      </c>
      <c r="L17" s="5" t="s">
        <v>107</v>
      </c>
      <c r="M17" s="5"/>
      <c r="N17" s="5"/>
      <c r="O17" s="5">
        <v>2000</v>
      </c>
      <c r="P17" s="5">
        <v>31</v>
      </c>
      <c r="Q17" s="5">
        <v>31</v>
      </c>
      <c r="R17" s="5" t="s">
        <v>108</v>
      </c>
      <c r="S17" s="5" t="s">
        <v>109</v>
      </c>
      <c r="T17" s="5"/>
    </row>
    <row r="18" spans="1:20">
      <c r="A18" s="5">
        <v>232195</v>
      </c>
      <c r="B18" s="5" t="s">
        <v>122</v>
      </c>
      <c r="C18" s="5" t="s">
        <v>84</v>
      </c>
      <c r="D18" s="5" t="s">
        <v>5</v>
      </c>
      <c r="E18" s="5">
        <v>431.093799682035</v>
      </c>
      <c r="F18" s="5">
        <v>7.65494656252074</v>
      </c>
      <c r="G18" s="5">
        <v>4.17073170731707</v>
      </c>
      <c r="H18" s="10">
        <v>0.107421875</v>
      </c>
      <c r="I18" s="10">
        <v>0.45</v>
      </c>
      <c r="J18" s="10">
        <v>0.12</v>
      </c>
      <c r="K18" s="5">
        <v>0</v>
      </c>
      <c r="L18" s="5" t="s">
        <v>107</v>
      </c>
      <c r="M18" s="5"/>
      <c r="N18" s="5"/>
      <c r="O18" s="5">
        <v>2000</v>
      </c>
      <c r="P18" s="5">
        <v>31</v>
      </c>
      <c r="Q18" s="5">
        <v>31</v>
      </c>
      <c r="R18" s="5" t="s">
        <v>108</v>
      </c>
      <c r="S18" s="5" t="s">
        <v>109</v>
      </c>
      <c r="T18" s="5"/>
    </row>
    <row r="19" spans="1:20">
      <c r="A19" s="5">
        <v>228217</v>
      </c>
      <c r="B19" s="5" t="s">
        <v>123</v>
      </c>
      <c r="C19" s="5" t="s">
        <v>82</v>
      </c>
      <c r="D19" s="5" t="s">
        <v>5</v>
      </c>
      <c r="E19" s="5">
        <v>457.885057471265</v>
      </c>
      <c r="F19" s="5">
        <v>7.20704890049202</v>
      </c>
      <c r="G19" s="5">
        <v>5</v>
      </c>
      <c r="H19" s="10">
        <v>0.191666666666667</v>
      </c>
      <c r="I19" s="10">
        <v>0.849</v>
      </c>
      <c r="J19" s="10">
        <v>0</v>
      </c>
      <c r="K19" s="5">
        <v>0</v>
      </c>
      <c r="L19" s="5" t="s">
        <v>107</v>
      </c>
      <c r="M19" s="5"/>
      <c r="N19" s="5"/>
      <c r="O19" s="5">
        <v>2000</v>
      </c>
      <c r="P19" s="5">
        <v>31</v>
      </c>
      <c r="Q19" s="5">
        <v>31</v>
      </c>
      <c r="R19" s="5" t="s">
        <v>108</v>
      </c>
      <c r="S19" s="5" t="s">
        <v>109</v>
      </c>
      <c r="T19" s="5"/>
    </row>
    <row r="20" spans="1:20">
      <c r="A20" s="5">
        <v>204033</v>
      </c>
      <c r="B20" s="5" t="s">
        <v>124</v>
      </c>
      <c r="C20" s="5" t="s">
        <v>81</v>
      </c>
      <c r="D20" s="5" t="s">
        <v>5</v>
      </c>
      <c r="E20" s="5">
        <v>331.959044368601</v>
      </c>
      <c r="F20" s="5">
        <v>9.940985359434119</v>
      </c>
      <c r="G20" s="5">
        <v>3.52941176470588</v>
      </c>
      <c r="H20" s="10">
        <v>0.0599250936329588</v>
      </c>
      <c r="I20" s="10">
        <v>0.2</v>
      </c>
      <c r="J20" s="10">
        <v>0.2</v>
      </c>
      <c r="K20" s="5">
        <v>0</v>
      </c>
      <c r="L20" s="5" t="s">
        <v>107</v>
      </c>
      <c r="M20" s="5"/>
      <c r="N20" s="5"/>
      <c r="O20" s="5">
        <v>2000</v>
      </c>
      <c r="P20" s="5">
        <v>31</v>
      </c>
      <c r="Q20" s="5">
        <v>31</v>
      </c>
      <c r="R20" s="5" t="s">
        <v>108</v>
      </c>
      <c r="S20" s="5" t="s">
        <v>109</v>
      </c>
      <c r="T20" s="5"/>
    </row>
    <row r="21" spans="1:20">
      <c r="A21" s="5">
        <v>228202</v>
      </c>
      <c r="B21" s="5" t="s">
        <v>125</v>
      </c>
      <c r="C21" s="5" t="s">
        <v>82</v>
      </c>
      <c r="D21" s="5" t="s">
        <v>5</v>
      </c>
      <c r="E21" s="5">
        <v>619.221538461538</v>
      </c>
      <c r="F21" s="5">
        <v>5.32927198914767</v>
      </c>
      <c r="G21" s="5">
        <v>4.62745098039216</v>
      </c>
      <c r="H21" s="10">
        <v>0.370165745856354</v>
      </c>
      <c r="I21" s="10">
        <v>0.564166666666667</v>
      </c>
      <c r="J21" s="10">
        <v>0</v>
      </c>
      <c r="K21" s="5">
        <v>0</v>
      </c>
      <c r="L21" s="5" t="s">
        <v>107</v>
      </c>
      <c r="M21" s="5"/>
      <c r="N21" s="5"/>
      <c r="O21" s="5">
        <v>2000</v>
      </c>
      <c r="P21" s="5">
        <v>31</v>
      </c>
      <c r="Q21" s="5">
        <v>31</v>
      </c>
      <c r="R21" s="5" t="s">
        <v>108</v>
      </c>
      <c r="S21" s="5" t="s">
        <v>109</v>
      </c>
      <c r="T21" s="5"/>
    </row>
    <row r="22" spans="1:20">
      <c r="A22" s="5">
        <v>228201</v>
      </c>
      <c r="B22" s="5" t="s">
        <v>126</v>
      </c>
      <c r="C22" s="5" t="s">
        <v>82</v>
      </c>
      <c r="D22" s="5" t="s">
        <v>5</v>
      </c>
      <c r="E22" s="5">
        <v>459.585714285714</v>
      </c>
      <c r="F22" s="5">
        <v>7.1803798452022</v>
      </c>
      <c r="G22" s="5">
        <v>4.97058823529412</v>
      </c>
      <c r="H22" s="10">
        <v>0.289655172413793</v>
      </c>
      <c r="I22" s="10">
        <v>0.656666666666667</v>
      </c>
      <c r="J22" s="10">
        <v>0</v>
      </c>
      <c r="K22" s="5">
        <v>0</v>
      </c>
      <c r="L22" s="5" t="s">
        <v>107</v>
      </c>
      <c r="M22" s="5"/>
      <c r="N22" s="5"/>
      <c r="O22" s="5">
        <v>2000</v>
      </c>
      <c r="P22" s="5">
        <v>31</v>
      </c>
      <c r="Q22" s="5">
        <v>31</v>
      </c>
      <c r="R22" s="5" t="s">
        <v>108</v>
      </c>
      <c r="S22" s="5" t="s">
        <v>109</v>
      </c>
      <c r="T22" s="5"/>
    </row>
    <row r="23" spans="1:20">
      <c r="A23" s="5">
        <v>250753</v>
      </c>
      <c r="B23" s="5" t="s">
        <v>127</v>
      </c>
      <c r="C23" s="5" t="s">
        <v>82</v>
      </c>
      <c r="D23" s="5" t="s">
        <v>5</v>
      </c>
      <c r="E23" s="5"/>
      <c r="F23" s="5"/>
      <c r="G23" s="5"/>
      <c r="H23" s="5"/>
      <c r="I23" s="5"/>
      <c r="J23" s="10">
        <v>0</v>
      </c>
      <c r="K23" s="5">
        <v>0</v>
      </c>
      <c r="L23" s="5" t="s">
        <v>107</v>
      </c>
      <c r="M23" s="5"/>
      <c r="N23" s="5"/>
      <c r="O23" s="5">
        <v>2000</v>
      </c>
      <c r="P23" s="5">
        <v>31</v>
      </c>
      <c r="Q23" s="5">
        <v>31</v>
      </c>
      <c r="R23" s="5" t="s">
        <v>108</v>
      </c>
      <c r="S23" s="5" t="s">
        <v>109</v>
      </c>
      <c r="T23" s="5"/>
    </row>
    <row r="24" spans="1:20">
      <c r="A24" s="5">
        <v>249778</v>
      </c>
      <c r="B24" s="5" t="s">
        <v>128</v>
      </c>
      <c r="C24" s="5" t="s">
        <v>83</v>
      </c>
      <c r="D24" s="5" t="s">
        <v>5</v>
      </c>
      <c r="E24" s="5"/>
      <c r="F24" s="5"/>
      <c r="G24" s="5"/>
      <c r="H24" s="5"/>
      <c r="I24" s="5"/>
      <c r="J24" s="10">
        <v>0</v>
      </c>
      <c r="K24" s="5">
        <v>0</v>
      </c>
      <c r="L24" s="5" t="s">
        <v>107</v>
      </c>
      <c r="M24" s="5"/>
      <c r="N24" s="5"/>
      <c r="O24" s="5">
        <v>2000</v>
      </c>
      <c r="P24" s="5">
        <v>31</v>
      </c>
      <c r="Q24" s="5">
        <v>31</v>
      </c>
      <c r="R24" s="5" t="s">
        <v>108</v>
      </c>
      <c r="S24" s="5" t="s">
        <v>109</v>
      </c>
      <c r="T24" s="5"/>
    </row>
    <row r="25" spans="1:20">
      <c r="A25" s="5">
        <v>96496</v>
      </c>
      <c r="B25" s="5" t="s">
        <v>129</v>
      </c>
      <c r="C25" s="5" t="s">
        <v>85</v>
      </c>
      <c r="D25" s="5" t="s">
        <v>5</v>
      </c>
      <c r="E25" s="5">
        <v>323.502702702703</v>
      </c>
      <c r="F25" s="5">
        <v>10.2008421334046</v>
      </c>
      <c r="G25" s="5">
        <v>3.33333333333333</v>
      </c>
      <c r="H25" s="10">
        <v>0.075812274368231</v>
      </c>
      <c r="I25" s="10">
        <v>0.963333333333333</v>
      </c>
      <c r="J25" s="10">
        <v>0</v>
      </c>
      <c r="K25" s="5">
        <v>0</v>
      </c>
      <c r="L25" s="5" t="s">
        <v>107</v>
      </c>
      <c r="M25" s="5"/>
      <c r="N25" s="5"/>
      <c r="O25" s="5">
        <v>2000</v>
      </c>
      <c r="P25" s="5">
        <v>31</v>
      </c>
      <c r="Q25" s="5">
        <v>31</v>
      </c>
      <c r="R25" s="5" t="s">
        <v>108</v>
      </c>
      <c r="S25" s="5" t="s">
        <v>109</v>
      </c>
      <c r="T25" s="5"/>
    </row>
    <row r="26" spans="1:20">
      <c r="A26" s="5">
        <v>228215</v>
      </c>
      <c r="B26" s="5" t="s">
        <v>130</v>
      </c>
      <c r="C26" s="5" t="s">
        <v>82</v>
      </c>
      <c r="D26" s="5" t="s">
        <v>5</v>
      </c>
      <c r="E26" s="5">
        <v>450.932907348243</v>
      </c>
      <c r="F26" s="5">
        <v>7.31816185118533</v>
      </c>
      <c r="G26" s="5">
        <v>4.58823529411765</v>
      </c>
      <c r="H26" s="10">
        <v>0.200980392156863</v>
      </c>
      <c r="I26" s="10">
        <v>0.6646153846153851</v>
      </c>
      <c r="J26" s="10">
        <v>0</v>
      </c>
      <c r="K26" s="5">
        <v>0</v>
      </c>
      <c r="L26" s="5" t="s">
        <v>107</v>
      </c>
      <c r="M26" s="5"/>
      <c r="N26" s="5"/>
      <c r="O26" s="5">
        <v>2000</v>
      </c>
      <c r="P26" s="5">
        <v>31</v>
      </c>
      <c r="Q26" s="5">
        <v>31</v>
      </c>
      <c r="R26" s="5" t="s">
        <v>108</v>
      </c>
      <c r="S26" s="5" t="s">
        <v>109</v>
      </c>
      <c r="T26" s="5"/>
    </row>
    <row r="27" spans="1:20">
      <c r="A27" s="5">
        <v>228211</v>
      </c>
      <c r="B27" s="5" t="s">
        <v>131</v>
      </c>
      <c r="C27" s="5" t="s">
        <v>82</v>
      </c>
      <c r="D27" s="5" t="s">
        <v>5</v>
      </c>
      <c r="E27" s="5">
        <v>630.178321678322</v>
      </c>
      <c r="F27" s="5">
        <v>5.2366130132996</v>
      </c>
      <c r="G27" s="5">
        <v>4.89189189189189</v>
      </c>
      <c r="H27" s="10">
        <v>0.293103448275862</v>
      </c>
      <c r="I27" s="10">
        <v>0.76</v>
      </c>
      <c r="J27" s="10">
        <v>0</v>
      </c>
      <c r="K27" s="5">
        <v>0</v>
      </c>
      <c r="L27" s="5" t="s">
        <v>107</v>
      </c>
      <c r="M27" s="5"/>
      <c r="N27" s="5"/>
      <c r="O27" s="5">
        <v>2000</v>
      </c>
      <c r="P27" s="5">
        <v>31</v>
      </c>
      <c r="Q27" s="5">
        <v>31</v>
      </c>
      <c r="R27" s="5" t="s">
        <v>108</v>
      </c>
      <c r="S27" s="5" t="s">
        <v>109</v>
      </c>
      <c r="T27" s="5"/>
    </row>
    <row r="28" spans="1:20">
      <c r="A28" s="5">
        <v>232196</v>
      </c>
      <c r="B28" s="5" t="s">
        <v>132</v>
      </c>
      <c r="C28" s="5" t="s">
        <v>84</v>
      </c>
      <c r="D28" s="5" t="s">
        <v>5</v>
      </c>
      <c r="E28" s="5">
        <v>645.556169429098</v>
      </c>
      <c r="F28" s="5">
        <v>5.11187121473624</v>
      </c>
      <c r="G28" s="5">
        <v>4.21428571428571</v>
      </c>
      <c r="H28" s="10">
        <v>0.0897755610972569</v>
      </c>
      <c r="I28" s="10">
        <v>0.176</v>
      </c>
      <c r="J28" s="10">
        <v>0</v>
      </c>
      <c r="K28" s="5">
        <v>0</v>
      </c>
      <c r="L28" s="5" t="s">
        <v>107</v>
      </c>
      <c r="M28" s="5"/>
      <c r="N28" s="5"/>
      <c r="O28" s="5">
        <v>2000</v>
      </c>
      <c r="P28" s="5">
        <v>31</v>
      </c>
      <c r="Q28" s="5">
        <v>31</v>
      </c>
      <c r="R28" s="5" t="s">
        <v>108</v>
      </c>
      <c r="S28" s="5" t="s">
        <v>109</v>
      </c>
      <c r="T28" s="5"/>
    </row>
    <row r="29" spans="1:20">
      <c r="A29" s="5">
        <v>203614</v>
      </c>
      <c r="B29" s="5" t="s">
        <v>133</v>
      </c>
      <c r="C29" s="5" t="s">
        <v>82</v>
      </c>
      <c r="D29" s="5" t="s">
        <v>5</v>
      </c>
      <c r="E29" s="5">
        <v>477.535031847134</v>
      </c>
      <c r="F29" s="5">
        <v>6.91048777559922</v>
      </c>
      <c r="G29" s="5">
        <v>4.59259259259259</v>
      </c>
      <c r="H29" s="10">
        <v>0.205741626794258</v>
      </c>
      <c r="I29" s="10">
        <v>0.627142857142857</v>
      </c>
      <c r="J29" s="10">
        <v>0</v>
      </c>
      <c r="K29" s="5">
        <v>0</v>
      </c>
      <c r="L29" s="5" t="s">
        <v>107</v>
      </c>
      <c r="M29" s="5"/>
      <c r="N29" s="5"/>
      <c r="O29" s="5">
        <v>2000</v>
      </c>
      <c r="P29" s="5">
        <v>31</v>
      </c>
      <c r="Q29" s="5">
        <v>31</v>
      </c>
      <c r="R29" s="5" t="s">
        <v>108</v>
      </c>
      <c r="S29" s="5" t="s">
        <v>109</v>
      </c>
      <c r="T29" s="5"/>
    </row>
    <row r="30" spans="1:20">
      <c r="A30" s="5">
        <v>244554</v>
      </c>
      <c r="B30" s="5" t="s">
        <v>134</v>
      </c>
      <c r="C30" s="5" t="s">
        <v>84</v>
      </c>
      <c r="D30" s="5" t="s">
        <v>5</v>
      </c>
      <c r="E30" s="5"/>
      <c r="F30" s="5"/>
      <c r="G30" s="5"/>
      <c r="H30" s="5"/>
      <c r="I30" s="5"/>
      <c r="J30" s="5"/>
      <c r="K30" s="5">
        <v>0</v>
      </c>
      <c r="L30" s="5" t="s">
        <v>107</v>
      </c>
      <c r="M30" s="5"/>
      <c r="N30" s="5"/>
      <c r="O30" s="5">
        <v>2000</v>
      </c>
      <c r="P30" s="5">
        <v>31</v>
      </c>
      <c r="Q30" s="5">
        <v>31</v>
      </c>
      <c r="R30" s="5" t="s">
        <v>108</v>
      </c>
      <c r="S30" s="5" t="s">
        <v>109</v>
      </c>
      <c r="T30" s="5"/>
    </row>
    <row r="31" spans="1:20">
      <c r="A31" s="5">
        <v>203646</v>
      </c>
      <c r="B31" s="5" t="s">
        <v>135</v>
      </c>
      <c r="C31" s="5" t="s">
        <v>82</v>
      </c>
      <c r="D31" s="5" t="s">
        <v>5</v>
      </c>
      <c r="E31" s="5">
        <v>365.870967741936</v>
      </c>
      <c r="F31" s="5">
        <v>9.01957326750132</v>
      </c>
      <c r="G31" s="5">
        <v>4.54054054054054</v>
      </c>
      <c r="H31" s="10">
        <v>0.204255319148936</v>
      </c>
      <c r="I31" s="10">
        <v>0.679230769230769</v>
      </c>
      <c r="J31" s="10">
        <v>0</v>
      </c>
      <c r="K31" s="5">
        <v>0</v>
      </c>
      <c r="L31" s="5" t="s">
        <v>107</v>
      </c>
      <c r="M31" s="5"/>
      <c r="N31" s="5"/>
      <c r="O31" s="5">
        <v>2000</v>
      </c>
      <c r="P31" s="5">
        <v>31</v>
      </c>
      <c r="Q31" s="5">
        <v>31</v>
      </c>
      <c r="R31" s="5" t="s">
        <v>108</v>
      </c>
      <c r="S31" s="5" t="s">
        <v>109</v>
      </c>
      <c r="T31" s="5"/>
    </row>
    <row r="32" spans="1:20">
      <c r="A32" s="5">
        <v>96486</v>
      </c>
      <c r="B32" s="5" t="s">
        <v>136</v>
      </c>
      <c r="C32" s="5" t="s">
        <v>84</v>
      </c>
      <c r="D32" s="5" t="s">
        <v>5</v>
      </c>
      <c r="E32" s="5">
        <v>246.353174603175</v>
      </c>
      <c r="F32" s="5">
        <v>13.3954027802387</v>
      </c>
      <c r="G32" s="5">
        <v>3.375</v>
      </c>
      <c r="H32" s="10">
        <v>0.0670391061452514</v>
      </c>
      <c r="I32" s="10">
        <v>0.2075</v>
      </c>
      <c r="J32" s="10">
        <v>0</v>
      </c>
      <c r="K32" s="5">
        <v>0</v>
      </c>
      <c r="L32" s="5" t="s">
        <v>107</v>
      </c>
      <c r="M32" s="5"/>
      <c r="N32" s="5"/>
      <c r="O32" s="5">
        <v>2000</v>
      </c>
      <c r="P32" s="5">
        <v>31</v>
      </c>
      <c r="Q32" s="5">
        <v>31</v>
      </c>
      <c r="R32" s="5" t="s">
        <v>108</v>
      </c>
      <c r="S32" s="5" t="s">
        <v>109</v>
      </c>
      <c r="T32" s="5"/>
    </row>
    <row r="33" spans="1:20">
      <c r="A33" s="5">
        <v>204024</v>
      </c>
      <c r="B33" s="5" t="s">
        <v>137</v>
      </c>
      <c r="C33" s="5" t="s">
        <v>81</v>
      </c>
      <c r="D33" s="5" t="s">
        <v>5</v>
      </c>
      <c r="E33" s="5">
        <v>374.858090185677</v>
      </c>
      <c r="F33" s="5">
        <v>8.803331411002571</v>
      </c>
      <c r="G33" s="5">
        <v>4.15686274509804</v>
      </c>
      <c r="H33" s="10">
        <v>0.113475177304965</v>
      </c>
      <c r="I33" s="10">
        <v>0</v>
      </c>
      <c r="J33" s="10">
        <v>0.15</v>
      </c>
      <c r="K33" s="5">
        <v>0</v>
      </c>
      <c r="L33" s="5" t="s">
        <v>107</v>
      </c>
      <c r="M33" s="5"/>
      <c r="N33" s="5"/>
      <c r="O33" s="5">
        <v>2000</v>
      </c>
      <c r="P33" s="5">
        <v>31</v>
      </c>
      <c r="Q33" s="5">
        <v>31</v>
      </c>
      <c r="R33" s="5" t="s">
        <v>108</v>
      </c>
      <c r="S33" s="5" t="s">
        <v>109</v>
      </c>
      <c r="T33" s="5"/>
    </row>
    <row r="34" spans="1:20">
      <c r="A34" s="5">
        <v>224102</v>
      </c>
      <c r="B34" s="5" t="s">
        <v>138</v>
      </c>
      <c r="C34" s="5" t="s">
        <v>84</v>
      </c>
      <c r="D34" s="5" t="s">
        <v>5</v>
      </c>
      <c r="E34" s="5">
        <v>574</v>
      </c>
      <c r="F34" s="5">
        <v>5.74912891986063</v>
      </c>
      <c r="G34" s="5">
        <v>4</v>
      </c>
      <c r="H34" s="10">
        <v>0.0621359223300971</v>
      </c>
      <c r="I34" s="10">
        <v>0.586666666666667</v>
      </c>
      <c r="J34" s="10">
        <v>0.09</v>
      </c>
      <c r="K34" s="5">
        <v>0</v>
      </c>
      <c r="L34" s="5" t="s">
        <v>107</v>
      </c>
      <c r="M34" s="5"/>
      <c r="N34" s="5"/>
      <c r="O34" s="5">
        <v>2000</v>
      </c>
      <c r="P34" s="5">
        <v>31</v>
      </c>
      <c r="Q34" s="5">
        <v>31</v>
      </c>
      <c r="R34" s="5" t="s">
        <v>108</v>
      </c>
      <c r="S34" s="5" t="s">
        <v>109</v>
      </c>
      <c r="T34" s="5"/>
    </row>
    <row r="35" spans="1:20">
      <c r="A35" s="5">
        <v>228213</v>
      </c>
      <c r="B35" s="5" t="s">
        <v>139</v>
      </c>
      <c r="C35" s="5" t="s">
        <v>82</v>
      </c>
      <c r="D35" s="5" t="s">
        <v>5</v>
      </c>
      <c r="E35" s="5">
        <v>415.821359223301</v>
      </c>
      <c r="F35" s="5">
        <v>7.93610026710499</v>
      </c>
      <c r="G35" s="5">
        <v>4.70833333333333</v>
      </c>
      <c r="H35" s="10">
        <v>0.408637873754153</v>
      </c>
      <c r="I35" s="10">
        <v>0.730833333333333</v>
      </c>
      <c r="J35" s="10">
        <v>0</v>
      </c>
      <c r="K35" s="5">
        <v>0</v>
      </c>
      <c r="L35" s="5" t="s">
        <v>107</v>
      </c>
      <c r="M35" s="5"/>
      <c r="N35" s="5"/>
      <c r="O35" s="5">
        <v>2000</v>
      </c>
      <c r="P35" s="5">
        <v>31</v>
      </c>
      <c r="Q35" s="5">
        <v>31</v>
      </c>
      <c r="R35" s="5" t="s">
        <v>108</v>
      </c>
      <c r="S35" s="5" t="s">
        <v>109</v>
      </c>
      <c r="T35" s="5"/>
    </row>
    <row r="36" spans="1:20">
      <c r="A36" s="5">
        <v>244550</v>
      </c>
      <c r="B36" s="5" t="s">
        <v>140</v>
      </c>
      <c r="C36" s="5" t="s">
        <v>84</v>
      </c>
      <c r="D36" s="5" t="s">
        <v>5</v>
      </c>
      <c r="E36" s="5"/>
      <c r="F36" s="5"/>
      <c r="G36" s="5"/>
      <c r="H36" s="5"/>
      <c r="I36" s="5"/>
      <c r="J36" s="5"/>
      <c r="K36" s="5">
        <v>0</v>
      </c>
      <c r="L36" s="5" t="s">
        <v>107</v>
      </c>
      <c r="M36" s="5"/>
      <c r="N36" s="5"/>
      <c r="O36" s="5">
        <v>2000</v>
      </c>
      <c r="P36" s="5">
        <v>31</v>
      </c>
      <c r="Q36" s="5">
        <v>31</v>
      </c>
      <c r="R36" s="5" t="s">
        <v>108</v>
      </c>
      <c r="S36" s="5" t="s">
        <v>109</v>
      </c>
      <c r="T36" s="5"/>
    </row>
    <row r="37" spans="1:20">
      <c r="A37" s="5">
        <v>207437</v>
      </c>
      <c r="B37" s="5" t="s">
        <v>141</v>
      </c>
      <c r="C37" s="5" t="s">
        <v>83</v>
      </c>
      <c r="D37" s="5" t="s">
        <v>5</v>
      </c>
      <c r="E37" s="5">
        <v>303.856466876972</v>
      </c>
      <c r="F37" s="5">
        <v>10.8603908744063</v>
      </c>
      <c r="G37" s="5">
        <v>2.90909090909091</v>
      </c>
      <c r="H37" s="10">
        <v>0.0616302186878728</v>
      </c>
      <c r="I37" s="10">
        <v>0.795714285714286</v>
      </c>
      <c r="J37" s="10">
        <v>0</v>
      </c>
      <c r="K37" s="5">
        <v>0</v>
      </c>
      <c r="L37" s="5" t="s">
        <v>107</v>
      </c>
      <c r="M37" s="5"/>
      <c r="N37" s="5"/>
      <c r="O37" s="5">
        <v>2000</v>
      </c>
      <c r="P37" s="5">
        <v>31</v>
      </c>
      <c r="Q37" s="5">
        <v>31</v>
      </c>
      <c r="R37" s="5" t="s">
        <v>108</v>
      </c>
      <c r="S37" s="5" t="s">
        <v>109</v>
      </c>
      <c r="T37" s="5"/>
    </row>
    <row r="38" spans="1:20">
      <c r="A38" s="5">
        <v>240747</v>
      </c>
      <c r="B38" s="5" t="s">
        <v>142</v>
      </c>
      <c r="C38" s="5" t="s">
        <v>84</v>
      </c>
      <c r="D38" s="5" t="s">
        <v>5</v>
      </c>
      <c r="E38" s="5"/>
      <c r="F38" s="5"/>
      <c r="G38" s="5">
        <v>1</v>
      </c>
      <c r="H38" s="10">
        <v>0.05</v>
      </c>
      <c r="I38" s="5"/>
      <c r="J38" s="5"/>
      <c r="K38" s="5">
        <v>0</v>
      </c>
      <c r="L38" s="5" t="s">
        <v>107</v>
      </c>
      <c r="M38" s="5"/>
      <c r="N38" s="5"/>
      <c r="O38" s="5">
        <v>2000</v>
      </c>
      <c r="P38" s="5">
        <v>31</v>
      </c>
      <c r="Q38" s="5">
        <v>31</v>
      </c>
      <c r="R38" s="5" t="s">
        <v>108</v>
      </c>
      <c r="S38" s="5" t="s">
        <v>109</v>
      </c>
      <c r="T38" s="5"/>
    </row>
    <row r="39" spans="1:20">
      <c r="A39" s="5">
        <v>221751</v>
      </c>
      <c r="B39" s="5" t="s">
        <v>143</v>
      </c>
      <c r="C39" s="5" t="s">
        <v>84</v>
      </c>
      <c r="D39" s="5" t="s">
        <v>5</v>
      </c>
      <c r="E39" s="5">
        <v>375.34</v>
      </c>
      <c r="F39" s="5">
        <v>8.79202856077157</v>
      </c>
      <c r="G39" s="5">
        <v>3.4</v>
      </c>
      <c r="H39" s="10">
        <v>0.0532994923857868</v>
      </c>
      <c r="I39" s="10">
        <v>0</v>
      </c>
      <c r="J39" s="10">
        <v>0.3</v>
      </c>
      <c r="K39" s="5">
        <v>0</v>
      </c>
      <c r="L39" s="5" t="s">
        <v>107</v>
      </c>
      <c r="M39" s="5"/>
      <c r="N39" s="5"/>
      <c r="O39" s="5">
        <v>2000</v>
      </c>
      <c r="P39" s="5">
        <v>31</v>
      </c>
      <c r="Q39" s="5">
        <v>31</v>
      </c>
      <c r="R39" s="5" t="s">
        <v>108</v>
      </c>
      <c r="S39" s="5" t="s">
        <v>109</v>
      </c>
      <c r="T39" s="5"/>
    </row>
    <row r="40" spans="1:20">
      <c r="A40" s="5">
        <v>232190</v>
      </c>
      <c r="B40" s="5" t="s">
        <v>144</v>
      </c>
      <c r="C40" s="5" t="s">
        <v>85</v>
      </c>
      <c r="D40" s="5" t="s">
        <v>5</v>
      </c>
      <c r="E40" s="5">
        <v>523.156794425087</v>
      </c>
      <c r="F40" s="5">
        <v>6.30786034926005</v>
      </c>
      <c r="G40" s="5">
        <v>2.71428571428571</v>
      </c>
      <c r="H40" s="10">
        <v>0.0575221238938053</v>
      </c>
      <c r="I40" s="10">
        <v>0.625</v>
      </c>
      <c r="J40" s="10">
        <v>0</v>
      </c>
      <c r="K40" s="5">
        <v>0</v>
      </c>
      <c r="L40" s="5" t="s">
        <v>107</v>
      </c>
      <c r="M40" s="5"/>
      <c r="N40" s="5"/>
      <c r="O40" s="5">
        <v>2000</v>
      </c>
      <c r="P40" s="5">
        <v>31</v>
      </c>
      <c r="Q40" s="5">
        <v>31</v>
      </c>
      <c r="R40" s="5" t="s">
        <v>108</v>
      </c>
      <c r="S40" s="5" t="s">
        <v>109</v>
      </c>
      <c r="T40" s="5"/>
    </row>
    <row r="41" spans="1:20">
      <c r="A41" s="5">
        <v>204045</v>
      </c>
      <c r="B41" s="5" t="s">
        <v>145</v>
      </c>
      <c r="C41" s="5" t="s">
        <v>81</v>
      </c>
      <c r="D41" s="5" t="s">
        <v>5</v>
      </c>
      <c r="E41" s="5">
        <v>358.181518151815</v>
      </c>
      <c r="F41" s="5">
        <v>9.21320568695924</v>
      </c>
      <c r="G41" s="5">
        <v>4.22784810126582</v>
      </c>
      <c r="H41" s="10">
        <v>0.180811808118081</v>
      </c>
      <c r="I41" s="10">
        <v>0.666666666666667</v>
      </c>
      <c r="J41" s="10">
        <v>0.01</v>
      </c>
      <c r="K41" s="5">
        <v>0</v>
      </c>
      <c r="L41" s="5" t="s">
        <v>107</v>
      </c>
      <c r="M41" s="5"/>
      <c r="N41" s="5"/>
      <c r="O41" s="5">
        <v>2000</v>
      </c>
      <c r="P41" s="5">
        <v>31</v>
      </c>
      <c r="Q41" s="5">
        <v>31</v>
      </c>
      <c r="R41" s="5" t="s">
        <v>108</v>
      </c>
      <c r="S41" s="5" t="s">
        <v>109</v>
      </c>
      <c r="T41" s="5"/>
    </row>
    <row r="42" spans="1:20">
      <c r="A42" s="5">
        <v>96457</v>
      </c>
      <c r="B42" s="5" t="s">
        <v>146</v>
      </c>
      <c r="C42" s="5" t="s">
        <v>84</v>
      </c>
      <c r="D42" s="5" t="s">
        <v>5</v>
      </c>
      <c r="E42" s="5">
        <v>446.868270332188</v>
      </c>
      <c r="F42" s="5">
        <v>7.38472659414123</v>
      </c>
      <c r="G42" s="5">
        <v>3.6078431372549</v>
      </c>
      <c r="H42" s="10">
        <v>0.120068610634648</v>
      </c>
      <c r="I42" s="10">
        <v>0.293333333333333</v>
      </c>
      <c r="J42" s="10">
        <v>0.13</v>
      </c>
      <c r="K42" s="5">
        <v>0</v>
      </c>
      <c r="L42" s="5" t="s">
        <v>107</v>
      </c>
      <c r="M42" s="5"/>
      <c r="N42" s="5"/>
      <c r="O42" s="5">
        <v>2000</v>
      </c>
      <c r="P42" s="5">
        <v>31</v>
      </c>
      <c r="Q42" s="5">
        <v>31</v>
      </c>
      <c r="R42" s="5" t="s">
        <v>108</v>
      </c>
      <c r="S42" s="5" t="s">
        <v>109</v>
      </c>
      <c r="T42" s="5"/>
    </row>
    <row r="43" spans="1:20">
      <c r="A43" s="5">
        <v>96526</v>
      </c>
      <c r="B43" s="5" t="s">
        <v>147</v>
      </c>
      <c r="C43" s="5" t="s">
        <v>84</v>
      </c>
      <c r="D43" s="5" t="s">
        <v>5</v>
      </c>
      <c r="E43" s="5">
        <v>305.966972477064</v>
      </c>
      <c r="F43" s="5">
        <v>10.7854778353483</v>
      </c>
      <c r="G43" s="5">
        <v>2.75</v>
      </c>
      <c r="H43" s="10">
        <v>0.0793650793650794</v>
      </c>
      <c r="I43" s="10">
        <v>0.6</v>
      </c>
      <c r="J43" s="10">
        <v>0.28</v>
      </c>
      <c r="K43" s="5">
        <v>0</v>
      </c>
      <c r="L43" s="5" t="s">
        <v>107</v>
      </c>
      <c r="M43" s="5"/>
      <c r="N43" s="5"/>
      <c r="O43" s="5">
        <v>2000</v>
      </c>
      <c r="P43" s="5">
        <v>31</v>
      </c>
      <c r="Q43" s="5">
        <v>31</v>
      </c>
      <c r="R43" s="5" t="s">
        <v>108</v>
      </c>
      <c r="S43" s="5" t="s">
        <v>109</v>
      </c>
      <c r="T43" s="5"/>
    </row>
    <row r="44" spans="1:20">
      <c r="A44" s="5">
        <v>204049</v>
      </c>
      <c r="B44" s="5" t="s">
        <v>148</v>
      </c>
      <c r="C44" s="5" t="s">
        <v>81</v>
      </c>
      <c r="D44" s="5" t="s">
        <v>5</v>
      </c>
      <c r="E44" s="5">
        <v>460.693029490617</v>
      </c>
      <c r="F44" s="5">
        <v>7.16312118646287</v>
      </c>
      <c r="G44" s="5">
        <v>4.38194444444445</v>
      </c>
      <c r="H44" s="10">
        <v>0.237668161434978</v>
      </c>
      <c r="I44" s="10">
        <v>0.158333333333333</v>
      </c>
      <c r="J44" s="10">
        <v>0.06</v>
      </c>
      <c r="K44" s="5">
        <v>0</v>
      </c>
      <c r="L44" s="5" t="s">
        <v>107</v>
      </c>
      <c r="M44" s="5"/>
      <c r="N44" s="5"/>
      <c r="O44" s="5">
        <v>2000</v>
      </c>
      <c r="P44" s="5">
        <v>31</v>
      </c>
      <c r="Q44" s="5">
        <v>31</v>
      </c>
      <c r="R44" s="5" t="s">
        <v>108</v>
      </c>
      <c r="S44" s="5" t="s">
        <v>109</v>
      </c>
      <c r="T44" s="5"/>
    </row>
    <row r="45" spans="1:20">
      <c r="A45" s="5">
        <v>204047</v>
      </c>
      <c r="B45" s="5" t="s">
        <v>149</v>
      </c>
      <c r="C45" s="5" t="s">
        <v>81</v>
      </c>
      <c r="D45" s="5" t="s">
        <v>5</v>
      </c>
      <c r="E45" s="5">
        <v>341.566101694915</v>
      </c>
      <c r="F45" s="5">
        <v>9.66138028224926</v>
      </c>
      <c r="G45" s="5">
        <v>3.4375</v>
      </c>
      <c r="H45" s="10">
        <v>0.0433925049309665</v>
      </c>
      <c r="I45" s="10">
        <v>0</v>
      </c>
      <c r="J45" s="10">
        <v>0</v>
      </c>
      <c r="K45" s="5">
        <v>0</v>
      </c>
      <c r="L45" s="5" t="s">
        <v>107</v>
      </c>
      <c r="M45" s="5"/>
      <c r="N45" s="5"/>
      <c r="O45" s="5">
        <v>2000</v>
      </c>
      <c r="P45" s="5">
        <v>31</v>
      </c>
      <c r="Q45" s="5">
        <v>31</v>
      </c>
      <c r="R45" s="5" t="s">
        <v>108</v>
      </c>
      <c r="S45" s="5" t="s">
        <v>109</v>
      </c>
      <c r="T45" s="5"/>
    </row>
    <row r="46" spans="1:20">
      <c r="A46" s="5">
        <v>96516</v>
      </c>
      <c r="B46" s="5" t="s">
        <v>150</v>
      </c>
      <c r="C46" s="5" t="s">
        <v>84</v>
      </c>
      <c r="D46" s="5" t="s">
        <v>5</v>
      </c>
      <c r="E46" s="5">
        <v>305.455705705706</v>
      </c>
      <c r="F46" s="5">
        <v>10.8035303919954</v>
      </c>
      <c r="G46" s="5">
        <v>3.7258064516129</v>
      </c>
      <c r="H46" s="10">
        <v>0.091</v>
      </c>
      <c r="I46" s="10">
        <v>0</v>
      </c>
      <c r="J46" s="10">
        <v>0</v>
      </c>
      <c r="K46" s="5">
        <v>0</v>
      </c>
      <c r="L46" s="5" t="s">
        <v>107</v>
      </c>
      <c r="M46" s="5"/>
      <c r="N46" s="5"/>
      <c r="O46" s="5">
        <v>2000</v>
      </c>
      <c r="P46" s="5">
        <v>31</v>
      </c>
      <c r="Q46" s="5">
        <v>31</v>
      </c>
      <c r="R46" s="5" t="s">
        <v>108</v>
      </c>
      <c r="S46" s="5" t="s">
        <v>109</v>
      </c>
      <c r="T46" s="5"/>
    </row>
    <row r="47" spans="1:20">
      <c r="A47" s="5">
        <v>244553</v>
      </c>
      <c r="B47" s="5" t="s">
        <v>151</v>
      </c>
      <c r="C47" s="5" t="s">
        <v>84</v>
      </c>
      <c r="D47" s="5" t="s">
        <v>5</v>
      </c>
      <c r="E47" s="5"/>
      <c r="F47" s="5"/>
      <c r="G47" s="5"/>
      <c r="H47" s="5"/>
      <c r="I47" s="5"/>
      <c r="J47" s="5"/>
      <c r="K47" s="5">
        <v>0</v>
      </c>
      <c r="L47" s="5" t="s">
        <v>107</v>
      </c>
      <c r="M47" s="5"/>
      <c r="N47" s="5"/>
      <c r="O47" s="5">
        <v>2000</v>
      </c>
      <c r="P47" s="5">
        <v>31</v>
      </c>
      <c r="Q47" s="5">
        <v>31</v>
      </c>
      <c r="R47" s="5" t="s">
        <v>108</v>
      </c>
      <c r="S47" s="5" t="s">
        <v>109</v>
      </c>
      <c r="T47" s="5"/>
    </row>
    <row r="48" spans="1:20">
      <c r="A48" s="5">
        <v>232188</v>
      </c>
      <c r="B48" s="5" t="s">
        <v>152</v>
      </c>
      <c r="C48" s="5" t="s">
        <v>85</v>
      </c>
      <c r="D48" s="5" t="s">
        <v>5</v>
      </c>
      <c r="E48" s="5">
        <v>310.336343115124</v>
      </c>
      <c r="F48" s="5">
        <v>10.6336240443995</v>
      </c>
      <c r="G48" s="5">
        <v>4.5625</v>
      </c>
      <c r="H48" s="10">
        <v>0.0580110497237569</v>
      </c>
      <c r="I48" s="10">
        <v>0.89</v>
      </c>
      <c r="J48" s="10">
        <v>0</v>
      </c>
      <c r="K48" s="5">
        <v>0</v>
      </c>
      <c r="L48" s="5" t="s">
        <v>107</v>
      </c>
      <c r="M48" s="5"/>
      <c r="N48" s="5"/>
      <c r="O48" s="5">
        <v>2000</v>
      </c>
      <c r="P48" s="5">
        <v>31</v>
      </c>
      <c r="Q48" s="5">
        <v>31</v>
      </c>
      <c r="R48" s="5" t="s">
        <v>108</v>
      </c>
      <c r="S48" s="5" t="s">
        <v>109</v>
      </c>
      <c r="T48" s="5"/>
    </row>
    <row r="49" spans="1:20">
      <c r="A49" s="5">
        <v>205224</v>
      </c>
      <c r="B49" s="5" t="s">
        <v>153</v>
      </c>
      <c r="C49" s="5" t="s">
        <v>81</v>
      </c>
      <c r="D49" s="5" t="s">
        <v>5</v>
      </c>
      <c r="E49" s="5">
        <v>410.71875</v>
      </c>
      <c r="F49" s="5">
        <v>8.03469527505136</v>
      </c>
      <c r="G49" s="5">
        <v>4.13636363636364</v>
      </c>
      <c r="H49" s="10">
        <v>0.0767326732673267</v>
      </c>
      <c r="I49" s="10">
        <v>0</v>
      </c>
      <c r="J49" s="10">
        <v>0.29</v>
      </c>
      <c r="K49" s="5">
        <v>0</v>
      </c>
      <c r="L49" s="5" t="s">
        <v>107</v>
      </c>
      <c r="M49" s="5"/>
      <c r="N49" s="5"/>
      <c r="O49" s="5">
        <v>2000</v>
      </c>
      <c r="P49" s="5">
        <v>31</v>
      </c>
      <c r="Q49" s="5">
        <v>31</v>
      </c>
      <c r="R49" s="5" t="s">
        <v>108</v>
      </c>
      <c r="S49" s="5" t="s">
        <v>109</v>
      </c>
      <c r="T49" s="5"/>
    </row>
    <row r="50" spans="1:20">
      <c r="A50" s="5">
        <v>96462</v>
      </c>
      <c r="B50" s="5" t="s">
        <v>154</v>
      </c>
      <c r="C50" s="5" t="s">
        <v>84</v>
      </c>
      <c r="D50" s="5" t="s">
        <v>5</v>
      </c>
      <c r="E50" s="5">
        <v>381.714572864322</v>
      </c>
      <c r="F50" s="5">
        <v>8.64520307736054</v>
      </c>
      <c r="G50" s="5">
        <v>3.83333333333333</v>
      </c>
      <c r="H50" s="10">
        <v>0.0691489361702128</v>
      </c>
      <c r="I50" s="10">
        <v>0.88</v>
      </c>
      <c r="J50" s="10">
        <v>0</v>
      </c>
      <c r="K50" s="5">
        <v>0</v>
      </c>
      <c r="L50" s="5" t="s">
        <v>107</v>
      </c>
      <c r="M50" s="5"/>
      <c r="N50" s="5"/>
      <c r="O50" s="5">
        <v>2000</v>
      </c>
      <c r="P50" s="5">
        <v>31</v>
      </c>
      <c r="Q50" s="5">
        <v>31</v>
      </c>
      <c r="R50" s="5" t="s">
        <v>108</v>
      </c>
      <c r="S50" s="5" t="s">
        <v>109</v>
      </c>
      <c r="T50" s="5"/>
    </row>
    <row r="51" spans="1:20">
      <c r="A51" s="5">
        <v>134404</v>
      </c>
      <c r="B51" s="5" t="s">
        <v>155</v>
      </c>
      <c r="C51" s="5" t="s">
        <v>84</v>
      </c>
      <c r="D51" s="5" t="s">
        <v>5</v>
      </c>
      <c r="E51" s="5"/>
      <c r="F51" s="5"/>
      <c r="G51" s="5"/>
      <c r="H51" s="5"/>
      <c r="I51" s="5"/>
      <c r="J51" s="5"/>
      <c r="K51" s="5">
        <v>0</v>
      </c>
      <c r="L51" s="5" t="s">
        <v>107</v>
      </c>
      <c r="M51" s="5"/>
      <c r="N51" s="5"/>
      <c r="O51" s="5">
        <v>2000</v>
      </c>
      <c r="P51" s="5">
        <v>31</v>
      </c>
      <c r="Q51" s="5">
        <v>31</v>
      </c>
      <c r="R51" s="5" t="s">
        <v>108</v>
      </c>
      <c r="S51" s="5" t="s">
        <v>109</v>
      </c>
      <c r="T51" s="5"/>
    </row>
    <row r="52" spans="1:20">
      <c r="A52" s="5">
        <v>96523</v>
      </c>
      <c r="B52" s="5" t="s">
        <v>156</v>
      </c>
      <c r="C52" s="5" t="s">
        <v>84</v>
      </c>
      <c r="D52" s="5" t="s">
        <v>5</v>
      </c>
      <c r="E52" s="5">
        <v>326.950877192983</v>
      </c>
      <c r="F52" s="5">
        <v>10.093259355448</v>
      </c>
      <c r="G52" s="5">
        <v>3.41935483870968</v>
      </c>
      <c r="H52" s="10">
        <v>0.0633540372670808</v>
      </c>
      <c r="I52" s="10">
        <v>0.075</v>
      </c>
      <c r="J52" s="10">
        <v>0.1</v>
      </c>
      <c r="K52" s="5">
        <v>0</v>
      </c>
      <c r="L52" s="5" t="s">
        <v>107</v>
      </c>
      <c r="M52" s="5"/>
      <c r="N52" s="5"/>
      <c r="O52" s="5">
        <v>2000</v>
      </c>
      <c r="P52" s="5">
        <v>31</v>
      </c>
      <c r="Q52" s="5">
        <v>31</v>
      </c>
      <c r="R52" s="5" t="s">
        <v>108</v>
      </c>
      <c r="S52" s="5" t="s">
        <v>109</v>
      </c>
      <c r="T52" s="5"/>
    </row>
    <row r="53" spans="1:20">
      <c r="A53" s="5">
        <v>203627</v>
      </c>
      <c r="B53" s="5" t="s">
        <v>157</v>
      </c>
      <c r="C53" s="5" t="s">
        <v>82</v>
      </c>
      <c r="D53" s="5" t="s">
        <v>5</v>
      </c>
      <c r="E53" s="5">
        <v>578.255555555556</v>
      </c>
      <c r="F53" s="5">
        <v>5.70681936091309</v>
      </c>
      <c r="G53" s="5">
        <v>4.96296296296296</v>
      </c>
      <c r="H53" s="10">
        <v>0.324074074074074</v>
      </c>
      <c r="I53" s="10">
        <v>0.587692307692308</v>
      </c>
      <c r="J53" s="10">
        <v>0</v>
      </c>
      <c r="K53" s="5">
        <v>0</v>
      </c>
      <c r="L53" s="5" t="s">
        <v>107</v>
      </c>
      <c r="M53" s="5"/>
      <c r="N53" s="5"/>
      <c r="O53" s="5">
        <v>2000</v>
      </c>
      <c r="P53" s="5">
        <v>31</v>
      </c>
      <c r="Q53" s="5">
        <v>31</v>
      </c>
      <c r="R53" s="5" t="s">
        <v>108</v>
      </c>
      <c r="S53" s="5" t="s">
        <v>109</v>
      </c>
      <c r="T53" s="5"/>
    </row>
    <row r="54" spans="1:20">
      <c r="A54" s="5">
        <v>249777</v>
      </c>
      <c r="B54" s="5" t="s">
        <v>158</v>
      </c>
      <c r="C54" s="5" t="s">
        <v>83</v>
      </c>
      <c r="D54" s="5" t="s">
        <v>5</v>
      </c>
      <c r="E54" s="5"/>
      <c r="F54" s="5"/>
      <c r="G54" s="5"/>
      <c r="H54" s="5"/>
      <c r="I54" s="5"/>
      <c r="J54" s="10">
        <v>0</v>
      </c>
      <c r="K54" s="5">
        <v>0</v>
      </c>
      <c r="L54" s="5" t="s">
        <v>107</v>
      </c>
      <c r="M54" s="5"/>
      <c r="N54" s="5"/>
      <c r="O54" s="5">
        <v>2000</v>
      </c>
      <c r="P54" s="5">
        <v>31</v>
      </c>
      <c r="Q54" s="5">
        <v>31</v>
      </c>
      <c r="R54" s="5" t="s">
        <v>108</v>
      </c>
      <c r="S54" s="5" t="s">
        <v>109</v>
      </c>
      <c r="T54" s="5"/>
    </row>
    <row r="55" spans="1:20">
      <c r="A55" s="5">
        <v>207051</v>
      </c>
      <c r="B55" s="5" t="s">
        <v>159</v>
      </c>
      <c r="C55" s="5" t="s">
        <v>82</v>
      </c>
      <c r="D55" s="5" t="s">
        <v>5</v>
      </c>
      <c r="E55" s="5">
        <v>520.442953020134</v>
      </c>
      <c r="F55" s="5">
        <v>6.34075258556212</v>
      </c>
      <c r="G55" s="5">
        <v>4.94117647058824</v>
      </c>
      <c r="H55" s="10">
        <v>0.109848484848485</v>
      </c>
      <c r="I55" s="10">
        <v>0.6814285714285711</v>
      </c>
      <c r="J55" s="10">
        <v>0</v>
      </c>
      <c r="K55" s="5">
        <v>0</v>
      </c>
      <c r="L55" s="5" t="s">
        <v>107</v>
      </c>
      <c r="M55" s="5"/>
      <c r="N55" s="5"/>
      <c r="O55" s="5">
        <v>2000</v>
      </c>
      <c r="P55" s="5">
        <v>31</v>
      </c>
      <c r="Q55" s="5">
        <v>31</v>
      </c>
      <c r="R55" s="5" t="s">
        <v>108</v>
      </c>
      <c r="S55" s="5" t="s">
        <v>109</v>
      </c>
      <c r="T55" s="5"/>
    </row>
    <row r="56" spans="1:20">
      <c r="A56" s="5">
        <v>144565</v>
      </c>
      <c r="B56" s="5" t="s">
        <v>160</v>
      </c>
      <c r="C56" s="5" t="s">
        <v>83</v>
      </c>
      <c r="D56" s="5" t="s">
        <v>5</v>
      </c>
      <c r="E56" s="5">
        <v>334.348360655738</v>
      </c>
      <c r="F56" s="5">
        <v>9.86994520783024</v>
      </c>
      <c r="G56" s="5">
        <v>3.62068965517241</v>
      </c>
      <c r="H56" s="10">
        <v>0.106442577030812</v>
      </c>
      <c r="I56" s="10">
        <v>0.9</v>
      </c>
      <c r="J56" s="10">
        <v>0</v>
      </c>
      <c r="K56" s="5">
        <v>0</v>
      </c>
      <c r="L56" s="5" t="s">
        <v>107</v>
      </c>
      <c r="M56" s="5"/>
      <c r="N56" s="5"/>
      <c r="O56" s="5">
        <v>2000</v>
      </c>
      <c r="P56" s="5">
        <v>31</v>
      </c>
      <c r="Q56" s="5">
        <v>31</v>
      </c>
      <c r="R56" s="5" t="s">
        <v>108</v>
      </c>
      <c r="S56" s="5" t="s">
        <v>109</v>
      </c>
      <c r="T56" s="5"/>
    </row>
    <row r="57" spans="1:20">
      <c r="A57" s="5">
        <v>203080</v>
      </c>
      <c r="B57" s="5" t="s">
        <v>161</v>
      </c>
      <c r="C57" s="5" t="s">
        <v>83</v>
      </c>
      <c r="D57" s="5" t="s">
        <v>5</v>
      </c>
      <c r="E57" s="5">
        <v>257.516754850088</v>
      </c>
      <c r="F57" s="5">
        <v>12.8147001616306</v>
      </c>
      <c r="G57" s="5">
        <v>2.27272727272727</v>
      </c>
      <c r="H57" s="10">
        <v>0.0674418604651163</v>
      </c>
      <c r="I57" s="10">
        <v>0.553333333333333</v>
      </c>
      <c r="J57" s="10">
        <v>0.13</v>
      </c>
      <c r="K57" s="5">
        <v>0</v>
      </c>
      <c r="L57" s="5" t="s">
        <v>107</v>
      </c>
      <c r="M57" s="5"/>
      <c r="N57" s="5"/>
      <c r="O57" s="5">
        <v>2000</v>
      </c>
      <c r="P57" s="5">
        <v>31</v>
      </c>
      <c r="Q57" s="5">
        <v>31</v>
      </c>
      <c r="R57" s="5" t="s">
        <v>108</v>
      </c>
      <c r="S57" s="5" t="s">
        <v>109</v>
      </c>
      <c r="T57" s="5"/>
    </row>
    <row r="58" spans="1:20">
      <c r="A58" s="5">
        <v>223882</v>
      </c>
      <c r="B58" s="5" t="s">
        <v>162</v>
      </c>
      <c r="C58" s="5" t="s">
        <v>85</v>
      </c>
      <c r="D58" s="5" t="s">
        <v>5</v>
      </c>
      <c r="E58" s="5">
        <v>331.763986013986</v>
      </c>
      <c r="F58" s="5">
        <v>9.94683009342938</v>
      </c>
      <c r="G58" s="5">
        <v>3.27777777777778</v>
      </c>
      <c r="H58" s="10">
        <v>0.0594713656387665</v>
      </c>
      <c r="I58" s="10">
        <v>0.415</v>
      </c>
      <c r="J58" s="10">
        <v>0.19</v>
      </c>
      <c r="K58" s="5">
        <v>0</v>
      </c>
      <c r="L58" s="5" t="s">
        <v>107</v>
      </c>
      <c r="M58" s="5"/>
      <c r="N58" s="5"/>
      <c r="O58" s="5">
        <v>2000</v>
      </c>
      <c r="P58" s="5">
        <v>31</v>
      </c>
      <c r="Q58" s="5">
        <v>31</v>
      </c>
      <c r="R58" s="5" t="s">
        <v>108</v>
      </c>
      <c r="S58" s="5" t="s">
        <v>109</v>
      </c>
      <c r="T58" s="5"/>
    </row>
    <row r="59" spans="1:20">
      <c r="A59" s="5">
        <v>123229</v>
      </c>
      <c r="B59" s="5" t="s">
        <v>163</v>
      </c>
      <c r="C59" s="5" t="s">
        <v>84</v>
      </c>
      <c r="D59" s="5" t="s">
        <v>5</v>
      </c>
      <c r="E59" s="5">
        <v>381.445475638051</v>
      </c>
      <c r="F59" s="5">
        <v>8.651301983540449</v>
      </c>
      <c r="G59" s="5">
        <v>4.42857142857143</v>
      </c>
      <c r="H59" s="10">
        <v>0.0482758620689655</v>
      </c>
      <c r="I59" s="10">
        <v>0.95</v>
      </c>
      <c r="J59" s="10">
        <v>0</v>
      </c>
      <c r="K59" s="5">
        <v>0</v>
      </c>
      <c r="L59" s="5" t="s">
        <v>107</v>
      </c>
      <c r="M59" s="5"/>
      <c r="N59" s="5"/>
      <c r="O59" s="5">
        <v>2000</v>
      </c>
      <c r="P59" s="5">
        <v>31</v>
      </c>
      <c r="Q59" s="5">
        <v>31</v>
      </c>
      <c r="R59" s="5" t="s">
        <v>108</v>
      </c>
      <c r="S59" s="5" t="s">
        <v>109</v>
      </c>
      <c r="T59" s="5"/>
    </row>
    <row r="60" spans="1:20">
      <c r="A60" s="5">
        <v>228668</v>
      </c>
      <c r="B60" s="5" t="s">
        <v>164</v>
      </c>
      <c r="C60" s="5" t="s">
        <v>82</v>
      </c>
      <c r="D60" s="5" t="s">
        <v>5</v>
      </c>
      <c r="E60" s="5">
        <v>719.055374592834</v>
      </c>
      <c r="F60" s="5">
        <v>4.58935447338618</v>
      </c>
      <c r="G60" s="5">
        <v>4.42857142857143</v>
      </c>
      <c r="H60" s="10">
        <v>0.189189189189189</v>
      </c>
      <c r="I60" s="10">
        <v>0.6274999999999999</v>
      </c>
      <c r="J60" s="10">
        <v>0</v>
      </c>
      <c r="K60" s="5">
        <v>0</v>
      </c>
      <c r="L60" s="5" t="s">
        <v>107</v>
      </c>
      <c r="M60" s="5"/>
      <c r="N60" s="5"/>
      <c r="O60" s="5">
        <v>2000</v>
      </c>
      <c r="P60" s="5">
        <v>31</v>
      </c>
      <c r="Q60" s="5">
        <v>31</v>
      </c>
      <c r="R60" s="5" t="s">
        <v>108</v>
      </c>
      <c r="S60" s="5" t="s">
        <v>109</v>
      </c>
      <c r="T60" s="5"/>
    </row>
    <row r="61" spans="1:20">
      <c r="A61" s="5">
        <v>96164</v>
      </c>
      <c r="B61" s="5" t="s">
        <v>165</v>
      </c>
      <c r="C61" s="5" t="s">
        <v>85</v>
      </c>
      <c r="D61" s="5" t="s">
        <v>5</v>
      </c>
      <c r="E61" s="5">
        <v>501.395778364116</v>
      </c>
      <c r="F61" s="5">
        <v>6.58162701482405</v>
      </c>
      <c r="G61" s="5">
        <v>4.26666666666667</v>
      </c>
      <c r="H61" s="10">
        <v>0.0641891891891892</v>
      </c>
      <c r="I61" s="10">
        <v>0.66</v>
      </c>
      <c r="J61" s="10">
        <v>0</v>
      </c>
      <c r="K61" s="5">
        <v>0</v>
      </c>
      <c r="L61" s="5" t="s">
        <v>107</v>
      </c>
      <c r="M61" s="5"/>
      <c r="N61" s="5"/>
      <c r="O61" s="5">
        <v>2000</v>
      </c>
      <c r="P61" s="5">
        <v>31</v>
      </c>
      <c r="Q61" s="5">
        <v>31</v>
      </c>
      <c r="R61" s="5" t="s">
        <v>108</v>
      </c>
      <c r="S61" s="5" t="s">
        <v>109</v>
      </c>
      <c r="T61" s="5"/>
    </row>
    <row r="62" spans="1:20">
      <c r="A62" s="5">
        <v>203606</v>
      </c>
      <c r="B62" s="5" t="s">
        <v>166</v>
      </c>
      <c r="C62" s="5" t="s">
        <v>82</v>
      </c>
      <c r="D62" s="5" t="s">
        <v>5</v>
      </c>
      <c r="E62" s="5">
        <v>390.033536585366</v>
      </c>
      <c r="F62" s="5">
        <v>8.460810905878949</v>
      </c>
      <c r="G62" s="5">
        <v>4.66666666666667</v>
      </c>
      <c r="H62" s="10">
        <v>0.178010471204189</v>
      </c>
      <c r="I62" s="10">
        <v>0.679285714285714</v>
      </c>
      <c r="J62" s="10">
        <v>0</v>
      </c>
      <c r="K62" s="5">
        <v>0</v>
      </c>
      <c r="L62" s="5" t="s">
        <v>107</v>
      </c>
      <c r="M62" s="5"/>
      <c r="N62" s="5"/>
      <c r="O62" s="5">
        <v>2000</v>
      </c>
      <c r="P62" s="5">
        <v>31</v>
      </c>
      <c r="Q62" s="5">
        <v>31</v>
      </c>
      <c r="R62" s="5" t="s">
        <v>108</v>
      </c>
      <c r="S62" s="5" t="s">
        <v>109</v>
      </c>
      <c r="T62" s="5"/>
    </row>
    <row r="63" spans="1:20">
      <c r="A63" s="5">
        <v>224096</v>
      </c>
      <c r="B63" s="5" t="s">
        <v>167</v>
      </c>
      <c r="C63" s="5" t="s">
        <v>84</v>
      </c>
      <c r="D63" s="5" t="s">
        <v>5</v>
      </c>
      <c r="E63" s="5">
        <v>240.129330254042</v>
      </c>
      <c r="F63" s="5">
        <v>13.7425944448719</v>
      </c>
      <c r="G63" s="5">
        <v>2.73563218390805</v>
      </c>
      <c r="H63" s="10">
        <v>0.120126448893572</v>
      </c>
      <c r="I63" s="10">
        <v>0</v>
      </c>
      <c r="J63" s="10">
        <v>0.04</v>
      </c>
      <c r="K63" s="5">
        <v>0</v>
      </c>
      <c r="L63" s="5" t="s">
        <v>107</v>
      </c>
      <c r="M63" s="5"/>
      <c r="N63" s="5"/>
      <c r="O63" s="5">
        <v>2000</v>
      </c>
      <c r="P63" s="5">
        <v>31</v>
      </c>
      <c r="Q63" s="5">
        <v>31</v>
      </c>
      <c r="R63" s="5" t="s">
        <v>108</v>
      </c>
      <c r="S63" s="5" t="s">
        <v>109</v>
      </c>
      <c r="T63" s="5"/>
    </row>
    <row r="64" spans="1:20">
      <c r="A64" s="5">
        <v>203591</v>
      </c>
      <c r="B64" s="5" t="s">
        <v>168</v>
      </c>
      <c r="C64" s="5" t="s">
        <v>82</v>
      </c>
      <c r="D64" s="5" t="s">
        <v>5</v>
      </c>
      <c r="E64" s="5">
        <v>492.870967741935</v>
      </c>
      <c r="F64" s="5">
        <v>6.69546436285097</v>
      </c>
      <c r="G64" s="5">
        <v>3.6</v>
      </c>
      <c r="H64" s="10">
        <v>0.169230769230769</v>
      </c>
      <c r="I64" s="10">
        <v>0.285</v>
      </c>
      <c r="J64" s="10">
        <v>0</v>
      </c>
      <c r="K64" s="5">
        <v>0</v>
      </c>
      <c r="L64" s="5" t="s">
        <v>107</v>
      </c>
      <c r="M64" s="5"/>
      <c r="N64" s="5"/>
      <c r="O64" s="5">
        <v>2000</v>
      </c>
      <c r="P64" s="5">
        <v>31</v>
      </c>
      <c r="Q64" s="5">
        <v>31</v>
      </c>
      <c r="R64" s="5" t="s">
        <v>108</v>
      </c>
      <c r="S64" s="5" t="s">
        <v>109</v>
      </c>
      <c r="T64" s="5"/>
    </row>
    <row r="65" spans="1:20">
      <c r="A65" s="5">
        <v>203575</v>
      </c>
      <c r="B65" s="5" t="s">
        <v>169</v>
      </c>
      <c r="C65" s="5" t="s">
        <v>82</v>
      </c>
      <c r="D65" s="5" t="s">
        <v>5</v>
      </c>
      <c r="E65" s="5">
        <v>541.301204819277</v>
      </c>
      <c r="F65" s="5">
        <v>6.09642094017094</v>
      </c>
      <c r="G65" s="5">
        <v>3</v>
      </c>
      <c r="H65" s="10">
        <v>0.108843537414966</v>
      </c>
      <c r="I65" s="10">
        <v>0.858666666666667</v>
      </c>
      <c r="J65" s="10">
        <v>0</v>
      </c>
      <c r="K65" s="5">
        <v>0</v>
      </c>
      <c r="L65" s="5" t="s">
        <v>107</v>
      </c>
      <c r="M65" s="5"/>
      <c r="N65" s="5"/>
      <c r="O65" s="5">
        <v>2000</v>
      </c>
      <c r="P65" s="5">
        <v>31</v>
      </c>
      <c r="Q65" s="5">
        <v>31</v>
      </c>
      <c r="R65" s="5" t="s">
        <v>108</v>
      </c>
      <c r="S65" s="5" t="s">
        <v>109</v>
      </c>
      <c r="T65" s="5"/>
    </row>
    <row r="66" spans="1:20">
      <c r="A66" s="5">
        <v>250747</v>
      </c>
      <c r="B66" s="5" t="s">
        <v>170</v>
      </c>
      <c r="C66" s="5" t="s">
        <v>82</v>
      </c>
      <c r="D66" s="5" t="s">
        <v>5</v>
      </c>
      <c r="E66" s="5"/>
      <c r="F66" s="5"/>
      <c r="G66" s="5"/>
      <c r="H66" s="5"/>
      <c r="I66" s="5"/>
      <c r="J66" s="10">
        <v>0</v>
      </c>
      <c r="K66" s="5">
        <v>0</v>
      </c>
      <c r="L66" s="5" t="s">
        <v>107</v>
      </c>
      <c r="M66" s="5"/>
      <c r="N66" s="5"/>
      <c r="O66" s="5">
        <v>2000</v>
      </c>
      <c r="P66" s="5">
        <v>31</v>
      </c>
      <c r="Q66" s="5">
        <v>31</v>
      </c>
      <c r="R66" s="5" t="s">
        <v>108</v>
      </c>
      <c r="S66" s="5" t="s">
        <v>109</v>
      </c>
      <c r="T66" s="5"/>
    </row>
    <row r="67" spans="1:20">
      <c r="A67" s="5">
        <v>203607</v>
      </c>
      <c r="B67" s="5" t="s">
        <v>171</v>
      </c>
      <c r="C67" s="5" t="s">
        <v>82</v>
      </c>
      <c r="D67" s="5" t="s">
        <v>5</v>
      </c>
      <c r="E67" s="5">
        <v>455.857142857143</v>
      </c>
      <c r="F67" s="5">
        <v>7.23910999686619</v>
      </c>
      <c r="G67" s="5">
        <v>5</v>
      </c>
      <c r="H67" s="10">
        <v>0.146341463414634</v>
      </c>
      <c r="I67" s="10">
        <v>0.685454545454545</v>
      </c>
      <c r="J67" s="10">
        <v>0</v>
      </c>
      <c r="K67" s="5">
        <v>0</v>
      </c>
      <c r="L67" s="5" t="s">
        <v>107</v>
      </c>
      <c r="M67" s="5"/>
      <c r="N67" s="5"/>
      <c r="O67" s="5">
        <v>2000</v>
      </c>
      <c r="P67" s="5">
        <v>31</v>
      </c>
      <c r="Q67" s="5">
        <v>31</v>
      </c>
      <c r="R67" s="5" t="s">
        <v>108</v>
      </c>
      <c r="S67" s="5" t="s">
        <v>109</v>
      </c>
      <c r="T67" s="5"/>
    </row>
    <row r="68" spans="1:20">
      <c r="A68" s="5">
        <v>224101</v>
      </c>
      <c r="B68" s="5" t="s">
        <v>172</v>
      </c>
      <c r="C68" s="5" t="s">
        <v>84</v>
      </c>
      <c r="D68" s="5" t="s">
        <v>5</v>
      </c>
      <c r="E68" s="5">
        <v>304.547153024911</v>
      </c>
      <c r="F68" s="5">
        <v>10.8357604634382</v>
      </c>
      <c r="G68" s="5">
        <v>3.87804878048781</v>
      </c>
      <c r="H68" s="10">
        <v>0.07984790874524721</v>
      </c>
      <c r="I68" s="10">
        <v>0.6</v>
      </c>
      <c r="J68" s="10">
        <v>0.12</v>
      </c>
      <c r="K68" s="5">
        <v>0</v>
      </c>
      <c r="L68" s="5" t="s">
        <v>107</v>
      </c>
      <c r="M68" s="5"/>
      <c r="N68" s="5"/>
      <c r="O68" s="5">
        <v>2000</v>
      </c>
      <c r="P68" s="5">
        <v>31</v>
      </c>
      <c r="Q68" s="5">
        <v>31</v>
      </c>
      <c r="R68" s="5" t="s">
        <v>108</v>
      </c>
      <c r="S68" s="5" t="s">
        <v>109</v>
      </c>
      <c r="T68" s="5"/>
    </row>
    <row r="69" spans="1:20">
      <c r="A69" s="5">
        <v>96499</v>
      </c>
      <c r="B69" s="5" t="s">
        <v>173</v>
      </c>
      <c r="C69" s="5" t="s">
        <v>84</v>
      </c>
      <c r="D69" s="5" t="s">
        <v>5</v>
      </c>
      <c r="E69" s="5">
        <v>252.705679862307</v>
      </c>
      <c r="F69" s="5">
        <v>13.0586696816553</v>
      </c>
      <c r="G69" s="5">
        <v>4</v>
      </c>
      <c r="H69" s="10">
        <v>0.06547619047619049</v>
      </c>
      <c r="I69" s="10">
        <v>0.88</v>
      </c>
      <c r="J69" s="10">
        <v>0</v>
      </c>
      <c r="K69" s="5">
        <v>0</v>
      </c>
      <c r="L69" s="5" t="s">
        <v>107</v>
      </c>
      <c r="M69" s="5"/>
      <c r="N69" s="5"/>
      <c r="O69" s="5">
        <v>2000</v>
      </c>
      <c r="P69" s="5">
        <v>31</v>
      </c>
      <c r="Q69" s="5">
        <v>31</v>
      </c>
      <c r="R69" s="5" t="s">
        <v>108</v>
      </c>
      <c r="S69" s="5" t="s">
        <v>109</v>
      </c>
      <c r="T69" s="5"/>
    </row>
    <row r="70" spans="1:20">
      <c r="A70" s="5">
        <v>96452</v>
      </c>
      <c r="B70" s="5" t="s">
        <v>174</v>
      </c>
      <c r="C70" s="5" t="s">
        <v>84</v>
      </c>
      <c r="D70" s="5" t="s">
        <v>5</v>
      </c>
      <c r="E70" s="5">
        <v>245.49681122449</v>
      </c>
      <c r="F70" s="5">
        <v>13.442129791993</v>
      </c>
      <c r="G70" s="5">
        <v>3.84</v>
      </c>
      <c r="H70" s="10">
        <v>0.0936902485659656</v>
      </c>
      <c r="I70" s="10">
        <v>0.415</v>
      </c>
      <c r="J70" s="10">
        <v>0</v>
      </c>
      <c r="K70" s="5">
        <v>0</v>
      </c>
      <c r="L70" s="5" t="s">
        <v>107</v>
      </c>
      <c r="M70" s="5"/>
      <c r="N70" s="5"/>
      <c r="O70" s="5">
        <v>2000</v>
      </c>
      <c r="P70" s="5">
        <v>31</v>
      </c>
      <c r="Q70" s="5">
        <v>31</v>
      </c>
      <c r="R70" s="5" t="s">
        <v>108</v>
      </c>
      <c r="S70" s="5" t="s">
        <v>109</v>
      </c>
      <c r="T70" s="5"/>
    </row>
    <row r="71" spans="1:20">
      <c r="A71" s="5">
        <v>244549</v>
      </c>
      <c r="B71" s="5" t="s">
        <v>175</v>
      </c>
      <c r="C71" s="5" t="s">
        <v>84</v>
      </c>
      <c r="D71" s="5" t="s">
        <v>5</v>
      </c>
      <c r="E71" s="5"/>
      <c r="F71" s="5"/>
      <c r="G71" s="5"/>
      <c r="H71" s="5"/>
      <c r="I71" s="5"/>
      <c r="J71" s="5"/>
      <c r="K71" s="5">
        <v>0</v>
      </c>
      <c r="L71" s="5" t="s">
        <v>107</v>
      </c>
      <c r="M71" s="5"/>
      <c r="N71" s="5"/>
      <c r="O71" s="5">
        <v>2000</v>
      </c>
      <c r="P71" s="5">
        <v>31</v>
      </c>
      <c r="Q71" s="5">
        <v>31</v>
      </c>
      <c r="R71" s="5" t="s">
        <v>108</v>
      </c>
      <c r="S71" s="5" t="s">
        <v>109</v>
      </c>
      <c r="T71" s="5"/>
    </row>
    <row r="72" spans="1:20">
      <c r="A72" s="5">
        <v>262905</v>
      </c>
      <c r="B72" s="5" t="s">
        <v>176</v>
      </c>
      <c r="C72" s="5" t="s">
        <v>82</v>
      </c>
      <c r="D72" s="5" t="s">
        <v>5</v>
      </c>
      <c r="E72" s="5"/>
      <c r="F72" s="5"/>
      <c r="G72" s="5"/>
      <c r="H72" s="5"/>
      <c r="I72" s="5"/>
      <c r="J72" s="10">
        <v>0</v>
      </c>
      <c r="K72" s="5">
        <v>0</v>
      </c>
      <c r="L72" s="5" t="s">
        <v>107</v>
      </c>
      <c r="M72" s="5"/>
      <c r="N72" s="5"/>
      <c r="O72" s="5">
        <v>2000</v>
      </c>
      <c r="P72" s="5">
        <v>31</v>
      </c>
      <c r="Q72" s="5">
        <v>31</v>
      </c>
      <c r="R72" s="5" t="s">
        <v>108</v>
      </c>
      <c r="S72" s="5" t="s">
        <v>109</v>
      </c>
      <c r="T72" s="5"/>
    </row>
    <row r="73" spans="1:20">
      <c r="A73" s="5">
        <v>228200</v>
      </c>
      <c r="B73" s="5" t="s">
        <v>177</v>
      </c>
      <c r="C73" s="5" t="s">
        <v>82</v>
      </c>
      <c r="D73" s="5" t="s">
        <v>5</v>
      </c>
      <c r="E73" s="5">
        <v>583.461538461539</v>
      </c>
      <c r="F73" s="5">
        <v>5.65589980224127</v>
      </c>
      <c r="G73" s="5">
        <v>4.5</v>
      </c>
      <c r="H73" s="10">
        <v>0.157142857142857</v>
      </c>
      <c r="I73" s="10">
        <v>0.335</v>
      </c>
      <c r="J73" s="10">
        <v>0</v>
      </c>
      <c r="K73" s="5">
        <v>0</v>
      </c>
      <c r="L73" s="5" t="s">
        <v>107</v>
      </c>
      <c r="M73" s="5"/>
      <c r="N73" s="5"/>
      <c r="O73" s="5">
        <v>2000</v>
      </c>
      <c r="P73" s="5">
        <v>31</v>
      </c>
      <c r="Q73" s="5">
        <v>31</v>
      </c>
      <c r="R73" s="5" t="s">
        <v>108</v>
      </c>
      <c r="S73" s="5" t="s">
        <v>109</v>
      </c>
      <c r="T73" s="5"/>
    </row>
    <row r="74" spans="1:20">
      <c r="A74" s="5">
        <v>244552</v>
      </c>
      <c r="B74" s="5" t="s">
        <v>178</v>
      </c>
      <c r="C74" s="5" t="s">
        <v>84</v>
      </c>
      <c r="D74" s="5" t="s">
        <v>5</v>
      </c>
      <c r="E74" s="5"/>
      <c r="F74" s="5"/>
      <c r="G74" s="5"/>
      <c r="H74" s="5"/>
      <c r="I74" s="5"/>
      <c r="J74" s="5"/>
      <c r="K74" s="5">
        <v>0</v>
      </c>
      <c r="L74" s="5" t="s">
        <v>107</v>
      </c>
      <c r="M74" s="5"/>
      <c r="N74" s="5"/>
      <c r="O74" s="5">
        <v>2000</v>
      </c>
      <c r="P74" s="5">
        <v>31</v>
      </c>
      <c r="Q74" s="5">
        <v>31</v>
      </c>
      <c r="R74" s="5" t="s">
        <v>108</v>
      </c>
      <c r="S74" s="5" t="s">
        <v>109</v>
      </c>
      <c r="T74" s="5"/>
    </row>
    <row r="75" spans="1:20">
      <c r="A75" s="5">
        <v>228672</v>
      </c>
      <c r="B75" s="5" t="s">
        <v>179</v>
      </c>
      <c r="C75" s="5" t="s">
        <v>82</v>
      </c>
      <c r="D75" s="5" t="s">
        <v>5</v>
      </c>
      <c r="E75" s="5">
        <v>373.261324041812</v>
      </c>
      <c r="F75" s="5">
        <v>8.84099098258126</v>
      </c>
      <c r="G75" s="5">
        <v>4.33333333333333</v>
      </c>
      <c r="H75" s="10">
        <v>0.0899280575539568</v>
      </c>
      <c r="I75" s="10">
        <v>0.3875</v>
      </c>
      <c r="J75" s="10">
        <v>0</v>
      </c>
      <c r="K75" s="5">
        <v>0</v>
      </c>
      <c r="L75" s="5" t="s">
        <v>107</v>
      </c>
      <c r="M75" s="5"/>
      <c r="N75" s="5"/>
      <c r="O75" s="5">
        <v>2000</v>
      </c>
      <c r="P75" s="5">
        <v>31</v>
      </c>
      <c r="Q75" s="5">
        <v>31</v>
      </c>
      <c r="R75" s="5" t="s">
        <v>108</v>
      </c>
      <c r="S75" s="5" t="s">
        <v>109</v>
      </c>
      <c r="T75" s="5"/>
    </row>
    <row r="76" spans="1:20">
      <c r="A76" s="5">
        <v>232191</v>
      </c>
      <c r="B76" s="5" t="s">
        <v>180</v>
      </c>
      <c r="C76" s="5" t="s">
        <v>83</v>
      </c>
      <c r="D76" s="5" t="s">
        <v>5</v>
      </c>
      <c r="E76" s="5">
        <v>550.794561933535</v>
      </c>
      <c r="F76" s="5">
        <v>5.99134455579141</v>
      </c>
      <c r="G76" s="5">
        <v>2.5</v>
      </c>
      <c r="H76" s="10">
        <v>0.0167364016736402</v>
      </c>
      <c r="I76" s="10">
        <v>0.662</v>
      </c>
      <c r="J76" s="10">
        <v>0</v>
      </c>
      <c r="K76" s="5">
        <v>0</v>
      </c>
      <c r="L76" s="5" t="s">
        <v>107</v>
      </c>
      <c r="M76" s="5"/>
      <c r="N76" s="5"/>
      <c r="O76" s="5">
        <v>2000</v>
      </c>
      <c r="P76" s="5">
        <v>31</v>
      </c>
      <c r="Q76" s="5">
        <v>31</v>
      </c>
      <c r="R76" s="5" t="s">
        <v>108</v>
      </c>
      <c r="S76" s="5" t="s">
        <v>109</v>
      </c>
      <c r="T76" s="5"/>
    </row>
    <row r="77" spans="1:20">
      <c r="A77" s="5">
        <v>228663</v>
      </c>
      <c r="B77" s="5" t="s">
        <v>181</v>
      </c>
      <c r="C77" s="5" t="s">
        <v>82</v>
      </c>
      <c r="D77" s="5" t="s">
        <v>5</v>
      </c>
      <c r="E77" s="5">
        <v>424.133858267717</v>
      </c>
      <c r="F77" s="5">
        <v>7.78056251740462</v>
      </c>
      <c r="G77" s="5">
        <v>4.19230769230769</v>
      </c>
      <c r="H77" s="10">
        <v>0.344444444444444</v>
      </c>
      <c r="I77" s="10">
        <v>0.656</v>
      </c>
      <c r="J77" s="10">
        <v>0</v>
      </c>
      <c r="K77" s="5">
        <v>0</v>
      </c>
      <c r="L77" s="5" t="s">
        <v>107</v>
      </c>
      <c r="M77" s="5"/>
      <c r="N77" s="5"/>
      <c r="O77" s="5">
        <v>2000</v>
      </c>
      <c r="P77" s="5">
        <v>31</v>
      </c>
      <c r="Q77" s="5">
        <v>31</v>
      </c>
      <c r="R77" s="5" t="s">
        <v>108</v>
      </c>
      <c r="S77" s="5" t="s">
        <v>109</v>
      </c>
      <c r="T77" s="5"/>
    </row>
    <row r="78" spans="1:20">
      <c r="A78" s="5">
        <v>96527</v>
      </c>
      <c r="B78" s="5" t="s">
        <v>182</v>
      </c>
      <c r="C78" s="5" t="s">
        <v>83</v>
      </c>
      <c r="D78" s="5" t="s">
        <v>5</v>
      </c>
      <c r="E78" s="5">
        <v>207.88188976378</v>
      </c>
      <c r="F78" s="5">
        <v>15.8743986970191</v>
      </c>
      <c r="G78" s="5">
        <v>2</v>
      </c>
      <c r="H78" s="10">
        <v>0.0467289719626168</v>
      </c>
      <c r="I78" s="10">
        <v>0.9225</v>
      </c>
      <c r="J78" s="10">
        <v>0</v>
      </c>
      <c r="K78" s="5">
        <v>0</v>
      </c>
      <c r="L78" s="5" t="s">
        <v>107</v>
      </c>
      <c r="M78" s="5"/>
      <c r="N78" s="5"/>
      <c r="O78" s="5">
        <v>2000</v>
      </c>
      <c r="P78" s="5">
        <v>31</v>
      </c>
      <c r="Q78" s="5">
        <v>31</v>
      </c>
      <c r="R78" s="5" t="s">
        <v>108</v>
      </c>
      <c r="S78" s="5" t="s">
        <v>109</v>
      </c>
      <c r="T78" s="5"/>
    </row>
    <row r="79" spans="1:20">
      <c r="A79" s="5">
        <v>96472</v>
      </c>
      <c r="B79" s="5" t="s">
        <v>183</v>
      </c>
      <c r="C79" s="5" t="s">
        <v>83</v>
      </c>
      <c r="D79" s="5" t="s">
        <v>5</v>
      </c>
      <c r="E79" s="5">
        <v>219.477663230241</v>
      </c>
      <c r="F79" s="5">
        <v>15.0356986284211</v>
      </c>
      <c r="G79" s="5">
        <v>2.8</v>
      </c>
      <c r="H79" s="10">
        <v>0.0745614035087719</v>
      </c>
      <c r="I79" s="10">
        <v>0.945</v>
      </c>
      <c r="J79" s="10">
        <v>0.13</v>
      </c>
      <c r="K79" s="5">
        <v>0</v>
      </c>
      <c r="L79" s="5" t="s">
        <v>107</v>
      </c>
      <c r="M79" s="5"/>
      <c r="N79" s="5"/>
      <c r="O79" s="5">
        <v>2000</v>
      </c>
      <c r="P79" s="5">
        <v>31</v>
      </c>
      <c r="Q79" s="5">
        <v>31</v>
      </c>
      <c r="R79" s="5" t="s">
        <v>108</v>
      </c>
      <c r="S79" s="5" t="s">
        <v>109</v>
      </c>
      <c r="T79" s="5"/>
    </row>
    <row r="80" spans="1:20">
      <c r="A80" s="5">
        <v>250743</v>
      </c>
      <c r="B80" s="5" t="s">
        <v>184</v>
      </c>
      <c r="C80" s="5" t="s">
        <v>82</v>
      </c>
      <c r="D80" s="5" t="s">
        <v>5</v>
      </c>
      <c r="E80" s="5"/>
      <c r="F80" s="5"/>
      <c r="G80" s="5"/>
      <c r="H80" s="5"/>
      <c r="I80" s="5"/>
      <c r="J80" s="10">
        <v>0</v>
      </c>
      <c r="K80" s="5">
        <v>0</v>
      </c>
      <c r="L80" s="5" t="s">
        <v>107</v>
      </c>
      <c r="M80" s="5"/>
      <c r="N80" s="5"/>
      <c r="O80" s="5">
        <v>2000</v>
      </c>
      <c r="P80" s="5">
        <v>31</v>
      </c>
      <c r="Q80" s="5">
        <v>31</v>
      </c>
      <c r="R80" s="5" t="s">
        <v>108</v>
      </c>
      <c r="S80" s="5" t="s">
        <v>109</v>
      </c>
      <c r="T80" s="5"/>
    </row>
    <row r="81" spans="1:20">
      <c r="A81" s="5">
        <v>96468</v>
      </c>
      <c r="B81" s="5" t="s">
        <v>185</v>
      </c>
      <c r="C81" s="5" t="s">
        <v>84</v>
      </c>
      <c r="D81" s="5" t="s">
        <v>5</v>
      </c>
      <c r="E81" s="5">
        <v>225.098591549296</v>
      </c>
      <c r="F81" s="5">
        <v>14.6602427731198</v>
      </c>
      <c r="G81" s="5">
        <v>0</v>
      </c>
      <c r="H81" s="10">
        <v>0</v>
      </c>
      <c r="I81" s="5"/>
      <c r="J81" s="10">
        <v>0.13</v>
      </c>
      <c r="K81" s="5">
        <v>0</v>
      </c>
      <c r="L81" s="5" t="s">
        <v>107</v>
      </c>
      <c r="M81" s="5"/>
      <c r="N81" s="5"/>
      <c r="O81" s="5">
        <v>2000</v>
      </c>
      <c r="P81" s="5">
        <v>31</v>
      </c>
      <c r="Q81" s="5">
        <v>31</v>
      </c>
      <c r="R81" s="5" t="s">
        <v>108</v>
      </c>
      <c r="S81" s="5" t="s">
        <v>109</v>
      </c>
      <c r="T81" s="5"/>
    </row>
    <row r="82" spans="1:20">
      <c r="A82" s="5">
        <v>203629</v>
      </c>
      <c r="B82" s="5" t="s">
        <v>186</v>
      </c>
      <c r="C82" s="5" t="s">
        <v>82</v>
      </c>
      <c r="D82" s="5" t="s">
        <v>5</v>
      </c>
      <c r="E82" s="5">
        <v>593.20325203252</v>
      </c>
      <c r="F82" s="5">
        <v>5.5630173784332</v>
      </c>
      <c r="G82" s="5">
        <v>5</v>
      </c>
      <c r="H82" s="10">
        <v>0.217948717948718</v>
      </c>
      <c r="I82" s="10">
        <v>0.804117647058823</v>
      </c>
      <c r="J82" s="10">
        <v>0</v>
      </c>
      <c r="K82" s="5">
        <v>0</v>
      </c>
      <c r="L82" s="5" t="s">
        <v>107</v>
      </c>
      <c r="M82" s="5"/>
      <c r="N82" s="5"/>
      <c r="O82" s="5">
        <v>2000</v>
      </c>
      <c r="P82" s="5">
        <v>31</v>
      </c>
      <c r="Q82" s="5">
        <v>31</v>
      </c>
      <c r="R82" s="5" t="s">
        <v>108</v>
      </c>
      <c r="S82" s="5" t="s">
        <v>109</v>
      </c>
      <c r="T82" s="5"/>
    </row>
    <row r="83" spans="1:20">
      <c r="A83" s="5">
        <v>134407</v>
      </c>
      <c r="B83" s="5" t="s">
        <v>187</v>
      </c>
      <c r="C83" s="5" t="s">
        <v>84</v>
      </c>
      <c r="D83" s="5" t="s">
        <v>5</v>
      </c>
      <c r="E83" s="5">
        <v>289.680327868853</v>
      </c>
      <c r="F83" s="5">
        <v>11.3918678022693</v>
      </c>
      <c r="G83" s="5">
        <v>2.21052631578947</v>
      </c>
      <c r="H83" s="10">
        <v>0.06650246305418719</v>
      </c>
      <c r="I83" s="10">
        <v>0.7</v>
      </c>
      <c r="J83" s="10">
        <v>0</v>
      </c>
      <c r="K83" s="5">
        <v>0</v>
      </c>
      <c r="L83" s="5" t="s">
        <v>107</v>
      </c>
      <c r="M83" s="5"/>
      <c r="N83" s="5"/>
      <c r="O83" s="5">
        <v>2000</v>
      </c>
      <c r="P83" s="5">
        <v>31</v>
      </c>
      <c r="Q83" s="5">
        <v>31</v>
      </c>
      <c r="R83" s="5" t="s">
        <v>108</v>
      </c>
      <c r="S83" s="5" t="s">
        <v>109</v>
      </c>
      <c r="T83" s="5"/>
    </row>
    <row r="84" spans="1:20">
      <c r="A84" s="5">
        <v>204016</v>
      </c>
      <c r="B84" s="5" t="s">
        <v>188</v>
      </c>
      <c r="C84" s="5" t="s">
        <v>81</v>
      </c>
      <c r="D84" s="5" t="s">
        <v>5</v>
      </c>
      <c r="E84" s="5">
        <v>388.416356877324</v>
      </c>
      <c r="F84" s="5">
        <v>8.49603767083955</v>
      </c>
      <c r="G84" s="5">
        <v>2.63636363636364</v>
      </c>
      <c r="H84" s="10">
        <v>0.056</v>
      </c>
      <c r="I84" s="10">
        <v>0</v>
      </c>
      <c r="J84" s="10">
        <v>0</v>
      </c>
      <c r="K84" s="5">
        <v>0</v>
      </c>
      <c r="L84" s="5" t="s">
        <v>107</v>
      </c>
      <c r="M84" s="5"/>
      <c r="N84" s="5"/>
      <c r="O84" s="5">
        <v>2000</v>
      </c>
      <c r="P84" s="5">
        <v>31</v>
      </c>
      <c r="Q84" s="5">
        <v>31</v>
      </c>
      <c r="R84" s="5" t="s">
        <v>108</v>
      </c>
      <c r="S84" s="5" t="s">
        <v>109</v>
      </c>
      <c r="T84" s="5"/>
    </row>
    <row r="85" spans="1:20">
      <c r="A85" s="5">
        <v>204015</v>
      </c>
      <c r="B85" s="5" t="s">
        <v>189</v>
      </c>
      <c r="C85" s="5" t="s">
        <v>81</v>
      </c>
      <c r="D85" s="5" t="s">
        <v>5</v>
      </c>
      <c r="E85" s="5">
        <v>355.833333333334</v>
      </c>
      <c r="F85" s="5">
        <v>9.27400468384074</v>
      </c>
      <c r="G85" s="5">
        <v>0</v>
      </c>
      <c r="H85" s="10">
        <v>0.0104166666666667</v>
      </c>
      <c r="I85" s="5"/>
      <c r="J85" s="10">
        <v>0</v>
      </c>
      <c r="K85" s="5">
        <v>0</v>
      </c>
      <c r="L85" s="5" t="s">
        <v>107</v>
      </c>
      <c r="M85" s="5"/>
      <c r="N85" s="5"/>
      <c r="O85" s="5">
        <v>2000</v>
      </c>
      <c r="P85" s="5">
        <v>31</v>
      </c>
      <c r="Q85" s="5">
        <v>31</v>
      </c>
      <c r="R85" s="5" t="s">
        <v>108</v>
      </c>
      <c r="S85" s="5" t="s">
        <v>109</v>
      </c>
      <c r="T85" s="5"/>
    </row>
    <row r="86" spans="1:20">
      <c r="A86" s="5">
        <v>203638</v>
      </c>
      <c r="B86" s="5" t="s">
        <v>190</v>
      </c>
      <c r="C86" s="5" t="s">
        <v>81</v>
      </c>
      <c r="D86" s="5" t="s">
        <v>5</v>
      </c>
      <c r="E86" s="5">
        <v>243.717013888889</v>
      </c>
      <c r="F86" s="5">
        <v>13.5402939144186</v>
      </c>
      <c r="G86" s="5">
        <v>3.39130434782609</v>
      </c>
      <c r="H86" s="10">
        <v>0.0705882352941177</v>
      </c>
      <c r="I86" s="10">
        <v>0</v>
      </c>
      <c r="J86" s="10">
        <v>0.01</v>
      </c>
      <c r="K86" s="5">
        <v>0</v>
      </c>
      <c r="L86" s="5" t="s">
        <v>107</v>
      </c>
      <c r="M86" s="5"/>
      <c r="N86" s="5"/>
      <c r="O86" s="5">
        <v>2000</v>
      </c>
      <c r="P86" s="5">
        <v>31</v>
      </c>
      <c r="Q86" s="5">
        <v>31</v>
      </c>
      <c r="R86" s="5" t="s">
        <v>108</v>
      </c>
      <c r="S86" s="5" t="s">
        <v>109</v>
      </c>
      <c r="T86" s="5"/>
    </row>
    <row r="87" spans="1:20">
      <c r="A87" s="5">
        <v>250738</v>
      </c>
      <c r="B87" s="5" t="s">
        <v>191</v>
      </c>
      <c r="C87" s="5" t="s">
        <v>82</v>
      </c>
      <c r="D87" s="5" t="s">
        <v>5</v>
      </c>
      <c r="E87" s="5"/>
      <c r="F87" s="5"/>
      <c r="G87" s="5"/>
      <c r="H87" s="5"/>
      <c r="I87" s="5"/>
      <c r="J87" s="10">
        <v>0</v>
      </c>
      <c r="K87" s="5">
        <v>0</v>
      </c>
      <c r="L87" s="5" t="s">
        <v>107</v>
      </c>
      <c r="M87" s="5"/>
      <c r="N87" s="5"/>
      <c r="O87" s="5">
        <v>2000</v>
      </c>
      <c r="P87" s="5">
        <v>31</v>
      </c>
      <c r="Q87" s="5">
        <v>31</v>
      </c>
      <c r="R87" s="5" t="s">
        <v>108</v>
      </c>
      <c r="S87" s="5" t="s">
        <v>109</v>
      </c>
      <c r="T87" s="5"/>
    </row>
    <row r="88" spans="1:20">
      <c r="A88" s="5">
        <v>249776</v>
      </c>
      <c r="B88" s="5" t="s">
        <v>192</v>
      </c>
      <c r="C88" s="5" t="s">
        <v>83</v>
      </c>
      <c r="D88" s="5" t="s">
        <v>5</v>
      </c>
      <c r="E88" s="5"/>
      <c r="F88" s="5"/>
      <c r="G88" s="5"/>
      <c r="H88" s="5"/>
      <c r="I88" s="5"/>
      <c r="J88" s="10">
        <v>0</v>
      </c>
      <c r="K88" s="5">
        <v>0</v>
      </c>
      <c r="L88" s="5" t="s">
        <v>107</v>
      </c>
      <c r="M88" s="5"/>
      <c r="N88" s="5"/>
      <c r="O88" s="5">
        <v>2000</v>
      </c>
      <c r="P88" s="5">
        <v>31</v>
      </c>
      <c r="Q88" s="5">
        <v>31</v>
      </c>
      <c r="R88" s="5" t="s">
        <v>108</v>
      </c>
      <c r="S88" s="5" t="s">
        <v>109</v>
      </c>
      <c r="T88" s="5"/>
    </row>
    <row r="89" spans="1:20">
      <c r="A89" s="5">
        <v>199529</v>
      </c>
      <c r="B89" s="5" t="s">
        <v>193</v>
      </c>
      <c r="C89" s="5" t="s">
        <v>84</v>
      </c>
      <c r="D89" s="5" t="s">
        <v>5</v>
      </c>
      <c r="E89" s="5">
        <v>377.259661835749</v>
      </c>
      <c r="F89" s="5">
        <v>8.74729088167595</v>
      </c>
      <c r="G89" s="5">
        <v>4.26666666666667</v>
      </c>
      <c r="H89" s="10">
        <v>0.0470162748643761</v>
      </c>
      <c r="I89" s="10">
        <v>0.61</v>
      </c>
      <c r="J89" s="10">
        <v>0.15</v>
      </c>
      <c r="K89" s="5">
        <v>0</v>
      </c>
      <c r="L89" s="5" t="s">
        <v>107</v>
      </c>
      <c r="M89" s="5"/>
      <c r="N89" s="5"/>
      <c r="O89" s="5">
        <v>2000</v>
      </c>
      <c r="P89" s="5">
        <v>31</v>
      </c>
      <c r="Q89" s="5">
        <v>31</v>
      </c>
      <c r="R89" s="5" t="s">
        <v>108</v>
      </c>
      <c r="S89" s="5" t="s">
        <v>109</v>
      </c>
      <c r="T89" s="5"/>
    </row>
    <row r="90" spans="1:20">
      <c r="A90" s="5">
        <v>204052</v>
      </c>
      <c r="B90" s="5" t="s">
        <v>194</v>
      </c>
      <c r="C90" s="5" t="s">
        <v>81</v>
      </c>
      <c r="D90" s="5" t="s">
        <v>5</v>
      </c>
      <c r="E90" s="5">
        <v>562.63906581741</v>
      </c>
      <c r="F90" s="5">
        <v>5.8652166201892</v>
      </c>
      <c r="G90" s="5">
        <v>4.40540540540541</v>
      </c>
      <c r="H90" s="10">
        <v>0.226600985221675</v>
      </c>
      <c r="I90" s="10">
        <v>0</v>
      </c>
      <c r="J90" s="10">
        <v>0.32</v>
      </c>
      <c r="K90" s="5">
        <v>0</v>
      </c>
      <c r="L90" s="5" t="s">
        <v>107</v>
      </c>
      <c r="M90" s="5"/>
      <c r="N90" s="5"/>
      <c r="O90" s="5">
        <v>2000</v>
      </c>
      <c r="P90" s="5">
        <v>31</v>
      </c>
      <c r="Q90" s="5">
        <v>31</v>
      </c>
      <c r="R90" s="5" t="s">
        <v>108</v>
      </c>
      <c r="S90" s="5" t="s">
        <v>109</v>
      </c>
      <c r="T90" s="5"/>
    </row>
    <row r="91" spans="1:20">
      <c r="A91" s="5">
        <v>96458</v>
      </c>
      <c r="B91" s="5" t="s">
        <v>195</v>
      </c>
      <c r="C91" s="5" t="s">
        <v>83</v>
      </c>
      <c r="D91" s="5" t="s">
        <v>5</v>
      </c>
      <c r="E91" s="5">
        <v>252.867469879518</v>
      </c>
      <c r="F91" s="5">
        <v>13.0503144654088</v>
      </c>
      <c r="G91" s="5">
        <v>5</v>
      </c>
      <c r="H91" s="10">
        <v>0.0491803278688525</v>
      </c>
      <c r="I91" s="10">
        <v>0.95</v>
      </c>
      <c r="J91" s="10">
        <v>0.86</v>
      </c>
      <c r="K91" s="5">
        <v>0</v>
      </c>
      <c r="L91" s="5" t="s">
        <v>107</v>
      </c>
      <c r="M91" s="5"/>
      <c r="N91" s="5"/>
      <c r="O91" s="5">
        <v>2000</v>
      </c>
      <c r="P91" s="5">
        <v>31</v>
      </c>
      <c r="Q91" s="5">
        <v>31</v>
      </c>
      <c r="R91" s="5" t="s">
        <v>108</v>
      </c>
      <c r="S91" s="5" t="s">
        <v>109</v>
      </c>
      <c r="T91" s="5"/>
    </row>
    <row r="92" spans="1:20">
      <c r="A92" s="5">
        <v>203618</v>
      </c>
      <c r="B92" s="5" t="s">
        <v>196</v>
      </c>
      <c r="C92" s="5" t="s">
        <v>82</v>
      </c>
      <c r="D92" s="5" t="s">
        <v>5</v>
      </c>
      <c r="E92" s="5">
        <v>358.764478764479</v>
      </c>
      <c r="F92" s="5">
        <v>9.198235040895391</v>
      </c>
      <c r="G92" s="5">
        <v>3.25</v>
      </c>
      <c r="H92" s="10">
        <v>0.145985401459854</v>
      </c>
      <c r="I92" s="10">
        <v>0.491428571428571</v>
      </c>
      <c r="J92" s="10">
        <v>0.09</v>
      </c>
      <c r="K92" s="5">
        <v>0</v>
      </c>
      <c r="L92" s="5" t="s">
        <v>107</v>
      </c>
      <c r="M92" s="5"/>
      <c r="N92" s="5"/>
      <c r="O92" s="5">
        <v>2000</v>
      </c>
      <c r="P92" s="5">
        <v>31</v>
      </c>
      <c r="Q92" s="5">
        <v>31</v>
      </c>
      <c r="R92" s="5" t="s">
        <v>108</v>
      </c>
      <c r="S92" s="5" t="s">
        <v>109</v>
      </c>
      <c r="T92" s="5"/>
    </row>
    <row r="93" spans="1:20">
      <c r="A93" s="5">
        <v>204030</v>
      </c>
      <c r="B93" s="5" t="s">
        <v>197</v>
      </c>
      <c r="C93" s="5" t="s">
        <v>81</v>
      </c>
      <c r="D93" s="5" t="s">
        <v>5</v>
      </c>
      <c r="E93" s="5">
        <v>504.513513513514</v>
      </c>
      <c r="F93" s="5">
        <v>6.54095462581025</v>
      </c>
      <c r="G93" s="5">
        <v>5</v>
      </c>
      <c r="H93" s="10">
        <v>0.4</v>
      </c>
      <c r="I93" s="10">
        <v>0.4875</v>
      </c>
      <c r="J93" s="10">
        <v>0.01</v>
      </c>
      <c r="K93" s="5">
        <v>0</v>
      </c>
      <c r="L93" s="5" t="s">
        <v>107</v>
      </c>
      <c r="M93" s="5"/>
      <c r="N93" s="5"/>
      <c r="O93" s="5">
        <v>2000</v>
      </c>
      <c r="P93" s="5">
        <v>31</v>
      </c>
      <c r="Q93" s="5">
        <v>31</v>
      </c>
      <c r="R93" s="5" t="s">
        <v>108</v>
      </c>
      <c r="S93" s="5" t="s">
        <v>109</v>
      </c>
      <c r="T93" s="5"/>
    </row>
    <row r="94" spans="1:20">
      <c r="A94" s="5">
        <v>96493</v>
      </c>
      <c r="B94" s="5" t="s">
        <v>198</v>
      </c>
      <c r="C94" s="5" t="s">
        <v>85</v>
      </c>
      <c r="D94" s="5" t="s">
        <v>5</v>
      </c>
      <c r="E94" s="5">
        <v>270.128440366973</v>
      </c>
      <c r="F94" s="5">
        <v>12.2164108137481</v>
      </c>
      <c r="G94" s="5">
        <v>2.77777777777778</v>
      </c>
      <c r="H94" s="10">
        <v>0.0505050505050505</v>
      </c>
      <c r="I94" s="10">
        <v>0.455</v>
      </c>
      <c r="J94" s="10">
        <v>0.14</v>
      </c>
      <c r="K94" s="5">
        <v>0</v>
      </c>
      <c r="L94" s="5" t="s">
        <v>107</v>
      </c>
      <c r="M94" s="5"/>
      <c r="N94" s="5"/>
      <c r="O94" s="5">
        <v>2000</v>
      </c>
      <c r="P94" s="5">
        <v>31</v>
      </c>
      <c r="Q94" s="5">
        <v>31</v>
      </c>
      <c r="R94" s="5" t="s">
        <v>108</v>
      </c>
      <c r="S94" s="5" t="s">
        <v>109</v>
      </c>
      <c r="T94" s="5"/>
    </row>
    <row r="95" spans="1:20">
      <c r="A95" s="5">
        <v>202682</v>
      </c>
      <c r="B95" s="5" t="s">
        <v>199</v>
      </c>
      <c r="C95" s="5" t="s">
        <v>81</v>
      </c>
      <c r="D95" s="5" t="s">
        <v>5</v>
      </c>
      <c r="E95" s="5">
        <v>504.318518518519</v>
      </c>
      <c r="F95" s="5">
        <v>6.54348368902663</v>
      </c>
      <c r="G95" s="5">
        <v>2.5</v>
      </c>
      <c r="H95" s="10">
        <v>0.087378640776699</v>
      </c>
      <c r="I95" s="10">
        <v>0</v>
      </c>
      <c r="J95" s="10">
        <v>0.26</v>
      </c>
      <c r="K95" s="5">
        <v>0</v>
      </c>
      <c r="L95" s="5" t="s">
        <v>107</v>
      </c>
      <c r="M95" s="5"/>
      <c r="N95" s="5"/>
      <c r="O95" s="5">
        <v>2000</v>
      </c>
      <c r="P95" s="5">
        <v>31</v>
      </c>
      <c r="Q95" s="5">
        <v>31</v>
      </c>
      <c r="R95" s="5" t="s">
        <v>108</v>
      </c>
      <c r="S95" s="5" t="s">
        <v>109</v>
      </c>
      <c r="T95" s="5"/>
    </row>
    <row r="96" spans="1:20">
      <c r="A96" s="5">
        <v>224299</v>
      </c>
      <c r="B96" s="5" t="s">
        <v>200</v>
      </c>
      <c r="C96" s="5" t="s">
        <v>84</v>
      </c>
      <c r="D96" s="5" t="s">
        <v>5</v>
      </c>
      <c r="E96" s="5">
        <v>435.29689608637</v>
      </c>
      <c r="F96" s="5">
        <v>7.58103269209902</v>
      </c>
      <c r="G96" s="5">
        <v>4.47826086956522</v>
      </c>
      <c r="H96" s="10">
        <v>0.07514450867052019</v>
      </c>
      <c r="I96" s="10">
        <v>0.296666666666667</v>
      </c>
      <c r="J96" s="10">
        <v>0.33</v>
      </c>
      <c r="K96" s="5">
        <v>0</v>
      </c>
      <c r="L96" s="5" t="s">
        <v>107</v>
      </c>
      <c r="M96" s="5"/>
      <c r="N96" s="5"/>
      <c r="O96" s="5">
        <v>2000</v>
      </c>
      <c r="P96" s="5">
        <v>31</v>
      </c>
      <c r="Q96" s="5">
        <v>31</v>
      </c>
      <c r="R96" s="5" t="s">
        <v>108</v>
      </c>
      <c r="S96" s="5" t="s">
        <v>109</v>
      </c>
      <c r="T96" s="5"/>
    </row>
    <row r="97" spans="1:20">
      <c r="A97" s="5">
        <v>244551</v>
      </c>
      <c r="B97" s="5" t="s">
        <v>201</v>
      </c>
      <c r="C97" s="5" t="s">
        <v>84</v>
      </c>
      <c r="D97" s="5" t="s">
        <v>5</v>
      </c>
      <c r="E97" s="5"/>
      <c r="F97" s="5"/>
      <c r="G97" s="5"/>
      <c r="H97" s="5"/>
      <c r="I97" s="5"/>
      <c r="J97" s="5"/>
      <c r="K97" s="5">
        <v>0</v>
      </c>
      <c r="L97" s="5" t="s">
        <v>107</v>
      </c>
      <c r="M97" s="5"/>
      <c r="N97" s="5"/>
      <c r="O97" s="5">
        <v>2000</v>
      </c>
      <c r="P97" s="5">
        <v>31</v>
      </c>
      <c r="Q97" s="5">
        <v>31</v>
      </c>
      <c r="R97" s="5" t="s">
        <v>108</v>
      </c>
      <c r="S97" s="5" t="s">
        <v>109</v>
      </c>
      <c r="T97" s="5"/>
    </row>
    <row r="98" spans="1:20">
      <c r="A98" s="5">
        <v>249780</v>
      </c>
      <c r="B98" s="5" t="s">
        <v>202</v>
      </c>
      <c r="C98" s="5" t="s">
        <v>83</v>
      </c>
      <c r="D98" s="5" t="s">
        <v>5</v>
      </c>
      <c r="E98" s="5"/>
      <c r="F98" s="5"/>
      <c r="G98" s="5"/>
      <c r="H98" s="5"/>
      <c r="I98" s="5"/>
      <c r="J98" s="10">
        <v>0</v>
      </c>
      <c r="K98" s="5">
        <v>0</v>
      </c>
      <c r="L98" s="5" t="s">
        <v>107</v>
      </c>
      <c r="M98" s="5"/>
      <c r="N98" s="5"/>
      <c r="O98" s="5">
        <v>2000</v>
      </c>
      <c r="P98" s="5">
        <v>31</v>
      </c>
      <c r="Q98" s="5">
        <v>31</v>
      </c>
      <c r="R98" s="5" t="s">
        <v>108</v>
      </c>
      <c r="S98" s="5" t="s">
        <v>109</v>
      </c>
      <c r="T98" s="5"/>
    </row>
    <row r="99" spans="1:20">
      <c r="A99" s="5">
        <v>228216</v>
      </c>
      <c r="B99" s="5" t="s">
        <v>203</v>
      </c>
      <c r="C99" s="5" t="s">
        <v>82</v>
      </c>
      <c r="D99" s="5" t="s">
        <v>5</v>
      </c>
      <c r="E99" s="5">
        <v>485.061855670103</v>
      </c>
      <c r="F99" s="5">
        <v>6.80325604131687</v>
      </c>
      <c r="G99" s="5">
        <v>3.71428571428571</v>
      </c>
      <c r="H99" s="10">
        <v>0.147058823529412</v>
      </c>
      <c r="I99" s="10">
        <v>0.638333333333333</v>
      </c>
      <c r="J99" s="10">
        <v>0</v>
      </c>
      <c r="K99" s="5">
        <v>0</v>
      </c>
      <c r="L99" s="5" t="s">
        <v>107</v>
      </c>
      <c r="M99" s="5"/>
      <c r="N99" s="5"/>
      <c r="O99" s="5">
        <v>2000</v>
      </c>
      <c r="P99" s="5">
        <v>31</v>
      </c>
      <c r="Q99" s="5">
        <v>31</v>
      </c>
      <c r="R99" s="5" t="s">
        <v>108</v>
      </c>
      <c r="S99" s="5" t="s">
        <v>109</v>
      </c>
      <c r="T99" s="5"/>
    </row>
    <row r="100" spans="1:20">
      <c r="A100" s="5">
        <v>228207</v>
      </c>
      <c r="B100" s="5" t="s">
        <v>204</v>
      </c>
      <c r="C100" s="5" t="s">
        <v>82</v>
      </c>
      <c r="D100" s="5" t="s">
        <v>5</v>
      </c>
      <c r="E100" s="5">
        <v>515.173410404624</v>
      </c>
      <c r="F100" s="5">
        <v>6.40561009817672</v>
      </c>
      <c r="G100" s="5">
        <v>4.85714285714286</v>
      </c>
      <c r="H100" s="10">
        <v>0.398230088495575</v>
      </c>
      <c r="I100" s="10">
        <v>0.820833333333333</v>
      </c>
      <c r="J100" s="10">
        <v>0</v>
      </c>
      <c r="K100" s="5">
        <v>0</v>
      </c>
      <c r="L100" s="5" t="s">
        <v>107</v>
      </c>
      <c r="M100" s="5"/>
      <c r="N100" s="5"/>
      <c r="O100" s="5">
        <v>2000</v>
      </c>
      <c r="P100" s="5">
        <v>31</v>
      </c>
      <c r="Q100" s="5">
        <v>31</v>
      </c>
      <c r="R100" s="5" t="s">
        <v>108</v>
      </c>
      <c r="S100" s="5" t="s">
        <v>109</v>
      </c>
      <c r="T100" s="5"/>
    </row>
    <row r="101" spans="1:20">
      <c r="A101" s="5">
        <v>228673</v>
      </c>
      <c r="B101" s="5" t="s">
        <v>205</v>
      </c>
      <c r="C101" s="5" t="s">
        <v>82</v>
      </c>
      <c r="D101" s="5" t="s">
        <v>5</v>
      </c>
      <c r="E101" s="5">
        <v>626.582236842105</v>
      </c>
      <c r="F101" s="5">
        <v>5.26666701665783</v>
      </c>
      <c r="G101" s="5">
        <v>4.72727272727273</v>
      </c>
      <c r="H101" s="10">
        <v>0.141304347826087</v>
      </c>
      <c r="I101" s="10">
        <v>0.513636363636364</v>
      </c>
      <c r="J101" s="10">
        <v>0</v>
      </c>
      <c r="K101" s="5">
        <v>0</v>
      </c>
      <c r="L101" s="5" t="s">
        <v>107</v>
      </c>
      <c r="M101" s="5"/>
      <c r="N101" s="5"/>
      <c r="O101" s="5">
        <v>2000</v>
      </c>
      <c r="P101" s="5">
        <v>31</v>
      </c>
      <c r="Q101" s="5">
        <v>31</v>
      </c>
      <c r="R101" s="5" t="s">
        <v>108</v>
      </c>
      <c r="S101" s="5" t="s">
        <v>109</v>
      </c>
      <c r="T101" s="5"/>
    </row>
    <row r="102" spans="1:20">
      <c r="A102" s="5">
        <v>96485</v>
      </c>
      <c r="B102" s="5" t="s">
        <v>206</v>
      </c>
      <c r="C102" s="5" t="s">
        <v>83</v>
      </c>
      <c r="D102" s="5" t="s">
        <v>5</v>
      </c>
      <c r="E102" s="5"/>
      <c r="F102" s="5"/>
      <c r="G102" s="5">
        <v>0</v>
      </c>
      <c r="H102" s="10">
        <v>0</v>
      </c>
      <c r="I102" s="5"/>
      <c r="J102" s="10">
        <v>0</v>
      </c>
      <c r="K102" s="5">
        <v>0</v>
      </c>
      <c r="L102" s="5" t="s">
        <v>107</v>
      </c>
      <c r="M102" s="5"/>
      <c r="N102" s="5"/>
      <c r="O102" s="5">
        <v>2000</v>
      </c>
      <c r="P102" s="5">
        <v>31</v>
      </c>
      <c r="Q102" s="5">
        <v>31</v>
      </c>
      <c r="R102" s="5" t="s">
        <v>108</v>
      </c>
      <c r="S102" s="5" t="s">
        <v>109</v>
      </c>
      <c r="T102" s="5"/>
    </row>
    <row r="103" spans="1:20">
      <c r="A103" s="5">
        <v>250259</v>
      </c>
      <c r="B103" s="5" t="s">
        <v>207</v>
      </c>
      <c r="C103" s="5" t="s">
        <v>85</v>
      </c>
      <c r="D103" s="5" t="s">
        <v>5</v>
      </c>
      <c r="E103" s="5"/>
      <c r="F103" s="5"/>
      <c r="G103" s="5"/>
      <c r="H103" s="5"/>
      <c r="I103" s="5"/>
      <c r="J103" s="5"/>
      <c r="K103" s="5">
        <v>0</v>
      </c>
      <c r="L103" s="5" t="s">
        <v>107</v>
      </c>
      <c r="M103" s="5"/>
      <c r="N103" s="5"/>
      <c r="O103" s="5">
        <v>2000</v>
      </c>
      <c r="P103" s="5">
        <v>31</v>
      </c>
      <c r="Q103" s="5">
        <v>31</v>
      </c>
      <c r="R103" s="5" t="s">
        <v>108</v>
      </c>
      <c r="S103" s="5" t="s">
        <v>109</v>
      </c>
      <c r="T103" s="5"/>
    </row>
    <row r="104" spans="1:20">
      <c r="A104" s="5">
        <v>230824</v>
      </c>
      <c r="B104" s="5" t="s">
        <v>208</v>
      </c>
      <c r="C104" s="5" t="s">
        <v>82</v>
      </c>
      <c r="D104" s="5" t="s">
        <v>5</v>
      </c>
      <c r="E104" s="5">
        <v>562.766483516484</v>
      </c>
      <c r="F104" s="5">
        <v>5.86388865836454</v>
      </c>
      <c r="G104" s="5">
        <v>4.765625</v>
      </c>
      <c r="H104" s="10">
        <v>0.429347826086957</v>
      </c>
      <c r="I104" s="10">
        <v>0.5676923076923081</v>
      </c>
      <c r="J104" s="10">
        <v>0</v>
      </c>
      <c r="K104" s="5">
        <v>0</v>
      </c>
      <c r="L104" s="5" t="s">
        <v>107</v>
      </c>
      <c r="M104" s="5"/>
      <c r="N104" s="5"/>
      <c r="O104" s="5">
        <v>2000</v>
      </c>
      <c r="P104" s="5">
        <v>31</v>
      </c>
      <c r="Q104" s="5">
        <v>31</v>
      </c>
      <c r="R104" s="5" t="s">
        <v>108</v>
      </c>
      <c r="S104" s="5" t="s">
        <v>109</v>
      </c>
      <c r="T104" s="5"/>
    </row>
    <row r="105" spans="1:20">
      <c r="A105" s="5">
        <v>203589</v>
      </c>
      <c r="B105" s="5" t="s">
        <v>209</v>
      </c>
      <c r="C105" s="5" t="s">
        <v>81</v>
      </c>
      <c r="D105" s="5" t="s">
        <v>5</v>
      </c>
      <c r="E105" s="5">
        <v>421.181818181818</v>
      </c>
      <c r="F105" s="5">
        <v>7.83509605007555</v>
      </c>
      <c r="G105" s="5">
        <v>0</v>
      </c>
      <c r="H105" s="10">
        <v>0</v>
      </c>
      <c r="I105" s="10">
        <v>0</v>
      </c>
      <c r="J105" s="10">
        <v>0.05</v>
      </c>
      <c r="K105" s="5">
        <v>0</v>
      </c>
      <c r="L105" s="5" t="s">
        <v>107</v>
      </c>
      <c r="M105" s="5"/>
      <c r="N105" s="5"/>
      <c r="O105" s="5">
        <v>2000</v>
      </c>
      <c r="P105" s="5">
        <v>31</v>
      </c>
      <c r="Q105" s="5">
        <v>31</v>
      </c>
      <c r="R105" s="5" t="s">
        <v>108</v>
      </c>
      <c r="S105" s="5" t="s">
        <v>109</v>
      </c>
      <c r="T105" s="5"/>
    </row>
    <row r="106" spans="1:20">
      <c r="A106" s="5">
        <v>228675</v>
      </c>
      <c r="B106" s="5" t="s">
        <v>210</v>
      </c>
      <c r="C106" s="5" t="s">
        <v>82</v>
      </c>
      <c r="D106" s="5" t="s">
        <v>5</v>
      </c>
      <c r="E106" s="5">
        <v>795.811320754717</v>
      </c>
      <c r="F106" s="5">
        <v>4.14671155578738</v>
      </c>
      <c r="G106" s="5">
        <v>4.85714285714286</v>
      </c>
      <c r="H106" s="10">
        <v>0.126582278481013</v>
      </c>
      <c r="I106" s="10">
        <v>0.689090909090909</v>
      </c>
      <c r="J106" s="10">
        <v>0</v>
      </c>
      <c r="K106" s="5">
        <v>0</v>
      </c>
      <c r="L106" s="5" t="s">
        <v>107</v>
      </c>
      <c r="M106" s="5"/>
      <c r="N106" s="5"/>
      <c r="O106" s="5">
        <v>2000</v>
      </c>
      <c r="P106" s="5">
        <v>31</v>
      </c>
      <c r="Q106" s="5">
        <v>31</v>
      </c>
      <c r="R106" s="5" t="s">
        <v>108</v>
      </c>
      <c r="S106" s="5" t="s">
        <v>109</v>
      </c>
      <c r="T106" s="5"/>
    </row>
    <row r="107" spans="1:20">
      <c r="A107" s="5">
        <v>232194</v>
      </c>
      <c r="B107" s="5" t="s">
        <v>211</v>
      </c>
      <c r="C107" s="5" t="s">
        <v>84</v>
      </c>
      <c r="D107" s="5" t="s">
        <v>5</v>
      </c>
      <c r="E107" s="5">
        <v>441.280051150895</v>
      </c>
      <c r="F107" s="5">
        <v>7.47824423830926</v>
      </c>
      <c r="G107" s="5">
        <v>4.2</v>
      </c>
      <c r="H107" s="10">
        <v>0.0744500846023689</v>
      </c>
      <c r="I107" s="10">
        <v>0.45</v>
      </c>
      <c r="J107" s="10">
        <v>0</v>
      </c>
      <c r="K107" s="5">
        <v>0</v>
      </c>
      <c r="L107" s="5" t="s">
        <v>107</v>
      </c>
      <c r="M107" s="5"/>
      <c r="N107" s="5"/>
      <c r="O107" s="5">
        <v>2000</v>
      </c>
      <c r="P107" s="5">
        <v>31</v>
      </c>
      <c r="Q107" s="5">
        <v>31</v>
      </c>
      <c r="R107" s="5" t="s">
        <v>108</v>
      </c>
      <c r="S107" s="5" t="s">
        <v>109</v>
      </c>
      <c r="T107" s="5"/>
    </row>
    <row r="108" spans="1:20">
      <c r="A108" s="5">
        <v>232187</v>
      </c>
      <c r="B108" s="5" t="s">
        <v>212</v>
      </c>
      <c r="C108" s="5" t="s">
        <v>85</v>
      </c>
      <c r="D108" s="5" t="s">
        <v>5</v>
      </c>
      <c r="E108" s="5">
        <v>515.957746478874</v>
      </c>
      <c r="F108" s="5">
        <v>6.39587257390877</v>
      </c>
      <c r="G108" s="5">
        <v>3.75</v>
      </c>
      <c r="H108" s="10">
        <v>0.152380952380952</v>
      </c>
      <c r="I108" s="10">
        <v>0.276666666666667</v>
      </c>
      <c r="J108" s="10">
        <v>0.07000000000000001</v>
      </c>
      <c r="K108" s="5">
        <v>0</v>
      </c>
      <c r="L108" s="5" t="s">
        <v>107</v>
      </c>
      <c r="M108" s="5"/>
      <c r="N108" s="5"/>
      <c r="O108" s="5">
        <v>2000</v>
      </c>
      <c r="P108" s="5">
        <v>31</v>
      </c>
      <c r="Q108" s="5">
        <v>31</v>
      </c>
      <c r="R108" s="5" t="s">
        <v>108</v>
      </c>
      <c r="S108" s="5" t="s">
        <v>109</v>
      </c>
      <c r="T108" s="5"/>
    </row>
    <row r="109" spans="1:20">
      <c r="A109" s="5">
        <v>96484</v>
      </c>
      <c r="B109" s="5" t="s">
        <v>213</v>
      </c>
      <c r="C109" s="5" t="s">
        <v>84</v>
      </c>
      <c r="D109" s="5" t="s">
        <v>5</v>
      </c>
      <c r="E109" s="5">
        <v>0</v>
      </c>
      <c r="F109" s="5">
        <v>0</v>
      </c>
      <c r="G109" s="5"/>
      <c r="H109" s="5"/>
      <c r="I109" s="5"/>
      <c r="J109" s="10">
        <v>0.95</v>
      </c>
      <c r="K109" s="5">
        <v>0</v>
      </c>
      <c r="L109" s="5" t="s">
        <v>107</v>
      </c>
      <c r="M109" s="5"/>
      <c r="N109" s="5"/>
      <c r="O109" s="5">
        <v>2000</v>
      </c>
      <c r="P109" s="5">
        <v>31</v>
      </c>
      <c r="Q109" s="5">
        <v>31</v>
      </c>
      <c r="R109" s="5" t="s">
        <v>108</v>
      </c>
      <c r="S109" s="5" t="s">
        <v>109</v>
      </c>
      <c r="T109" s="5"/>
    </row>
    <row r="110" spans="1:20">
      <c r="A110" s="5">
        <v>228214</v>
      </c>
      <c r="B110" s="5" t="s">
        <v>214</v>
      </c>
      <c r="C110" s="5" t="s">
        <v>82</v>
      </c>
      <c r="D110" s="5" t="s">
        <v>5</v>
      </c>
      <c r="E110" s="5">
        <v>579.917525773196</v>
      </c>
      <c r="F110" s="5">
        <v>5.69046433904572</v>
      </c>
      <c r="G110" s="5">
        <v>4.38461538461539</v>
      </c>
      <c r="H110" s="10">
        <v>0.3</v>
      </c>
      <c r="I110" s="10">
        <v>0.684545454545455</v>
      </c>
      <c r="J110" s="10">
        <v>0</v>
      </c>
      <c r="K110" s="5">
        <v>0</v>
      </c>
      <c r="L110" s="5" t="s">
        <v>107</v>
      </c>
      <c r="M110" s="5"/>
      <c r="N110" s="5"/>
      <c r="O110" s="5">
        <v>2000</v>
      </c>
      <c r="P110" s="5">
        <v>31</v>
      </c>
      <c r="Q110" s="5">
        <v>31</v>
      </c>
      <c r="R110" s="5" t="s">
        <v>108</v>
      </c>
      <c r="S110" s="5" t="s">
        <v>109</v>
      </c>
      <c r="T110" s="5"/>
    </row>
    <row r="111" spans="1:20">
      <c r="A111" s="5">
        <v>228209</v>
      </c>
      <c r="B111" s="5" t="s">
        <v>215</v>
      </c>
      <c r="C111" s="5" t="s">
        <v>82</v>
      </c>
      <c r="D111" s="5" t="s">
        <v>5</v>
      </c>
      <c r="E111" s="5">
        <v>727.967741935484</v>
      </c>
      <c r="F111" s="5">
        <v>4.53316790003102</v>
      </c>
      <c r="G111" s="5">
        <v>4.77777777777778</v>
      </c>
      <c r="H111" s="10">
        <v>0.21</v>
      </c>
      <c r="I111" s="10">
        <v>0.9175</v>
      </c>
      <c r="J111" s="10">
        <v>0</v>
      </c>
      <c r="K111" s="5">
        <v>0</v>
      </c>
      <c r="L111" s="5" t="s">
        <v>107</v>
      </c>
      <c r="M111" s="5"/>
      <c r="N111" s="5"/>
      <c r="O111" s="5">
        <v>2000</v>
      </c>
      <c r="P111" s="5">
        <v>31</v>
      </c>
      <c r="Q111" s="5">
        <v>31</v>
      </c>
      <c r="R111" s="5" t="s">
        <v>108</v>
      </c>
      <c r="S111" s="5" t="s">
        <v>109</v>
      </c>
      <c r="T111" s="5"/>
    </row>
    <row r="112" spans="1:20">
      <c r="A112" s="5">
        <v>250745</v>
      </c>
      <c r="B112" s="5" t="s">
        <v>216</v>
      </c>
      <c r="C112" s="5" t="s">
        <v>82</v>
      </c>
      <c r="D112" s="5" t="s">
        <v>5</v>
      </c>
      <c r="E112" s="5"/>
      <c r="F112" s="5"/>
      <c r="G112" s="5"/>
      <c r="H112" s="5"/>
      <c r="I112" s="5"/>
      <c r="J112" s="10">
        <v>0</v>
      </c>
      <c r="K112" s="5">
        <v>0</v>
      </c>
      <c r="L112" s="5" t="s">
        <v>107</v>
      </c>
      <c r="M112" s="5"/>
      <c r="N112" s="5"/>
      <c r="O112" s="5">
        <v>2000</v>
      </c>
      <c r="P112" s="5">
        <v>31</v>
      </c>
      <c r="Q112" s="5">
        <v>31</v>
      </c>
      <c r="R112" s="5" t="s">
        <v>108</v>
      </c>
      <c r="S112" s="5" t="s">
        <v>109</v>
      </c>
      <c r="T112" s="5"/>
    </row>
    <row r="113" spans="1:20">
      <c r="A113" s="5">
        <v>228666</v>
      </c>
      <c r="B113" s="5" t="s">
        <v>217</v>
      </c>
      <c r="C113" s="5" t="s">
        <v>82</v>
      </c>
      <c r="D113" s="5" t="s">
        <v>5</v>
      </c>
      <c r="E113" s="5">
        <v>608.419230769231</v>
      </c>
      <c r="F113" s="5">
        <v>5.42389167388377</v>
      </c>
      <c r="G113" s="5">
        <v>4.82608695652174</v>
      </c>
      <c r="H113" s="10">
        <v>0.207317073170732</v>
      </c>
      <c r="I113" s="10">
        <v>0.765384615384615</v>
      </c>
      <c r="J113" s="10">
        <v>0</v>
      </c>
      <c r="K113" s="5">
        <v>0</v>
      </c>
      <c r="L113" s="5" t="s">
        <v>107</v>
      </c>
      <c r="M113" s="5"/>
      <c r="N113" s="5"/>
      <c r="O113" s="5">
        <v>2000</v>
      </c>
      <c r="P113" s="5">
        <v>31</v>
      </c>
      <c r="Q113" s="5">
        <v>31</v>
      </c>
      <c r="R113" s="5" t="s">
        <v>108</v>
      </c>
      <c r="S113" s="5" t="s">
        <v>109</v>
      </c>
      <c r="T113" s="5"/>
    </row>
    <row r="114" spans="1:20">
      <c r="A114" s="5">
        <v>205266</v>
      </c>
      <c r="B114" s="5" t="s">
        <v>218</v>
      </c>
      <c r="C114" s="5" t="s">
        <v>82</v>
      </c>
      <c r="D114" s="5" t="s">
        <v>5</v>
      </c>
      <c r="E114" s="5"/>
      <c r="F114" s="5"/>
      <c r="G114" s="5"/>
      <c r="H114" s="5"/>
      <c r="I114" s="5"/>
      <c r="J114" s="10">
        <v>0.96</v>
      </c>
      <c r="K114" s="5">
        <v>0</v>
      </c>
      <c r="L114" s="5" t="s">
        <v>107</v>
      </c>
      <c r="M114" s="5"/>
      <c r="N114" s="5"/>
      <c r="O114" s="5">
        <v>2000</v>
      </c>
      <c r="P114" s="5">
        <v>31</v>
      </c>
      <c r="Q114" s="5">
        <v>31</v>
      </c>
      <c r="R114" s="5" t="s">
        <v>108</v>
      </c>
      <c r="S114" s="5" t="s">
        <v>109</v>
      </c>
      <c r="T114" s="5"/>
    </row>
    <row r="115" spans="1:20">
      <c r="A115" s="5">
        <v>244556</v>
      </c>
      <c r="B115" s="5" t="s">
        <v>219</v>
      </c>
      <c r="C115" s="5" t="s">
        <v>84</v>
      </c>
      <c r="D115" s="5" t="s">
        <v>5</v>
      </c>
      <c r="E115" s="5"/>
      <c r="F115" s="5"/>
      <c r="G115" s="5">
        <v>0</v>
      </c>
      <c r="H115" s="10">
        <v>0</v>
      </c>
      <c r="I115" s="5"/>
      <c r="J115" s="5"/>
      <c r="K115" s="5">
        <v>0</v>
      </c>
      <c r="L115" s="5" t="s">
        <v>107</v>
      </c>
      <c r="M115" s="5"/>
      <c r="N115" s="5"/>
      <c r="O115" s="5">
        <v>2000</v>
      </c>
      <c r="P115" s="5">
        <v>31</v>
      </c>
      <c r="Q115" s="5">
        <v>31</v>
      </c>
      <c r="R115" s="5" t="s">
        <v>108</v>
      </c>
      <c r="S115" s="5" t="s">
        <v>109</v>
      </c>
      <c r="T115" s="5"/>
    </row>
    <row r="116" spans="1:20">
      <c r="A116" s="5">
        <v>250748</v>
      </c>
      <c r="B116" s="5" t="s">
        <v>220</v>
      </c>
      <c r="C116" s="5" t="s">
        <v>82</v>
      </c>
      <c r="D116" s="5" t="s">
        <v>5</v>
      </c>
      <c r="E116" s="5"/>
      <c r="F116" s="5"/>
      <c r="G116" s="5"/>
      <c r="H116" s="5"/>
      <c r="I116" s="5"/>
      <c r="J116" s="10">
        <v>0</v>
      </c>
      <c r="K116" s="5">
        <v>0</v>
      </c>
      <c r="L116" s="5" t="s">
        <v>107</v>
      </c>
      <c r="M116" s="5"/>
      <c r="N116" s="5"/>
      <c r="O116" s="5">
        <v>2000</v>
      </c>
      <c r="P116" s="5">
        <v>31</v>
      </c>
      <c r="Q116" s="5">
        <v>31</v>
      </c>
      <c r="R116" s="5" t="s">
        <v>108</v>
      </c>
      <c r="S116" s="5" t="s">
        <v>109</v>
      </c>
      <c r="T116" s="5"/>
    </row>
    <row r="117" spans="1:20">
      <c r="A117" s="5">
        <v>249779</v>
      </c>
      <c r="B117" s="5" t="s">
        <v>221</v>
      </c>
      <c r="C117" s="5" t="s">
        <v>83</v>
      </c>
      <c r="D117" s="5" t="s">
        <v>5</v>
      </c>
      <c r="E117" s="5"/>
      <c r="F117" s="5"/>
      <c r="G117" s="5"/>
      <c r="H117" s="5"/>
      <c r="I117" s="5"/>
      <c r="J117" s="10">
        <v>0</v>
      </c>
      <c r="K117" s="5">
        <v>0</v>
      </c>
      <c r="L117" s="5" t="s">
        <v>107</v>
      </c>
      <c r="M117" s="5"/>
      <c r="N117" s="5"/>
      <c r="O117" s="5">
        <v>2000</v>
      </c>
      <c r="P117" s="5">
        <v>31</v>
      </c>
      <c r="Q117" s="5">
        <v>31</v>
      </c>
      <c r="R117" s="5" t="s">
        <v>108</v>
      </c>
      <c r="S117" s="5" t="s">
        <v>109</v>
      </c>
      <c r="T117" s="5"/>
    </row>
    <row r="118" spans="1:20">
      <c r="A118" s="5">
        <v>250741</v>
      </c>
      <c r="B118" s="5" t="s">
        <v>222</v>
      </c>
      <c r="C118" s="5" t="s">
        <v>82</v>
      </c>
      <c r="D118" s="5" t="s">
        <v>5</v>
      </c>
      <c r="E118" s="5"/>
      <c r="F118" s="5"/>
      <c r="G118" s="5"/>
      <c r="H118" s="5"/>
      <c r="I118" s="5"/>
      <c r="J118" s="10">
        <v>0</v>
      </c>
      <c r="K118" s="5">
        <v>0</v>
      </c>
      <c r="L118" s="5" t="s">
        <v>107</v>
      </c>
      <c r="M118" s="5"/>
      <c r="N118" s="5"/>
      <c r="O118" s="5">
        <v>2000</v>
      </c>
      <c r="P118" s="5">
        <v>31</v>
      </c>
      <c r="Q118" s="5">
        <v>31</v>
      </c>
      <c r="R118" s="5" t="s">
        <v>108</v>
      </c>
      <c r="S118" s="5" t="s">
        <v>109</v>
      </c>
      <c r="T118" s="5"/>
    </row>
    <row r="119" spans="1:20">
      <c r="A119" s="5">
        <v>144564</v>
      </c>
      <c r="B119" s="5" t="s">
        <v>223</v>
      </c>
      <c r="C119" s="5" t="s">
        <v>83</v>
      </c>
      <c r="D119" s="5" t="s">
        <v>5</v>
      </c>
      <c r="E119" s="5">
        <v>311.422572178478</v>
      </c>
      <c r="F119" s="5">
        <v>10.5965344031285</v>
      </c>
      <c r="G119" s="5">
        <v>3.25925925925926</v>
      </c>
      <c r="H119" s="10">
        <v>0.101587301587302</v>
      </c>
      <c r="I119" s="10">
        <v>0.895</v>
      </c>
      <c r="J119" s="10">
        <v>0.06</v>
      </c>
      <c r="K119" s="5">
        <v>0</v>
      </c>
      <c r="L119" s="5" t="s">
        <v>107</v>
      </c>
      <c r="M119" s="5"/>
      <c r="N119" s="5"/>
      <c r="O119" s="5">
        <v>2000</v>
      </c>
      <c r="P119" s="5">
        <v>31</v>
      </c>
      <c r="Q119" s="5">
        <v>31</v>
      </c>
      <c r="R119" s="5" t="s">
        <v>108</v>
      </c>
      <c r="S119" s="5" t="s">
        <v>109</v>
      </c>
      <c r="T119" s="5"/>
    </row>
    <row r="120" spans="1:20">
      <c r="A120" s="5">
        <v>224099</v>
      </c>
      <c r="B120" s="5" t="s">
        <v>224</v>
      </c>
      <c r="C120" s="5" t="s">
        <v>84</v>
      </c>
      <c r="D120" s="5" t="s">
        <v>5</v>
      </c>
      <c r="E120" s="5">
        <v>273.486949429038</v>
      </c>
      <c r="F120" s="5">
        <v>12.0663892989755</v>
      </c>
      <c r="G120" s="5">
        <v>2.29090909090909</v>
      </c>
      <c r="H120" s="10">
        <v>0.0892857142857143</v>
      </c>
      <c r="I120" s="10">
        <v>0</v>
      </c>
      <c r="J120" s="10">
        <v>0.05</v>
      </c>
      <c r="K120" s="5">
        <v>0</v>
      </c>
      <c r="L120" s="5" t="s">
        <v>107</v>
      </c>
      <c r="M120" s="5"/>
      <c r="N120" s="5"/>
      <c r="O120" s="5">
        <v>2000</v>
      </c>
      <c r="P120" s="5">
        <v>31</v>
      </c>
      <c r="Q120" s="5">
        <v>31</v>
      </c>
      <c r="R120" s="5" t="s">
        <v>108</v>
      </c>
      <c r="S120" s="5" t="s">
        <v>109</v>
      </c>
      <c r="T120" s="5"/>
    </row>
    <row r="121" spans="1:20">
      <c r="A121" s="5">
        <v>203079</v>
      </c>
      <c r="B121" s="5" t="s">
        <v>225</v>
      </c>
      <c r="C121" s="5" t="s">
        <v>83</v>
      </c>
      <c r="D121" s="5" t="s">
        <v>5</v>
      </c>
      <c r="E121" s="5">
        <v>446.309572301426</v>
      </c>
      <c r="F121" s="5">
        <v>7.39397092243244</v>
      </c>
      <c r="G121" s="5">
        <v>3.21428571428571</v>
      </c>
      <c r="H121" s="10">
        <v>0.100529100529101</v>
      </c>
      <c r="I121" s="10">
        <v>0.8725000000000001</v>
      </c>
      <c r="J121" s="10">
        <v>0</v>
      </c>
      <c r="K121" s="5">
        <v>0</v>
      </c>
      <c r="L121" s="5" t="s">
        <v>107</v>
      </c>
      <c r="M121" s="5"/>
      <c r="N121" s="5"/>
      <c r="O121" s="5">
        <v>2000</v>
      </c>
      <c r="P121" s="5">
        <v>31</v>
      </c>
      <c r="Q121" s="5">
        <v>31</v>
      </c>
      <c r="R121" s="5" t="s">
        <v>108</v>
      </c>
      <c r="S121" s="5" t="s">
        <v>109</v>
      </c>
      <c r="T121" s="5"/>
    </row>
    <row r="122" spans="1:20">
      <c r="A122" s="5">
        <v>204048</v>
      </c>
      <c r="B122" s="5" t="s">
        <v>226</v>
      </c>
      <c r="C122" s="5" t="s">
        <v>81</v>
      </c>
      <c r="D122" s="5" t="s">
        <v>5</v>
      </c>
      <c r="E122" s="5">
        <v>541.8154121863799</v>
      </c>
      <c r="F122" s="5">
        <v>6.09063516056798</v>
      </c>
      <c r="G122" s="5">
        <v>4.5945945945946</v>
      </c>
      <c r="H122" s="10">
        <v>0.107070707070707</v>
      </c>
      <c r="I122" s="10">
        <v>0.2</v>
      </c>
      <c r="J122" s="10">
        <v>0</v>
      </c>
      <c r="K122" s="5">
        <v>0</v>
      </c>
      <c r="L122" s="5" t="s">
        <v>107</v>
      </c>
      <c r="M122" s="5"/>
      <c r="N122" s="5"/>
      <c r="O122" s="5">
        <v>2000</v>
      </c>
      <c r="P122" s="5">
        <v>31</v>
      </c>
      <c r="Q122" s="5">
        <v>31</v>
      </c>
      <c r="R122" s="5" t="s">
        <v>108</v>
      </c>
      <c r="S122" s="5" t="s">
        <v>109</v>
      </c>
      <c r="T122" s="5"/>
    </row>
    <row r="123" spans="1:20">
      <c r="A123" s="5">
        <v>248342</v>
      </c>
      <c r="B123" s="5" t="s">
        <v>227</v>
      </c>
      <c r="C123" s="5" t="s">
        <v>84</v>
      </c>
      <c r="D123" s="5" t="s">
        <v>5</v>
      </c>
      <c r="E123" s="5"/>
      <c r="F123" s="5"/>
      <c r="G123" s="5"/>
      <c r="H123" s="5"/>
      <c r="I123" s="5"/>
      <c r="J123" s="5"/>
      <c r="K123" s="5">
        <v>0</v>
      </c>
      <c r="L123" s="5" t="s">
        <v>107</v>
      </c>
      <c r="M123" s="5"/>
      <c r="N123" s="5"/>
      <c r="O123" s="5">
        <v>2000</v>
      </c>
      <c r="P123" s="5">
        <v>31</v>
      </c>
      <c r="Q123" s="5">
        <v>31</v>
      </c>
      <c r="R123" s="5" t="s">
        <v>108</v>
      </c>
      <c r="S123" s="5" t="s">
        <v>109</v>
      </c>
      <c r="T123" s="5"/>
    </row>
    <row r="124" spans="1:20">
      <c r="A124" s="5">
        <v>204043</v>
      </c>
      <c r="B124" s="5" t="s">
        <v>228</v>
      </c>
      <c r="C124" s="5" t="s">
        <v>81</v>
      </c>
      <c r="D124" s="5" t="s">
        <v>5</v>
      </c>
      <c r="E124" s="5">
        <v>459.242857142857</v>
      </c>
      <c r="F124" s="5">
        <v>7.18574050455719</v>
      </c>
      <c r="G124" s="5">
        <v>4.22222222222222</v>
      </c>
      <c r="H124" s="10">
        <v>0.19672131147541</v>
      </c>
      <c r="I124" s="10">
        <v>0.333333333333333</v>
      </c>
      <c r="J124" s="10">
        <v>0.34</v>
      </c>
      <c r="K124" s="5">
        <v>0</v>
      </c>
      <c r="L124" s="5" t="s">
        <v>107</v>
      </c>
      <c r="M124" s="5"/>
      <c r="N124" s="5"/>
      <c r="O124" s="5">
        <v>2000</v>
      </c>
      <c r="P124" s="5">
        <v>31</v>
      </c>
      <c r="Q124" s="5">
        <v>31</v>
      </c>
      <c r="R124" s="5" t="s">
        <v>108</v>
      </c>
      <c r="S124" s="5" t="s">
        <v>109</v>
      </c>
      <c r="T124" s="5"/>
    </row>
    <row r="125" spans="1:20">
      <c r="A125" s="5">
        <v>232197</v>
      </c>
      <c r="B125" s="5" t="s">
        <v>229</v>
      </c>
      <c r="C125" s="5" t="s">
        <v>84</v>
      </c>
      <c r="D125" s="5" t="s">
        <v>5</v>
      </c>
      <c r="E125" s="5">
        <v>407.065151515152</v>
      </c>
      <c r="F125" s="5">
        <v>8.10681039071252</v>
      </c>
      <c r="G125" s="5">
        <v>3.58064516129032</v>
      </c>
      <c r="H125" s="10">
        <v>0.0831556503198294</v>
      </c>
      <c r="I125" s="10">
        <v>0.385</v>
      </c>
      <c r="J125" s="10">
        <v>0.15</v>
      </c>
      <c r="K125" s="5">
        <v>0</v>
      </c>
      <c r="L125" s="5" t="s">
        <v>107</v>
      </c>
      <c r="M125" s="5"/>
      <c r="N125" s="5"/>
      <c r="O125" s="5">
        <v>2000</v>
      </c>
      <c r="P125" s="5">
        <v>31</v>
      </c>
      <c r="Q125" s="5">
        <v>31</v>
      </c>
      <c r="R125" s="5" t="s">
        <v>108</v>
      </c>
      <c r="S125" s="5" t="s">
        <v>109</v>
      </c>
      <c r="T125" s="5"/>
    </row>
    <row r="126" spans="1:20">
      <c r="A126" s="5">
        <v>228210</v>
      </c>
      <c r="B126" s="5" t="s">
        <v>230</v>
      </c>
      <c r="C126" s="5" t="s">
        <v>82</v>
      </c>
      <c r="D126" s="5" t="s">
        <v>5</v>
      </c>
      <c r="E126" s="5">
        <v>498.027093596059</v>
      </c>
      <c r="F126" s="5">
        <v>6.62614552989876</v>
      </c>
      <c r="G126" s="5">
        <v>4.65384615384615</v>
      </c>
      <c r="H126" s="10">
        <v>0.18957345971564</v>
      </c>
      <c r="I126" s="10">
        <v>0.451666666666667</v>
      </c>
      <c r="J126" s="10">
        <v>0</v>
      </c>
      <c r="K126" s="5">
        <v>0</v>
      </c>
      <c r="L126" s="5" t="s">
        <v>107</v>
      </c>
      <c r="M126" s="5"/>
      <c r="N126" s="5"/>
      <c r="O126" s="5">
        <v>2000</v>
      </c>
      <c r="P126" s="5">
        <v>31</v>
      </c>
      <c r="Q126" s="5">
        <v>31</v>
      </c>
      <c r="R126" s="5" t="s">
        <v>108</v>
      </c>
      <c r="S126" s="5" t="s">
        <v>109</v>
      </c>
      <c r="T126" s="5"/>
    </row>
    <row r="127" spans="1:20">
      <c r="A127" s="5">
        <v>96465</v>
      </c>
      <c r="B127" s="5" t="s">
        <v>231</v>
      </c>
      <c r="C127" s="5" t="s">
        <v>84</v>
      </c>
      <c r="D127" s="5" t="s">
        <v>5</v>
      </c>
      <c r="E127" s="5">
        <v>331.21582733813</v>
      </c>
      <c r="F127" s="5">
        <v>9.96329199157236</v>
      </c>
      <c r="G127" s="5">
        <v>4.34883720930233</v>
      </c>
      <c r="H127" s="10">
        <v>0.103270223752152</v>
      </c>
      <c r="I127" s="10">
        <v>0.276666666666667</v>
      </c>
      <c r="J127" s="10">
        <v>0.05</v>
      </c>
      <c r="K127" s="5">
        <v>0</v>
      </c>
      <c r="L127" s="5" t="s">
        <v>107</v>
      </c>
      <c r="M127" s="5"/>
      <c r="N127" s="5"/>
      <c r="O127" s="5">
        <v>2000</v>
      </c>
      <c r="P127" s="5">
        <v>31</v>
      </c>
      <c r="Q127" s="5">
        <v>31</v>
      </c>
      <c r="R127" s="5" t="s">
        <v>108</v>
      </c>
      <c r="S127" s="5" t="s">
        <v>109</v>
      </c>
      <c r="T127" s="5"/>
    </row>
    <row r="128" spans="1:20">
      <c r="A128" s="5">
        <v>203620</v>
      </c>
      <c r="B128" s="5" t="s">
        <v>232</v>
      </c>
      <c r="C128" s="5" t="s">
        <v>82</v>
      </c>
      <c r="D128" s="5" t="s">
        <v>5</v>
      </c>
      <c r="E128" s="5">
        <v>325.547297297297</v>
      </c>
      <c r="F128" s="5">
        <v>10.1367759075154</v>
      </c>
      <c r="G128" s="5">
        <v>3.70588235294118</v>
      </c>
      <c r="H128" s="10">
        <v>0.115646258503401</v>
      </c>
      <c r="I128" s="10">
        <v>0.695454545454545</v>
      </c>
      <c r="J128" s="10">
        <v>0</v>
      </c>
      <c r="K128" s="5">
        <v>0</v>
      </c>
      <c r="L128" s="5" t="s">
        <v>107</v>
      </c>
      <c r="M128" s="5"/>
      <c r="N128" s="5"/>
      <c r="O128" s="5">
        <v>2000</v>
      </c>
      <c r="P128" s="5">
        <v>31</v>
      </c>
      <c r="Q128" s="5">
        <v>31</v>
      </c>
      <c r="R128" s="5" t="s">
        <v>108</v>
      </c>
      <c r="S128" s="5" t="s">
        <v>109</v>
      </c>
      <c r="T128" s="5"/>
    </row>
    <row r="129" spans="1:20">
      <c r="A129" s="5">
        <v>96476</v>
      </c>
      <c r="B129" s="5" t="s">
        <v>233</v>
      </c>
      <c r="C129" s="5" t="s">
        <v>84</v>
      </c>
      <c r="D129" s="5" t="s">
        <v>5</v>
      </c>
      <c r="E129" s="5">
        <v>187.048850574713</v>
      </c>
      <c r="F129" s="5">
        <v>17.6424500330297</v>
      </c>
      <c r="G129" s="5">
        <v>0</v>
      </c>
      <c r="H129" s="10">
        <v>0</v>
      </c>
      <c r="I129" s="5"/>
      <c r="J129" s="10">
        <v>0</v>
      </c>
      <c r="K129" s="5">
        <v>0</v>
      </c>
      <c r="L129" s="5" t="s">
        <v>107</v>
      </c>
      <c r="M129" s="5"/>
      <c r="N129" s="5"/>
      <c r="O129" s="5">
        <v>2000</v>
      </c>
      <c r="P129" s="5">
        <v>31</v>
      </c>
      <c r="Q129" s="5">
        <v>31</v>
      </c>
      <c r="R129" s="5" t="s">
        <v>108</v>
      </c>
      <c r="S129" s="5" t="s">
        <v>109</v>
      </c>
      <c r="T129" s="5"/>
    </row>
    <row r="130" spans="1:20">
      <c r="A130" s="5">
        <v>223879</v>
      </c>
      <c r="B130" s="5" t="s">
        <v>234</v>
      </c>
      <c r="C130" s="5" t="s">
        <v>83</v>
      </c>
      <c r="D130" s="5" t="s">
        <v>5</v>
      </c>
      <c r="E130" s="5">
        <v>445.019230769231</v>
      </c>
      <c r="F130" s="5">
        <v>7.4154098785705</v>
      </c>
      <c r="G130" s="5">
        <v>3.8</v>
      </c>
      <c r="H130" s="10">
        <v>0.0833333333333333</v>
      </c>
      <c r="I130" s="10">
        <v>0.635</v>
      </c>
      <c r="J130" s="10">
        <v>0</v>
      </c>
      <c r="K130" s="5">
        <v>0</v>
      </c>
      <c r="L130" s="5" t="s">
        <v>107</v>
      </c>
      <c r="M130" s="5"/>
      <c r="N130" s="5"/>
      <c r="O130" s="5">
        <v>2000</v>
      </c>
      <c r="P130" s="5">
        <v>31</v>
      </c>
      <c r="Q130" s="5">
        <v>31</v>
      </c>
      <c r="R130" s="5" t="s">
        <v>108</v>
      </c>
      <c r="S130" s="5" t="s">
        <v>109</v>
      </c>
      <c r="T130" s="5"/>
    </row>
    <row r="131" spans="1:20">
      <c r="A131" s="5">
        <v>206139</v>
      </c>
      <c r="B131" s="5" t="s">
        <v>235</v>
      </c>
      <c r="C131" s="5" t="s">
        <v>82</v>
      </c>
      <c r="D131" s="5" t="s">
        <v>5</v>
      </c>
      <c r="E131" s="5"/>
      <c r="F131" s="5"/>
      <c r="G131" s="5">
        <v>4.68181818181818</v>
      </c>
      <c r="H131" s="10">
        <v>0.14622641509434</v>
      </c>
      <c r="I131" s="10">
        <v>0.855</v>
      </c>
      <c r="J131" s="10">
        <v>0</v>
      </c>
      <c r="K131" s="5">
        <v>0</v>
      </c>
      <c r="L131" s="5" t="s">
        <v>107</v>
      </c>
      <c r="M131" s="5"/>
      <c r="N131" s="5"/>
      <c r="O131" s="5">
        <v>2000</v>
      </c>
      <c r="P131" s="5">
        <v>31</v>
      </c>
      <c r="Q131" s="5">
        <v>31</v>
      </c>
      <c r="R131" s="5" t="s">
        <v>108</v>
      </c>
      <c r="S131" s="5" t="s">
        <v>109</v>
      </c>
      <c r="T131" s="5"/>
    </row>
    <row r="132" spans="1:20">
      <c r="A132" s="5">
        <v>204042</v>
      </c>
      <c r="B132" s="5" t="s">
        <v>236</v>
      </c>
      <c r="C132" s="5" t="s">
        <v>81</v>
      </c>
      <c r="D132" s="5" t="s">
        <v>5</v>
      </c>
      <c r="E132" s="5">
        <v>360.654929577465</v>
      </c>
      <c r="F132" s="5">
        <v>9.150020502606759</v>
      </c>
      <c r="G132" s="5">
        <v>4.5</v>
      </c>
      <c r="H132" s="10">
        <v>0.0437956204379562</v>
      </c>
      <c r="I132" s="10">
        <v>0</v>
      </c>
      <c r="J132" s="10">
        <v>0</v>
      </c>
      <c r="K132" s="5">
        <v>0</v>
      </c>
      <c r="L132" s="5" t="s">
        <v>107</v>
      </c>
      <c r="M132" s="5"/>
      <c r="N132" s="5"/>
      <c r="O132" s="5">
        <v>2000</v>
      </c>
      <c r="P132" s="5">
        <v>31</v>
      </c>
      <c r="Q132" s="5">
        <v>31</v>
      </c>
      <c r="R132" s="5" t="s">
        <v>108</v>
      </c>
      <c r="S132" s="5" t="s">
        <v>109</v>
      </c>
      <c r="T132" s="5"/>
    </row>
    <row r="133" spans="1:20">
      <c r="A133" s="5">
        <v>221519</v>
      </c>
      <c r="B133" s="5" t="s">
        <v>237</v>
      </c>
      <c r="C133" s="5" t="s">
        <v>84</v>
      </c>
      <c r="D133" s="5" t="s">
        <v>5</v>
      </c>
      <c r="E133" s="5">
        <v>353.985568760612</v>
      </c>
      <c r="F133" s="5">
        <v>9.322413937816989</v>
      </c>
      <c r="G133" s="5">
        <v>4.29268292682927</v>
      </c>
      <c r="H133" s="10">
        <v>0.0631704410011919</v>
      </c>
      <c r="I133" s="10">
        <v>0.22</v>
      </c>
      <c r="J133" s="10">
        <v>0.04</v>
      </c>
      <c r="K133" s="5">
        <v>0</v>
      </c>
      <c r="L133" s="5" t="s">
        <v>107</v>
      </c>
      <c r="M133" s="5"/>
      <c r="N133" s="5"/>
      <c r="O133" s="5">
        <v>2000</v>
      </c>
      <c r="P133" s="5">
        <v>31</v>
      </c>
      <c r="Q133" s="5">
        <v>31</v>
      </c>
      <c r="R133" s="5" t="s">
        <v>108</v>
      </c>
      <c r="S133" s="5" t="s">
        <v>109</v>
      </c>
      <c r="T133" s="5"/>
    </row>
    <row r="134" spans="1:20">
      <c r="A134" s="5">
        <v>199550</v>
      </c>
      <c r="B134" s="5" t="s">
        <v>238</v>
      </c>
      <c r="C134" s="5" t="s">
        <v>85</v>
      </c>
      <c r="D134" s="5" t="s">
        <v>5</v>
      </c>
      <c r="E134" s="5">
        <v>328.652452025587</v>
      </c>
      <c r="F134" s="5">
        <v>10.041002218791</v>
      </c>
      <c r="G134" s="5">
        <v>4.14285714285714</v>
      </c>
      <c r="H134" s="10">
        <v>0.0532212885154062</v>
      </c>
      <c r="I134" s="10">
        <v>0.6899999999999999</v>
      </c>
      <c r="J134" s="10">
        <v>0.1</v>
      </c>
      <c r="K134" s="5">
        <v>0</v>
      </c>
      <c r="L134" s="5" t="s">
        <v>107</v>
      </c>
      <c r="M134" s="5"/>
      <c r="N134" s="5"/>
      <c r="O134" s="5">
        <v>2000</v>
      </c>
      <c r="P134" s="5">
        <v>31</v>
      </c>
      <c r="Q134" s="5">
        <v>31</v>
      </c>
      <c r="R134" s="5" t="s">
        <v>108</v>
      </c>
      <c r="S134" s="5" t="s">
        <v>109</v>
      </c>
      <c r="T134" s="5"/>
    </row>
    <row r="135" spans="1:20">
      <c r="A135" s="5">
        <v>230748</v>
      </c>
      <c r="B135" s="5" t="s">
        <v>239</v>
      </c>
      <c r="C135" s="5" t="s">
        <v>82</v>
      </c>
      <c r="D135" s="5" t="s">
        <v>5</v>
      </c>
      <c r="E135" s="5">
        <v>421.044247787611</v>
      </c>
      <c r="F135" s="5">
        <v>7.83765605952331</v>
      </c>
      <c r="G135" s="5">
        <v>4.2972972972973</v>
      </c>
      <c r="H135" s="10">
        <v>0.293103448275862</v>
      </c>
      <c r="I135" s="10">
        <v>0.602222222222222</v>
      </c>
      <c r="J135" s="10">
        <v>0</v>
      </c>
      <c r="K135" s="5">
        <v>0</v>
      </c>
      <c r="L135" s="5" t="s">
        <v>107</v>
      </c>
      <c r="M135" s="5"/>
      <c r="N135" s="5"/>
      <c r="O135" s="5">
        <v>2000</v>
      </c>
      <c r="P135" s="5">
        <v>31</v>
      </c>
      <c r="Q135" s="5">
        <v>31</v>
      </c>
      <c r="R135" s="5" t="s">
        <v>108</v>
      </c>
      <c r="S135" s="5" t="s">
        <v>109</v>
      </c>
      <c r="T135" s="5"/>
    </row>
    <row r="136" spans="1:20">
      <c r="A136" s="5">
        <v>104456</v>
      </c>
      <c r="B136" s="5" t="s">
        <v>240</v>
      </c>
      <c r="C136" s="5" t="s">
        <v>84</v>
      </c>
      <c r="D136" s="5" t="s">
        <v>5</v>
      </c>
      <c r="E136" s="5">
        <v>257.258865248227</v>
      </c>
      <c r="F136" s="5">
        <v>12.8275462803424</v>
      </c>
      <c r="G136" s="5">
        <v>1.8</v>
      </c>
      <c r="H136" s="10">
        <v>0.0731707317073171</v>
      </c>
      <c r="I136" s="10">
        <v>0.903333333333333</v>
      </c>
      <c r="J136" s="10">
        <v>0</v>
      </c>
      <c r="K136" s="5">
        <v>0</v>
      </c>
      <c r="L136" s="5" t="s">
        <v>107</v>
      </c>
      <c r="M136" s="5"/>
      <c r="N136" s="5"/>
      <c r="O136" s="5">
        <v>2000</v>
      </c>
      <c r="P136" s="5">
        <v>31</v>
      </c>
      <c r="Q136" s="5">
        <v>31</v>
      </c>
      <c r="R136" s="5" t="s">
        <v>108</v>
      </c>
      <c r="S136" s="5" t="s">
        <v>109</v>
      </c>
      <c r="T136" s="5"/>
    </row>
    <row r="137" spans="1:20">
      <c r="A137" s="5">
        <v>203636</v>
      </c>
      <c r="B137" s="5" t="s">
        <v>241</v>
      </c>
      <c r="C137" s="5" t="s">
        <v>82</v>
      </c>
      <c r="D137" s="5" t="s">
        <v>5</v>
      </c>
      <c r="E137" s="5">
        <v>479.886850152905</v>
      </c>
      <c r="F137" s="5">
        <v>6.87662101795148</v>
      </c>
      <c r="G137" s="5">
        <v>4.66666666666667</v>
      </c>
      <c r="H137" s="10">
        <v>0.303030303030303</v>
      </c>
      <c r="I137" s="10">
        <v>0.618571428571429</v>
      </c>
      <c r="J137" s="10">
        <v>0</v>
      </c>
      <c r="K137" s="5">
        <v>0</v>
      </c>
      <c r="L137" s="5" t="s">
        <v>107</v>
      </c>
      <c r="M137" s="5"/>
      <c r="N137" s="5"/>
      <c r="O137" s="5">
        <v>2000</v>
      </c>
      <c r="P137" s="5">
        <v>31</v>
      </c>
      <c r="Q137" s="5">
        <v>31</v>
      </c>
      <c r="R137" s="5" t="s">
        <v>108</v>
      </c>
      <c r="S137" s="5" t="s">
        <v>109</v>
      </c>
      <c r="T137" s="5"/>
    </row>
    <row r="138" spans="1:20">
      <c r="A138" s="5">
        <v>228670</v>
      </c>
      <c r="B138" s="5" t="s">
        <v>242</v>
      </c>
      <c r="C138" s="5" t="s">
        <v>82</v>
      </c>
      <c r="D138" s="5" t="s">
        <v>5</v>
      </c>
      <c r="E138" s="5">
        <v>525.492647058823</v>
      </c>
      <c r="F138" s="5">
        <v>6.27982145605664</v>
      </c>
      <c r="G138" s="5">
        <v>3.1875</v>
      </c>
      <c r="H138" s="10">
        <v>0.128712871287129</v>
      </c>
      <c r="I138" s="10">
        <v>0.529285714285714</v>
      </c>
      <c r="J138" s="10">
        <v>0</v>
      </c>
      <c r="K138" s="5">
        <v>0</v>
      </c>
      <c r="L138" s="5" t="s">
        <v>107</v>
      </c>
      <c r="M138" s="5"/>
      <c r="N138" s="5"/>
      <c r="O138" s="5">
        <v>2000</v>
      </c>
      <c r="P138" s="5">
        <v>31</v>
      </c>
      <c r="Q138" s="5">
        <v>31</v>
      </c>
      <c r="R138" s="5" t="s">
        <v>108</v>
      </c>
      <c r="S138" s="5" t="s">
        <v>109</v>
      </c>
      <c r="T138" s="5"/>
    </row>
    <row r="139" spans="1:20">
      <c r="A139" s="5">
        <v>224097</v>
      </c>
      <c r="B139" s="5" t="s">
        <v>243</v>
      </c>
      <c r="C139" s="5" t="s">
        <v>84</v>
      </c>
      <c r="D139" s="5" t="s">
        <v>5</v>
      </c>
      <c r="E139" s="5">
        <v>392.962814070352</v>
      </c>
      <c r="F139" s="5">
        <v>8.39774116491644</v>
      </c>
      <c r="G139" s="5">
        <v>4.35555555555556</v>
      </c>
      <c r="H139" s="10">
        <v>0.0841514726507714</v>
      </c>
      <c r="I139" s="10">
        <v>0.61</v>
      </c>
      <c r="J139" s="10">
        <v>0</v>
      </c>
      <c r="K139" s="5">
        <v>0</v>
      </c>
      <c r="L139" s="5" t="s">
        <v>107</v>
      </c>
      <c r="M139" s="5"/>
      <c r="N139" s="5"/>
      <c r="O139" s="5">
        <v>2000</v>
      </c>
      <c r="P139" s="5">
        <v>31</v>
      </c>
      <c r="Q139" s="5">
        <v>31</v>
      </c>
      <c r="R139" s="5" t="s">
        <v>108</v>
      </c>
      <c r="S139" s="5" t="s">
        <v>109</v>
      </c>
      <c r="T139" s="5"/>
    </row>
    <row r="140" spans="1:20">
      <c r="A140" s="5">
        <v>96517</v>
      </c>
      <c r="B140" s="5" t="s">
        <v>244</v>
      </c>
      <c r="C140" s="5" t="s">
        <v>84</v>
      </c>
      <c r="D140" s="5" t="s">
        <v>5</v>
      </c>
      <c r="E140" s="5">
        <v>259.656509695291</v>
      </c>
      <c r="F140" s="5">
        <v>12.7090978919519</v>
      </c>
      <c r="G140" s="5">
        <v>2.05263157894737</v>
      </c>
      <c r="H140" s="10">
        <v>0.108108108108108</v>
      </c>
      <c r="I140" s="10">
        <v>0.415</v>
      </c>
      <c r="J140" s="10">
        <v>0.48</v>
      </c>
      <c r="K140" s="5">
        <v>0</v>
      </c>
      <c r="L140" s="5" t="s">
        <v>107</v>
      </c>
      <c r="M140" s="5"/>
      <c r="N140" s="5"/>
      <c r="O140" s="5">
        <v>2000</v>
      </c>
      <c r="P140" s="5">
        <v>31</v>
      </c>
      <c r="Q140" s="5">
        <v>31</v>
      </c>
      <c r="R140" s="5" t="s">
        <v>108</v>
      </c>
      <c r="S140" s="5" t="s">
        <v>109</v>
      </c>
      <c r="T140" s="5"/>
    </row>
    <row r="141" spans="1:20">
      <c r="A141" s="5">
        <v>96520</v>
      </c>
      <c r="B141" s="5" t="s">
        <v>245</v>
      </c>
      <c r="C141" s="5" t="s">
        <v>85</v>
      </c>
      <c r="D141" s="5" t="s">
        <v>5</v>
      </c>
      <c r="E141" s="5">
        <v>273.519327731093</v>
      </c>
      <c r="F141" s="5">
        <v>12.0649609202183</v>
      </c>
      <c r="G141" s="5">
        <v>2.625</v>
      </c>
      <c r="H141" s="10">
        <v>0.0787589498806683</v>
      </c>
      <c r="I141" s="10">
        <v>0.552</v>
      </c>
      <c r="J141" s="10">
        <v>0</v>
      </c>
      <c r="K141" s="5">
        <v>0</v>
      </c>
      <c r="L141" s="5" t="s">
        <v>107</v>
      </c>
      <c r="M141" s="5"/>
      <c r="N141" s="5"/>
      <c r="O141" s="5">
        <v>2000</v>
      </c>
      <c r="P141" s="5">
        <v>31</v>
      </c>
      <c r="Q141" s="5">
        <v>31</v>
      </c>
      <c r="R141" s="5" t="s">
        <v>108</v>
      </c>
      <c r="S141" s="5" t="s">
        <v>109</v>
      </c>
      <c r="T141" s="5"/>
    </row>
    <row r="142" spans="1:20">
      <c r="A142" s="5">
        <v>203603</v>
      </c>
      <c r="B142" s="5" t="s">
        <v>246</v>
      </c>
      <c r="C142" s="5" t="s">
        <v>82</v>
      </c>
      <c r="D142" s="5" t="s">
        <v>5</v>
      </c>
      <c r="E142" s="5">
        <v>510.866983372922</v>
      </c>
      <c r="F142" s="5">
        <v>6.45960711379752</v>
      </c>
      <c r="G142" s="5">
        <v>4.04761904761905</v>
      </c>
      <c r="H142" s="10">
        <v>0.150943396226415</v>
      </c>
      <c r="I142" s="10">
        <v>0.607142857142857</v>
      </c>
      <c r="J142" s="10">
        <v>0</v>
      </c>
      <c r="K142" s="5">
        <v>0</v>
      </c>
      <c r="L142" s="5" t="s">
        <v>107</v>
      </c>
      <c r="M142" s="5"/>
      <c r="N142" s="5"/>
      <c r="O142" s="5">
        <v>2000</v>
      </c>
      <c r="P142" s="5">
        <v>31</v>
      </c>
      <c r="Q142" s="5">
        <v>31</v>
      </c>
      <c r="R142" s="5" t="s">
        <v>108</v>
      </c>
      <c r="S142" s="5" t="s">
        <v>109</v>
      </c>
      <c r="T142" s="5"/>
    </row>
    <row r="143" spans="1:20">
      <c r="A143" s="5">
        <v>228669</v>
      </c>
      <c r="B143" s="5" t="s">
        <v>247</v>
      </c>
      <c r="C143" s="5" t="s">
        <v>82</v>
      </c>
      <c r="D143" s="5" t="s">
        <v>5</v>
      </c>
      <c r="E143" s="5">
        <v>650.346153846154</v>
      </c>
      <c r="F143" s="5">
        <v>5.07422082914424</v>
      </c>
      <c r="G143" s="5">
        <v>4.88235294117647</v>
      </c>
      <c r="H143" s="10">
        <v>0.24</v>
      </c>
      <c r="I143" s="10">
        <v>0.524615384615385</v>
      </c>
      <c r="J143" s="10">
        <v>0</v>
      </c>
      <c r="K143" s="5">
        <v>0</v>
      </c>
      <c r="L143" s="5" t="s">
        <v>107</v>
      </c>
      <c r="M143" s="5"/>
      <c r="N143" s="5"/>
      <c r="O143" s="5">
        <v>2000</v>
      </c>
      <c r="P143" s="5">
        <v>31</v>
      </c>
      <c r="Q143" s="5">
        <v>31</v>
      </c>
      <c r="R143" s="5" t="s">
        <v>108</v>
      </c>
      <c r="S143" s="5" t="s">
        <v>109</v>
      </c>
      <c r="T143" s="5"/>
    </row>
    <row r="144" spans="1:20">
      <c r="A144" s="5">
        <v>203592</v>
      </c>
      <c r="B144" s="5" t="s">
        <v>248</v>
      </c>
      <c r="C144" s="5" t="s">
        <v>82</v>
      </c>
      <c r="D144" s="5" t="s">
        <v>5</v>
      </c>
      <c r="E144" s="5">
        <v>644.735099337749</v>
      </c>
      <c r="F144" s="5">
        <v>5.11838118227107</v>
      </c>
      <c r="G144" s="5">
        <v>4.75</v>
      </c>
      <c r="H144" s="10">
        <v>0.130952380952381</v>
      </c>
      <c r="I144" s="10">
        <v>0.620909090909091</v>
      </c>
      <c r="J144" s="10">
        <v>0</v>
      </c>
      <c r="K144" s="5">
        <v>0</v>
      </c>
      <c r="L144" s="5" t="s">
        <v>107</v>
      </c>
      <c r="M144" s="5"/>
      <c r="N144" s="5"/>
      <c r="O144" s="5">
        <v>2000</v>
      </c>
      <c r="P144" s="5">
        <v>31</v>
      </c>
      <c r="Q144" s="5">
        <v>31</v>
      </c>
      <c r="R144" s="5" t="s">
        <v>108</v>
      </c>
      <c r="S144" s="5" t="s">
        <v>109</v>
      </c>
      <c r="T144" s="5"/>
    </row>
    <row r="145" spans="1:20">
      <c r="A145" s="5">
        <v>250751</v>
      </c>
      <c r="B145" s="5" t="s">
        <v>249</v>
      </c>
      <c r="C145" s="5" t="s">
        <v>82</v>
      </c>
      <c r="D145" s="5" t="s">
        <v>5</v>
      </c>
      <c r="E145" s="5"/>
      <c r="F145" s="5"/>
      <c r="G145" s="5"/>
      <c r="H145" s="5"/>
      <c r="I145" s="5"/>
      <c r="J145" s="10">
        <v>0</v>
      </c>
      <c r="K145" s="5">
        <v>0</v>
      </c>
      <c r="L145" s="5" t="s">
        <v>107</v>
      </c>
      <c r="M145" s="5"/>
      <c r="N145" s="5"/>
      <c r="O145" s="5">
        <v>2000</v>
      </c>
      <c r="P145" s="5">
        <v>31</v>
      </c>
      <c r="Q145" s="5">
        <v>31</v>
      </c>
      <c r="R145" s="5" t="s">
        <v>108</v>
      </c>
      <c r="S145" s="5" t="s">
        <v>109</v>
      </c>
      <c r="T145" s="5"/>
    </row>
    <row r="146" spans="1:20">
      <c r="A146" s="5">
        <v>96161</v>
      </c>
      <c r="B146" s="5" t="s">
        <v>250</v>
      </c>
      <c r="C146" s="5" t="s">
        <v>85</v>
      </c>
      <c r="D146" s="5" t="s">
        <v>5</v>
      </c>
      <c r="E146" s="5">
        <v>151.029850746269</v>
      </c>
      <c r="F146" s="5">
        <v>21.8499851764008</v>
      </c>
      <c r="G146" s="5">
        <v>2</v>
      </c>
      <c r="H146" s="10">
        <v>0.104166666666667</v>
      </c>
      <c r="I146" s="10">
        <v>0.883333333333333</v>
      </c>
      <c r="J146" s="10">
        <v>0</v>
      </c>
      <c r="K146" s="5">
        <v>0</v>
      </c>
      <c r="L146" s="5" t="s">
        <v>107</v>
      </c>
      <c r="M146" s="5"/>
      <c r="N146" s="5"/>
      <c r="O146" s="5">
        <v>2000</v>
      </c>
      <c r="P146" s="5">
        <v>31</v>
      </c>
      <c r="Q146" s="5">
        <v>31</v>
      </c>
      <c r="R146" s="5" t="s">
        <v>108</v>
      </c>
      <c r="S146" s="5" t="s">
        <v>109</v>
      </c>
      <c r="T146" s="5"/>
    </row>
    <row r="147" spans="1:20">
      <c r="A147" s="5">
        <v>203634</v>
      </c>
      <c r="B147" s="5" t="s">
        <v>251</v>
      </c>
      <c r="C147" s="5" t="s">
        <v>82</v>
      </c>
      <c r="D147" s="5" t="s">
        <v>5</v>
      </c>
      <c r="E147" s="5">
        <v>554.884210526316</v>
      </c>
      <c r="F147" s="5">
        <v>5.947186705619</v>
      </c>
      <c r="G147" s="5">
        <v>4.33333333333333</v>
      </c>
      <c r="H147" s="10">
        <v>0.102941176470588</v>
      </c>
      <c r="I147" s="10">
        <v>0.333333333333333</v>
      </c>
      <c r="J147" s="10">
        <v>0</v>
      </c>
      <c r="K147" s="5">
        <v>0</v>
      </c>
      <c r="L147" s="5" t="s">
        <v>107</v>
      </c>
      <c r="M147" s="5"/>
      <c r="N147" s="5"/>
      <c r="O147" s="5">
        <v>2000</v>
      </c>
      <c r="P147" s="5">
        <v>31</v>
      </c>
      <c r="Q147" s="5">
        <v>31</v>
      </c>
      <c r="R147" s="5" t="s">
        <v>108</v>
      </c>
      <c r="S147" s="5" t="s">
        <v>109</v>
      </c>
      <c r="T147" s="5"/>
    </row>
    <row r="148" spans="1:20">
      <c r="A148" s="5">
        <v>223881</v>
      </c>
      <c r="B148" s="5" t="s">
        <v>252</v>
      </c>
      <c r="C148" s="5" t="s">
        <v>85</v>
      </c>
      <c r="D148" s="5" t="s">
        <v>5</v>
      </c>
      <c r="E148" s="5">
        <v>371.767676767677</v>
      </c>
      <c r="F148" s="5">
        <v>8.876511343567451</v>
      </c>
      <c r="G148" s="5">
        <v>3</v>
      </c>
      <c r="H148" s="10">
        <v>0.0472972972972973</v>
      </c>
      <c r="I148" s="10">
        <v>0.68</v>
      </c>
      <c r="J148" s="10">
        <v>0</v>
      </c>
      <c r="K148" s="5">
        <v>0</v>
      </c>
      <c r="L148" s="5" t="s">
        <v>107</v>
      </c>
      <c r="M148" s="5"/>
      <c r="N148" s="5"/>
      <c r="O148" s="5">
        <v>2000</v>
      </c>
      <c r="P148" s="5">
        <v>31</v>
      </c>
      <c r="Q148" s="5">
        <v>31</v>
      </c>
      <c r="R148" s="5" t="s">
        <v>108</v>
      </c>
      <c r="S148" s="5" t="s">
        <v>109</v>
      </c>
      <c r="T148" s="5"/>
    </row>
    <row r="149" spans="1:20">
      <c r="A149" s="5">
        <v>204044</v>
      </c>
      <c r="B149" s="5" t="s">
        <v>253</v>
      </c>
      <c r="C149" s="5" t="s">
        <v>81</v>
      </c>
      <c r="D149" s="5" t="s">
        <v>5</v>
      </c>
      <c r="E149" s="5">
        <v>493.155339805825</v>
      </c>
      <c r="F149" s="5">
        <v>6.69160350428192</v>
      </c>
      <c r="G149" s="5">
        <v>5</v>
      </c>
      <c r="H149" s="10">
        <v>0.0106382978723404</v>
      </c>
      <c r="I149" s="10">
        <v>0</v>
      </c>
      <c r="J149" s="10">
        <v>0.28</v>
      </c>
      <c r="K149" s="5">
        <v>0</v>
      </c>
      <c r="L149" s="5" t="s">
        <v>107</v>
      </c>
      <c r="M149" s="5"/>
      <c r="N149" s="5"/>
      <c r="O149" s="5">
        <v>2000</v>
      </c>
      <c r="P149" s="5">
        <v>31</v>
      </c>
      <c r="Q149" s="5">
        <v>31</v>
      </c>
      <c r="R149" s="5" t="s">
        <v>108</v>
      </c>
      <c r="S149" s="5" t="s">
        <v>109</v>
      </c>
      <c r="T149" s="5"/>
    </row>
    <row r="150" spans="1:20">
      <c r="A150" s="5">
        <v>224093</v>
      </c>
      <c r="B150" s="5" t="s">
        <v>254</v>
      </c>
      <c r="C150" s="5" t="s">
        <v>84</v>
      </c>
      <c r="D150" s="5" t="s">
        <v>5</v>
      </c>
      <c r="E150" s="5">
        <v>357.911528150134</v>
      </c>
      <c r="F150" s="5">
        <v>9.22015565426476</v>
      </c>
      <c r="G150" s="5">
        <v>4.12820512820513</v>
      </c>
      <c r="H150" s="10">
        <v>0.08888888888888891</v>
      </c>
      <c r="I150" s="10">
        <v>0.855</v>
      </c>
      <c r="J150" s="10">
        <v>0</v>
      </c>
      <c r="K150" s="5">
        <v>0</v>
      </c>
      <c r="L150" s="5" t="s">
        <v>107</v>
      </c>
      <c r="M150" s="5"/>
      <c r="N150" s="5"/>
      <c r="O150" s="5">
        <v>2000</v>
      </c>
      <c r="P150" s="5">
        <v>31</v>
      </c>
      <c r="Q150" s="5">
        <v>31</v>
      </c>
      <c r="R150" s="5" t="s">
        <v>108</v>
      </c>
      <c r="S150" s="5" t="s">
        <v>109</v>
      </c>
      <c r="T150" s="5"/>
    </row>
    <row r="151" spans="1:20">
      <c r="A151" s="5">
        <v>203579</v>
      </c>
      <c r="B151" s="5" t="s">
        <v>255</v>
      </c>
      <c r="C151" s="5" t="s">
        <v>82</v>
      </c>
      <c r="D151" s="5" t="s">
        <v>5</v>
      </c>
      <c r="E151" s="5">
        <v>378.6328125</v>
      </c>
      <c r="F151" s="5">
        <v>8.71556793562365</v>
      </c>
      <c r="G151" s="5">
        <v>3.84615384615385</v>
      </c>
      <c r="H151" s="10">
        <v>0.13375796178344</v>
      </c>
      <c r="I151" s="10">
        <v>0.428571428571429</v>
      </c>
      <c r="J151" s="10">
        <v>0</v>
      </c>
      <c r="K151" s="5">
        <v>0</v>
      </c>
      <c r="L151" s="5" t="s">
        <v>107</v>
      </c>
      <c r="M151" s="5"/>
      <c r="N151" s="5"/>
      <c r="O151" s="5">
        <v>2000</v>
      </c>
      <c r="P151" s="5">
        <v>31</v>
      </c>
      <c r="Q151" s="5">
        <v>31</v>
      </c>
      <c r="R151" s="5" t="s">
        <v>108</v>
      </c>
      <c r="S151" s="5" t="s">
        <v>109</v>
      </c>
      <c r="T151" s="5"/>
    </row>
    <row r="152" spans="1:20">
      <c r="A152" s="5">
        <v>205262</v>
      </c>
      <c r="B152" s="5" t="s">
        <v>256</v>
      </c>
      <c r="C152" s="5" t="s">
        <v>82</v>
      </c>
      <c r="D152" s="5" t="s">
        <v>5</v>
      </c>
      <c r="E152" s="5">
        <v>362.233333333333</v>
      </c>
      <c r="F152" s="5">
        <v>9.11014999539891</v>
      </c>
      <c r="G152" s="5">
        <v>3.5</v>
      </c>
      <c r="H152" s="10">
        <v>0.166666666666667</v>
      </c>
      <c r="I152" s="10">
        <v>0.724444444444444</v>
      </c>
      <c r="J152" s="10">
        <v>0</v>
      </c>
      <c r="K152" s="5">
        <v>0</v>
      </c>
      <c r="L152" s="5" t="s">
        <v>107</v>
      </c>
      <c r="M152" s="5"/>
      <c r="N152" s="5"/>
      <c r="O152" s="5">
        <v>2000</v>
      </c>
      <c r="P152" s="5">
        <v>31</v>
      </c>
      <c r="Q152" s="5">
        <v>31</v>
      </c>
      <c r="R152" s="5" t="s">
        <v>108</v>
      </c>
      <c r="S152" s="5" t="s">
        <v>109</v>
      </c>
      <c r="T152" s="5"/>
    </row>
    <row r="153" spans="1:20">
      <c r="A153" s="5">
        <v>203601</v>
      </c>
      <c r="B153" s="5" t="s">
        <v>257</v>
      </c>
      <c r="C153" s="5" t="s">
        <v>82</v>
      </c>
      <c r="D153" s="5" t="s">
        <v>5</v>
      </c>
      <c r="E153" s="5">
        <v>338.341463414634</v>
      </c>
      <c r="F153" s="5">
        <v>9.753460207612459</v>
      </c>
      <c r="G153" s="5">
        <v>5</v>
      </c>
      <c r="H153" s="10">
        <v>0.103448275862069</v>
      </c>
      <c r="I153" s="10">
        <v>0.768571428571429</v>
      </c>
      <c r="J153" s="10">
        <v>0</v>
      </c>
      <c r="K153" s="5">
        <v>0</v>
      </c>
      <c r="L153" s="5" t="s">
        <v>107</v>
      </c>
      <c r="M153" s="5"/>
      <c r="N153" s="5"/>
      <c r="O153" s="5">
        <v>2000</v>
      </c>
      <c r="P153" s="5">
        <v>31</v>
      </c>
      <c r="Q153" s="5">
        <v>31</v>
      </c>
      <c r="R153" s="5" t="s">
        <v>108</v>
      </c>
      <c r="S153" s="5" t="s">
        <v>109</v>
      </c>
      <c r="T153" s="5"/>
    </row>
    <row r="154" spans="1:20">
      <c r="A154" s="5">
        <v>232198</v>
      </c>
      <c r="B154" s="5" t="s">
        <v>258</v>
      </c>
      <c r="C154" s="5" t="s">
        <v>83</v>
      </c>
      <c r="D154" s="5" t="s">
        <v>5</v>
      </c>
      <c r="E154" s="5">
        <v>496.614864864865</v>
      </c>
      <c r="F154" s="5">
        <v>6.64498836718867</v>
      </c>
      <c r="G154" s="5">
        <v>4.11111111111111</v>
      </c>
      <c r="H154" s="10">
        <v>0.1</v>
      </c>
      <c r="I154" s="10">
        <v>0.886666666666667</v>
      </c>
      <c r="J154" s="10">
        <v>0</v>
      </c>
      <c r="K154" s="5">
        <v>0</v>
      </c>
      <c r="L154" s="5" t="s">
        <v>107</v>
      </c>
      <c r="M154" s="5"/>
      <c r="N154" s="5"/>
      <c r="O154" s="5">
        <v>2000</v>
      </c>
      <c r="P154" s="5">
        <v>31</v>
      </c>
      <c r="Q154" s="5">
        <v>31</v>
      </c>
      <c r="R154" s="5" t="s">
        <v>108</v>
      </c>
      <c r="S154" s="5" t="s">
        <v>109</v>
      </c>
      <c r="T154" s="5"/>
    </row>
    <row r="155" spans="1:20">
      <c r="A155" s="5">
        <v>199554</v>
      </c>
      <c r="B155" s="5" t="s">
        <v>259</v>
      </c>
      <c r="C155" s="5" t="s">
        <v>83</v>
      </c>
      <c r="D155" s="5" t="s">
        <v>5</v>
      </c>
      <c r="E155" s="5">
        <v>183.533898305085</v>
      </c>
      <c r="F155" s="5">
        <v>17.980329685552</v>
      </c>
      <c r="G155" s="5">
        <v>2.375</v>
      </c>
      <c r="H155" s="10">
        <v>0.08602150537634411</v>
      </c>
      <c r="I155" s="10">
        <v>0.894</v>
      </c>
      <c r="J155" s="10">
        <v>0</v>
      </c>
      <c r="K155" s="5">
        <v>0</v>
      </c>
      <c r="L155" s="5" t="s">
        <v>107</v>
      </c>
      <c r="M155" s="5"/>
      <c r="N155" s="5"/>
      <c r="O155" s="5">
        <v>2000</v>
      </c>
      <c r="P155" s="5">
        <v>31</v>
      </c>
      <c r="Q155" s="5">
        <v>31</v>
      </c>
      <c r="R155" s="5" t="s">
        <v>108</v>
      </c>
      <c r="S155" s="5" t="s">
        <v>109</v>
      </c>
      <c r="T155" s="5"/>
    </row>
    <row r="156" spans="1:20">
      <c r="A156" s="5">
        <v>203630</v>
      </c>
      <c r="B156" s="5" t="s">
        <v>260</v>
      </c>
      <c r="C156" s="5" t="s">
        <v>82</v>
      </c>
      <c r="D156" s="5" t="s">
        <v>5</v>
      </c>
      <c r="E156" s="5">
        <v>386.770833333333</v>
      </c>
      <c r="F156" s="5">
        <v>8.532184217613789</v>
      </c>
      <c r="G156" s="5">
        <v>4.8</v>
      </c>
      <c r="H156" s="10">
        <v>0.170212765957447</v>
      </c>
      <c r="I156" s="10">
        <v>0.5912500000000001</v>
      </c>
      <c r="J156" s="10">
        <v>0</v>
      </c>
      <c r="K156" s="5">
        <v>0</v>
      </c>
      <c r="L156" s="5" t="s">
        <v>107</v>
      </c>
      <c r="M156" s="5"/>
      <c r="N156" s="5"/>
      <c r="O156" s="5">
        <v>2000</v>
      </c>
      <c r="P156" s="5">
        <v>31</v>
      </c>
      <c r="Q156" s="5">
        <v>31</v>
      </c>
      <c r="R156" s="5" t="s">
        <v>108</v>
      </c>
      <c r="S156" s="5" t="s">
        <v>109</v>
      </c>
      <c r="T156" s="5"/>
    </row>
    <row r="157" spans="1:20">
      <c r="A157" s="5">
        <v>228204</v>
      </c>
      <c r="B157" s="5" t="s">
        <v>261</v>
      </c>
      <c r="C157" s="5" t="s">
        <v>82</v>
      </c>
      <c r="D157" s="5" t="s">
        <v>5</v>
      </c>
      <c r="E157" s="5">
        <v>671.216718266254</v>
      </c>
      <c r="F157" s="5">
        <v>4.91644488314276</v>
      </c>
      <c r="G157" s="5">
        <v>4.68965517241379</v>
      </c>
      <c r="H157" s="10">
        <v>0.177033492822967</v>
      </c>
      <c r="I157" s="10">
        <v>0.525714285714286</v>
      </c>
      <c r="J157" s="10">
        <v>0</v>
      </c>
      <c r="K157" s="5">
        <v>0</v>
      </c>
      <c r="L157" s="5" t="s">
        <v>107</v>
      </c>
      <c r="M157" s="5"/>
      <c r="N157" s="5"/>
      <c r="O157" s="5">
        <v>2000</v>
      </c>
      <c r="P157" s="5">
        <v>31</v>
      </c>
      <c r="Q157" s="5">
        <v>31</v>
      </c>
      <c r="R157" s="5" t="s">
        <v>108</v>
      </c>
      <c r="S157" s="5" t="s">
        <v>109</v>
      </c>
      <c r="T157" s="5"/>
    </row>
    <row r="158" spans="1:20">
      <c r="A158" s="5">
        <v>207050</v>
      </c>
      <c r="B158" s="5" t="s">
        <v>262</v>
      </c>
      <c r="C158" s="5" t="s">
        <v>82</v>
      </c>
      <c r="D158" s="5" t="s">
        <v>5</v>
      </c>
      <c r="E158" s="5">
        <v>485.835616438356</v>
      </c>
      <c r="F158" s="5">
        <v>6.79242091016748</v>
      </c>
      <c r="G158" s="5">
        <v>4.8421052631579</v>
      </c>
      <c r="H158" s="10">
        <v>0.160493827160494</v>
      </c>
      <c r="I158" s="10">
        <v>0.408333333333333</v>
      </c>
      <c r="J158" s="10">
        <v>0</v>
      </c>
      <c r="K158" s="5">
        <v>0</v>
      </c>
      <c r="L158" s="5" t="s">
        <v>107</v>
      </c>
      <c r="M158" s="5"/>
      <c r="N158" s="5"/>
      <c r="O158" s="5">
        <v>2000</v>
      </c>
      <c r="P158" s="5">
        <v>31</v>
      </c>
      <c r="Q158" s="5">
        <v>31</v>
      </c>
      <c r="R158" s="5" t="s">
        <v>108</v>
      </c>
      <c r="S158" s="5" t="s">
        <v>109</v>
      </c>
      <c r="T158" s="5"/>
    </row>
    <row r="159" spans="1:20">
      <c r="A159" s="5">
        <v>204035</v>
      </c>
      <c r="B159" s="5" t="s">
        <v>263</v>
      </c>
      <c r="C159" s="5" t="s">
        <v>81</v>
      </c>
      <c r="D159" s="5" t="s">
        <v>5</v>
      </c>
      <c r="E159" s="5">
        <v>412.793388429752</v>
      </c>
      <c r="F159" s="5">
        <v>7.99431408665011</v>
      </c>
      <c r="G159" s="5">
        <v>2.08333333333333</v>
      </c>
      <c r="H159" s="10">
        <v>0.0540540540540541</v>
      </c>
      <c r="I159" s="10">
        <v>0</v>
      </c>
      <c r="J159" s="10">
        <v>0.01</v>
      </c>
      <c r="K159" s="5">
        <v>0</v>
      </c>
      <c r="L159" s="5" t="s">
        <v>107</v>
      </c>
      <c r="M159" s="5"/>
      <c r="N159" s="5"/>
      <c r="O159" s="5">
        <v>2000</v>
      </c>
      <c r="P159" s="5">
        <v>31</v>
      </c>
      <c r="Q159" s="5">
        <v>31</v>
      </c>
      <c r="R159" s="5" t="s">
        <v>108</v>
      </c>
      <c r="S159" s="5" t="s">
        <v>109</v>
      </c>
      <c r="T159" s="5"/>
    </row>
    <row r="160" spans="1:20">
      <c r="A160" s="5">
        <v>205242</v>
      </c>
      <c r="B160" s="5" t="s">
        <v>264</v>
      </c>
      <c r="C160" s="5" t="s">
        <v>81</v>
      </c>
      <c r="D160" s="5" t="s">
        <v>5</v>
      </c>
      <c r="E160" s="5">
        <v>254.558533145275</v>
      </c>
      <c r="F160" s="5">
        <v>12.9636196407398</v>
      </c>
      <c r="G160" s="5">
        <v>2.4</v>
      </c>
      <c r="H160" s="10">
        <v>0.0724876441515651</v>
      </c>
      <c r="I160" s="10">
        <v>0</v>
      </c>
      <c r="J160" s="10">
        <v>0.36</v>
      </c>
      <c r="K160" s="5">
        <v>0</v>
      </c>
      <c r="L160" s="5" t="s">
        <v>107</v>
      </c>
      <c r="M160" s="5"/>
      <c r="N160" s="5"/>
      <c r="O160" s="5">
        <v>2000</v>
      </c>
      <c r="P160" s="5">
        <v>31</v>
      </c>
      <c r="Q160" s="5">
        <v>31</v>
      </c>
      <c r="R160" s="5" t="s">
        <v>108</v>
      </c>
      <c r="S160" s="5" t="s">
        <v>109</v>
      </c>
      <c r="T160" s="5"/>
    </row>
    <row r="161" spans="1:20">
      <c r="A161" s="5">
        <v>96491</v>
      </c>
      <c r="B161" s="5" t="s">
        <v>265</v>
      </c>
      <c r="C161" s="5" t="s">
        <v>84</v>
      </c>
      <c r="D161" s="5" t="s">
        <v>5</v>
      </c>
      <c r="E161" s="5">
        <v>268.53031761309</v>
      </c>
      <c r="F161" s="5">
        <v>12.2891151708046</v>
      </c>
      <c r="G161" s="5">
        <v>3</v>
      </c>
      <c r="H161" s="10">
        <v>0.0294550810014728</v>
      </c>
      <c r="I161" s="10">
        <v>0.19</v>
      </c>
      <c r="J161" s="10">
        <v>0</v>
      </c>
      <c r="K161" s="5">
        <v>0</v>
      </c>
      <c r="L161" s="5" t="s">
        <v>107</v>
      </c>
      <c r="M161" s="5"/>
      <c r="N161" s="5"/>
      <c r="O161" s="5">
        <v>2000</v>
      </c>
      <c r="P161" s="5">
        <v>31</v>
      </c>
      <c r="Q161" s="5">
        <v>31</v>
      </c>
      <c r="R161" s="5" t="s">
        <v>108</v>
      </c>
      <c r="S161" s="5" t="s">
        <v>109</v>
      </c>
      <c r="T161" s="5"/>
    </row>
    <row r="162" spans="1:20">
      <c r="A162" s="5">
        <v>244548</v>
      </c>
      <c r="B162" s="5" t="s">
        <v>266</v>
      </c>
      <c r="C162" s="5" t="s">
        <v>84</v>
      </c>
      <c r="D162" s="5" t="s">
        <v>5</v>
      </c>
      <c r="E162" s="5"/>
      <c r="F162" s="5"/>
      <c r="G162" s="5"/>
      <c r="H162" s="5"/>
      <c r="I162" s="5"/>
      <c r="J162" s="5"/>
      <c r="K162" s="5">
        <v>0</v>
      </c>
      <c r="L162" s="5" t="s">
        <v>107</v>
      </c>
      <c r="M162" s="5"/>
      <c r="N162" s="5"/>
      <c r="O162" s="5">
        <v>2000</v>
      </c>
      <c r="P162" s="5">
        <v>31</v>
      </c>
      <c r="Q162" s="5">
        <v>31</v>
      </c>
      <c r="R162" s="5" t="s">
        <v>108</v>
      </c>
      <c r="S162" s="5" t="s">
        <v>109</v>
      </c>
      <c r="T162" s="5"/>
    </row>
    <row r="163" spans="1:20">
      <c r="A163" s="5">
        <v>204025</v>
      </c>
      <c r="B163" s="5" t="s">
        <v>267</v>
      </c>
      <c r="C163" s="5" t="s">
        <v>81</v>
      </c>
      <c r="D163" s="5" t="s">
        <v>5</v>
      </c>
      <c r="E163" s="5">
        <v>479.384615384615</v>
      </c>
      <c r="F163" s="5">
        <v>6.88382541720154</v>
      </c>
      <c r="G163" s="5">
        <v>5</v>
      </c>
      <c r="H163" s="10">
        <v>0.1</v>
      </c>
      <c r="I163" s="10">
        <v>0</v>
      </c>
      <c r="J163" s="10">
        <v>0.01</v>
      </c>
      <c r="K163" s="5">
        <v>0</v>
      </c>
      <c r="L163" s="5" t="s">
        <v>107</v>
      </c>
      <c r="M163" s="5"/>
      <c r="N163" s="5"/>
      <c r="O163" s="5">
        <v>2000</v>
      </c>
      <c r="P163" s="5">
        <v>31</v>
      </c>
      <c r="Q163" s="5">
        <v>31</v>
      </c>
      <c r="R163" s="5" t="s">
        <v>108</v>
      </c>
      <c r="S163" s="5" t="s">
        <v>109</v>
      </c>
      <c r="T163" s="5"/>
    </row>
    <row r="164" spans="1:20">
      <c r="A164" s="5">
        <v>96479</v>
      </c>
      <c r="B164" s="5" t="s">
        <v>268</v>
      </c>
      <c r="C164" s="5" t="s">
        <v>85</v>
      </c>
      <c r="D164" s="5" t="s">
        <v>5</v>
      </c>
      <c r="E164" s="5">
        <v>291.179487179487</v>
      </c>
      <c r="F164" s="5">
        <v>11.333215921099</v>
      </c>
      <c r="G164" s="5">
        <v>4.5</v>
      </c>
      <c r="H164" s="10">
        <v>0.125</v>
      </c>
      <c r="I164" s="10">
        <v>0.886666666666667</v>
      </c>
      <c r="J164" s="10">
        <v>0.05</v>
      </c>
      <c r="K164" s="5">
        <v>0</v>
      </c>
      <c r="L164" s="5" t="s">
        <v>107</v>
      </c>
      <c r="M164" s="5"/>
      <c r="N164" s="5"/>
      <c r="O164" s="5">
        <v>2000</v>
      </c>
      <c r="P164" s="5">
        <v>31</v>
      </c>
      <c r="Q164" s="5">
        <v>31</v>
      </c>
      <c r="R164" s="5" t="s">
        <v>108</v>
      </c>
      <c r="S164" s="5" t="s">
        <v>109</v>
      </c>
      <c r="T164" s="5"/>
    </row>
    <row r="165" spans="1:20">
      <c r="A165" s="5">
        <v>205263</v>
      </c>
      <c r="B165" s="5" t="s">
        <v>269</v>
      </c>
      <c r="C165" s="5" t="s">
        <v>82</v>
      </c>
      <c r="D165" s="5" t="s">
        <v>5</v>
      </c>
      <c r="E165" s="5">
        <v>527.9</v>
      </c>
      <c r="F165" s="5">
        <v>6.25118393635158</v>
      </c>
      <c r="G165" s="5">
        <v>5</v>
      </c>
      <c r="H165" s="10">
        <v>0.25</v>
      </c>
      <c r="I165" s="10">
        <v>0.316666666666667</v>
      </c>
      <c r="J165" s="10">
        <v>0.79</v>
      </c>
      <c r="K165" s="5">
        <v>0</v>
      </c>
      <c r="L165" s="5" t="s">
        <v>107</v>
      </c>
      <c r="M165" s="5"/>
      <c r="N165" s="5"/>
      <c r="O165" s="5">
        <v>2000</v>
      </c>
      <c r="P165" s="5">
        <v>31</v>
      </c>
      <c r="Q165" s="5">
        <v>31</v>
      </c>
      <c r="R165" s="5" t="s">
        <v>108</v>
      </c>
      <c r="S165" s="5" t="s">
        <v>109</v>
      </c>
      <c r="T165" s="5"/>
    </row>
    <row r="166" spans="1:20">
      <c r="A166" s="5">
        <v>205226</v>
      </c>
      <c r="B166" s="5" t="s">
        <v>270</v>
      </c>
      <c r="C166" s="5" t="s">
        <v>81</v>
      </c>
      <c r="D166" s="5" t="s">
        <v>5</v>
      </c>
      <c r="E166" s="5">
        <v>452.647959183673</v>
      </c>
      <c r="F166" s="5">
        <v>7.29043384167991</v>
      </c>
      <c r="G166" s="5">
        <v>4.45161290322581</v>
      </c>
      <c r="H166" s="10">
        <v>0.21978021978022</v>
      </c>
      <c r="I166" s="10">
        <v>0</v>
      </c>
      <c r="J166" s="10">
        <v>0.01</v>
      </c>
      <c r="K166" s="5">
        <v>0</v>
      </c>
      <c r="L166" s="5" t="s">
        <v>107</v>
      </c>
      <c r="M166" s="5"/>
      <c r="N166" s="5"/>
      <c r="O166" s="5">
        <v>2000</v>
      </c>
      <c r="P166" s="5">
        <v>31</v>
      </c>
      <c r="Q166" s="5">
        <v>31</v>
      </c>
      <c r="R166" s="5" t="s">
        <v>108</v>
      </c>
      <c r="S166" s="5" t="s">
        <v>109</v>
      </c>
      <c r="T166" s="5"/>
    </row>
    <row r="167" spans="1:20">
      <c r="A167" s="5">
        <v>204040</v>
      </c>
      <c r="B167" s="5" t="s">
        <v>271</v>
      </c>
      <c r="C167" s="5" t="s">
        <v>81</v>
      </c>
      <c r="D167" s="5" t="s">
        <v>5</v>
      </c>
      <c r="E167" s="5">
        <v>509.335411471322</v>
      </c>
      <c r="F167" s="5">
        <v>6.47903115643827</v>
      </c>
      <c r="G167" s="5">
        <v>4.28125</v>
      </c>
      <c r="H167" s="10">
        <v>0.198902606310014</v>
      </c>
      <c r="I167" s="10">
        <v>0.166666666666667</v>
      </c>
      <c r="J167" s="10">
        <v>0</v>
      </c>
      <c r="K167" s="5">
        <v>0</v>
      </c>
      <c r="L167" s="5" t="s">
        <v>107</v>
      </c>
      <c r="M167" s="5"/>
      <c r="N167" s="5"/>
      <c r="O167" s="5">
        <v>2000</v>
      </c>
      <c r="P167" s="5">
        <v>31</v>
      </c>
      <c r="Q167" s="5">
        <v>31</v>
      </c>
      <c r="R167" s="5" t="s">
        <v>108</v>
      </c>
      <c r="S167" s="5" t="s">
        <v>109</v>
      </c>
      <c r="T167" s="5"/>
    </row>
    <row r="168" spans="1:20">
      <c r="A168" s="5">
        <v>203624</v>
      </c>
      <c r="B168" s="5" t="s">
        <v>272</v>
      </c>
      <c r="C168" s="5" t="s">
        <v>82</v>
      </c>
      <c r="D168" s="5" t="s">
        <v>5</v>
      </c>
      <c r="E168" s="5">
        <v>459.448559670782</v>
      </c>
      <c r="F168" s="5">
        <v>7.18252333267649</v>
      </c>
      <c r="G168" s="5">
        <v>4.16666666666667</v>
      </c>
      <c r="H168" s="10">
        <v>0.251655629139073</v>
      </c>
      <c r="I168" s="10">
        <v>0.739230769230769</v>
      </c>
      <c r="J168" s="10">
        <v>0</v>
      </c>
      <c r="K168" s="5">
        <v>0</v>
      </c>
      <c r="L168" s="5" t="s">
        <v>107</v>
      </c>
      <c r="M168" s="5"/>
      <c r="N168" s="5"/>
      <c r="O168" s="5">
        <v>2000</v>
      </c>
      <c r="P168" s="5">
        <v>31</v>
      </c>
      <c r="Q168" s="5">
        <v>31</v>
      </c>
      <c r="R168" s="5" t="s">
        <v>108</v>
      </c>
      <c r="S168" s="5" t="s">
        <v>109</v>
      </c>
      <c r="T168" s="5"/>
    </row>
    <row r="169" spans="1:20">
      <c r="A169" s="5">
        <v>205225</v>
      </c>
      <c r="B169" s="5" t="s">
        <v>273</v>
      </c>
      <c r="C169" s="5" t="s">
        <v>81</v>
      </c>
      <c r="D169" s="5" t="s">
        <v>5</v>
      </c>
      <c r="E169" s="5">
        <v>610</v>
      </c>
      <c r="F169" s="5">
        <v>5.40983606557377</v>
      </c>
      <c r="G169" s="5">
        <v>0</v>
      </c>
      <c r="H169" s="10">
        <v>0</v>
      </c>
      <c r="I169" s="10">
        <v>0.6</v>
      </c>
      <c r="J169" s="10">
        <v>0</v>
      </c>
      <c r="K169" s="5">
        <v>0</v>
      </c>
      <c r="L169" s="5" t="s">
        <v>107</v>
      </c>
      <c r="M169" s="5"/>
      <c r="N169" s="5"/>
      <c r="O169" s="5">
        <v>2000</v>
      </c>
      <c r="P169" s="5">
        <v>31</v>
      </c>
      <c r="Q169" s="5">
        <v>31</v>
      </c>
      <c r="R169" s="5" t="s">
        <v>108</v>
      </c>
      <c r="S169" s="5" t="s">
        <v>109</v>
      </c>
      <c r="T169" s="5"/>
    </row>
    <row r="170" spans="1:20">
      <c r="A170" s="5">
        <v>96528</v>
      </c>
      <c r="B170" s="5" t="s">
        <v>274</v>
      </c>
      <c r="C170" s="5" t="s">
        <v>84</v>
      </c>
      <c r="D170" s="5" t="s">
        <v>5</v>
      </c>
      <c r="E170" s="5">
        <v>253.284457478006</v>
      </c>
      <c r="F170" s="5">
        <v>13.0288294546718</v>
      </c>
      <c r="G170" s="5">
        <v>3.4</v>
      </c>
      <c r="H170" s="10">
        <v>0.0521472392638037</v>
      </c>
      <c r="I170" s="10">
        <v>0.47</v>
      </c>
      <c r="J170" s="10">
        <v>0.05</v>
      </c>
      <c r="K170" s="5">
        <v>0</v>
      </c>
      <c r="L170" s="5" t="s">
        <v>107</v>
      </c>
      <c r="M170" s="5"/>
      <c r="N170" s="5"/>
      <c r="O170" s="5">
        <v>2000</v>
      </c>
      <c r="P170" s="5">
        <v>31</v>
      </c>
      <c r="Q170" s="5">
        <v>31</v>
      </c>
      <c r="R170" s="5" t="s">
        <v>108</v>
      </c>
      <c r="S170" s="5" t="s">
        <v>109</v>
      </c>
      <c r="T170" s="5"/>
    </row>
    <row r="171" spans="1:20">
      <c r="A171" s="5">
        <v>247912</v>
      </c>
      <c r="B171" s="5" t="s">
        <v>275</v>
      </c>
      <c r="C171" s="5" t="s">
        <v>84</v>
      </c>
      <c r="D171" s="5" t="s">
        <v>5</v>
      </c>
      <c r="E171" s="5"/>
      <c r="F171" s="5"/>
      <c r="G171" s="5"/>
      <c r="H171" s="5"/>
      <c r="I171" s="5"/>
      <c r="J171" s="5"/>
      <c r="K171" s="5">
        <v>0</v>
      </c>
      <c r="L171" s="5" t="s">
        <v>107</v>
      </c>
      <c r="M171" s="5"/>
      <c r="N171" s="5"/>
      <c r="O171" s="5">
        <v>2000</v>
      </c>
      <c r="P171" s="5">
        <v>31</v>
      </c>
      <c r="Q171" s="5">
        <v>31</v>
      </c>
      <c r="R171" s="5" t="s">
        <v>108</v>
      </c>
      <c r="S171" s="5" t="s">
        <v>109</v>
      </c>
      <c r="T171" s="5"/>
    </row>
    <row r="172" spans="1:20">
      <c r="A172" s="5"/>
      <c r="B172" s="5"/>
      <c r="C172" s="5"/>
      <c r="D172" s="5"/>
      <c r="E172" s="5"/>
      <c r="F172" s="5"/>
      <c r="G172" s="5"/>
      <c r="H172" s="5"/>
      <c r="I172" s="5"/>
      <c r="J172" s="5"/>
      <c r="K172" s="5"/>
      <c r="L172" s="5"/>
      <c r="M172" s="5"/>
      <c r="N172" s="5"/>
      <c r="O172" s="5"/>
      <c r="P172" s="5"/>
      <c r="Q172" s="5"/>
      <c r="R172" s="5"/>
      <c r="S172" s="5"/>
      <c r="T172" s="5"/>
    </row>
    <row r="173" spans="1:20">
      <c r="A173" s="5"/>
      <c r="B173" s="5"/>
      <c r="C173" s="5"/>
      <c r="D173" s="5"/>
      <c r="E173" s="5"/>
      <c r="F173" s="5"/>
      <c r="G173" s="5"/>
      <c r="H173" s="5"/>
      <c r="I173" s="5"/>
      <c r="J173" s="5"/>
      <c r="K173" s="5"/>
      <c r="L173" s="5"/>
      <c r="M173" s="5"/>
      <c r="N173" s="5"/>
      <c r="O173" s="5"/>
      <c r="P173" s="5"/>
      <c r="Q173" s="5"/>
      <c r="R173" s="5"/>
      <c r="S173" s="5"/>
      <c r="T173" s="5"/>
    </row>
    <row r="174" spans="1:20">
      <c r="A174" s="5"/>
      <c r="B174" s="5"/>
      <c r="C174" s="5"/>
      <c r="D174" s="5"/>
      <c r="E174" s="5"/>
      <c r="F174" s="5"/>
      <c r="G174" s="5"/>
      <c r="H174" s="5"/>
      <c r="I174" s="5"/>
      <c r="J174" s="5"/>
      <c r="K174" s="5"/>
      <c r="L174" s="5"/>
      <c r="M174" s="5"/>
      <c r="N174" s="5"/>
      <c r="O174" s="5"/>
      <c r="P174" s="5"/>
      <c r="Q174" s="5"/>
      <c r="R174" s="5"/>
      <c r="S174" s="5"/>
      <c r="T174" s="5"/>
    </row>
    <row r="175" spans="1:20">
      <c r="A175" s="5"/>
      <c r="B175" s="5"/>
      <c r="C175" s="5"/>
      <c r="D175" s="5"/>
      <c r="E175" s="5"/>
      <c r="F175" s="5"/>
      <c r="G175" s="5"/>
      <c r="H175" s="5"/>
      <c r="I175" s="5"/>
      <c r="J175" s="5"/>
      <c r="K175" s="5"/>
      <c r="L175" s="5"/>
      <c r="M175" s="5"/>
      <c r="N175" s="5"/>
      <c r="O175" s="5"/>
      <c r="P175" s="5"/>
      <c r="Q175" s="5"/>
      <c r="R175" s="5"/>
      <c r="S175" s="5"/>
      <c r="T175" s="5"/>
    </row>
    <row r="176" spans="1:20">
      <c r="A176" s="5"/>
      <c r="B176" s="5"/>
      <c r="C176" s="5"/>
      <c r="D176" s="5"/>
      <c r="E176" s="5"/>
      <c r="F176" s="5"/>
      <c r="G176" s="5"/>
      <c r="H176" s="5"/>
      <c r="I176" s="5"/>
      <c r="J176" s="5"/>
      <c r="K176" s="5"/>
      <c r="L176" s="5"/>
      <c r="M176" s="5"/>
      <c r="N176" s="5"/>
      <c r="O176" s="5"/>
      <c r="P176" s="5"/>
      <c r="Q176" s="5"/>
      <c r="R176" s="5"/>
      <c r="S176" s="5"/>
      <c r="T176" s="5"/>
    </row>
    <row r="177" spans="1:20">
      <c r="A177" s="5"/>
      <c r="B177" s="5"/>
      <c r="C177" s="5"/>
      <c r="D177" s="5"/>
      <c r="E177" s="5"/>
      <c r="F177" s="5"/>
      <c r="G177" s="5"/>
      <c r="H177" s="5"/>
      <c r="I177" s="5"/>
      <c r="J177" s="5"/>
      <c r="K177" s="5"/>
      <c r="L177" s="5"/>
      <c r="M177" s="5"/>
      <c r="N177" s="5"/>
      <c r="O177" s="5"/>
      <c r="P177" s="5"/>
      <c r="Q177" s="5"/>
      <c r="R177" s="5"/>
      <c r="S177" s="5"/>
      <c r="T177" s="5"/>
    </row>
    <row r="178" spans="1:20">
      <c r="A178" s="5"/>
      <c r="B178" s="5"/>
      <c r="C178" s="5"/>
      <c r="D178" s="5"/>
      <c r="E178" s="5"/>
      <c r="F178" s="5"/>
      <c r="G178" s="5"/>
      <c r="H178" s="5"/>
      <c r="I178" s="5"/>
      <c r="J178" s="5"/>
      <c r="K178" s="5"/>
      <c r="L178" s="5"/>
      <c r="M178" s="5"/>
      <c r="N178" s="5"/>
      <c r="O178" s="5"/>
      <c r="P178" s="5"/>
      <c r="Q178" s="5"/>
      <c r="R178" s="5"/>
      <c r="S178" s="5"/>
      <c r="T178" s="5"/>
    </row>
    <row r="179" spans="1:20">
      <c r="A179" s="5"/>
      <c r="B179" s="5"/>
      <c r="C179" s="5"/>
      <c r="D179" s="5"/>
      <c r="E179" s="5"/>
      <c r="F179" s="5"/>
      <c r="G179" s="5"/>
      <c r="H179" s="5"/>
      <c r="I179" s="5"/>
      <c r="J179" s="5"/>
      <c r="K179" s="5"/>
      <c r="L179" s="5"/>
      <c r="M179" s="5"/>
      <c r="N179" s="5"/>
      <c r="O179" s="5"/>
      <c r="P179" s="5"/>
      <c r="Q179" s="5"/>
      <c r="R179" s="5"/>
      <c r="S179" s="5"/>
      <c r="T179" s="5"/>
    </row>
    <row r="180" spans="1:20">
      <c r="A180" s="5"/>
      <c r="B180" s="5"/>
      <c r="C180" s="5"/>
      <c r="D180" s="5"/>
      <c r="E180" s="5"/>
      <c r="F180" s="5"/>
      <c r="G180" s="5"/>
      <c r="H180" s="5"/>
      <c r="I180" s="5"/>
      <c r="J180" s="5"/>
      <c r="K180" s="5"/>
      <c r="L180" s="5"/>
      <c r="M180" s="5"/>
      <c r="N180" s="5"/>
      <c r="O180" s="5"/>
      <c r="P180" s="5"/>
      <c r="Q180" s="5"/>
      <c r="R180" s="5"/>
      <c r="S180" s="5"/>
      <c r="T180" s="5"/>
    </row>
    <row r="181" spans="1:20">
      <c r="A181" s="5"/>
      <c r="B181" s="5"/>
      <c r="C181" s="5"/>
      <c r="D181" s="5"/>
      <c r="E181" s="5"/>
      <c r="F181" s="5"/>
      <c r="G181" s="5"/>
      <c r="H181" s="5"/>
      <c r="I181" s="5"/>
      <c r="J181" s="5"/>
      <c r="K181" s="5"/>
      <c r="L181" s="5"/>
      <c r="M181" s="5"/>
      <c r="N181" s="5"/>
      <c r="O181" s="5"/>
      <c r="P181" s="5"/>
      <c r="Q181" s="5"/>
      <c r="R181" s="5"/>
      <c r="S181" s="5"/>
      <c r="T181" s="5"/>
    </row>
    <row r="182" spans="1:20">
      <c r="A182" s="5"/>
      <c r="B182" s="5"/>
      <c r="C182" s="5"/>
      <c r="D182" s="5"/>
      <c r="E182" s="5"/>
      <c r="F182" s="5"/>
      <c r="G182" s="5"/>
      <c r="H182" s="5"/>
      <c r="I182" s="5"/>
      <c r="J182" s="5"/>
      <c r="K182" s="5"/>
      <c r="L182" s="5"/>
      <c r="M182" s="5"/>
      <c r="N182" s="5"/>
      <c r="O182" s="5"/>
      <c r="P182" s="5"/>
      <c r="Q182" s="5"/>
      <c r="R182" s="5"/>
      <c r="S182" s="5"/>
      <c r="T182" s="5"/>
    </row>
    <row r="183" spans="1:20">
      <c r="A183" s="5"/>
      <c r="B183" s="5"/>
      <c r="C183" s="5"/>
      <c r="D183" s="5"/>
      <c r="E183" s="5"/>
      <c r="F183" s="5"/>
      <c r="G183" s="5"/>
      <c r="H183" s="5"/>
      <c r="I183" s="5"/>
      <c r="J183" s="5"/>
      <c r="K183" s="5"/>
      <c r="L183" s="5"/>
      <c r="M183" s="5"/>
      <c r="N183" s="5"/>
      <c r="O183" s="5"/>
      <c r="P183" s="5"/>
      <c r="Q183" s="5"/>
      <c r="R183" s="5"/>
      <c r="S183" s="5"/>
      <c r="T183" s="5"/>
    </row>
    <row r="184" spans="1:20">
      <c r="A184" s="5"/>
      <c r="B184" s="5"/>
      <c r="C184" s="5"/>
      <c r="D184" s="5"/>
      <c r="E184" s="5"/>
      <c r="F184" s="5"/>
      <c r="G184" s="5"/>
      <c r="H184" s="5"/>
      <c r="I184" s="5"/>
      <c r="J184" s="5"/>
      <c r="K184" s="5"/>
      <c r="L184" s="5"/>
      <c r="M184" s="5"/>
      <c r="N184" s="5"/>
      <c r="O184" s="5"/>
      <c r="P184" s="5"/>
      <c r="Q184" s="5"/>
      <c r="R184" s="5"/>
      <c r="S184" s="5"/>
      <c r="T184" s="5"/>
    </row>
    <row r="185" spans="1:20">
      <c r="A185" s="5"/>
      <c r="B185" s="5"/>
      <c r="C185" s="5"/>
      <c r="D185" s="5"/>
      <c r="E185" s="5"/>
      <c r="F185" s="5"/>
      <c r="G185" s="5"/>
      <c r="H185" s="5"/>
      <c r="I185" s="5"/>
      <c r="J185" s="5"/>
      <c r="K185" s="5"/>
      <c r="L185" s="5"/>
      <c r="M185" s="5"/>
      <c r="N185" s="5"/>
      <c r="O185" s="5"/>
      <c r="P185" s="5"/>
      <c r="Q185" s="5"/>
      <c r="R185" s="5"/>
      <c r="S185" s="5"/>
      <c r="T185" s="5"/>
    </row>
    <row r="186" spans="1:20">
      <c r="A186" s="5"/>
      <c r="B186" s="5"/>
      <c r="C186" s="5"/>
      <c r="D186" s="5"/>
      <c r="E186" s="5"/>
      <c r="F186" s="5"/>
      <c r="G186" s="5"/>
      <c r="H186" s="5"/>
      <c r="I186" s="5"/>
      <c r="J186" s="5"/>
      <c r="K186" s="5"/>
      <c r="L186" s="5"/>
      <c r="M186" s="5"/>
      <c r="N186" s="5"/>
      <c r="O186" s="5"/>
      <c r="P186" s="5"/>
      <c r="Q186" s="5"/>
      <c r="R186" s="5"/>
      <c r="S186" s="5"/>
      <c r="T186" s="5"/>
    </row>
    <row r="187" spans="1:20">
      <c r="A187" s="5"/>
      <c r="B187" s="5"/>
      <c r="C187" s="5"/>
      <c r="D187" s="5"/>
      <c r="E187" s="5"/>
      <c r="F187" s="5"/>
      <c r="G187" s="5"/>
      <c r="H187" s="5"/>
      <c r="I187" s="5"/>
      <c r="J187" s="5"/>
      <c r="K187" s="5"/>
      <c r="L187" s="5"/>
      <c r="M187" s="5"/>
      <c r="N187" s="5"/>
      <c r="O187" s="5"/>
      <c r="P187" s="5"/>
      <c r="Q187" s="5"/>
      <c r="R187" s="5"/>
      <c r="S187" s="5"/>
      <c r="T187" s="5"/>
    </row>
    <row r="188" spans="1:20">
      <c r="A188" s="5"/>
      <c r="B188" s="5"/>
      <c r="C188" s="5"/>
      <c r="D188" s="5"/>
      <c r="E188" s="5"/>
      <c r="F188" s="5"/>
      <c r="G188" s="5"/>
      <c r="H188" s="5"/>
      <c r="I188" s="5"/>
      <c r="J188" s="5"/>
      <c r="K188" s="5"/>
      <c r="L188" s="5"/>
      <c r="M188" s="5"/>
      <c r="N188" s="5"/>
      <c r="O188" s="5"/>
      <c r="P188" s="5"/>
      <c r="Q188" s="5"/>
      <c r="R188" s="5"/>
      <c r="S188" s="5"/>
      <c r="T188" s="5"/>
    </row>
    <row r="189" spans="1:20">
      <c r="A189" s="5"/>
      <c r="B189" s="5"/>
      <c r="C189" s="5"/>
      <c r="D189" s="5"/>
      <c r="E189" s="5"/>
      <c r="F189" s="5"/>
      <c r="G189" s="5"/>
      <c r="H189" s="5"/>
      <c r="I189" s="5"/>
      <c r="J189" s="5"/>
      <c r="K189" s="5"/>
      <c r="L189" s="5"/>
      <c r="M189" s="5"/>
      <c r="N189" s="5"/>
      <c r="O189" s="5"/>
      <c r="P189" s="5"/>
      <c r="Q189" s="5"/>
      <c r="R189" s="5"/>
      <c r="S189" s="5"/>
      <c r="T189" s="5"/>
    </row>
    <row r="190" spans="1:20">
      <c r="A190" s="5"/>
      <c r="B190" s="5"/>
      <c r="C190" s="5"/>
      <c r="D190" s="5"/>
      <c r="E190" s="5"/>
      <c r="F190" s="5"/>
      <c r="G190" s="5"/>
      <c r="H190" s="5"/>
      <c r="I190" s="5"/>
      <c r="J190" s="5"/>
      <c r="K190" s="5"/>
      <c r="L190" s="5"/>
      <c r="M190" s="5"/>
      <c r="N190" s="5"/>
      <c r="O190" s="5"/>
      <c r="P190" s="5"/>
      <c r="Q190" s="5"/>
      <c r="R190" s="5"/>
      <c r="S190" s="5"/>
      <c r="T190" s="5"/>
    </row>
    <row r="191" spans="1:20">
      <c r="A191" s="5"/>
      <c r="B191" s="5"/>
      <c r="C191" s="5"/>
      <c r="D191" s="5"/>
      <c r="E191" s="5"/>
      <c r="F191" s="5"/>
      <c r="G191" s="5"/>
      <c r="H191" s="5"/>
      <c r="I191" s="5"/>
      <c r="J191" s="5"/>
      <c r="K191" s="5"/>
      <c r="L191" s="5"/>
      <c r="M191" s="5"/>
      <c r="N191" s="5"/>
      <c r="O191" s="5"/>
      <c r="P191" s="5"/>
      <c r="Q191" s="5"/>
      <c r="R191" s="5"/>
      <c r="S191" s="5"/>
      <c r="T191" s="5"/>
    </row>
    <row r="192" spans="1:20">
      <c r="A192" s="5"/>
      <c r="B192" s="5"/>
      <c r="C192" s="5"/>
      <c r="D192" s="5"/>
      <c r="E192" s="5"/>
      <c r="F192" s="5"/>
      <c r="G192" s="5"/>
      <c r="H192" s="5"/>
      <c r="I192" s="5"/>
      <c r="J192" s="5"/>
      <c r="K192" s="5"/>
      <c r="L192" s="5"/>
      <c r="M192" s="5"/>
      <c r="N192" s="5"/>
      <c r="O192" s="5"/>
      <c r="P192" s="5"/>
      <c r="Q192" s="5"/>
      <c r="R192" s="5"/>
      <c r="S192" s="5"/>
      <c r="T192" s="5"/>
    </row>
    <row r="193" spans="1:20">
      <c r="A193" s="5"/>
      <c r="B193" s="5"/>
      <c r="C193" s="5"/>
      <c r="D193" s="5"/>
      <c r="E193" s="5"/>
      <c r="F193" s="5"/>
      <c r="G193" s="5"/>
      <c r="H193" s="5"/>
      <c r="I193" s="5"/>
      <c r="J193" s="5"/>
      <c r="K193" s="5"/>
      <c r="L193" s="5"/>
      <c r="M193" s="5"/>
      <c r="N193" s="5"/>
      <c r="O193" s="5"/>
      <c r="P193" s="5"/>
      <c r="Q193" s="5"/>
      <c r="R193" s="5"/>
      <c r="S193" s="5"/>
      <c r="T193" s="5"/>
    </row>
    <row r="194" spans="1:20">
      <c r="A194" s="5"/>
      <c r="B194" s="5"/>
      <c r="C194" s="5"/>
      <c r="D194" s="5"/>
      <c r="E194" s="5"/>
      <c r="F194" s="5"/>
      <c r="G194" s="5"/>
      <c r="H194" s="5"/>
      <c r="I194" s="5"/>
      <c r="J194" s="5"/>
      <c r="K194" s="5"/>
      <c r="L194" s="5"/>
      <c r="M194" s="5"/>
      <c r="N194" s="5"/>
      <c r="O194" s="5"/>
      <c r="P194" s="5"/>
      <c r="Q194" s="5"/>
      <c r="R194" s="5"/>
      <c r="S194" s="5"/>
      <c r="T194" s="5"/>
    </row>
    <row r="195" spans="1:20">
      <c r="A195" s="5"/>
      <c r="B195" s="5"/>
      <c r="C195" s="5"/>
      <c r="D195" s="5"/>
      <c r="E195" s="5"/>
      <c r="F195" s="5"/>
      <c r="G195" s="5"/>
      <c r="H195" s="5"/>
      <c r="I195" s="5"/>
      <c r="J195" s="5"/>
      <c r="K195" s="5"/>
      <c r="L195" s="5"/>
      <c r="M195" s="5"/>
      <c r="N195" s="5"/>
      <c r="O195" s="5"/>
      <c r="P195" s="5"/>
      <c r="Q195" s="5"/>
      <c r="R195" s="5"/>
      <c r="S195" s="5"/>
      <c r="T195" s="5"/>
    </row>
    <row r="196" spans="1:20">
      <c r="A196" s="5"/>
      <c r="B196" s="5"/>
      <c r="C196" s="5"/>
      <c r="D196" s="5"/>
      <c r="E196" s="5"/>
      <c r="F196" s="5"/>
      <c r="G196" s="5"/>
      <c r="H196" s="5"/>
      <c r="I196" s="5"/>
      <c r="J196" s="5"/>
      <c r="K196" s="5"/>
      <c r="L196" s="5"/>
      <c r="M196" s="5"/>
      <c r="N196" s="5"/>
      <c r="O196" s="5"/>
      <c r="P196" s="5"/>
      <c r="Q196" s="5"/>
      <c r="R196" s="5"/>
      <c r="S196" s="5"/>
      <c r="T196" s="5"/>
    </row>
    <row r="197" spans="1:20">
      <c r="A197" s="5"/>
      <c r="B197" s="5"/>
      <c r="C197" s="5"/>
      <c r="D197" s="5"/>
      <c r="E197" s="5"/>
      <c r="F197" s="5"/>
      <c r="G197" s="5"/>
      <c r="H197" s="5"/>
      <c r="I197" s="5"/>
      <c r="J197" s="5"/>
      <c r="K197" s="5"/>
      <c r="L197" s="5"/>
      <c r="M197" s="5"/>
      <c r="N197" s="5"/>
      <c r="O197" s="5"/>
      <c r="P197" s="5"/>
      <c r="Q197" s="5"/>
      <c r="R197" s="5"/>
      <c r="S197" s="5"/>
      <c r="T197" s="5"/>
    </row>
    <row r="198" spans="1:20">
      <c r="A198" s="5"/>
      <c r="B198" s="5"/>
      <c r="C198" s="5"/>
      <c r="D198" s="5"/>
      <c r="E198" s="5"/>
      <c r="F198" s="5"/>
      <c r="G198" s="5"/>
      <c r="H198" s="5"/>
      <c r="I198" s="5"/>
      <c r="J198" s="5"/>
      <c r="K198" s="5"/>
      <c r="L198" s="5"/>
      <c r="M198" s="5"/>
      <c r="N198" s="5"/>
      <c r="O198" s="5"/>
      <c r="P198" s="5"/>
      <c r="Q198" s="5"/>
      <c r="R198" s="5"/>
      <c r="S198" s="5"/>
      <c r="T198" s="5"/>
    </row>
    <row r="199" spans="1:20">
      <c r="A199" s="5"/>
      <c r="B199" s="5"/>
      <c r="C199" s="5"/>
      <c r="D199" s="5"/>
      <c r="E199" s="5"/>
      <c r="F199" s="5"/>
      <c r="G199" s="5"/>
      <c r="H199" s="5"/>
      <c r="I199" s="5"/>
      <c r="J199" s="5"/>
      <c r="K199" s="5"/>
      <c r="L199" s="5"/>
      <c r="M199" s="5"/>
      <c r="N199" s="5"/>
      <c r="O199" s="5"/>
      <c r="P199" s="5"/>
      <c r="Q199" s="5"/>
      <c r="R199" s="5"/>
      <c r="S199" s="5"/>
      <c r="T199" s="5"/>
    </row>
    <row r="200" spans="1:20">
      <c r="A200" s="5"/>
      <c r="B200" s="5"/>
      <c r="C200" s="5"/>
      <c r="D200" s="5"/>
      <c r="E200" s="5"/>
      <c r="F200" s="5"/>
      <c r="G200" s="5"/>
      <c r="H200" s="5"/>
      <c r="I200" s="5"/>
      <c r="J200" s="5"/>
      <c r="K200" s="5"/>
      <c r="L200" s="5"/>
      <c r="M200" s="5"/>
      <c r="N200" s="5"/>
      <c r="O200" s="5"/>
      <c r="P200" s="5"/>
      <c r="Q200" s="5"/>
      <c r="R200" s="5"/>
      <c r="S200" s="5"/>
      <c r="T200" s="5"/>
    </row>
    <row r="201" spans="1:20">
      <c r="A201" s="5"/>
      <c r="B201" s="5"/>
      <c r="C201" s="5"/>
      <c r="D201" s="5"/>
      <c r="E201" s="5"/>
      <c r="F201" s="5"/>
      <c r="G201" s="5"/>
      <c r="H201" s="5"/>
      <c r="I201" s="5"/>
      <c r="J201" s="5"/>
      <c r="K201" s="5"/>
      <c r="L201" s="5"/>
      <c r="M201" s="5"/>
      <c r="N201" s="5"/>
      <c r="O201" s="5"/>
      <c r="P201" s="5"/>
      <c r="Q201" s="5"/>
      <c r="R201" s="5"/>
      <c r="S201" s="5"/>
      <c r="T201" s="5"/>
    </row>
    <row r="202" spans="1:20">
      <c r="A202" s="5"/>
      <c r="B202" s="5"/>
      <c r="C202" s="5"/>
      <c r="D202" s="5"/>
      <c r="E202" s="5"/>
      <c r="F202" s="5"/>
      <c r="G202" s="5"/>
      <c r="H202" s="5"/>
      <c r="I202" s="5"/>
      <c r="J202" s="5"/>
      <c r="K202" s="5"/>
      <c r="L202" s="5"/>
      <c r="M202" s="5"/>
      <c r="N202" s="5"/>
      <c r="O202" s="5"/>
      <c r="P202" s="5"/>
      <c r="Q202" s="5"/>
      <c r="R202" s="5"/>
      <c r="S202" s="5"/>
      <c r="T202" s="5"/>
    </row>
    <row r="203" spans="1:20">
      <c r="A203" s="5"/>
      <c r="B203" s="5"/>
      <c r="C203" s="5"/>
      <c r="D203" s="5"/>
      <c r="E203" s="5"/>
      <c r="F203" s="5"/>
      <c r="G203" s="5"/>
      <c r="H203" s="5"/>
      <c r="I203" s="5"/>
      <c r="J203" s="5"/>
      <c r="K203" s="5"/>
      <c r="L203" s="5"/>
      <c r="M203" s="5"/>
      <c r="N203" s="5"/>
      <c r="O203" s="5"/>
      <c r="P203" s="5"/>
      <c r="Q203" s="5"/>
      <c r="R203" s="5"/>
      <c r="S203" s="5"/>
      <c r="T203" s="5"/>
    </row>
    <row r="204" spans="1:20">
      <c r="A204" s="5"/>
      <c r="B204" s="5"/>
      <c r="C204" s="5"/>
      <c r="D204" s="5"/>
      <c r="E204" s="5"/>
      <c r="F204" s="5"/>
      <c r="G204" s="5"/>
      <c r="H204" s="5"/>
      <c r="I204" s="5"/>
      <c r="J204" s="5"/>
      <c r="K204" s="5"/>
      <c r="L204" s="5"/>
      <c r="M204" s="5"/>
      <c r="N204" s="5"/>
      <c r="O204" s="5"/>
      <c r="P204" s="5"/>
      <c r="Q204" s="5"/>
      <c r="R204" s="5"/>
      <c r="S204" s="5"/>
      <c r="T204" s="5"/>
    </row>
    <row r="205" spans="1:20">
      <c r="A205" s="5"/>
      <c r="B205" s="5"/>
      <c r="C205" s="5"/>
      <c r="D205" s="5"/>
      <c r="E205" s="5"/>
      <c r="F205" s="5"/>
      <c r="G205" s="5"/>
      <c r="H205" s="5"/>
      <c r="I205" s="5"/>
      <c r="J205" s="5"/>
      <c r="K205" s="5"/>
      <c r="L205" s="5"/>
      <c r="M205" s="5"/>
      <c r="N205" s="5"/>
      <c r="O205" s="5"/>
      <c r="P205" s="5"/>
      <c r="Q205" s="5"/>
      <c r="R205" s="5"/>
      <c r="S205" s="5"/>
      <c r="T205" s="5"/>
    </row>
    <row r="206" spans="1:20">
      <c r="A206" s="5"/>
      <c r="B206" s="5"/>
      <c r="C206" s="5"/>
      <c r="D206" s="5"/>
      <c r="E206" s="5"/>
      <c r="F206" s="5"/>
      <c r="G206" s="5"/>
      <c r="H206" s="5"/>
      <c r="I206" s="5"/>
      <c r="J206" s="5"/>
      <c r="K206" s="5"/>
      <c r="L206" s="5"/>
      <c r="M206" s="5"/>
      <c r="N206" s="5"/>
      <c r="O206" s="5"/>
      <c r="P206" s="5"/>
      <c r="Q206" s="5"/>
      <c r="R206" s="5"/>
      <c r="S206" s="5"/>
      <c r="T206" s="5"/>
    </row>
    <row r="207" spans="1:20">
      <c r="A207" s="5"/>
      <c r="B207" s="5"/>
      <c r="C207" s="5"/>
      <c r="D207" s="5"/>
      <c r="E207" s="5"/>
      <c r="F207" s="5"/>
      <c r="G207" s="5"/>
      <c r="H207" s="5"/>
      <c r="I207" s="5"/>
      <c r="J207" s="5"/>
      <c r="K207" s="5"/>
      <c r="L207" s="5"/>
      <c r="M207" s="5"/>
      <c r="N207" s="5"/>
      <c r="O207" s="5"/>
      <c r="P207" s="5"/>
      <c r="Q207" s="5"/>
      <c r="R207" s="5"/>
      <c r="S207" s="5"/>
      <c r="T207" s="5"/>
    </row>
    <row r="208" spans="1:20">
      <c r="A208" s="5"/>
      <c r="B208" s="5"/>
      <c r="C208" s="5"/>
      <c r="D208" s="5"/>
      <c r="E208" s="5"/>
      <c r="F208" s="5"/>
      <c r="G208" s="5"/>
      <c r="H208" s="5"/>
      <c r="I208" s="5"/>
      <c r="J208" s="5"/>
      <c r="K208" s="5"/>
      <c r="L208" s="5"/>
      <c r="M208" s="5"/>
      <c r="N208" s="5"/>
      <c r="O208" s="5"/>
      <c r="P208" s="5"/>
      <c r="Q208" s="5"/>
      <c r="R208" s="5"/>
      <c r="S208" s="5"/>
      <c r="T208" s="5"/>
    </row>
    <row r="209" spans="1:20">
      <c r="A209" s="5"/>
      <c r="B209" s="5"/>
      <c r="C209" s="5"/>
      <c r="D209" s="5"/>
      <c r="E209" s="5"/>
      <c r="F209" s="5"/>
      <c r="G209" s="5"/>
      <c r="H209" s="5"/>
      <c r="I209" s="5"/>
      <c r="J209" s="5"/>
      <c r="K209" s="5"/>
      <c r="L209" s="5"/>
      <c r="M209" s="5"/>
      <c r="N209" s="5"/>
      <c r="O209" s="5"/>
      <c r="P209" s="5"/>
      <c r="Q209" s="5"/>
      <c r="R209" s="5"/>
      <c r="S209" s="5"/>
      <c r="T209" s="5"/>
    </row>
    <row r="210" spans="1:20">
      <c r="A210" s="5"/>
      <c r="B210" s="5"/>
      <c r="C210" s="5"/>
      <c r="D210" s="5"/>
      <c r="E210" s="5"/>
      <c r="F210" s="5"/>
      <c r="G210" s="5"/>
      <c r="H210" s="5"/>
      <c r="I210" s="5"/>
      <c r="J210" s="5"/>
      <c r="K210" s="5"/>
      <c r="L210" s="5"/>
      <c r="M210" s="5"/>
      <c r="N210" s="5"/>
      <c r="O210" s="5"/>
      <c r="P210" s="5"/>
      <c r="Q210" s="5"/>
      <c r="R210" s="5"/>
      <c r="S210" s="5"/>
      <c r="T210" s="5"/>
    </row>
    <row r="211" spans="1:20">
      <c r="A211" s="5"/>
      <c r="B211" s="5"/>
      <c r="C211" s="5"/>
      <c r="D211" s="5"/>
      <c r="E211" s="5"/>
      <c r="F211" s="5"/>
      <c r="G211" s="5"/>
      <c r="H211" s="5"/>
      <c r="I211" s="5"/>
      <c r="J211" s="5"/>
      <c r="K211" s="5"/>
      <c r="L211" s="5"/>
      <c r="M211" s="5"/>
      <c r="N211" s="5"/>
      <c r="O211" s="5"/>
      <c r="P211" s="5"/>
      <c r="Q211" s="5"/>
      <c r="R211" s="5"/>
      <c r="S211" s="5"/>
      <c r="T211" s="5"/>
    </row>
    <row r="212" spans="1:20">
      <c r="A212" s="5"/>
      <c r="B212" s="5"/>
      <c r="C212" s="5"/>
      <c r="D212" s="5"/>
      <c r="E212" s="5"/>
      <c r="F212" s="5"/>
      <c r="G212" s="5"/>
      <c r="H212" s="5"/>
      <c r="I212" s="5"/>
      <c r="J212" s="5"/>
      <c r="K212" s="5"/>
      <c r="L212" s="5"/>
      <c r="M212" s="5"/>
      <c r="N212" s="5"/>
      <c r="O212" s="5"/>
      <c r="P212" s="5"/>
      <c r="Q212" s="5"/>
      <c r="R212" s="5"/>
      <c r="S212" s="5"/>
      <c r="T212" s="5"/>
    </row>
    <row r="213" spans="1:20">
      <c r="A213" s="5"/>
      <c r="B213" s="5"/>
      <c r="C213" s="5"/>
      <c r="D213" s="5"/>
      <c r="E213" s="5"/>
      <c r="F213" s="5"/>
      <c r="G213" s="5"/>
      <c r="H213" s="5"/>
      <c r="I213" s="5"/>
      <c r="J213" s="5"/>
      <c r="K213" s="5"/>
      <c r="L213" s="5"/>
      <c r="M213" s="5"/>
      <c r="N213" s="5"/>
      <c r="O213" s="5"/>
      <c r="P213" s="5"/>
      <c r="Q213" s="5"/>
      <c r="R213" s="5"/>
      <c r="S213" s="5"/>
      <c r="T213" s="5"/>
    </row>
    <row r="214" spans="1:20">
      <c r="A214" s="5"/>
      <c r="B214" s="5"/>
      <c r="C214" s="5"/>
      <c r="D214" s="5"/>
      <c r="E214" s="5"/>
      <c r="F214" s="5"/>
      <c r="G214" s="5"/>
      <c r="H214" s="5"/>
      <c r="I214" s="5"/>
      <c r="J214" s="5"/>
      <c r="K214" s="5"/>
      <c r="L214" s="5"/>
      <c r="M214" s="5"/>
      <c r="N214" s="5"/>
      <c r="O214" s="5"/>
      <c r="P214" s="5"/>
      <c r="Q214" s="5"/>
      <c r="R214" s="5"/>
      <c r="S214" s="5"/>
      <c r="T214" s="5"/>
    </row>
    <row r="215" spans="1:20">
      <c r="A215" s="5"/>
      <c r="B215" s="5"/>
      <c r="C215" s="5"/>
      <c r="D215" s="5"/>
      <c r="E215" s="5"/>
      <c r="F215" s="5"/>
      <c r="G215" s="5"/>
      <c r="H215" s="5"/>
      <c r="I215" s="5"/>
      <c r="J215" s="5"/>
      <c r="K215" s="5"/>
      <c r="L215" s="5"/>
      <c r="M215" s="5"/>
      <c r="N215" s="5"/>
      <c r="O215" s="5"/>
      <c r="P215" s="5"/>
      <c r="Q215" s="5"/>
      <c r="R215" s="5"/>
      <c r="S215" s="5"/>
      <c r="T215" s="5"/>
    </row>
    <row r="216" spans="1:20">
      <c r="A216" s="5"/>
      <c r="B216" s="5"/>
      <c r="C216" s="5"/>
      <c r="D216" s="5"/>
      <c r="E216" s="5"/>
      <c r="F216" s="5"/>
      <c r="G216" s="5"/>
      <c r="H216" s="5"/>
      <c r="I216" s="5"/>
      <c r="J216" s="5"/>
      <c r="K216" s="5"/>
      <c r="L216" s="5"/>
      <c r="M216" s="5"/>
      <c r="N216" s="5"/>
      <c r="O216" s="5"/>
      <c r="P216" s="5"/>
      <c r="Q216" s="5"/>
      <c r="R216" s="5"/>
      <c r="S216" s="5"/>
      <c r="T216" s="5"/>
    </row>
    <row r="217" spans="1:20">
      <c r="A217" s="5"/>
      <c r="B217" s="5"/>
      <c r="C217" s="5"/>
      <c r="D217" s="5"/>
      <c r="E217" s="5"/>
      <c r="F217" s="5"/>
      <c r="G217" s="5"/>
      <c r="H217" s="5"/>
      <c r="I217" s="5"/>
      <c r="J217" s="5"/>
      <c r="K217" s="5"/>
      <c r="L217" s="5"/>
      <c r="M217" s="5"/>
      <c r="N217" s="5"/>
      <c r="O217" s="5"/>
      <c r="P217" s="5"/>
      <c r="Q217" s="5"/>
      <c r="R217" s="5"/>
      <c r="S217" s="5"/>
      <c r="T217" s="5"/>
    </row>
    <row r="218" spans="1:20">
      <c r="A218" s="5"/>
      <c r="B218" s="5"/>
      <c r="C218" s="5"/>
      <c r="D218" s="5"/>
      <c r="E218" s="5"/>
      <c r="F218" s="5"/>
      <c r="G218" s="5"/>
      <c r="H218" s="5"/>
      <c r="I218" s="5"/>
      <c r="J218" s="5"/>
      <c r="K218" s="5"/>
      <c r="L218" s="5"/>
      <c r="M218" s="5"/>
      <c r="N218" s="5"/>
      <c r="O218" s="5"/>
      <c r="P218" s="5"/>
      <c r="Q218" s="5"/>
      <c r="R218" s="5"/>
      <c r="S218" s="5"/>
      <c r="T218" s="5"/>
    </row>
    <row r="219" spans="1:20">
      <c r="A219" s="5"/>
      <c r="B219" s="5"/>
      <c r="C219" s="5"/>
      <c r="D219" s="5"/>
      <c r="E219" s="5"/>
      <c r="F219" s="5"/>
      <c r="G219" s="5"/>
      <c r="H219" s="5"/>
      <c r="I219" s="5"/>
      <c r="J219" s="5"/>
      <c r="K219" s="5"/>
      <c r="L219" s="5"/>
      <c r="M219" s="5"/>
      <c r="N219" s="5"/>
      <c r="O219" s="5"/>
      <c r="P219" s="5"/>
      <c r="Q219" s="5"/>
      <c r="R219" s="5"/>
      <c r="S219" s="5"/>
      <c r="T219" s="5"/>
    </row>
    <row r="220" spans="1:20">
      <c r="A220" s="5"/>
      <c r="B220" s="5"/>
      <c r="C220" s="5"/>
      <c r="D220" s="5"/>
      <c r="E220" s="5"/>
      <c r="F220" s="5"/>
      <c r="G220" s="5"/>
      <c r="H220" s="5"/>
      <c r="I220" s="5"/>
      <c r="J220" s="5"/>
      <c r="K220" s="5"/>
      <c r="L220" s="5"/>
      <c r="M220" s="5"/>
      <c r="N220" s="5"/>
      <c r="O220" s="5"/>
      <c r="P220" s="5"/>
      <c r="Q220" s="5"/>
      <c r="R220" s="5"/>
      <c r="S220" s="5"/>
      <c r="T220" s="5"/>
    </row>
    <row r="221" spans="1:20">
      <c r="A221" s="5"/>
      <c r="B221" s="5"/>
      <c r="C221" s="5"/>
      <c r="D221" s="5"/>
      <c r="E221" s="5"/>
      <c r="F221" s="5"/>
      <c r="G221" s="5"/>
      <c r="H221" s="5"/>
      <c r="I221" s="5"/>
      <c r="J221" s="5"/>
      <c r="K221" s="5"/>
      <c r="L221" s="5"/>
      <c r="M221" s="5"/>
      <c r="N221" s="5"/>
      <c r="O221" s="5"/>
      <c r="P221" s="5"/>
      <c r="Q221" s="5"/>
      <c r="R221" s="5"/>
      <c r="S221" s="5"/>
      <c r="T221" s="5"/>
    </row>
    <row r="222" spans="1:20">
      <c r="A222" s="5"/>
      <c r="B222" s="5"/>
      <c r="C222" s="5"/>
      <c r="D222" s="5"/>
      <c r="E222" s="5"/>
      <c r="F222" s="5"/>
      <c r="G222" s="5"/>
      <c r="H222" s="5"/>
      <c r="I222" s="5"/>
      <c r="J222" s="5"/>
      <c r="K222" s="5"/>
      <c r="L222" s="5"/>
      <c r="M222" s="5"/>
      <c r="N222" s="5"/>
      <c r="O222" s="5"/>
      <c r="P222" s="5"/>
      <c r="Q222" s="5"/>
      <c r="R222" s="5"/>
      <c r="S222" s="5"/>
      <c r="T222" s="5"/>
    </row>
    <row r="223" spans="1:20">
      <c r="A223" s="5"/>
      <c r="B223" s="5"/>
      <c r="C223" s="5"/>
      <c r="D223" s="5"/>
      <c r="E223" s="5"/>
      <c r="F223" s="5"/>
      <c r="G223" s="5"/>
      <c r="H223" s="5"/>
      <c r="I223" s="5"/>
      <c r="J223" s="5"/>
      <c r="K223" s="5"/>
      <c r="L223" s="5"/>
      <c r="M223" s="5"/>
      <c r="N223" s="5"/>
      <c r="O223" s="5"/>
      <c r="P223" s="5"/>
      <c r="Q223" s="5"/>
      <c r="R223" s="5"/>
      <c r="S223" s="5"/>
      <c r="T223" s="5"/>
    </row>
    <row r="224" spans="1:20">
      <c r="A224" s="5"/>
      <c r="B224" s="5"/>
      <c r="C224" s="5"/>
      <c r="D224" s="5"/>
      <c r="E224" s="5"/>
      <c r="F224" s="5"/>
      <c r="G224" s="5"/>
      <c r="H224" s="5"/>
      <c r="I224" s="5"/>
      <c r="J224" s="5"/>
      <c r="K224" s="5"/>
      <c r="L224" s="5"/>
      <c r="M224" s="5"/>
      <c r="N224" s="5"/>
      <c r="O224" s="5"/>
      <c r="P224" s="5"/>
      <c r="Q224" s="5"/>
      <c r="R224" s="5"/>
      <c r="S224" s="5"/>
      <c r="T224" s="5"/>
    </row>
    <row r="225" spans="1:20">
      <c r="A225" s="5"/>
      <c r="B225" s="5"/>
      <c r="C225" s="5"/>
      <c r="D225" s="5"/>
      <c r="E225" s="5"/>
      <c r="F225" s="5"/>
      <c r="G225" s="5"/>
      <c r="H225" s="5"/>
      <c r="I225" s="5"/>
      <c r="J225" s="5"/>
      <c r="K225" s="5"/>
      <c r="L225" s="5"/>
      <c r="M225" s="5"/>
      <c r="N225" s="5"/>
      <c r="O225" s="5"/>
      <c r="P225" s="5"/>
      <c r="Q225" s="5"/>
      <c r="R225" s="5"/>
      <c r="S225" s="5"/>
      <c r="T225" s="5"/>
    </row>
    <row r="226" spans="1:20">
      <c r="A226" s="5"/>
      <c r="B226" s="5"/>
      <c r="C226" s="5"/>
      <c r="D226" s="5"/>
      <c r="E226" s="5"/>
      <c r="F226" s="5"/>
      <c r="G226" s="5"/>
      <c r="H226" s="5"/>
      <c r="I226" s="5"/>
      <c r="J226" s="5"/>
      <c r="K226" s="5"/>
      <c r="L226" s="5"/>
      <c r="M226" s="5"/>
      <c r="N226" s="5"/>
      <c r="O226" s="5"/>
      <c r="P226" s="5"/>
      <c r="Q226" s="5"/>
      <c r="R226" s="5"/>
      <c r="S226" s="5"/>
      <c r="T226" s="5"/>
    </row>
    <row r="227" spans="1:20">
      <c r="A227" s="5"/>
      <c r="B227" s="5"/>
      <c r="C227" s="5"/>
      <c r="D227" s="5"/>
      <c r="E227" s="5"/>
      <c r="F227" s="5"/>
      <c r="G227" s="5"/>
      <c r="H227" s="5"/>
      <c r="I227" s="5"/>
      <c r="J227" s="5"/>
      <c r="K227" s="5"/>
      <c r="L227" s="5"/>
      <c r="M227" s="5"/>
      <c r="N227" s="5"/>
      <c r="O227" s="5"/>
      <c r="P227" s="5"/>
      <c r="Q227" s="5"/>
      <c r="R227" s="5"/>
      <c r="S227" s="5"/>
      <c r="T227" s="5"/>
    </row>
    <row r="228" spans="1:20">
      <c r="A228" s="5"/>
      <c r="B228" s="5"/>
      <c r="C228" s="5"/>
      <c r="D228" s="5"/>
      <c r="E228" s="5"/>
      <c r="F228" s="5"/>
      <c r="G228" s="5"/>
      <c r="H228" s="5"/>
      <c r="I228" s="5"/>
      <c r="J228" s="5"/>
      <c r="K228" s="5"/>
      <c r="L228" s="5"/>
      <c r="M228" s="5"/>
      <c r="N228" s="5"/>
      <c r="O228" s="5"/>
      <c r="P228" s="5"/>
      <c r="Q228" s="5"/>
      <c r="R228" s="5"/>
      <c r="S228" s="5"/>
      <c r="T228" s="5"/>
    </row>
    <row r="229" spans="1:20">
      <c r="A229" s="5"/>
      <c r="B229" s="5"/>
      <c r="C229" s="5"/>
      <c r="D229" s="5"/>
      <c r="E229" s="5"/>
      <c r="F229" s="5"/>
      <c r="G229" s="5"/>
      <c r="H229" s="5"/>
      <c r="I229" s="5"/>
      <c r="J229" s="5"/>
      <c r="K229" s="5"/>
      <c r="L229" s="5"/>
      <c r="M229" s="5"/>
      <c r="N229" s="5"/>
      <c r="O229" s="5"/>
      <c r="P229" s="5"/>
      <c r="Q229" s="5"/>
      <c r="R229" s="5"/>
      <c r="S229" s="5"/>
      <c r="T229" s="5"/>
    </row>
    <row r="230" spans="1:20">
      <c r="A230" s="5"/>
      <c r="B230" s="5"/>
      <c r="C230" s="5"/>
      <c r="D230" s="5"/>
      <c r="E230" s="5"/>
      <c r="F230" s="5"/>
      <c r="G230" s="5"/>
      <c r="H230" s="5"/>
      <c r="I230" s="5"/>
      <c r="J230" s="5"/>
      <c r="K230" s="5"/>
      <c r="L230" s="5"/>
      <c r="M230" s="5"/>
      <c r="N230" s="5"/>
      <c r="O230" s="5"/>
      <c r="P230" s="5"/>
      <c r="Q230" s="5"/>
      <c r="R230" s="5"/>
      <c r="S230" s="5"/>
      <c r="T230" s="5"/>
    </row>
    <row r="231" spans="1:20">
      <c r="A231" s="5"/>
      <c r="B231" s="5"/>
      <c r="C231" s="5"/>
      <c r="D231" s="5"/>
      <c r="E231" s="5"/>
      <c r="F231" s="5"/>
      <c r="G231" s="5"/>
      <c r="H231" s="5"/>
      <c r="I231" s="5"/>
      <c r="J231" s="5"/>
      <c r="K231" s="5"/>
      <c r="L231" s="5"/>
      <c r="M231" s="5"/>
      <c r="N231" s="5"/>
      <c r="O231" s="5"/>
      <c r="P231" s="5"/>
      <c r="Q231" s="5"/>
      <c r="R231" s="5"/>
      <c r="S231" s="5"/>
      <c r="T231" s="5"/>
    </row>
    <row r="232" spans="1:20">
      <c r="A232" s="5"/>
      <c r="B232" s="5"/>
      <c r="C232" s="5"/>
      <c r="D232" s="5"/>
      <c r="E232" s="5"/>
      <c r="F232" s="5"/>
      <c r="G232" s="5"/>
      <c r="H232" s="5"/>
      <c r="I232" s="5"/>
      <c r="J232" s="5"/>
      <c r="K232" s="5"/>
      <c r="L232" s="5"/>
      <c r="M232" s="5"/>
      <c r="N232" s="5"/>
      <c r="O232" s="5"/>
      <c r="P232" s="5"/>
      <c r="Q232" s="5"/>
      <c r="R232" s="5"/>
      <c r="S232" s="5"/>
      <c r="T232" s="5"/>
    </row>
    <row r="233" spans="1:20">
      <c r="A233" s="5"/>
      <c r="B233" s="5"/>
      <c r="C233" s="5"/>
      <c r="D233" s="5"/>
      <c r="E233" s="5"/>
      <c r="F233" s="5"/>
      <c r="G233" s="5"/>
      <c r="H233" s="5"/>
      <c r="I233" s="5"/>
      <c r="J233" s="5"/>
      <c r="K233" s="5"/>
      <c r="L233" s="5"/>
      <c r="M233" s="5"/>
      <c r="N233" s="5"/>
      <c r="O233" s="5"/>
      <c r="P233" s="5"/>
      <c r="Q233" s="5"/>
      <c r="R233" s="5"/>
      <c r="S233" s="5"/>
      <c r="T233" s="5"/>
    </row>
    <row r="234" spans="1:20">
      <c r="A234" s="5"/>
      <c r="B234" s="5"/>
      <c r="C234" s="5"/>
      <c r="D234" s="5"/>
      <c r="E234" s="5"/>
      <c r="F234" s="5"/>
      <c r="G234" s="5"/>
      <c r="H234" s="5"/>
      <c r="I234" s="5"/>
      <c r="J234" s="5"/>
      <c r="K234" s="5"/>
      <c r="L234" s="5"/>
      <c r="M234" s="5"/>
      <c r="N234" s="5"/>
      <c r="O234" s="5"/>
      <c r="P234" s="5"/>
      <c r="Q234" s="5"/>
      <c r="R234" s="5"/>
      <c r="S234" s="5"/>
      <c r="T234" s="5"/>
    </row>
    <row r="235" spans="1:20">
      <c r="A235" s="5"/>
      <c r="B235" s="5"/>
      <c r="C235" s="5"/>
      <c r="D235" s="5"/>
      <c r="E235" s="5"/>
      <c r="F235" s="5"/>
      <c r="G235" s="5"/>
      <c r="H235" s="5"/>
      <c r="I235" s="5"/>
      <c r="J235" s="5"/>
      <c r="K235" s="5"/>
      <c r="L235" s="5"/>
      <c r="M235" s="5"/>
      <c r="N235" s="5"/>
      <c r="O235" s="5"/>
      <c r="P235" s="5"/>
      <c r="Q235" s="5"/>
      <c r="R235" s="5"/>
      <c r="S235" s="5"/>
      <c r="T235" s="5"/>
    </row>
    <row r="236" spans="1:20">
      <c r="A236" s="5"/>
      <c r="B236" s="5"/>
      <c r="C236" s="5"/>
      <c r="D236" s="5"/>
      <c r="E236" s="5"/>
      <c r="F236" s="5"/>
      <c r="G236" s="5"/>
      <c r="H236" s="5"/>
      <c r="I236" s="5"/>
      <c r="J236" s="5"/>
      <c r="K236" s="5"/>
      <c r="L236" s="5"/>
      <c r="M236" s="5"/>
      <c r="N236" s="5"/>
      <c r="O236" s="5"/>
      <c r="P236" s="5"/>
      <c r="Q236" s="5"/>
      <c r="R236" s="5"/>
      <c r="S236" s="5"/>
      <c r="T236" s="5"/>
    </row>
    <row r="237" spans="1:20">
      <c r="A237" s="5"/>
      <c r="B237" s="5"/>
      <c r="C237" s="5"/>
      <c r="D237" s="5"/>
      <c r="E237" s="5"/>
      <c r="F237" s="5"/>
      <c r="G237" s="5"/>
      <c r="H237" s="5"/>
      <c r="I237" s="5"/>
      <c r="J237" s="5"/>
      <c r="K237" s="5"/>
      <c r="L237" s="5"/>
      <c r="M237" s="5"/>
      <c r="N237" s="5"/>
      <c r="O237" s="5"/>
      <c r="P237" s="5"/>
      <c r="Q237" s="5"/>
      <c r="R237" s="5"/>
      <c r="S237" s="5"/>
      <c r="T237" s="5"/>
    </row>
    <row r="238" spans="1:20">
      <c r="A238" s="5"/>
      <c r="B238" s="5"/>
      <c r="C238" s="5"/>
      <c r="D238" s="5"/>
      <c r="E238" s="5"/>
      <c r="F238" s="5"/>
      <c r="G238" s="5"/>
      <c r="H238" s="5"/>
      <c r="I238" s="5"/>
      <c r="J238" s="5"/>
      <c r="K238" s="5"/>
      <c r="L238" s="5"/>
      <c r="M238" s="5"/>
      <c r="N238" s="5"/>
      <c r="O238" s="5"/>
      <c r="P238" s="5"/>
      <c r="Q238" s="5"/>
      <c r="R238" s="5"/>
      <c r="S238" s="5"/>
      <c r="T238" s="5"/>
    </row>
    <row r="239" spans="1:20">
      <c r="A239" s="5"/>
      <c r="B239" s="5"/>
      <c r="C239" s="5"/>
      <c r="D239" s="5"/>
      <c r="E239" s="5"/>
      <c r="F239" s="5"/>
      <c r="G239" s="5"/>
      <c r="H239" s="5"/>
      <c r="I239" s="5"/>
      <c r="J239" s="5"/>
      <c r="K239" s="5"/>
      <c r="L239" s="5"/>
      <c r="M239" s="5"/>
      <c r="N239" s="5"/>
      <c r="O239" s="5"/>
      <c r="P239" s="5"/>
      <c r="Q239" s="5"/>
      <c r="R239" s="5"/>
      <c r="S239" s="5"/>
      <c r="T239" s="5"/>
    </row>
    <row r="240" spans="1:20">
      <c r="A240" s="5"/>
      <c r="B240" s="5"/>
      <c r="C240" s="5"/>
      <c r="D240" s="5"/>
      <c r="E240" s="5"/>
      <c r="F240" s="5"/>
      <c r="G240" s="5"/>
      <c r="H240" s="5"/>
      <c r="I240" s="5"/>
      <c r="J240" s="5"/>
      <c r="K240" s="5"/>
      <c r="L240" s="5"/>
      <c r="M240" s="5"/>
      <c r="N240" s="5"/>
      <c r="O240" s="5"/>
      <c r="P240" s="5"/>
      <c r="Q240" s="5"/>
      <c r="R240" s="5"/>
      <c r="S240" s="5"/>
      <c r="T240" s="5"/>
    </row>
    <row r="241" spans="1:20">
      <c r="A241" s="5"/>
      <c r="B241" s="5"/>
      <c r="C241" s="5"/>
      <c r="D241" s="5"/>
      <c r="E241" s="5"/>
      <c r="F241" s="5"/>
      <c r="G241" s="5"/>
      <c r="H241" s="5"/>
      <c r="I241" s="5"/>
      <c r="J241" s="5"/>
      <c r="K241" s="5"/>
      <c r="L241" s="5"/>
      <c r="M241" s="5"/>
      <c r="N241" s="5"/>
      <c r="O241" s="5"/>
      <c r="P241" s="5"/>
      <c r="Q241" s="5"/>
      <c r="R241" s="5"/>
      <c r="S241" s="5"/>
      <c r="T241" s="5"/>
    </row>
    <row r="242" spans="1:20">
      <c r="A242" s="5"/>
      <c r="B242" s="5"/>
      <c r="C242" s="5"/>
      <c r="D242" s="5"/>
      <c r="E242" s="5"/>
      <c r="F242" s="5"/>
      <c r="G242" s="5"/>
      <c r="H242" s="5"/>
      <c r="I242" s="5"/>
      <c r="J242" s="5"/>
      <c r="K242" s="5"/>
      <c r="L242" s="5"/>
      <c r="M242" s="5"/>
      <c r="N242" s="5"/>
      <c r="O242" s="5"/>
      <c r="P242" s="5"/>
      <c r="Q242" s="5"/>
      <c r="R242" s="5"/>
      <c r="S242" s="5"/>
      <c r="T242" s="5"/>
    </row>
    <row r="243" spans="1:20">
      <c r="A243" s="5"/>
      <c r="B243" s="5"/>
      <c r="C243" s="5"/>
      <c r="D243" s="5"/>
      <c r="E243" s="5"/>
      <c r="F243" s="5"/>
      <c r="G243" s="5"/>
      <c r="H243" s="5"/>
      <c r="I243" s="5"/>
      <c r="J243" s="5"/>
      <c r="K243" s="5"/>
      <c r="L243" s="5"/>
      <c r="M243" s="5"/>
      <c r="N243" s="5"/>
      <c r="O243" s="5"/>
      <c r="P243" s="5"/>
      <c r="Q243" s="5"/>
      <c r="R243" s="5"/>
      <c r="S243" s="5"/>
      <c r="T243" s="5"/>
    </row>
    <row r="244" spans="1:20">
      <c r="A244" s="5"/>
      <c r="B244" s="5"/>
      <c r="C244" s="5"/>
      <c r="D244" s="5"/>
      <c r="E244" s="5"/>
      <c r="F244" s="5"/>
      <c r="G244" s="5"/>
      <c r="H244" s="5"/>
      <c r="I244" s="5"/>
      <c r="J244" s="5"/>
      <c r="K244" s="5"/>
      <c r="L244" s="5"/>
      <c r="M244" s="5"/>
      <c r="N244" s="5"/>
      <c r="O244" s="5"/>
      <c r="P244" s="5"/>
      <c r="Q244" s="5"/>
      <c r="R244" s="5"/>
      <c r="S244" s="5"/>
      <c r="T244" s="5"/>
    </row>
    <row r="245" spans="1:20">
      <c r="A245" s="5"/>
      <c r="B245" s="5"/>
      <c r="C245" s="5"/>
      <c r="D245" s="5"/>
      <c r="E245" s="5"/>
      <c r="F245" s="5"/>
      <c r="G245" s="5"/>
      <c r="H245" s="5"/>
      <c r="I245" s="5"/>
      <c r="J245" s="5"/>
      <c r="K245" s="5"/>
      <c r="L245" s="5"/>
      <c r="M245" s="5"/>
      <c r="N245" s="5"/>
      <c r="O245" s="5"/>
      <c r="P245" s="5"/>
      <c r="Q245" s="5"/>
      <c r="R245" s="5"/>
      <c r="S245" s="5"/>
      <c r="T245" s="5"/>
    </row>
    <row r="246" spans="1:20">
      <c r="A246" s="5"/>
      <c r="B246" s="5"/>
      <c r="C246" s="5"/>
      <c r="D246" s="5"/>
      <c r="E246" s="5"/>
      <c r="F246" s="5"/>
      <c r="G246" s="5"/>
      <c r="H246" s="5"/>
      <c r="I246" s="5"/>
      <c r="J246" s="5"/>
      <c r="K246" s="5"/>
      <c r="L246" s="5"/>
      <c r="M246" s="5"/>
      <c r="N246" s="5"/>
      <c r="O246" s="5"/>
      <c r="P246" s="5"/>
      <c r="Q246" s="5"/>
      <c r="R246" s="5"/>
      <c r="S246" s="5"/>
      <c r="T246" s="5"/>
    </row>
    <row r="247" spans="1:20">
      <c r="A247" s="5"/>
      <c r="B247" s="5"/>
      <c r="C247" s="5"/>
      <c r="D247" s="5"/>
      <c r="E247" s="5"/>
      <c r="F247" s="5"/>
      <c r="G247" s="5"/>
      <c r="H247" s="5"/>
      <c r="I247" s="5"/>
      <c r="J247" s="5"/>
      <c r="K247" s="5"/>
      <c r="L247" s="5"/>
      <c r="M247" s="5"/>
      <c r="N247" s="5"/>
      <c r="O247" s="5"/>
      <c r="P247" s="5"/>
      <c r="Q247" s="5"/>
      <c r="R247" s="5"/>
      <c r="S247" s="5"/>
      <c r="T247" s="5"/>
    </row>
    <row r="248" spans="1:20">
      <c r="A248" s="5"/>
      <c r="B248" s="5"/>
      <c r="C248" s="5"/>
      <c r="D248" s="5"/>
      <c r="E248" s="5"/>
      <c r="F248" s="5"/>
      <c r="G248" s="5"/>
      <c r="H248" s="5"/>
      <c r="I248" s="5"/>
      <c r="J248" s="5"/>
      <c r="K248" s="5"/>
      <c r="L248" s="5"/>
      <c r="M248" s="5"/>
      <c r="N248" s="5"/>
      <c r="O248" s="5"/>
      <c r="P248" s="5"/>
      <c r="Q248" s="5"/>
      <c r="R248" s="5"/>
      <c r="S248" s="5"/>
      <c r="T248" s="5"/>
    </row>
    <row r="249" spans="1:20">
      <c r="A249" s="5"/>
      <c r="B249" s="5"/>
      <c r="C249" s="5"/>
      <c r="D249" s="5"/>
      <c r="E249" s="5"/>
      <c r="F249" s="5"/>
      <c r="G249" s="5"/>
      <c r="H249" s="5"/>
      <c r="I249" s="5"/>
      <c r="J249" s="5"/>
      <c r="K249" s="5"/>
      <c r="L249" s="5"/>
      <c r="M249" s="5"/>
      <c r="N249" s="5"/>
      <c r="O249" s="5"/>
      <c r="P249" s="5"/>
      <c r="Q249" s="5"/>
      <c r="R249" s="5"/>
      <c r="S249" s="5"/>
      <c r="T249" s="5"/>
    </row>
    <row r="250" spans="1:20">
      <c r="A250" s="5"/>
      <c r="B250" s="5"/>
      <c r="C250" s="5"/>
      <c r="D250" s="5"/>
      <c r="E250" s="5"/>
      <c r="F250" s="5"/>
      <c r="G250" s="5"/>
      <c r="H250" s="5"/>
      <c r="I250" s="5"/>
      <c r="J250" s="5"/>
      <c r="K250" s="5"/>
      <c r="L250" s="5"/>
      <c r="M250" s="5"/>
      <c r="N250" s="5"/>
      <c r="O250" s="5"/>
      <c r="P250" s="5"/>
      <c r="Q250" s="5"/>
      <c r="R250" s="5"/>
      <c r="S250" s="5"/>
      <c r="T250" s="5"/>
    </row>
    <row r="251" spans="1:20">
      <c r="A251" s="5"/>
      <c r="B251" s="5"/>
      <c r="C251" s="5"/>
      <c r="D251" s="5"/>
      <c r="E251" s="5"/>
      <c r="F251" s="5"/>
      <c r="G251" s="5"/>
      <c r="H251" s="5"/>
      <c r="I251" s="5"/>
      <c r="J251" s="5"/>
      <c r="K251" s="5"/>
      <c r="L251" s="5"/>
      <c r="M251" s="5"/>
      <c r="N251" s="5"/>
      <c r="O251" s="5"/>
      <c r="P251" s="5"/>
      <c r="Q251" s="5"/>
      <c r="R251" s="5"/>
      <c r="S251" s="5"/>
      <c r="T251" s="5"/>
    </row>
    <row r="252" spans="1:20">
      <c r="A252" s="5"/>
      <c r="B252" s="5"/>
      <c r="C252" s="5"/>
      <c r="D252" s="5"/>
      <c r="E252" s="5"/>
      <c r="F252" s="5"/>
      <c r="G252" s="5"/>
      <c r="H252" s="5"/>
      <c r="I252" s="5"/>
      <c r="J252" s="5"/>
      <c r="K252" s="5"/>
      <c r="L252" s="5"/>
      <c r="M252" s="5"/>
      <c r="N252" s="5"/>
      <c r="O252" s="5"/>
      <c r="P252" s="5"/>
      <c r="Q252" s="5"/>
      <c r="R252" s="5"/>
      <c r="S252" s="5"/>
      <c r="T252" s="5"/>
    </row>
    <row r="253" spans="1:20">
      <c r="A253" s="5"/>
      <c r="B253" s="5"/>
      <c r="C253" s="5"/>
      <c r="D253" s="5"/>
      <c r="E253" s="5"/>
      <c r="F253" s="5"/>
      <c r="G253" s="5"/>
      <c r="H253" s="5"/>
      <c r="I253" s="5"/>
      <c r="J253" s="5"/>
      <c r="K253" s="5"/>
      <c r="L253" s="5"/>
      <c r="M253" s="5"/>
      <c r="N253" s="5"/>
      <c r="O253" s="5"/>
      <c r="P253" s="5"/>
      <c r="Q253" s="5"/>
      <c r="R253" s="5"/>
      <c r="S253" s="5"/>
      <c r="T253" s="5"/>
    </row>
    <row r="254" spans="1:20">
      <c r="A254" s="5"/>
      <c r="B254" s="5"/>
      <c r="C254" s="5"/>
      <c r="D254" s="5"/>
      <c r="E254" s="5"/>
      <c r="F254" s="5"/>
      <c r="G254" s="5"/>
      <c r="H254" s="5"/>
      <c r="I254" s="5"/>
      <c r="J254" s="5"/>
      <c r="K254" s="5"/>
      <c r="L254" s="5"/>
      <c r="M254" s="5"/>
      <c r="N254" s="5"/>
      <c r="O254" s="5"/>
      <c r="P254" s="5"/>
      <c r="Q254" s="5"/>
      <c r="R254" s="5"/>
      <c r="S254" s="5"/>
      <c r="T254" s="5"/>
    </row>
  </sheetData>
  <mergeCells count="2">
    <mergeCell ref="A1:T1"/>
    <mergeCell ref="A2:T2"/>
  </mergeCells>
  <dataValidations count="3">
    <dataValidation type="list" allowBlank="1" showInputMessage="1" showErrorMessage="1" sqref="C5:C254">
      <formula1>"Ford Dutch,Ford GER,OEM FR,RSA FR,RSA NL,RSA VL"</formula1>
    </dataValidation>
    <dataValidation type="list" allowBlank="1" showInputMessage="1" showErrorMessage="1" sqref="R5:R254">
      <formula1>"Active,Leaver,Probation,Excluded,Not supplied"</formula1>
    </dataValidation>
    <dataValidation type="list" allowBlank="1" showInputMessage="1" showErrorMessage="1" sqref="S5:S254">
      <formula1>"DRAFT,VALIDATED,SYNTHETIC,REVIEW"</formula1>
    </dataValidation>
  </dataValidations>
  <pageMargins left="0.7" right="0.7" top="0.75" bottom="0.75" header="0.3" footer="0.3"/>
  <pageSetup fitToHeight="0" orientation="landscape"/>
  <headerFooter>
    <oddFooter>&amp;LWFMHub | made by Anass ASSRI&amp;CPage &amp;P of &amp;N&amp;RConfidential</oddFooter>
  </headerFooter>
  <tableParts count="1">
    <tablePart r:id="rId1"/>
  </tableParts>
</worksheet>
</file>

<file path=xl/worksheets/sheet5.xml><?xml version="1.0" encoding="utf-8"?>
<worksheet xmlns="http://schemas.openxmlformats.org/spreadsheetml/2006/main" xmlns:r="http://schemas.openxmlformats.org/officeDocument/2006/relationships">
  <sheetPr>
    <tabColor rgb="FF007C83"/>
    <pageSetUpPr fitToPage="1"/>
  </sheetPr>
  <dimension ref="A1:U254"/>
  <sheetViews>
    <sheetView showGridLines="0"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14.7109375" customWidth="1"/>
    <col min="2" max="2" width="24.7109375" customWidth="1"/>
    <col min="3" max="5" width="19.7109375" customWidth="1"/>
    <col min="6" max="17" width="17.7109375" customWidth="1"/>
    <col min="18" max="19" width="19.7109375" customWidth="1"/>
    <col min="20" max="21" width="26.7109375" customWidth="1"/>
  </cols>
  <sheetData>
    <row r="1" spans="1:21" ht="32" customHeight="1">
      <c r="A1" s="1" t="s">
        <v>276</v>
      </c>
      <c r="B1" s="1"/>
      <c r="C1" s="1"/>
      <c r="D1" s="1"/>
      <c r="E1" s="1"/>
      <c r="F1" s="1"/>
      <c r="G1" s="1"/>
      <c r="H1" s="1"/>
      <c r="I1" s="1"/>
      <c r="J1" s="1"/>
      <c r="K1" s="1"/>
      <c r="L1" s="1"/>
      <c r="M1" s="1"/>
      <c r="N1" s="1"/>
      <c r="O1" s="1"/>
      <c r="P1" s="1"/>
      <c r="Q1" s="1"/>
      <c r="R1" s="1"/>
      <c r="S1" s="1"/>
      <c r="T1" s="1"/>
      <c r="U1" s="1"/>
    </row>
    <row r="2" spans="1:21" ht="20" customHeight="1">
      <c r="A2" s="2" t="s">
        <v>277</v>
      </c>
      <c r="B2" s="2"/>
      <c r="C2" s="2"/>
      <c r="D2" s="2"/>
      <c r="E2" s="2"/>
      <c r="F2" s="2"/>
      <c r="G2" s="2"/>
      <c r="H2" s="2"/>
      <c r="I2" s="2"/>
      <c r="J2" s="2"/>
      <c r="K2" s="2"/>
      <c r="L2" s="2"/>
      <c r="M2" s="2"/>
      <c r="N2" s="2"/>
      <c r="O2" s="2"/>
      <c r="P2" s="2"/>
      <c r="Q2" s="2"/>
      <c r="R2" s="2"/>
      <c r="S2" s="2"/>
      <c r="T2" s="2"/>
      <c r="U2" s="2"/>
    </row>
    <row r="4" spans="1:21">
      <c r="A4" s="3" t="s">
        <v>92</v>
      </c>
      <c r="B4" s="3" t="s">
        <v>278</v>
      </c>
      <c r="C4" s="3" t="s">
        <v>64</v>
      </c>
      <c r="D4" s="3" t="s">
        <v>279</v>
      </c>
      <c r="E4" s="3" t="s">
        <v>280</v>
      </c>
      <c r="F4" s="3" t="s">
        <v>281</v>
      </c>
      <c r="G4" s="3" t="s">
        <v>282</v>
      </c>
      <c r="H4" s="3" t="s">
        <v>283</v>
      </c>
      <c r="I4" s="3" t="s">
        <v>284</v>
      </c>
      <c r="J4" s="3" t="s">
        <v>285</v>
      </c>
      <c r="K4" s="3" t="s">
        <v>286</v>
      </c>
      <c r="L4" s="3" t="s">
        <v>287</v>
      </c>
      <c r="M4" s="3" t="s">
        <v>288</v>
      </c>
      <c r="N4" s="3" t="s">
        <v>289</v>
      </c>
      <c r="O4" s="3" t="s">
        <v>290</v>
      </c>
      <c r="P4" s="3" t="s">
        <v>291</v>
      </c>
      <c r="Q4" s="3" t="s">
        <v>292</v>
      </c>
      <c r="R4" s="3" t="s">
        <v>293</v>
      </c>
      <c r="S4" s="3" t="s">
        <v>294</v>
      </c>
      <c r="T4" s="3" t="s">
        <v>295</v>
      </c>
      <c r="U4" s="3" t="s">
        <v>296</v>
      </c>
    </row>
    <row r="5" spans="1:21">
      <c r="A5" s="4">
        <f>IF(AGENT_INPUT!A5="","",AGENT_INPUT!A5)</f>
        <v>204341</v>
      </c>
      <c r="B5" s="4" t="str">
        <f>IF($A5="","",AGENT_INPUT!B5)</f>
        <v>Felhane Mohamed Amine</v>
      </c>
      <c r="C5" s="4" t="str">
        <f>IF($A5="","",AGENT_INPUT!C5)</f>
        <v>Ford GER</v>
      </c>
      <c r="D5" s="4" t="str">
        <f>IF($A5="","",IF(AND(COUNT(AGENT_INPUT!E5:J5)=6,COUNT(AGENT_INPUT!K5)=1,COUNTIF(BONUS_RULES!$A$5:$A$46,AGENT_INPUT!C5)&gt;0,OR(AGENT_INPUT!O5&gt;0,AND(AGENT_INPUT!M5&gt;0,AGENT_INPUT!N5&gt;0)),AGENT_INPUT!P5&gt;=0,AGENT_INPUT!Q5&gt;0,AGENT_INPUT!P5&lt;=AGENT_INPUT!Q5,AGENT_INPUT!H5&gt;=0,AGENT_INPUT!H5&lt;=1,AGENT_INPUT!I5&gt;=0,AGENT_INPUT!I5&lt;=1,AGENT_INPUT!J5&gt;=0,AGENT_INPUT!J5&lt;=1),"READY","BLOCKED"))</f>
        <v>BLOCKED</v>
      </c>
      <c r="E5" s="4">
        <f>IF($A5="","",IF(AGENT_INPUT!R5&lt;&gt;"Active","REVIEW",IF(OR(POLICY_APPROVAL!$B$9="Eligibility only",POLICY_APPROVAL!$B$9="Both"),IF(AGENT_INPUT!J5&lt;=SUMIFS(BONUS_RULES!$E$5:$E$46,BONUS_RULES!$A$5:$A$46,$C5,BONUS_RULES!$B$5:$B$46,"Abs%"),"ELIGIBLE","INELIGIBLE ABS"),"ELIGIBLE")))</f>
        <v/>
      </c>
      <c r="F5" s="10">
        <f>IF(OR($A5="",$D5&lt;&gt;"READY"),"",IF(AGENT_INPUT!E5&lt;=SUMIFS(BONUS_RULES!$E$5:$E$46,BONUS_RULES!$A$5:$A$46,$C5,BONUS_RULES!$B$5:$B$46,"AHT"),SUMIFS(BONUS_RULES!$D$5:$D$46,BONUS_RULES!$A$5:$A$46,$C5,BONUS_RULES!$B$5:$B$46,"AHT"),IF(AGENT_INPUT!E5&lt;=SUMIFS(BONUS_RULES!$G$5:$G$46,BONUS_RULES!$A$5:$A$46,$C5,BONUS_RULES!$B$5:$B$46,"AHT"),SUMIFS(BONUS_RULES!$F$5:$F$46,BONUS_RULES!$A$5:$A$46,$C5,BONUS_RULES!$B$5:$B$46,"AHT"),0)))</f>
        <v/>
      </c>
      <c r="G5" s="10">
        <f>IF(OR($A5="",$D5&lt;&gt;"READY"),"",IF(AGENT_INPUT!F5&gt;=SUMIFS(BONUS_RULES!$E$5:$E$46,BONUS_RULES!$A$5:$A$46,$C5,BONUS_RULES!$B$5:$B$46,"Productivity"),SUMIFS(BONUS_RULES!$D$5:$D$46,BONUS_RULES!$A$5:$A$46,$C5,BONUS_RULES!$B$5:$B$46,"Productivity"),IF(AGENT_INPUT!F5&gt;=SUMIFS(BONUS_RULES!$G$5:$G$46,BONUS_RULES!$A$5:$A$46,$C5,BONUS_RULES!$B$5:$B$46,"Productivity"),SUMIFS(BONUS_RULES!$F$5:$F$46,BONUS_RULES!$A$5:$A$46,$C5,BONUS_RULES!$B$5:$B$46,"Productivity"),0)))</f>
        <v/>
      </c>
      <c r="H5" s="10">
        <f>IF(OR($A5="",$D5&lt;&gt;"READY"),"",IF(AGENT_INPUT!G5&gt;=SUMIFS(BONUS_RULES!$E$5:$E$46,BONUS_RULES!$A$5:$A$46,$C5,BONUS_RULES!$B$5:$B$46,"PCS Score"),SUMIFS(BONUS_RULES!$D$5:$D$46,BONUS_RULES!$A$5:$A$46,$C5,BONUS_RULES!$B$5:$B$46,"PCS Score"),IF(AGENT_INPUT!G5&gt;=SUMIFS(BONUS_RULES!$G$5:$G$46,BONUS_RULES!$A$5:$A$46,$C5,BONUS_RULES!$B$5:$B$46,"PCS Score"),SUMIFS(BONUS_RULES!$F$5:$F$46,BONUS_RULES!$A$5:$A$46,$C5,BONUS_RULES!$B$5:$B$46,"PCS Score"),0)))</f>
        <v/>
      </c>
      <c r="I5" s="10">
        <f>IF(OR($A5="",$D5&lt;&gt;"READY"),"",IF(AGENT_INPUT!H5&gt;=SUMIFS(BONUS_RULES!$E$5:$E$46,BONUS_RULES!$A$5:$A$46,$C5,BONUS_RULES!$B$5:$B$46,"PCS % (Participation)"),SUMIFS(BONUS_RULES!$D$5:$D$46,BONUS_RULES!$A$5:$A$46,$C5,BONUS_RULES!$B$5:$B$46,"PCS % (Participation)"),IF(AGENT_INPUT!H5&gt;=SUMIFS(BONUS_RULES!$G$5:$G$46,BONUS_RULES!$A$5:$A$46,$C5,BONUS_RULES!$B$5:$B$46,"PCS % (Participation)"),SUMIFS(BONUS_RULES!$F$5:$F$46,BONUS_RULES!$A$5:$A$46,$C5,BONUS_RULES!$B$5:$B$46,"PCS % (Participation)"),0)))</f>
        <v/>
      </c>
      <c r="J5" s="10">
        <f>IF(OR($A5="",$D5&lt;&gt;"READY"),"",IF(AGENT_INPUT!I5&gt;=SUMIFS(BONUS_RULES!$E$5:$E$46,BONUS_RULES!$A$5:$A$46,$C5,BONUS_RULES!$B$5:$B$46,"QM"),SUMIFS(BONUS_RULES!$D$5:$D$46,BONUS_RULES!$A$5:$A$46,$C5,BONUS_RULES!$B$5:$B$46,"QM"),IF(AGENT_INPUT!I5&gt;=SUMIFS(BONUS_RULES!$G$5:$G$46,BONUS_RULES!$A$5:$A$46,$C5,BONUS_RULES!$B$5:$B$46,"QM"),SUMIFS(BONUS_RULES!$F$5:$F$46,BONUS_RULES!$A$5:$A$46,$C5,BONUS_RULES!$B$5:$B$46,"QM"),0)))</f>
        <v/>
      </c>
      <c r="K5" s="10">
        <f>IF(POLICY_APPROVAL!$B$9="Eligibility only",0,IF(OR($A5="",$D5&lt;&gt;"READY"),"",IF(AGENT_INPUT!J5&lt;=SUMIFS(BONUS_RULES!$E$5:$E$46,BONUS_RULES!$A$5:$A$46,$C5,BONUS_RULES!$B$5:$B$46,"Abs%"),SUMIFS(BONUS_RULES!$D$5:$D$46,BONUS_RULES!$A$5:$A$46,$C5,BONUS_RULES!$B$5:$B$46,"Abs%"),IF(AGENT_INPUT!J5&lt;=SUMIFS(BONUS_RULES!$G$5:$G$46,BONUS_RULES!$A$5:$A$46,$C5,BONUS_RULES!$B$5:$B$46,"Abs%"),SUMIFS(BONUS_RULES!$F$5:$F$46,BONUS_RULES!$A$5:$A$46,$C5,BONUS_RULES!$B$5:$B$46,"Abs%"),0))))</f>
        <v/>
      </c>
      <c r="L5" s="10">
        <f>IF(OR($A5="",$D5&lt;&gt;"READY"),"",IF(AGENT_INPUT!G5&gt;=SUMIFS(BONUS_RULES!$E$5:$E$46,BONUS_RULES!$A$5:$A$46,$C5,BONUS_RULES!$B$5:$B$46,"Extra Bonus (PCS Score)"),SUMIFS(BONUS_RULES!$D$5:$D$46,BONUS_RULES!$A$5:$A$46,$C5,BONUS_RULES!$B$5:$B$46,"Extra Bonus (PCS Score)"),IF(AGENT_INPUT!G5&gt;=SUMIFS(BONUS_RULES!$G$5:$G$46,BONUS_RULES!$A$5:$A$46,$C5,BONUS_RULES!$B$5:$B$46,"Extra Bonus (PCS Score)"),SUMIFS(BONUS_RULES!$F$5:$F$46,BONUS_RULES!$A$5:$A$46,$C5,BONUS_RULES!$B$5:$B$46,"Extra Bonus (PCS Score)"),0)))</f>
        <v/>
      </c>
      <c r="M5" s="10">
        <f>IF($A5="","",MIN(IF(POLICY_APPROVAL!$B$6="Replacement",SUM(F5:K5)-H5+MAX(H5,L5),SUM(F5:L5)),POLICY_APPROVAL!$B$10))</f>
        <v>0</v>
      </c>
      <c r="N5" s="10">
        <f>IF($A5="","",IFERROR(INDEX(BONUS_RULES!$J$5:$J$10,MATCH(MIN(MAX(AGENT_INPUT!K5,0),5),BONUS_RULES!$I$5:$I$10,0)),1))</f>
        <v>0</v>
      </c>
      <c r="O5" s="10">
        <f>IF(M5="","",MAX(0,IF(POLICY_APPROVAL!$B$5="Percentage points",M5-N5,M5*(1-N5))))</f>
        <v>0</v>
      </c>
      <c r="P5" s="11">
        <f>IF(D5&lt;&gt;"READY","",IF(AGENT_INPUT!O5&gt;0,AGENT_INPUT!O5,AGENT_INPUT!M5*AGENT_INPUT!N5/IF(POLICY_APPROVAL!$B$7="Annual",12,1)))</f>
        <v/>
      </c>
      <c r="Q5" s="10">
        <f>IF(D5&lt;&gt;"READY","",MIN(1,AGENT_INPUT!P5/AGENT_INPUT!Q5))</f>
        <v/>
      </c>
      <c r="R5" s="11">
        <f>IF(D5&lt;&gt;"READY","",ROUND(P5*Q5*O5,IF(POLICY_APPROVAL!$B$11="Whole MAD",0,2)))</f>
        <v/>
      </c>
      <c r="S5" s="11">
        <f>IF(AND(SETUP!$B$9="READY",T5="READY"),R5,"")</f>
        <v/>
      </c>
      <c r="T5" s="4" t="str">
        <f>IF($A5="","",IF(D5&lt;&gt;"READY","BLOCKED - INPUT",IF(E5&lt;&gt;"ELIGIBLE","BLOCKED - ELIGIBILITY",IF(AGENT_INPUT!S5&lt;&gt;"VALIDATED","BLOCKED - DATA",IF(SETUP!$B$9&lt;&gt;"READY","BLOCKED - POLICY","READY")))))</f>
        <v>BLOCKED - INPUT</v>
      </c>
      <c r="U5" s="4" t="str">
        <f>IF($A5="","",IF(COUNTIFS(AGENT_INPUT!$A$5:$A$254,$A5,AGENT_INPUT!$D$5:$D$254,AGENT_INPUT!D5)&gt;1,"DUPLICATE AGENT + PERIOD",IF(D5&lt;&gt;"READY","INPUT OR CONFIG REVIEW",IF(T5&lt;&gt;"READY",T5,""))))</f>
        <v>Missing, invalid, or unconfigured required input</v>
      </c>
    </row>
    <row r="6" spans="1:21">
      <c r="A6" s="4">
        <f>IF(AGENT_INPUT!A6="","",AGENT_INPUT!A6)</f>
        <v>204342</v>
      </c>
      <c r="B6" s="4" t="str">
        <f>IF($A6="","",AGENT_INPUT!B6)</f>
        <v>Zekhnini Mustapha</v>
      </c>
      <c r="C6" s="4" t="str">
        <f>IF($A6="","",AGENT_INPUT!C6)</f>
        <v>Ford GER</v>
      </c>
      <c r="D6" s="4" t="str">
        <f>IF($A6="","",IF(AND(COUNT(AGENT_INPUT!E6:J6)=6,COUNT(AGENT_INPUT!K6)=1,COUNTIF(BONUS_RULES!$A$5:$A$46,AGENT_INPUT!C6)&gt;0,OR(AGENT_INPUT!O6&gt;0,AND(AGENT_INPUT!M6&gt;0,AGENT_INPUT!N6&gt;0)),AGENT_INPUT!P6&gt;=0,AGENT_INPUT!Q6&gt;0,AGENT_INPUT!P6&lt;=AGENT_INPUT!Q6,AGENT_INPUT!H6&gt;=0,AGENT_INPUT!H6&lt;=1,AGENT_INPUT!I6&gt;=0,AGENT_INPUT!I6&lt;=1,AGENT_INPUT!J6&gt;=0,AGENT_INPUT!J6&lt;=1),"READY","BLOCKED"))</f>
        <v>BLOCKED</v>
      </c>
      <c r="E6" s="4">
        <f>IF($A6="","",IF(AGENT_INPUT!R6&lt;&gt;"Active","REVIEW",IF(OR(POLICY_APPROVAL!$B$9="Eligibility only",POLICY_APPROVAL!$B$9="Both"),IF(AGENT_INPUT!J6&lt;=SUMIFS(BONUS_RULES!$E$5:$E$46,BONUS_RULES!$A$5:$A$46,$C6,BONUS_RULES!$B$5:$B$46,"Abs%"),"ELIGIBLE","INELIGIBLE ABS"),"ELIGIBLE")))</f>
        <v/>
      </c>
      <c r="F6" s="10">
        <f>IF(OR($A6="",$D6&lt;&gt;"READY"),"",IF(AGENT_INPUT!E6&lt;=SUMIFS(BONUS_RULES!$E$5:$E$46,BONUS_RULES!$A$5:$A$46,$C6,BONUS_RULES!$B$5:$B$46,"AHT"),SUMIFS(BONUS_RULES!$D$5:$D$46,BONUS_RULES!$A$5:$A$46,$C6,BONUS_RULES!$B$5:$B$46,"AHT"),IF(AGENT_INPUT!E6&lt;=SUMIFS(BONUS_RULES!$G$5:$G$46,BONUS_RULES!$A$5:$A$46,$C6,BONUS_RULES!$B$5:$B$46,"AHT"),SUMIFS(BONUS_RULES!$F$5:$F$46,BONUS_RULES!$A$5:$A$46,$C6,BONUS_RULES!$B$5:$B$46,"AHT"),0)))</f>
        <v/>
      </c>
      <c r="G6" s="10">
        <f>IF(OR($A6="",$D6&lt;&gt;"READY"),"",IF(AGENT_INPUT!F6&gt;=SUMIFS(BONUS_RULES!$E$5:$E$46,BONUS_RULES!$A$5:$A$46,$C6,BONUS_RULES!$B$5:$B$46,"Productivity"),SUMIFS(BONUS_RULES!$D$5:$D$46,BONUS_RULES!$A$5:$A$46,$C6,BONUS_RULES!$B$5:$B$46,"Productivity"),IF(AGENT_INPUT!F6&gt;=SUMIFS(BONUS_RULES!$G$5:$G$46,BONUS_RULES!$A$5:$A$46,$C6,BONUS_RULES!$B$5:$B$46,"Productivity"),SUMIFS(BONUS_RULES!$F$5:$F$46,BONUS_RULES!$A$5:$A$46,$C6,BONUS_RULES!$B$5:$B$46,"Productivity"),0)))</f>
        <v/>
      </c>
      <c r="H6" s="10">
        <f>IF(OR($A6="",$D6&lt;&gt;"READY"),"",IF(AGENT_INPUT!G6&gt;=SUMIFS(BONUS_RULES!$E$5:$E$46,BONUS_RULES!$A$5:$A$46,$C6,BONUS_RULES!$B$5:$B$46,"PCS Score"),SUMIFS(BONUS_RULES!$D$5:$D$46,BONUS_RULES!$A$5:$A$46,$C6,BONUS_RULES!$B$5:$B$46,"PCS Score"),IF(AGENT_INPUT!G6&gt;=SUMIFS(BONUS_RULES!$G$5:$G$46,BONUS_RULES!$A$5:$A$46,$C6,BONUS_RULES!$B$5:$B$46,"PCS Score"),SUMIFS(BONUS_RULES!$F$5:$F$46,BONUS_RULES!$A$5:$A$46,$C6,BONUS_RULES!$B$5:$B$46,"PCS Score"),0)))</f>
        <v/>
      </c>
      <c r="I6" s="10">
        <f>IF(OR($A6="",$D6&lt;&gt;"READY"),"",IF(AGENT_INPUT!H6&gt;=SUMIFS(BONUS_RULES!$E$5:$E$46,BONUS_RULES!$A$5:$A$46,$C6,BONUS_RULES!$B$5:$B$46,"PCS % (Participation)"),SUMIFS(BONUS_RULES!$D$5:$D$46,BONUS_RULES!$A$5:$A$46,$C6,BONUS_RULES!$B$5:$B$46,"PCS % (Participation)"),IF(AGENT_INPUT!H6&gt;=SUMIFS(BONUS_RULES!$G$5:$G$46,BONUS_RULES!$A$5:$A$46,$C6,BONUS_RULES!$B$5:$B$46,"PCS % (Participation)"),SUMIFS(BONUS_RULES!$F$5:$F$46,BONUS_RULES!$A$5:$A$46,$C6,BONUS_RULES!$B$5:$B$46,"PCS % (Participation)"),0)))</f>
        <v/>
      </c>
      <c r="J6" s="10">
        <f>IF(OR($A6="",$D6&lt;&gt;"READY"),"",IF(AGENT_INPUT!I6&gt;=SUMIFS(BONUS_RULES!$E$5:$E$46,BONUS_RULES!$A$5:$A$46,$C6,BONUS_RULES!$B$5:$B$46,"QM"),SUMIFS(BONUS_RULES!$D$5:$D$46,BONUS_RULES!$A$5:$A$46,$C6,BONUS_RULES!$B$5:$B$46,"QM"),IF(AGENT_INPUT!I6&gt;=SUMIFS(BONUS_RULES!$G$5:$G$46,BONUS_RULES!$A$5:$A$46,$C6,BONUS_RULES!$B$5:$B$46,"QM"),SUMIFS(BONUS_RULES!$F$5:$F$46,BONUS_RULES!$A$5:$A$46,$C6,BONUS_RULES!$B$5:$B$46,"QM"),0)))</f>
        <v/>
      </c>
      <c r="K6" s="10">
        <f>IF(POLICY_APPROVAL!$B$9="Eligibility only",0,IF(OR($A6="",$D6&lt;&gt;"READY"),"",IF(AGENT_INPUT!J6&lt;=SUMIFS(BONUS_RULES!$E$5:$E$46,BONUS_RULES!$A$5:$A$46,$C6,BONUS_RULES!$B$5:$B$46,"Abs%"),SUMIFS(BONUS_RULES!$D$5:$D$46,BONUS_RULES!$A$5:$A$46,$C6,BONUS_RULES!$B$5:$B$46,"Abs%"),IF(AGENT_INPUT!J6&lt;=SUMIFS(BONUS_RULES!$G$5:$G$46,BONUS_RULES!$A$5:$A$46,$C6,BONUS_RULES!$B$5:$B$46,"Abs%"),SUMIFS(BONUS_RULES!$F$5:$F$46,BONUS_RULES!$A$5:$A$46,$C6,BONUS_RULES!$B$5:$B$46,"Abs%"),0))))</f>
        <v/>
      </c>
      <c r="L6" s="10">
        <f>IF(OR($A6="",$D6&lt;&gt;"READY"),"",IF(AGENT_INPUT!G6&gt;=SUMIFS(BONUS_RULES!$E$5:$E$46,BONUS_RULES!$A$5:$A$46,$C6,BONUS_RULES!$B$5:$B$46,"Extra Bonus (PCS Score)"),SUMIFS(BONUS_RULES!$D$5:$D$46,BONUS_RULES!$A$5:$A$46,$C6,BONUS_RULES!$B$5:$B$46,"Extra Bonus (PCS Score)"),IF(AGENT_INPUT!G6&gt;=SUMIFS(BONUS_RULES!$G$5:$G$46,BONUS_RULES!$A$5:$A$46,$C6,BONUS_RULES!$B$5:$B$46,"Extra Bonus (PCS Score)"),SUMIFS(BONUS_RULES!$F$5:$F$46,BONUS_RULES!$A$5:$A$46,$C6,BONUS_RULES!$B$5:$B$46,"Extra Bonus (PCS Score)"),0)))</f>
        <v/>
      </c>
      <c r="M6" s="10">
        <f>IF($A6="","",MIN(IF(POLICY_APPROVAL!$B$6="Replacement",SUM(F6:K6)-H6+MAX(H6,L6),SUM(F6:L6)),POLICY_APPROVAL!$B$10))</f>
        <v>0</v>
      </c>
      <c r="N6" s="10">
        <f>IF($A6="","",IFERROR(INDEX(BONUS_RULES!$J$5:$J$10,MATCH(MIN(MAX(AGENT_INPUT!K6,0),5),BONUS_RULES!$I$5:$I$10,0)),1))</f>
        <v>0</v>
      </c>
      <c r="O6" s="10">
        <f>IF(M6="","",MAX(0,IF(POLICY_APPROVAL!$B$5="Percentage points",M6-N6,M6*(1-N6))))</f>
        <v>0</v>
      </c>
      <c r="P6" s="11">
        <f>IF(D6&lt;&gt;"READY","",IF(AGENT_INPUT!O6&gt;0,AGENT_INPUT!O6,AGENT_INPUT!M6*AGENT_INPUT!N6/IF(POLICY_APPROVAL!$B$7="Annual",12,1)))</f>
        <v/>
      </c>
      <c r="Q6" s="10">
        <f>IF(D6&lt;&gt;"READY","",MIN(1,AGENT_INPUT!P6/AGENT_INPUT!Q6))</f>
        <v/>
      </c>
      <c r="R6" s="11">
        <f>IF(D6&lt;&gt;"READY","",ROUND(P6*Q6*O6,IF(POLICY_APPROVAL!$B$11="Whole MAD",0,2)))</f>
        <v/>
      </c>
      <c r="S6" s="11">
        <f>IF(AND(SETUP!$B$9="READY",T6="READY"),R6,"")</f>
        <v/>
      </c>
      <c r="T6" s="4" t="str">
        <f>IF($A6="","",IF(D6&lt;&gt;"READY","BLOCKED - INPUT",IF(E6&lt;&gt;"ELIGIBLE","BLOCKED - ELIGIBILITY",IF(AGENT_INPUT!S6&lt;&gt;"VALIDATED","BLOCKED - DATA",IF(SETUP!$B$9&lt;&gt;"READY","BLOCKED - POLICY","READY")))))</f>
        <v>BLOCKED - INPUT</v>
      </c>
      <c r="U6" s="4" t="str">
        <f>IF($A6="","",IF(COUNTIFS(AGENT_INPUT!$A$5:$A$254,$A6,AGENT_INPUT!$D$5:$D$254,AGENT_INPUT!D6)&gt;1,"DUPLICATE AGENT + PERIOD",IF(D6&lt;&gt;"READY","INPUT OR CONFIG REVIEW",IF(T6&lt;&gt;"READY",T6,""))))</f>
        <v>Missing, invalid, or unconfigured required input</v>
      </c>
    </row>
    <row r="7" spans="1:21">
      <c r="A7" s="4">
        <f>IF(AGENT_INPUT!A7="","",AGENT_INPUT!A7)</f>
        <v>204343</v>
      </c>
      <c r="B7" s="4" t="str">
        <f>IF($A7="","",AGENT_INPUT!B7)</f>
        <v>Talhajit Abdellah</v>
      </c>
      <c r="C7" s="4" t="str">
        <f>IF($A7="","",AGENT_INPUT!C7)</f>
        <v>Ford GER</v>
      </c>
      <c r="D7" s="4" t="str">
        <f>IF($A7="","",IF(AND(COUNT(AGENT_INPUT!E7:J7)=6,COUNT(AGENT_INPUT!K7)=1,COUNTIF(BONUS_RULES!$A$5:$A$46,AGENT_INPUT!C7)&gt;0,OR(AGENT_INPUT!O7&gt;0,AND(AGENT_INPUT!M7&gt;0,AGENT_INPUT!N7&gt;0)),AGENT_INPUT!P7&gt;=0,AGENT_INPUT!Q7&gt;0,AGENT_INPUT!P7&lt;=AGENT_INPUT!Q7,AGENT_INPUT!H7&gt;=0,AGENT_INPUT!H7&lt;=1,AGENT_INPUT!I7&gt;=0,AGENT_INPUT!I7&lt;=1,AGENT_INPUT!J7&gt;=0,AGENT_INPUT!J7&lt;=1),"READY","BLOCKED"))</f>
        <v>BLOCKED</v>
      </c>
      <c r="E7" s="4">
        <f>IF($A7="","",IF(AGENT_INPUT!R7&lt;&gt;"Active","REVIEW",IF(OR(POLICY_APPROVAL!$B$9="Eligibility only",POLICY_APPROVAL!$B$9="Both"),IF(AGENT_INPUT!J7&lt;=SUMIFS(BONUS_RULES!$E$5:$E$46,BONUS_RULES!$A$5:$A$46,$C7,BONUS_RULES!$B$5:$B$46,"Abs%"),"ELIGIBLE","INELIGIBLE ABS"),"ELIGIBLE")))</f>
        <v/>
      </c>
      <c r="F7" s="10">
        <f>IF(OR($A7="",$D7&lt;&gt;"READY"),"",IF(AGENT_INPUT!E7&lt;=SUMIFS(BONUS_RULES!$E$5:$E$46,BONUS_RULES!$A$5:$A$46,$C7,BONUS_RULES!$B$5:$B$46,"AHT"),SUMIFS(BONUS_RULES!$D$5:$D$46,BONUS_RULES!$A$5:$A$46,$C7,BONUS_RULES!$B$5:$B$46,"AHT"),IF(AGENT_INPUT!E7&lt;=SUMIFS(BONUS_RULES!$G$5:$G$46,BONUS_RULES!$A$5:$A$46,$C7,BONUS_RULES!$B$5:$B$46,"AHT"),SUMIFS(BONUS_RULES!$F$5:$F$46,BONUS_RULES!$A$5:$A$46,$C7,BONUS_RULES!$B$5:$B$46,"AHT"),0)))</f>
        <v/>
      </c>
      <c r="G7" s="10">
        <f>IF(OR($A7="",$D7&lt;&gt;"READY"),"",IF(AGENT_INPUT!F7&gt;=SUMIFS(BONUS_RULES!$E$5:$E$46,BONUS_RULES!$A$5:$A$46,$C7,BONUS_RULES!$B$5:$B$46,"Productivity"),SUMIFS(BONUS_RULES!$D$5:$D$46,BONUS_RULES!$A$5:$A$46,$C7,BONUS_RULES!$B$5:$B$46,"Productivity"),IF(AGENT_INPUT!F7&gt;=SUMIFS(BONUS_RULES!$G$5:$G$46,BONUS_RULES!$A$5:$A$46,$C7,BONUS_RULES!$B$5:$B$46,"Productivity"),SUMIFS(BONUS_RULES!$F$5:$F$46,BONUS_RULES!$A$5:$A$46,$C7,BONUS_RULES!$B$5:$B$46,"Productivity"),0)))</f>
        <v/>
      </c>
      <c r="H7" s="10">
        <f>IF(OR($A7="",$D7&lt;&gt;"READY"),"",IF(AGENT_INPUT!G7&gt;=SUMIFS(BONUS_RULES!$E$5:$E$46,BONUS_RULES!$A$5:$A$46,$C7,BONUS_RULES!$B$5:$B$46,"PCS Score"),SUMIFS(BONUS_RULES!$D$5:$D$46,BONUS_RULES!$A$5:$A$46,$C7,BONUS_RULES!$B$5:$B$46,"PCS Score"),IF(AGENT_INPUT!G7&gt;=SUMIFS(BONUS_RULES!$G$5:$G$46,BONUS_RULES!$A$5:$A$46,$C7,BONUS_RULES!$B$5:$B$46,"PCS Score"),SUMIFS(BONUS_RULES!$F$5:$F$46,BONUS_RULES!$A$5:$A$46,$C7,BONUS_RULES!$B$5:$B$46,"PCS Score"),0)))</f>
        <v/>
      </c>
      <c r="I7" s="10">
        <f>IF(OR($A7="",$D7&lt;&gt;"READY"),"",IF(AGENT_INPUT!H7&gt;=SUMIFS(BONUS_RULES!$E$5:$E$46,BONUS_RULES!$A$5:$A$46,$C7,BONUS_RULES!$B$5:$B$46,"PCS % (Participation)"),SUMIFS(BONUS_RULES!$D$5:$D$46,BONUS_RULES!$A$5:$A$46,$C7,BONUS_RULES!$B$5:$B$46,"PCS % (Participation)"),IF(AGENT_INPUT!H7&gt;=SUMIFS(BONUS_RULES!$G$5:$G$46,BONUS_RULES!$A$5:$A$46,$C7,BONUS_RULES!$B$5:$B$46,"PCS % (Participation)"),SUMIFS(BONUS_RULES!$F$5:$F$46,BONUS_RULES!$A$5:$A$46,$C7,BONUS_RULES!$B$5:$B$46,"PCS % (Participation)"),0)))</f>
        <v/>
      </c>
      <c r="J7" s="10">
        <f>IF(OR($A7="",$D7&lt;&gt;"READY"),"",IF(AGENT_INPUT!I7&gt;=SUMIFS(BONUS_RULES!$E$5:$E$46,BONUS_RULES!$A$5:$A$46,$C7,BONUS_RULES!$B$5:$B$46,"QM"),SUMIFS(BONUS_RULES!$D$5:$D$46,BONUS_RULES!$A$5:$A$46,$C7,BONUS_RULES!$B$5:$B$46,"QM"),IF(AGENT_INPUT!I7&gt;=SUMIFS(BONUS_RULES!$G$5:$G$46,BONUS_RULES!$A$5:$A$46,$C7,BONUS_RULES!$B$5:$B$46,"QM"),SUMIFS(BONUS_RULES!$F$5:$F$46,BONUS_RULES!$A$5:$A$46,$C7,BONUS_RULES!$B$5:$B$46,"QM"),0)))</f>
        <v/>
      </c>
      <c r="K7" s="10">
        <f>IF(POLICY_APPROVAL!$B$9="Eligibility only",0,IF(OR($A7="",$D7&lt;&gt;"READY"),"",IF(AGENT_INPUT!J7&lt;=SUMIFS(BONUS_RULES!$E$5:$E$46,BONUS_RULES!$A$5:$A$46,$C7,BONUS_RULES!$B$5:$B$46,"Abs%"),SUMIFS(BONUS_RULES!$D$5:$D$46,BONUS_RULES!$A$5:$A$46,$C7,BONUS_RULES!$B$5:$B$46,"Abs%"),IF(AGENT_INPUT!J7&lt;=SUMIFS(BONUS_RULES!$G$5:$G$46,BONUS_RULES!$A$5:$A$46,$C7,BONUS_RULES!$B$5:$B$46,"Abs%"),SUMIFS(BONUS_RULES!$F$5:$F$46,BONUS_RULES!$A$5:$A$46,$C7,BONUS_RULES!$B$5:$B$46,"Abs%"),0))))</f>
        <v/>
      </c>
      <c r="L7" s="10">
        <f>IF(OR($A7="",$D7&lt;&gt;"READY"),"",IF(AGENT_INPUT!G7&gt;=SUMIFS(BONUS_RULES!$E$5:$E$46,BONUS_RULES!$A$5:$A$46,$C7,BONUS_RULES!$B$5:$B$46,"Extra Bonus (PCS Score)"),SUMIFS(BONUS_RULES!$D$5:$D$46,BONUS_RULES!$A$5:$A$46,$C7,BONUS_RULES!$B$5:$B$46,"Extra Bonus (PCS Score)"),IF(AGENT_INPUT!G7&gt;=SUMIFS(BONUS_RULES!$G$5:$G$46,BONUS_RULES!$A$5:$A$46,$C7,BONUS_RULES!$B$5:$B$46,"Extra Bonus (PCS Score)"),SUMIFS(BONUS_RULES!$F$5:$F$46,BONUS_RULES!$A$5:$A$46,$C7,BONUS_RULES!$B$5:$B$46,"Extra Bonus (PCS Score)"),0)))</f>
        <v/>
      </c>
      <c r="M7" s="10">
        <f>IF($A7="","",MIN(IF(POLICY_APPROVAL!$B$6="Replacement",SUM(F7:K7)-H7+MAX(H7,L7),SUM(F7:L7)),POLICY_APPROVAL!$B$10))</f>
        <v>0</v>
      </c>
      <c r="N7" s="10">
        <f>IF($A7="","",IFERROR(INDEX(BONUS_RULES!$J$5:$J$10,MATCH(MIN(MAX(AGENT_INPUT!K7,0),5),BONUS_RULES!$I$5:$I$10,0)),1))</f>
        <v>0</v>
      </c>
      <c r="O7" s="10">
        <f>IF(M7="","",MAX(0,IF(POLICY_APPROVAL!$B$5="Percentage points",M7-N7,M7*(1-N7))))</f>
        <v>0</v>
      </c>
      <c r="P7" s="11">
        <f>IF(D7&lt;&gt;"READY","",IF(AGENT_INPUT!O7&gt;0,AGENT_INPUT!O7,AGENT_INPUT!M7*AGENT_INPUT!N7/IF(POLICY_APPROVAL!$B$7="Annual",12,1)))</f>
        <v/>
      </c>
      <c r="Q7" s="10">
        <f>IF(D7&lt;&gt;"READY","",MIN(1,AGENT_INPUT!P7/AGENT_INPUT!Q7))</f>
        <v/>
      </c>
      <c r="R7" s="11">
        <f>IF(D7&lt;&gt;"READY","",ROUND(P7*Q7*O7,IF(POLICY_APPROVAL!$B$11="Whole MAD",0,2)))</f>
        <v/>
      </c>
      <c r="S7" s="11">
        <f>IF(AND(SETUP!$B$9="READY",T7="READY"),R7,"")</f>
        <v/>
      </c>
      <c r="T7" s="4" t="str">
        <f>IF($A7="","",IF(D7&lt;&gt;"READY","BLOCKED - INPUT",IF(E7&lt;&gt;"ELIGIBLE","BLOCKED - ELIGIBILITY",IF(AGENT_INPUT!S7&lt;&gt;"VALIDATED","BLOCKED - DATA",IF(SETUP!$B$9&lt;&gt;"READY","BLOCKED - POLICY","READY")))))</f>
        <v>BLOCKED - INPUT</v>
      </c>
      <c r="U7" s="4" t="str">
        <f>IF($A7="","",IF(COUNTIFS(AGENT_INPUT!$A$5:$A$254,$A7,AGENT_INPUT!$D$5:$D$254,AGENT_INPUT!D7)&gt;1,"DUPLICATE AGENT + PERIOD",IF(D7&lt;&gt;"READY","INPUT OR CONFIG REVIEW",IF(T7&lt;&gt;"READY",T7,""))))</f>
        <v>Missing, invalid, or unconfigured required input</v>
      </c>
    </row>
    <row r="8" spans="1:21">
      <c r="A8" s="4">
        <f>IF(AGENT_INPUT!A8="","",AGENT_INPUT!A8)</f>
        <v>204344</v>
      </c>
      <c r="B8" s="4" t="str">
        <f>IF($A8="","",AGENT_INPUT!B8)</f>
        <v>AYMAZ Abdelhay</v>
      </c>
      <c r="C8" s="4" t="str">
        <f>IF($A8="","",AGENT_INPUT!C8)</f>
        <v>Ford GER</v>
      </c>
      <c r="D8" s="4" t="str">
        <f>IF($A8="","",IF(AND(COUNT(AGENT_INPUT!E8:J8)=6,COUNT(AGENT_INPUT!K8)=1,COUNTIF(BONUS_RULES!$A$5:$A$46,AGENT_INPUT!C8)&gt;0,OR(AGENT_INPUT!O8&gt;0,AND(AGENT_INPUT!M8&gt;0,AGENT_INPUT!N8&gt;0)),AGENT_INPUT!P8&gt;=0,AGENT_INPUT!Q8&gt;0,AGENT_INPUT!P8&lt;=AGENT_INPUT!Q8,AGENT_INPUT!H8&gt;=0,AGENT_INPUT!H8&lt;=1,AGENT_INPUT!I8&gt;=0,AGENT_INPUT!I8&lt;=1,AGENT_INPUT!J8&gt;=0,AGENT_INPUT!J8&lt;=1),"READY","BLOCKED"))</f>
        <v>BLOCKED</v>
      </c>
      <c r="E8" s="4">
        <f>IF($A8="","",IF(AGENT_INPUT!R8&lt;&gt;"Active","REVIEW",IF(OR(POLICY_APPROVAL!$B$9="Eligibility only",POLICY_APPROVAL!$B$9="Both"),IF(AGENT_INPUT!J8&lt;=SUMIFS(BONUS_RULES!$E$5:$E$46,BONUS_RULES!$A$5:$A$46,$C8,BONUS_RULES!$B$5:$B$46,"Abs%"),"ELIGIBLE","INELIGIBLE ABS"),"ELIGIBLE")))</f>
        <v/>
      </c>
      <c r="F8" s="10">
        <f>IF(OR($A8="",$D8&lt;&gt;"READY"),"",IF(AGENT_INPUT!E8&lt;=SUMIFS(BONUS_RULES!$E$5:$E$46,BONUS_RULES!$A$5:$A$46,$C8,BONUS_RULES!$B$5:$B$46,"AHT"),SUMIFS(BONUS_RULES!$D$5:$D$46,BONUS_RULES!$A$5:$A$46,$C8,BONUS_RULES!$B$5:$B$46,"AHT"),IF(AGENT_INPUT!E8&lt;=SUMIFS(BONUS_RULES!$G$5:$G$46,BONUS_RULES!$A$5:$A$46,$C8,BONUS_RULES!$B$5:$B$46,"AHT"),SUMIFS(BONUS_RULES!$F$5:$F$46,BONUS_RULES!$A$5:$A$46,$C8,BONUS_RULES!$B$5:$B$46,"AHT"),0)))</f>
        <v/>
      </c>
      <c r="G8" s="10">
        <f>IF(OR($A8="",$D8&lt;&gt;"READY"),"",IF(AGENT_INPUT!F8&gt;=SUMIFS(BONUS_RULES!$E$5:$E$46,BONUS_RULES!$A$5:$A$46,$C8,BONUS_RULES!$B$5:$B$46,"Productivity"),SUMIFS(BONUS_RULES!$D$5:$D$46,BONUS_RULES!$A$5:$A$46,$C8,BONUS_RULES!$B$5:$B$46,"Productivity"),IF(AGENT_INPUT!F8&gt;=SUMIFS(BONUS_RULES!$G$5:$G$46,BONUS_RULES!$A$5:$A$46,$C8,BONUS_RULES!$B$5:$B$46,"Productivity"),SUMIFS(BONUS_RULES!$F$5:$F$46,BONUS_RULES!$A$5:$A$46,$C8,BONUS_RULES!$B$5:$B$46,"Productivity"),0)))</f>
        <v/>
      </c>
      <c r="H8" s="10">
        <f>IF(OR($A8="",$D8&lt;&gt;"READY"),"",IF(AGENT_INPUT!G8&gt;=SUMIFS(BONUS_RULES!$E$5:$E$46,BONUS_RULES!$A$5:$A$46,$C8,BONUS_RULES!$B$5:$B$46,"PCS Score"),SUMIFS(BONUS_RULES!$D$5:$D$46,BONUS_RULES!$A$5:$A$46,$C8,BONUS_RULES!$B$5:$B$46,"PCS Score"),IF(AGENT_INPUT!G8&gt;=SUMIFS(BONUS_RULES!$G$5:$G$46,BONUS_RULES!$A$5:$A$46,$C8,BONUS_RULES!$B$5:$B$46,"PCS Score"),SUMIFS(BONUS_RULES!$F$5:$F$46,BONUS_RULES!$A$5:$A$46,$C8,BONUS_RULES!$B$5:$B$46,"PCS Score"),0)))</f>
        <v/>
      </c>
      <c r="I8" s="10">
        <f>IF(OR($A8="",$D8&lt;&gt;"READY"),"",IF(AGENT_INPUT!H8&gt;=SUMIFS(BONUS_RULES!$E$5:$E$46,BONUS_RULES!$A$5:$A$46,$C8,BONUS_RULES!$B$5:$B$46,"PCS % (Participation)"),SUMIFS(BONUS_RULES!$D$5:$D$46,BONUS_RULES!$A$5:$A$46,$C8,BONUS_RULES!$B$5:$B$46,"PCS % (Participation)"),IF(AGENT_INPUT!H8&gt;=SUMIFS(BONUS_RULES!$G$5:$G$46,BONUS_RULES!$A$5:$A$46,$C8,BONUS_RULES!$B$5:$B$46,"PCS % (Participation)"),SUMIFS(BONUS_RULES!$F$5:$F$46,BONUS_RULES!$A$5:$A$46,$C8,BONUS_RULES!$B$5:$B$46,"PCS % (Participation)"),0)))</f>
        <v/>
      </c>
      <c r="J8" s="10">
        <f>IF(OR($A8="",$D8&lt;&gt;"READY"),"",IF(AGENT_INPUT!I8&gt;=SUMIFS(BONUS_RULES!$E$5:$E$46,BONUS_RULES!$A$5:$A$46,$C8,BONUS_RULES!$B$5:$B$46,"QM"),SUMIFS(BONUS_RULES!$D$5:$D$46,BONUS_RULES!$A$5:$A$46,$C8,BONUS_RULES!$B$5:$B$46,"QM"),IF(AGENT_INPUT!I8&gt;=SUMIFS(BONUS_RULES!$G$5:$G$46,BONUS_RULES!$A$5:$A$46,$C8,BONUS_RULES!$B$5:$B$46,"QM"),SUMIFS(BONUS_RULES!$F$5:$F$46,BONUS_RULES!$A$5:$A$46,$C8,BONUS_RULES!$B$5:$B$46,"QM"),0)))</f>
        <v/>
      </c>
      <c r="K8" s="10">
        <f>IF(POLICY_APPROVAL!$B$9="Eligibility only",0,IF(OR($A8="",$D8&lt;&gt;"READY"),"",IF(AGENT_INPUT!J8&lt;=SUMIFS(BONUS_RULES!$E$5:$E$46,BONUS_RULES!$A$5:$A$46,$C8,BONUS_RULES!$B$5:$B$46,"Abs%"),SUMIFS(BONUS_RULES!$D$5:$D$46,BONUS_RULES!$A$5:$A$46,$C8,BONUS_RULES!$B$5:$B$46,"Abs%"),IF(AGENT_INPUT!J8&lt;=SUMIFS(BONUS_RULES!$G$5:$G$46,BONUS_RULES!$A$5:$A$46,$C8,BONUS_RULES!$B$5:$B$46,"Abs%"),SUMIFS(BONUS_RULES!$F$5:$F$46,BONUS_RULES!$A$5:$A$46,$C8,BONUS_RULES!$B$5:$B$46,"Abs%"),0))))</f>
        <v/>
      </c>
      <c r="L8" s="10">
        <f>IF(OR($A8="",$D8&lt;&gt;"READY"),"",IF(AGENT_INPUT!G8&gt;=SUMIFS(BONUS_RULES!$E$5:$E$46,BONUS_RULES!$A$5:$A$46,$C8,BONUS_RULES!$B$5:$B$46,"Extra Bonus (PCS Score)"),SUMIFS(BONUS_RULES!$D$5:$D$46,BONUS_RULES!$A$5:$A$46,$C8,BONUS_RULES!$B$5:$B$46,"Extra Bonus (PCS Score)"),IF(AGENT_INPUT!G8&gt;=SUMIFS(BONUS_RULES!$G$5:$G$46,BONUS_RULES!$A$5:$A$46,$C8,BONUS_RULES!$B$5:$B$46,"Extra Bonus (PCS Score)"),SUMIFS(BONUS_RULES!$F$5:$F$46,BONUS_RULES!$A$5:$A$46,$C8,BONUS_RULES!$B$5:$B$46,"Extra Bonus (PCS Score)"),0)))</f>
        <v/>
      </c>
      <c r="M8" s="10">
        <f>IF($A8="","",MIN(IF(POLICY_APPROVAL!$B$6="Replacement",SUM(F8:K8)-H8+MAX(H8,L8),SUM(F8:L8)),POLICY_APPROVAL!$B$10))</f>
        <v>0</v>
      </c>
      <c r="N8" s="10">
        <f>IF($A8="","",IFERROR(INDEX(BONUS_RULES!$J$5:$J$10,MATCH(MIN(MAX(AGENT_INPUT!K8,0),5),BONUS_RULES!$I$5:$I$10,0)),1))</f>
        <v>0</v>
      </c>
      <c r="O8" s="10">
        <f>IF(M8="","",MAX(0,IF(POLICY_APPROVAL!$B$5="Percentage points",M8-N8,M8*(1-N8))))</f>
        <v>0</v>
      </c>
      <c r="P8" s="11">
        <f>IF(D8&lt;&gt;"READY","",IF(AGENT_INPUT!O8&gt;0,AGENT_INPUT!O8,AGENT_INPUT!M8*AGENT_INPUT!N8/IF(POLICY_APPROVAL!$B$7="Annual",12,1)))</f>
        <v/>
      </c>
      <c r="Q8" s="10">
        <f>IF(D8&lt;&gt;"READY","",MIN(1,AGENT_INPUT!P8/AGENT_INPUT!Q8))</f>
        <v/>
      </c>
      <c r="R8" s="11">
        <f>IF(D8&lt;&gt;"READY","",ROUND(P8*Q8*O8,IF(POLICY_APPROVAL!$B$11="Whole MAD",0,2)))</f>
        <v/>
      </c>
      <c r="S8" s="11">
        <f>IF(AND(SETUP!$B$9="READY",T8="READY"),R8,"")</f>
        <v/>
      </c>
      <c r="T8" s="4" t="str">
        <f>IF($A8="","",IF(D8&lt;&gt;"READY","BLOCKED - INPUT",IF(E8&lt;&gt;"ELIGIBLE","BLOCKED - ELIGIBILITY",IF(AGENT_INPUT!S8&lt;&gt;"VALIDATED","BLOCKED - DATA",IF(SETUP!$B$9&lt;&gt;"READY","BLOCKED - POLICY","READY")))))</f>
        <v>BLOCKED - INPUT</v>
      </c>
      <c r="U8" s="4" t="str">
        <f>IF($A8="","",IF(COUNTIFS(AGENT_INPUT!$A$5:$A$254,$A8,AGENT_INPUT!$D$5:$D$254,AGENT_INPUT!D8)&gt;1,"DUPLICATE AGENT + PERIOD",IF(D8&lt;&gt;"READY","INPUT OR CONFIG REVIEW",IF(T8&lt;&gt;"READY",T8,""))))</f>
        <v>Missing, invalid, or unconfigured required input</v>
      </c>
    </row>
    <row r="9" spans="1:21">
      <c r="A9" s="4">
        <f>IF(AGENT_INPUT!A9="","",AGENT_INPUT!A9)</f>
        <v>204345</v>
      </c>
      <c r="B9" s="4" t="str">
        <f>IF($A9="","",AGENT_INPUT!B9)</f>
        <v>MOUSSA Amjad</v>
      </c>
      <c r="C9" s="4" t="str">
        <f>IF($A9="","",AGENT_INPUT!C9)</f>
        <v>Ford GER</v>
      </c>
      <c r="D9" s="4" t="str">
        <f>IF($A9="","",IF(AND(COUNT(AGENT_INPUT!E9:J9)=6,COUNT(AGENT_INPUT!K9)=1,COUNTIF(BONUS_RULES!$A$5:$A$46,AGENT_INPUT!C9)&gt;0,OR(AGENT_INPUT!O9&gt;0,AND(AGENT_INPUT!M9&gt;0,AGENT_INPUT!N9&gt;0)),AGENT_INPUT!P9&gt;=0,AGENT_INPUT!Q9&gt;0,AGENT_INPUT!P9&lt;=AGENT_INPUT!Q9,AGENT_INPUT!H9&gt;=0,AGENT_INPUT!H9&lt;=1,AGENT_INPUT!I9&gt;=0,AGENT_INPUT!I9&lt;=1,AGENT_INPUT!J9&gt;=0,AGENT_INPUT!J9&lt;=1),"READY","BLOCKED"))</f>
        <v>BLOCKED</v>
      </c>
      <c r="E9" s="4">
        <f>IF($A9="","",IF(AGENT_INPUT!R9&lt;&gt;"Active","REVIEW",IF(OR(POLICY_APPROVAL!$B$9="Eligibility only",POLICY_APPROVAL!$B$9="Both"),IF(AGENT_INPUT!J9&lt;=SUMIFS(BONUS_RULES!$E$5:$E$46,BONUS_RULES!$A$5:$A$46,$C9,BONUS_RULES!$B$5:$B$46,"Abs%"),"ELIGIBLE","INELIGIBLE ABS"),"ELIGIBLE")))</f>
        <v/>
      </c>
      <c r="F9" s="10">
        <f>IF(OR($A9="",$D9&lt;&gt;"READY"),"",IF(AGENT_INPUT!E9&lt;=SUMIFS(BONUS_RULES!$E$5:$E$46,BONUS_RULES!$A$5:$A$46,$C9,BONUS_RULES!$B$5:$B$46,"AHT"),SUMIFS(BONUS_RULES!$D$5:$D$46,BONUS_RULES!$A$5:$A$46,$C9,BONUS_RULES!$B$5:$B$46,"AHT"),IF(AGENT_INPUT!E9&lt;=SUMIFS(BONUS_RULES!$G$5:$G$46,BONUS_RULES!$A$5:$A$46,$C9,BONUS_RULES!$B$5:$B$46,"AHT"),SUMIFS(BONUS_RULES!$F$5:$F$46,BONUS_RULES!$A$5:$A$46,$C9,BONUS_RULES!$B$5:$B$46,"AHT"),0)))</f>
        <v/>
      </c>
      <c r="G9" s="10">
        <f>IF(OR($A9="",$D9&lt;&gt;"READY"),"",IF(AGENT_INPUT!F9&gt;=SUMIFS(BONUS_RULES!$E$5:$E$46,BONUS_RULES!$A$5:$A$46,$C9,BONUS_RULES!$B$5:$B$46,"Productivity"),SUMIFS(BONUS_RULES!$D$5:$D$46,BONUS_RULES!$A$5:$A$46,$C9,BONUS_RULES!$B$5:$B$46,"Productivity"),IF(AGENT_INPUT!F9&gt;=SUMIFS(BONUS_RULES!$G$5:$G$46,BONUS_RULES!$A$5:$A$46,$C9,BONUS_RULES!$B$5:$B$46,"Productivity"),SUMIFS(BONUS_RULES!$F$5:$F$46,BONUS_RULES!$A$5:$A$46,$C9,BONUS_RULES!$B$5:$B$46,"Productivity"),0)))</f>
        <v/>
      </c>
      <c r="H9" s="10">
        <f>IF(OR($A9="",$D9&lt;&gt;"READY"),"",IF(AGENT_INPUT!G9&gt;=SUMIFS(BONUS_RULES!$E$5:$E$46,BONUS_RULES!$A$5:$A$46,$C9,BONUS_RULES!$B$5:$B$46,"PCS Score"),SUMIFS(BONUS_RULES!$D$5:$D$46,BONUS_RULES!$A$5:$A$46,$C9,BONUS_RULES!$B$5:$B$46,"PCS Score"),IF(AGENT_INPUT!G9&gt;=SUMIFS(BONUS_RULES!$G$5:$G$46,BONUS_RULES!$A$5:$A$46,$C9,BONUS_RULES!$B$5:$B$46,"PCS Score"),SUMIFS(BONUS_RULES!$F$5:$F$46,BONUS_RULES!$A$5:$A$46,$C9,BONUS_RULES!$B$5:$B$46,"PCS Score"),0)))</f>
        <v/>
      </c>
      <c r="I9" s="10">
        <f>IF(OR($A9="",$D9&lt;&gt;"READY"),"",IF(AGENT_INPUT!H9&gt;=SUMIFS(BONUS_RULES!$E$5:$E$46,BONUS_RULES!$A$5:$A$46,$C9,BONUS_RULES!$B$5:$B$46,"PCS % (Participation)"),SUMIFS(BONUS_RULES!$D$5:$D$46,BONUS_RULES!$A$5:$A$46,$C9,BONUS_RULES!$B$5:$B$46,"PCS % (Participation)"),IF(AGENT_INPUT!H9&gt;=SUMIFS(BONUS_RULES!$G$5:$G$46,BONUS_RULES!$A$5:$A$46,$C9,BONUS_RULES!$B$5:$B$46,"PCS % (Participation)"),SUMIFS(BONUS_RULES!$F$5:$F$46,BONUS_RULES!$A$5:$A$46,$C9,BONUS_RULES!$B$5:$B$46,"PCS % (Participation)"),0)))</f>
        <v/>
      </c>
      <c r="J9" s="10">
        <f>IF(OR($A9="",$D9&lt;&gt;"READY"),"",IF(AGENT_INPUT!I9&gt;=SUMIFS(BONUS_RULES!$E$5:$E$46,BONUS_RULES!$A$5:$A$46,$C9,BONUS_RULES!$B$5:$B$46,"QM"),SUMIFS(BONUS_RULES!$D$5:$D$46,BONUS_RULES!$A$5:$A$46,$C9,BONUS_RULES!$B$5:$B$46,"QM"),IF(AGENT_INPUT!I9&gt;=SUMIFS(BONUS_RULES!$G$5:$G$46,BONUS_RULES!$A$5:$A$46,$C9,BONUS_RULES!$B$5:$B$46,"QM"),SUMIFS(BONUS_RULES!$F$5:$F$46,BONUS_RULES!$A$5:$A$46,$C9,BONUS_RULES!$B$5:$B$46,"QM"),0)))</f>
        <v/>
      </c>
      <c r="K9" s="10">
        <f>IF(POLICY_APPROVAL!$B$9="Eligibility only",0,IF(OR($A9="",$D9&lt;&gt;"READY"),"",IF(AGENT_INPUT!J9&lt;=SUMIFS(BONUS_RULES!$E$5:$E$46,BONUS_RULES!$A$5:$A$46,$C9,BONUS_RULES!$B$5:$B$46,"Abs%"),SUMIFS(BONUS_RULES!$D$5:$D$46,BONUS_RULES!$A$5:$A$46,$C9,BONUS_RULES!$B$5:$B$46,"Abs%"),IF(AGENT_INPUT!J9&lt;=SUMIFS(BONUS_RULES!$G$5:$G$46,BONUS_RULES!$A$5:$A$46,$C9,BONUS_RULES!$B$5:$B$46,"Abs%"),SUMIFS(BONUS_RULES!$F$5:$F$46,BONUS_RULES!$A$5:$A$46,$C9,BONUS_RULES!$B$5:$B$46,"Abs%"),0))))</f>
        <v/>
      </c>
      <c r="L9" s="10">
        <f>IF(OR($A9="",$D9&lt;&gt;"READY"),"",IF(AGENT_INPUT!G9&gt;=SUMIFS(BONUS_RULES!$E$5:$E$46,BONUS_RULES!$A$5:$A$46,$C9,BONUS_RULES!$B$5:$B$46,"Extra Bonus (PCS Score)"),SUMIFS(BONUS_RULES!$D$5:$D$46,BONUS_RULES!$A$5:$A$46,$C9,BONUS_RULES!$B$5:$B$46,"Extra Bonus (PCS Score)"),IF(AGENT_INPUT!G9&gt;=SUMIFS(BONUS_RULES!$G$5:$G$46,BONUS_RULES!$A$5:$A$46,$C9,BONUS_RULES!$B$5:$B$46,"Extra Bonus (PCS Score)"),SUMIFS(BONUS_RULES!$F$5:$F$46,BONUS_RULES!$A$5:$A$46,$C9,BONUS_RULES!$B$5:$B$46,"Extra Bonus (PCS Score)"),0)))</f>
        <v/>
      </c>
      <c r="M9" s="10">
        <f>IF($A9="","",MIN(IF(POLICY_APPROVAL!$B$6="Replacement",SUM(F9:K9)-H9+MAX(H9,L9),SUM(F9:L9)),POLICY_APPROVAL!$B$10))</f>
        <v>0</v>
      </c>
      <c r="N9" s="10">
        <f>IF($A9="","",IFERROR(INDEX(BONUS_RULES!$J$5:$J$10,MATCH(MIN(MAX(AGENT_INPUT!K9,0),5),BONUS_RULES!$I$5:$I$10,0)),1))</f>
        <v>0</v>
      </c>
      <c r="O9" s="10">
        <f>IF(M9="","",MAX(0,IF(POLICY_APPROVAL!$B$5="Percentage points",M9-N9,M9*(1-N9))))</f>
        <v>0</v>
      </c>
      <c r="P9" s="11">
        <f>IF(D9&lt;&gt;"READY","",IF(AGENT_INPUT!O9&gt;0,AGENT_INPUT!O9,AGENT_INPUT!M9*AGENT_INPUT!N9/IF(POLICY_APPROVAL!$B$7="Annual",12,1)))</f>
        <v/>
      </c>
      <c r="Q9" s="10">
        <f>IF(D9&lt;&gt;"READY","",MIN(1,AGENT_INPUT!P9/AGENT_INPUT!Q9))</f>
        <v/>
      </c>
      <c r="R9" s="11">
        <f>IF(D9&lt;&gt;"READY","",ROUND(P9*Q9*O9,IF(POLICY_APPROVAL!$B$11="Whole MAD",0,2)))</f>
        <v/>
      </c>
      <c r="S9" s="11">
        <f>IF(AND(SETUP!$B$9="READY",T9="READY"),R9,"")</f>
        <v/>
      </c>
      <c r="T9" s="4" t="str">
        <f>IF($A9="","",IF(D9&lt;&gt;"READY","BLOCKED - INPUT",IF(E9&lt;&gt;"ELIGIBLE","BLOCKED - ELIGIBILITY",IF(AGENT_INPUT!S9&lt;&gt;"VALIDATED","BLOCKED - DATA",IF(SETUP!$B$9&lt;&gt;"READY","BLOCKED - POLICY","READY")))))</f>
        <v>BLOCKED - INPUT</v>
      </c>
      <c r="U9" s="4" t="str">
        <f>IF($A9="","",IF(COUNTIFS(AGENT_INPUT!$A$5:$A$254,$A9,AGENT_INPUT!$D$5:$D$254,AGENT_INPUT!D9)&gt;1,"DUPLICATE AGENT + PERIOD",IF(D9&lt;&gt;"READY","INPUT OR CONFIG REVIEW",IF(T9&lt;&gt;"READY",T9,""))))</f>
        <v>Missing, invalid, or unconfigured required input</v>
      </c>
    </row>
    <row r="10" spans="1:21">
      <c r="A10" s="4">
        <f>IF(AGENT_INPUT!A10="","",AGENT_INPUT!A10)</f>
        <v>204602</v>
      </c>
      <c r="B10" s="4" t="str">
        <f>IF($A10="","",AGENT_INPUT!B10)</f>
        <v>DRISSI Sidi Youssef</v>
      </c>
      <c r="C10" s="4" t="str">
        <f>IF($A10="","",AGENT_INPUT!C10)</f>
        <v>Ford GER</v>
      </c>
      <c r="D10" s="4" t="str">
        <f>IF($A10="","",IF(AND(COUNT(AGENT_INPUT!E10:J10)=6,COUNT(AGENT_INPUT!K10)=1,COUNTIF(BONUS_RULES!$A$5:$A$46,AGENT_INPUT!C10)&gt;0,OR(AGENT_INPUT!O10&gt;0,AND(AGENT_INPUT!M10&gt;0,AGENT_INPUT!N10&gt;0)),AGENT_INPUT!P10&gt;=0,AGENT_INPUT!Q10&gt;0,AGENT_INPUT!P10&lt;=AGENT_INPUT!Q10,AGENT_INPUT!H10&gt;=0,AGENT_INPUT!H10&lt;=1,AGENT_INPUT!I10&gt;=0,AGENT_INPUT!I10&lt;=1,AGENT_INPUT!J10&gt;=0,AGENT_INPUT!J10&lt;=1),"READY","BLOCKED"))</f>
        <v>BLOCKED</v>
      </c>
      <c r="E10" s="4">
        <f>IF($A10="","",IF(AGENT_INPUT!R10&lt;&gt;"Active","REVIEW",IF(OR(POLICY_APPROVAL!$B$9="Eligibility only",POLICY_APPROVAL!$B$9="Both"),IF(AGENT_INPUT!J10&lt;=SUMIFS(BONUS_RULES!$E$5:$E$46,BONUS_RULES!$A$5:$A$46,$C10,BONUS_RULES!$B$5:$B$46,"Abs%"),"ELIGIBLE","INELIGIBLE ABS"),"ELIGIBLE")))</f>
        <v/>
      </c>
      <c r="F10" s="10">
        <f>IF(OR($A10="",$D10&lt;&gt;"READY"),"",IF(AGENT_INPUT!E10&lt;=SUMIFS(BONUS_RULES!$E$5:$E$46,BONUS_RULES!$A$5:$A$46,$C10,BONUS_RULES!$B$5:$B$46,"AHT"),SUMIFS(BONUS_RULES!$D$5:$D$46,BONUS_RULES!$A$5:$A$46,$C10,BONUS_RULES!$B$5:$B$46,"AHT"),IF(AGENT_INPUT!E10&lt;=SUMIFS(BONUS_RULES!$G$5:$G$46,BONUS_RULES!$A$5:$A$46,$C10,BONUS_RULES!$B$5:$B$46,"AHT"),SUMIFS(BONUS_RULES!$F$5:$F$46,BONUS_RULES!$A$5:$A$46,$C10,BONUS_RULES!$B$5:$B$46,"AHT"),0)))</f>
        <v/>
      </c>
      <c r="G10" s="10">
        <f>IF(OR($A10="",$D10&lt;&gt;"READY"),"",IF(AGENT_INPUT!F10&gt;=SUMIFS(BONUS_RULES!$E$5:$E$46,BONUS_RULES!$A$5:$A$46,$C10,BONUS_RULES!$B$5:$B$46,"Productivity"),SUMIFS(BONUS_RULES!$D$5:$D$46,BONUS_RULES!$A$5:$A$46,$C10,BONUS_RULES!$B$5:$B$46,"Productivity"),IF(AGENT_INPUT!F10&gt;=SUMIFS(BONUS_RULES!$G$5:$G$46,BONUS_RULES!$A$5:$A$46,$C10,BONUS_RULES!$B$5:$B$46,"Productivity"),SUMIFS(BONUS_RULES!$F$5:$F$46,BONUS_RULES!$A$5:$A$46,$C10,BONUS_RULES!$B$5:$B$46,"Productivity"),0)))</f>
        <v/>
      </c>
      <c r="H10" s="10">
        <f>IF(OR($A10="",$D10&lt;&gt;"READY"),"",IF(AGENT_INPUT!G10&gt;=SUMIFS(BONUS_RULES!$E$5:$E$46,BONUS_RULES!$A$5:$A$46,$C10,BONUS_RULES!$B$5:$B$46,"PCS Score"),SUMIFS(BONUS_RULES!$D$5:$D$46,BONUS_RULES!$A$5:$A$46,$C10,BONUS_RULES!$B$5:$B$46,"PCS Score"),IF(AGENT_INPUT!G10&gt;=SUMIFS(BONUS_RULES!$G$5:$G$46,BONUS_RULES!$A$5:$A$46,$C10,BONUS_RULES!$B$5:$B$46,"PCS Score"),SUMIFS(BONUS_RULES!$F$5:$F$46,BONUS_RULES!$A$5:$A$46,$C10,BONUS_RULES!$B$5:$B$46,"PCS Score"),0)))</f>
        <v/>
      </c>
      <c r="I10" s="10">
        <f>IF(OR($A10="",$D10&lt;&gt;"READY"),"",IF(AGENT_INPUT!H10&gt;=SUMIFS(BONUS_RULES!$E$5:$E$46,BONUS_RULES!$A$5:$A$46,$C10,BONUS_RULES!$B$5:$B$46,"PCS % (Participation)"),SUMIFS(BONUS_RULES!$D$5:$D$46,BONUS_RULES!$A$5:$A$46,$C10,BONUS_RULES!$B$5:$B$46,"PCS % (Participation)"),IF(AGENT_INPUT!H10&gt;=SUMIFS(BONUS_RULES!$G$5:$G$46,BONUS_RULES!$A$5:$A$46,$C10,BONUS_RULES!$B$5:$B$46,"PCS % (Participation)"),SUMIFS(BONUS_RULES!$F$5:$F$46,BONUS_RULES!$A$5:$A$46,$C10,BONUS_RULES!$B$5:$B$46,"PCS % (Participation)"),0)))</f>
        <v/>
      </c>
      <c r="J10" s="10">
        <f>IF(OR($A10="",$D10&lt;&gt;"READY"),"",IF(AGENT_INPUT!I10&gt;=SUMIFS(BONUS_RULES!$E$5:$E$46,BONUS_RULES!$A$5:$A$46,$C10,BONUS_RULES!$B$5:$B$46,"QM"),SUMIFS(BONUS_RULES!$D$5:$D$46,BONUS_RULES!$A$5:$A$46,$C10,BONUS_RULES!$B$5:$B$46,"QM"),IF(AGENT_INPUT!I10&gt;=SUMIFS(BONUS_RULES!$G$5:$G$46,BONUS_RULES!$A$5:$A$46,$C10,BONUS_RULES!$B$5:$B$46,"QM"),SUMIFS(BONUS_RULES!$F$5:$F$46,BONUS_RULES!$A$5:$A$46,$C10,BONUS_RULES!$B$5:$B$46,"QM"),0)))</f>
        <v/>
      </c>
      <c r="K10" s="10">
        <f>IF(POLICY_APPROVAL!$B$9="Eligibility only",0,IF(OR($A10="",$D10&lt;&gt;"READY"),"",IF(AGENT_INPUT!J10&lt;=SUMIFS(BONUS_RULES!$E$5:$E$46,BONUS_RULES!$A$5:$A$46,$C10,BONUS_RULES!$B$5:$B$46,"Abs%"),SUMIFS(BONUS_RULES!$D$5:$D$46,BONUS_RULES!$A$5:$A$46,$C10,BONUS_RULES!$B$5:$B$46,"Abs%"),IF(AGENT_INPUT!J10&lt;=SUMIFS(BONUS_RULES!$G$5:$G$46,BONUS_RULES!$A$5:$A$46,$C10,BONUS_RULES!$B$5:$B$46,"Abs%"),SUMIFS(BONUS_RULES!$F$5:$F$46,BONUS_RULES!$A$5:$A$46,$C10,BONUS_RULES!$B$5:$B$46,"Abs%"),0))))</f>
        <v/>
      </c>
      <c r="L10" s="10">
        <f>IF(OR($A10="",$D10&lt;&gt;"READY"),"",IF(AGENT_INPUT!G10&gt;=SUMIFS(BONUS_RULES!$E$5:$E$46,BONUS_RULES!$A$5:$A$46,$C10,BONUS_RULES!$B$5:$B$46,"Extra Bonus (PCS Score)"),SUMIFS(BONUS_RULES!$D$5:$D$46,BONUS_RULES!$A$5:$A$46,$C10,BONUS_RULES!$B$5:$B$46,"Extra Bonus (PCS Score)"),IF(AGENT_INPUT!G10&gt;=SUMIFS(BONUS_RULES!$G$5:$G$46,BONUS_RULES!$A$5:$A$46,$C10,BONUS_RULES!$B$5:$B$46,"Extra Bonus (PCS Score)"),SUMIFS(BONUS_RULES!$F$5:$F$46,BONUS_RULES!$A$5:$A$46,$C10,BONUS_RULES!$B$5:$B$46,"Extra Bonus (PCS Score)"),0)))</f>
        <v/>
      </c>
      <c r="M10" s="10">
        <f>IF($A10="","",MIN(IF(POLICY_APPROVAL!$B$6="Replacement",SUM(F10:K10)-H10+MAX(H10,L10),SUM(F10:L10)),POLICY_APPROVAL!$B$10))</f>
        <v>0</v>
      </c>
      <c r="N10" s="10">
        <f>IF($A10="","",IFERROR(INDEX(BONUS_RULES!$J$5:$J$10,MATCH(MIN(MAX(AGENT_INPUT!K10,0),5),BONUS_RULES!$I$5:$I$10,0)),1))</f>
        <v>0</v>
      </c>
      <c r="O10" s="10">
        <f>IF(M10="","",MAX(0,IF(POLICY_APPROVAL!$B$5="Percentage points",M10-N10,M10*(1-N10))))</f>
        <v>0</v>
      </c>
      <c r="P10" s="11">
        <f>IF(D10&lt;&gt;"READY","",IF(AGENT_INPUT!O10&gt;0,AGENT_INPUT!O10,AGENT_INPUT!M10*AGENT_INPUT!N10/IF(POLICY_APPROVAL!$B$7="Annual",12,1)))</f>
        <v/>
      </c>
      <c r="Q10" s="10">
        <f>IF(D10&lt;&gt;"READY","",MIN(1,AGENT_INPUT!P10/AGENT_INPUT!Q10))</f>
        <v/>
      </c>
      <c r="R10" s="11">
        <f>IF(D10&lt;&gt;"READY","",ROUND(P10*Q10*O10,IF(POLICY_APPROVAL!$B$11="Whole MAD",0,2)))</f>
        <v/>
      </c>
      <c r="S10" s="11">
        <f>IF(AND(SETUP!$B$9="READY",T10="READY"),R10,"")</f>
        <v/>
      </c>
      <c r="T10" s="4" t="str">
        <f>IF($A10="","",IF(D10&lt;&gt;"READY","BLOCKED - INPUT",IF(E10&lt;&gt;"ELIGIBLE","BLOCKED - ELIGIBILITY",IF(AGENT_INPUT!S10&lt;&gt;"VALIDATED","BLOCKED - DATA",IF(SETUP!$B$9&lt;&gt;"READY","BLOCKED - POLICY","READY")))))</f>
        <v>BLOCKED - INPUT</v>
      </c>
      <c r="U10" s="4" t="str">
        <f>IF($A10="","",IF(COUNTIFS(AGENT_INPUT!$A$5:$A$254,$A10,AGENT_INPUT!$D$5:$D$254,AGENT_INPUT!D10)&gt;1,"DUPLICATE AGENT + PERIOD",IF(D10&lt;&gt;"READY","INPUT OR CONFIG REVIEW",IF(T10&lt;&gt;"READY",T10,""))))</f>
        <v>Missing, invalid, or unconfigured required input</v>
      </c>
    </row>
    <row r="11" spans="1:21">
      <c r="A11" s="4">
        <f>IF(AGENT_INPUT!A11="","",AGENT_INPUT!A11)</f>
        <v>204349</v>
      </c>
      <c r="B11" s="4" t="str">
        <f>IF($A11="","",AGENT_INPUT!B11)</f>
        <v>NABACH Lara</v>
      </c>
      <c r="C11" s="4" t="str">
        <f>IF($A11="","",AGENT_INPUT!C11)</f>
        <v>Ford GER</v>
      </c>
      <c r="D11" s="4" t="str">
        <f>IF($A11="","",IF(AND(COUNT(AGENT_INPUT!E11:J11)=6,COUNT(AGENT_INPUT!K11)=1,COUNTIF(BONUS_RULES!$A$5:$A$46,AGENT_INPUT!C11)&gt;0,OR(AGENT_INPUT!O11&gt;0,AND(AGENT_INPUT!M11&gt;0,AGENT_INPUT!N11&gt;0)),AGENT_INPUT!P11&gt;=0,AGENT_INPUT!Q11&gt;0,AGENT_INPUT!P11&lt;=AGENT_INPUT!Q11,AGENT_INPUT!H11&gt;=0,AGENT_INPUT!H11&lt;=1,AGENT_INPUT!I11&gt;=0,AGENT_INPUT!I11&lt;=1,AGENT_INPUT!J11&gt;=0,AGENT_INPUT!J11&lt;=1),"READY","BLOCKED"))</f>
        <v>BLOCKED</v>
      </c>
      <c r="E11" s="4">
        <f>IF($A11="","",IF(AGENT_INPUT!R11&lt;&gt;"Active","REVIEW",IF(OR(POLICY_APPROVAL!$B$9="Eligibility only",POLICY_APPROVAL!$B$9="Both"),IF(AGENT_INPUT!J11&lt;=SUMIFS(BONUS_RULES!$E$5:$E$46,BONUS_RULES!$A$5:$A$46,$C11,BONUS_RULES!$B$5:$B$46,"Abs%"),"ELIGIBLE","INELIGIBLE ABS"),"ELIGIBLE")))</f>
        <v/>
      </c>
      <c r="F11" s="10">
        <f>IF(OR($A11="",$D11&lt;&gt;"READY"),"",IF(AGENT_INPUT!E11&lt;=SUMIFS(BONUS_RULES!$E$5:$E$46,BONUS_RULES!$A$5:$A$46,$C11,BONUS_RULES!$B$5:$B$46,"AHT"),SUMIFS(BONUS_RULES!$D$5:$D$46,BONUS_RULES!$A$5:$A$46,$C11,BONUS_RULES!$B$5:$B$46,"AHT"),IF(AGENT_INPUT!E11&lt;=SUMIFS(BONUS_RULES!$G$5:$G$46,BONUS_RULES!$A$5:$A$46,$C11,BONUS_RULES!$B$5:$B$46,"AHT"),SUMIFS(BONUS_RULES!$F$5:$F$46,BONUS_RULES!$A$5:$A$46,$C11,BONUS_RULES!$B$5:$B$46,"AHT"),0)))</f>
        <v/>
      </c>
      <c r="G11" s="10">
        <f>IF(OR($A11="",$D11&lt;&gt;"READY"),"",IF(AGENT_INPUT!F11&gt;=SUMIFS(BONUS_RULES!$E$5:$E$46,BONUS_RULES!$A$5:$A$46,$C11,BONUS_RULES!$B$5:$B$46,"Productivity"),SUMIFS(BONUS_RULES!$D$5:$D$46,BONUS_RULES!$A$5:$A$46,$C11,BONUS_RULES!$B$5:$B$46,"Productivity"),IF(AGENT_INPUT!F11&gt;=SUMIFS(BONUS_RULES!$G$5:$G$46,BONUS_RULES!$A$5:$A$46,$C11,BONUS_RULES!$B$5:$B$46,"Productivity"),SUMIFS(BONUS_RULES!$F$5:$F$46,BONUS_RULES!$A$5:$A$46,$C11,BONUS_RULES!$B$5:$B$46,"Productivity"),0)))</f>
        <v/>
      </c>
      <c r="H11" s="10">
        <f>IF(OR($A11="",$D11&lt;&gt;"READY"),"",IF(AGENT_INPUT!G11&gt;=SUMIFS(BONUS_RULES!$E$5:$E$46,BONUS_RULES!$A$5:$A$46,$C11,BONUS_RULES!$B$5:$B$46,"PCS Score"),SUMIFS(BONUS_RULES!$D$5:$D$46,BONUS_RULES!$A$5:$A$46,$C11,BONUS_RULES!$B$5:$B$46,"PCS Score"),IF(AGENT_INPUT!G11&gt;=SUMIFS(BONUS_RULES!$G$5:$G$46,BONUS_RULES!$A$5:$A$46,$C11,BONUS_RULES!$B$5:$B$46,"PCS Score"),SUMIFS(BONUS_RULES!$F$5:$F$46,BONUS_RULES!$A$5:$A$46,$C11,BONUS_RULES!$B$5:$B$46,"PCS Score"),0)))</f>
        <v/>
      </c>
      <c r="I11" s="10">
        <f>IF(OR($A11="",$D11&lt;&gt;"READY"),"",IF(AGENT_INPUT!H11&gt;=SUMIFS(BONUS_RULES!$E$5:$E$46,BONUS_RULES!$A$5:$A$46,$C11,BONUS_RULES!$B$5:$B$46,"PCS % (Participation)"),SUMIFS(BONUS_RULES!$D$5:$D$46,BONUS_RULES!$A$5:$A$46,$C11,BONUS_RULES!$B$5:$B$46,"PCS % (Participation)"),IF(AGENT_INPUT!H11&gt;=SUMIFS(BONUS_RULES!$G$5:$G$46,BONUS_RULES!$A$5:$A$46,$C11,BONUS_RULES!$B$5:$B$46,"PCS % (Participation)"),SUMIFS(BONUS_RULES!$F$5:$F$46,BONUS_RULES!$A$5:$A$46,$C11,BONUS_RULES!$B$5:$B$46,"PCS % (Participation)"),0)))</f>
        <v/>
      </c>
      <c r="J11" s="10">
        <f>IF(OR($A11="",$D11&lt;&gt;"READY"),"",IF(AGENT_INPUT!I11&gt;=SUMIFS(BONUS_RULES!$E$5:$E$46,BONUS_RULES!$A$5:$A$46,$C11,BONUS_RULES!$B$5:$B$46,"QM"),SUMIFS(BONUS_RULES!$D$5:$D$46,BONUS_RULES!$A$5:$A$46,$C11,BONUS_RULES!$B$5:$B$46,"QM"),IF(AGENT_INPUT!I11&gt;=SUMIFS(BONUS_RULES!$G$5:$G$46,BONUS_RULES!$A$5:$A$46,$C11,BONUS_RULES!$B$5:$B$46,"QM"),SUMIFS(BONUS_RULES!$F$5:$F$46,BONUS_RULES!$A$5:$A$46,$C11,BONUS_RULES!$B$5:$B$46,"QM"),0)))</f>
        <v/>
      </c>
      <c r="K11" s="10">
        <f>IF(POLICY_APPROVAL!$B$9="Eligibility only",0,IF(OR($A11="",$D11&lt;&gt;"READY"),"",IF(AGENT_INPUT!J11&lt;=SUMIFS(BONUS_RULES!$E$5:$E$46,BONUS_RULES!$A$5:$A$46,$C11,BONUS_RULES!$B$5:$B$46,"Abs%"),SUMIFS(BONUS_RULES!$D$5:$D$46,BONUS_RULES!$A$5:$A$46,$C11,BONUS_RULES!$B$5:$B$46,"Abs%"),IF(AGENT_INPUT!J11&lt;=SUMIFS(BONUS_RULES!$G$5:$G$46,BONUS_RULES!$A$5:$A$46,$C11,BONUS_RULES!$B$5:$B$46,"Abs%"),SUMIFS(BONUS_RULES!$F$5:$F$46,BONUS_RULES!$A$5:$A$46,$C11,BONUS_RULES!$B$5:$B$46,"Abs%"),0))))</f>
        <v/>
      </c>
      <c r="L11" s="10">
        <f>IF(OR($A11="",$D11&lt;&gt;"READY"),"",IF(AGENT_INPUT!G11&gt;=SUMIFS(BONUS_RULES!$E$5:$E$46,BONUS_RULES!$A$5:$A$46,$C11,BONUS_RULES!$B$5:$B$46,"Extra Bonus (PCS Score)"),SUMIFS(BONUS_RULES!$D$5:$D$46,BONUS_RULES!$A$5:$A$46,$C11,BONUS_RULES!$B$5:$B$46,"Extra Bonus (PCS Score)"),IF(AGENT_INPUT!G11&gt;=SUMIFS(BONUS_RULES!$G$5:$G$46,BONUS_RULES!$A$5:$A$46,$C11,BONUS_RULES!$B$5:$B$46,"Extra Bonus (PCS Score)"),SUMIFS(BONUS_RULES!$F$5:$F$46,BONUS_RULES!$A$5:$A$46,$C11,BONUS_RULES!$B$5:$B$46,"Extra Bonus (PCS Score)"),0)))</f>
        <v/>
      </c>
      <c r="M11" s="10">
        <f>IF($A11="","",MIN(IF(POLICY_APPROVAL!$B$6="Replacement",SUM(F11:K11)-H11+MAX(H11,L11),SUM(F11:L11)),POLICY_APPROVAL!$B$10))</f>
        <v>0</v>
      </c>
      <c r="N11" s="10">
        <f>IF($A11="","",IFERROR(INDEX(BONUS_RULES!$J$5:$J$10,MATCH(MIN(MAX(AGENT_INPUT!K11,0),5),BONUS_RULES!$I$5:$I$10,0)),1))</f>
        <v>0</v>
      </c>
      <c r="O11" s="10">
        <f>IF(M11="","",MAX(0,IF(POLICY_APPROVAL!$B$5="Percentage points",M11-N11,M11*(1-N11))))</f>
        <v>0</v>
      </c>
      <c r="P11" s="11">
        <f>IF(D11&lt;&gt;"READY","",IF(AGENT_INPUT!O11&gt;0,AGENT_INPUT!O11,AGENT_INPUT!M11*AGENT_INPUT!N11/IF(POLICY_APPROVAL!$B$7="Annual",12,1)))</f>
        <v/>
      </c>
      <c r="Q11" s="10">
        <f>IF(D11&lt;&gt;"READY","",MIN(1,AGENT_INPUT!P11/AGENT_INPUT!Q11))</f>
        <v/>
      </c>
      <c r="R11" s="11">
        <f>IF(D11&lt;&gt;"READY","",ROUND(P11*Q11*O11,IF(POLICY_APPROVAL!$B$11="Whole MAD",0,2)))</f>
        <v/>
      </c>
      <c r="S11" s="11">
        <f>IF(AND(SETUP!$B$9="READY",T11="READY"),R11,"")</f>
        <v/>
      </c>
      <c r="T11" s="4" t="str">
        <f>IF($A11="","",IF(D11&lt;&gt;"READY","BLOCKED - INPUT",IF(E11&lt;&gt;"ELIGIBLE","BLOCKED - ELIGIBILITY",IF(AGENT_INPUT!S11&lt;&gt;"VALIDATED","BLOCKED - DATA",IF(SETUP!$B$9&lt;&gt;"READY","BLOCKED - POLICY","READY")))))</f>
        <v>BLOCKED - INPUT</v>
      </c>
      <c r="U11" s="4" t="str">
        <f>IF($A11="","",IF(COUNTIFS(AGENT_INPUT!$A$5:$A$254,$A11,AGENT_INPUT!$D$5:$D$254,AGENT_INPUT!D11)&gt;1,"DUPLICATE AGENT + PERIOD",IF(D11&lt;&gt;"READY","INPUT OR CONFIG REVIEW",IF(T11&lt;&gt;"READY",T11,""))))</f>
        <v>Missing, invalid, or unconfigured required input</v>
      </c>
    </row>
    <row r="12" spans="1:21">
      <c r="A12" s="4">
        <f>IF(AGENT_INPUT!A12="","",AGENT_INPUT!A12)</f>
        <v>228205</v>
      </c>
      <c r="B12" s="4" t="str">
        <f>IF($A12="","",AGENT_INPUT!B12)</f>
        <v>Mohamed Amine MERSAK</v>
      </c>
      <c r="C12" s="4" t="str">
        <f>IF($A12="","",AGENT_INPUT!C12)</f>
        <v>OEM FR</v>
      </c>
      <c r="D12" s="4" t="str">
        <f>IF($A12="","",IF(AND(COUNT(AGENT_INPUT!E12:J12)=6,COUNT(AGENT_INPUT!K12)=1,COUNTIF(BONUS_RULES!$A$5:$A$46,AGENT_INPUT!C12)&gt;0,OR(AGENT_INPUT!O12&gt;0,AND(AGENT_INPUT!M12&gt;0,AGENT_INPUT!N12&gt;0)),AGENT_INPUT!P12&gt;=0,AGENT_INPUT!Q12&gt;0,AGENT_INPUT!P12&lt;=AGENT_INPUT!Q12,AGENT_INPUT!H12&gt;=0,AGENT_INPUT!H12&lt;=1,AGENT_INPUT!I12&gt;=0,AGENT_INPUT!I12&lt;=1,AGENT_INPUT!J12&gt;=0,AGENT_INPUT!J12&lt;=1),"READY","BLOCKED"))</f>
        <v>BLOCKED</v>
      </c>
      <c r="E12" s="4">
        <f>IF($A12="","",IF(AGENT_INPUT!R12&lt;&gt;"Active","REVIEW",IF(OR(POLICY_APPROVAL!$B$9="Eligibility only",POLICY_APPROVAL!$B$9="Both"),IF(AGENT_INPUT!J12&lt;=SUMIFS(BONUS_RULES!$E$5:$E$46,BONUS_RULES!$A$5:$A$46,$C12,BONUS_RULES!$B$5:$B$46,"Abs%"),"ELIGIBLE","INELIGIBLE ABS"),"ELIGIBLE")))</f>
        <v/>
      </c>
      <c r="F12" s="10">
        <f>IF(OR($A12="",$D12&lt;&gt;"READY"),"",IF(AGENT_INPUT!E12&lt;=SUMIFS(BONUS_RULES!$E$5:$E$46,BONUS_RULES!$A$5:$A$46,$C12,BONUS_RULES!$B$5:$B$46,"AHT"),SUMIFS(BONUS_RULES!$D$5:$D$46,BONUS_RULES!$A$5:$A$46,$C12,BONUS_RULES!$B$5:$B$46,"AHT"),IF(AGENT_INPUT!E12&lt;=SUMIFS(BONUS_RULES!$G$5:$G$46,BONUS_RULES!$A$5:$A$46,$C12,BONUS_RULES!$B$5:$B$46,"AHT"),SUMIFS(BONUS_RULES!$F$5:$F$46,BONUS_RULES!$A$5:$A$46,$C12,BONUS_RULES!$B$5:$B$46,"AHT"),0)))</f>
        <v/>
      </c>
      <c r="G12" s="10">
        <f>IF(OR($A12="",$D12&lt;&gt;"READY"),"",IF(AGENT_INPUT!F12&gt;=SUMIFS(BONUS_RULES!$E$5:$E$46,BONUS_RULES!$A$5:$A$46,$C12,BONUS_RULES!$B$5:$B$46,"Productivity"),SUMIFS(BONUS_RULES!$D$5:$D$46,BONUS_RULES!$A$5:$A$46,$C12,BONUS_RULES!$B$5:$B$46,"Productivity"),IF(AGENT_INPUT!F12&gt;=SUMIFS(BONUS_RULES!$G$5:$G$46,BONUS_RULES!$A$5:$A$46,$C12,BONUS_RULES!$B$5:$B$46,"Productivity"),SUMIFS(BONUS_RULES!$F$5:$F$46,BONUS_RULES!$A$5:$A$46,$C12,BONUS_RULES!$B$5:$B$46,"Productivity"),0)))</f>
        <v/>
      </c>
      <c r="H12" s="10">
        <f>IF(OR($A12="",$D12&lt;&gt;"READY"),"",IF(AGENT_INPUT!G12&gt;=SUMIFS(BONUS_RULES!$E$5:$E$46,BONUS_RULES!$A$5:$A$46,$C12,BONUS_RULES!$B$5:$B$46,"PCS Score"),SUMIFS(BONUS_RULES!$D$5:$D$46,BONUS_RULES!$A$5:$A$46,$C12,BONUS_RULES!$B$5:$B$46,"PCS Score"),IF(AGENT_INPUT!G12&gt;=SUMIFS(BONUS_RULES!$G$5:$G$46,BONUS_RULES!$A$5:$A$46,$C12,BONUS_RULES!$B$5:$B$46,"PCS Score"),SUMIFS(BONUS_RULES!$F$5:$F$46,BONUS_RULES!$A$5:$A$46,$C12,BONUS_RULES!$B$5:$B$46,"PCS Score"),0)))</f>
        <v/>
      </c>
      <c r="I12" s="10">
        <f>IF(OR($A12="",$D12&lt;&gt;"READY"),"",IF(AGENT_INPUT!H12&gt;=SUMIFS(BONUS_RULES!$E$5:$E$46,BONUS_RULES!$A$5:$A$46,$C12,BONUS_RULES!$B$5:$B$46,"PCS % (Participation)"),SUMIFS(BONUS_RULES!$D$5:$D$46,BONUS_RULES!$A$5:$A$46,$C12,BONUS_RULES!$B$5:$B$46,"PCS % (Participation)"),IF(AGENT_INPUT!H12&gt;=SUMIFS(BONUS_RULES!$G$5:$G$46,BONUS_RULES!$A$5:$A$46,$C12,BONUS_RULES!$B$5:$B$46,"PCS % (Participation)"),SUMIFS(BONUS_RULES!$F$5:$F$46,BONUS_RULES!$A$5:$A$46,$C12,BONUS_RULES!$B$5:$B$46,"PCS % (Participation)"),0)))</f>
        <v/>
      </c>
      <c r="J12" s="10">
        <f>IF(OR($A12="",$D12&lt;&gt;"READY"),"",IF(AGENT_INPUT!I12&gt;=SUMIFS(BONUS_RULES!$E$5:$E$46,BONUS_RULES!$A$5:$A$46,$C12,BONUS_RULES!$B$5:$B$46,"QM"),SUMIFS(BONUS_RULES!$D$5:$D$46,BONUS_RULES!$A$5:$A$46,$C12,BONUS_RULES!$B$5:$B$46,"QM"),IF(AGENT_INPUT!I12&gt;=SUMIFS(BONUS_RULES!$G$5:$G$46,BONUS_RULES!$A$5:$A$46,$C12,BONUS_RULES!$B$5:$B$46,"QM"),SUMIFS(BONUS_RULES!$F$5:$F$46,BONUS_RULES!$A$5:$A$46,$C12,BONUS_RULES!$B$5:$B$46,"QM"),0)))</f>
        <v/>
      </c>
      <c r="K12" s="10">
        <f>IF(POLICY_APPROVAL!$B$9="Eligibility only",0,IF(OR($A12="",$D12&lt;&gt;"READY"),"",IF(AGENT_INPUT!J12&lt;=SUMIFS(BONUS_RULES!$E$5:$E$46,BONUS_RULES!$A$5:$A$46,$C12,BONUS_RULES!$B$5:$B$46,"Abs%"),SUMIFS(BONUS_RULES!$D$5:$D$46,BONUS_RULES!$A$5:$A$46,$C12,BONUS_RULES!$B$5:$B$46,"Abs%"),IF(AGENT_INPUT!J12&lt;=SUMIFS(BONUS_RULES!$G$5:$G$46,BONUS_RULES!$A$5:$A$46,$C12,BONUS_RULES!$B$5:$B$46,"Abs%"),SUMIFS(BONUS_RULES!$F$5:$F$46,BONUS_RULES!$A$5:$A$46,$C12,BONUS_RULES!$B$5:$B$46,"Abs%"),0))))</f>
        <v/>
      </c>
      <c r="L12" s="10">
        <f>IF(OR($A12="",$D12&lt;&gt;"READY"),"",IF(AGENT_INPUT!G12&gt;=SUMIFS(BONUS_RULES!$E$5:$E$46,BONUS_RULES!$A$5:$A$46,$C12,BONUS_RULES!$B$5:$B$46,"Extra Bonus (PCS Score)"),SUMIFS(BONUS_RULES!$D$5:$D$46,BONUS_RULES!$A$5:$A$46,$C12,BONUS_RULES!$B$5:$B$46,"Extra Bonus (PCS Score)"),IF(AGENT_INPUT!G12&gt;=SUMIFS(BONUS_RULES!$G$5:$G$46,BONUS_RULES!$A$5:$A$46,$C12,BONUS_RULES!$B$5:$B$46,"Extra Bonus (PCS Score)"),SUMIFS(BONUS_RULES!$F$5:$F$46,BONUS_RULES!$A$5:$A$46,$C12,BONUS_RULES!$B$5:$B$46,"Extra Bonus (PCS Score)"),0)))</f>
        <v/>
      </c>
      <c r="M12" s="10">
        <f>IF($A12="","",MIN(IF(POLICY_APPROVAL!$B$6="Replacement",SUM(F12:K12)-H12+MAX(H12,L12),SUM(F12:L12)),POLICY_APPROVAL!$B$10))</f>
        <v>0</v>
      </c>
      <c r="N12" s="10">
        <f>IF($A12="","",IFERROR(INDEX(BONUS_RULES!$J$5:$J$10,MATCH(MIN(MAX(AGENT_INPUT!K12,0),5),BONUS_RULES!$I$5:$I$10,0)),1))</f>
        <v>0</v>
      </c>
      <c r="O12" s="10">
        <f>IF(M12="","",MAX(0,IF(POLICY_APPROVAL!$B$5="Percentage points",M12-N12,M12*(1-N12))))</f>
        <v>0</v>
      </c>
      <c r="P12" s="11">
        <f>IF(D12&lt;&gt;"READY","",IF(AGENT_INPUT!O12&gt;0,AGENT_INPUT!O12,AGENT_INPUT!M12*AGENT_INPUT!N12/IF(POLICY_APPROVAL!$B$7="Annual",12,1)))</f>
        <v/>
      </c>
      <c r="Q12" s="10">
        <f>IF(D12&lt;&gt;"READY","",MIN(1,AGENT_INPUT!P12/AGENT_INPUT!Q12))</f>
        <v/>
      </c>
      <c r="R12" s="11">
        <f>IF(D12&lt;&gt;"READY","",ROUND(P12*Q12*O12,IF(POLICY_APPROVAL!$B$11="Whole MAD",0,2)))</f>
        <v/>
      </c>
      <c r="S12" s="11">
        <f>IF(AND(SETUP!$B$9="READY",T12="READY"),R12,"")</f>
        <v/>
      </c>
      <c r="T12" s="4" t="str">
        <f>IF($A12="","",IF(D12&lt;&gt;"READY","BLOCKED - INPUT",IF(E12&lt;&gt;"ELIGIBLE","BLOCKED - ELIGIBILITY",IF(AGENT_INPUT!S12&lt;&gt;"VALIDATED","BLOCKED - DATA",IF(SETUP!$B$9&lt;&gt;"READY","BLOCKED - POLICY","READY")))))</f>
        <v>BLOCKED - INPUT</v>
      </c>
      <c r="U12" s="4" t="str">
        <f>IF($A12="","",IF(COUNTIFS(AGENT_INPUT!$A$5:$A$254,$A12,AGENT_INPUT!$D$5:$D$254,AGENT_INPUT!D12)&gt;1,"DUPLICATE AGENT + PERIOD",IF(D12&lt;&gt;"READY","INPUT OR CONFIG REVIEW",IF(T12&lt;&gt;"READY",T12,""))))</f>
        <v>Missing, invalid, or unconfigured required input</v>
      </c>
    </row>
    <row r="13" spans="1:21">
      <c r="A13" s="4">
        <f>IF(AGENT_INPUT!A13="","",AGENT_INPUT!A13)</f>
        <v>204018</v>
      </c>
      <c r="B13" s="4" t="str">
        <f>IF($A13="","",AGENT_INPUT!B13)</f>
        <v>Mejhed Asmaa</v>
      </c>
      <c r="C13" s="4" t="str">
        <f>IF($A13="","",AGENT_INPUT!C13)</f>
        <v>Ford Dutch</v>
      </c>
      <c r="D13" s="4" t="str">
        <f>IF($A13="","",IF(AND(COUNT(AGENT_INPUT!E13:J13)=6,COUNT(AGENT_INPUT!K13)=1,COUNTIF(BONUS_RULES!$A$5:$A$46,AGENT_INPUT!C13)&gt;0,OR(AGENT_INPUT!O13&gt;0,AND(AGENT_INPUT!M13&gt;0,AGENT_INPUT!N13&gt;0)),AGENT_INPUT!P13&gt;=0,AGENT_INPUT!Q13&gt;0,AGENT_INPUT!P13&lt;=AGENT_INPUT!Q13,AGENT_INPUT!H13&gt;=0,AGENT_INPUT!H13&lt;=1,AGENT_INPUT!I13&gt;=0,AGENT_INPUT!I13&lt;=1,AGENT_INPUT!J13&gt;=0,AGENT_INPUT!J13&lt;=1),"READY","BLOCKED"))</f>
        <v>BLOCKED</v>
      </c>
      <c r="E13" s="4">
        <f>IF($A13="","",IF(AGENT_INPUT!R13&lt;&gt;"Active","REVIEW",IF(OR(POLICY_APPROVAL!$B$9="Eligibility only",POLICY_APPROVAL!$B$9="Both"),IF(AGENT_INPUT!J13&lt;=SUMIFS(BONUS_RULES!$E$5:$E$46,BONUS_RULES!$A$5:$A$46,$C13,BONUS_RULES!$B$5:$B$46,"Abs%"),"ELIGIBLE","INELIGIBLE ABS"),"ELIGIBLE")))</f>
        <v/>
      </c>
      <c r="F13" s="10">
        <f>IF(OR($A13="",$D13&lt;&gt;"READY"),"",IF(AGENT_INPUT!E13&lt;=SUMIFS(BONUS_RULES!$E$5:$E$46,BONUS_RULES!$A$5:$A$46,$C13,BONUS_RULES!$B$5:$B$46,"AHT"),SUMIFS(BONUS_RULES!$D$5:$D$46,BONUS_RULES!$A$5:$A$46,$C13,BONUS_RULES!$B$5:$B$46,"AHT"),IF(AGENT_INPUT!E13&lt;=SUMIFS(BONUS_RULES!$G$5:$G$46,BONUS_RULES!$A$5:$A$46,$C13,BONUS_RULES!$B$5:$B$46,"AHT"),SUMIFS(BONUS_RULES!$F$5:$F$46,BONUS_RULES!$A$5:$A$46,$C13,BONUS_RULES!$B$5:$B$46,"AHT"),0)))</f>
        <v/>
      </c>
      <c r="G13" s="10">
        <f>IF(OR($A13="",$D13&lt;&gt;"READY"),"",IF(AGENT_INPUT!F13&gt;=SUMIFS(BONUS_RULES!$E$5:$E$46,BONUS_RULES!$A$5:$A$46,$C13,BONUS_RULES!$B$5:$B$46,"Productivity"),SUMIFS(BONUS_RULES!$D$5:$D$46,BONUS_RULES!$A$5:$A$46,$C13,BONUS_RULES!$B$5:$B$46,"Productivity"),IF(AGENT_INPUT!F13&gt;=SUMIFS(BONUS_RULES!$G$5:$G$46,BONUS_RULES!$A$5:$A$46,$C13,BONUS_RULES!$B$5:$B$46,"Productivity"),SUMIFS(BONUS_RULES!$F$5:$F$46,BONUS_RULES!$A$5:$A$46,$C13,BONUS_RULES!$B$5:$B$46,"Productivity"),0)))</f>
        <v/>
      </c>
      <c r="H13" s="10">
        <f>IF(OR($A13="",$D13&lt;&gt;"READY"),"",IF(AGENT_INPUT!G13&gt;=SUMIFS(BONUS_RULES!$E$5:$E$46,BONUS_RULES!$A$5:$A$46,$C13,BONUS_RULES!$B$5:$B$46,"PCS Score"),SUMIFS(BONUS_RULES!$D$5:$D$46,BONUS_RULES!$A$5:$A$46,$C13,BONUS_RULES!$B$5:$B$46,"PCS Score"),IF(AGENT_INPUT!G13&gt;=SUMIFS(BONUS_RULES!$G$5:$G$46,BONUS_RULES!$A$5:$A$46,$C13,BONUS_RULES!$B$5:$B$46,"PCS Score"),SUMIFS(BONUS_RULES!$F$5:$F$46,BONUS_RULES!$A$5:$A$46,$C13,BONUS_RULES!$B$5:$B$46,"PCS Score"),0)))</f>
        <v/>
      </c>
      <c r="I13" s="10">
        <f>IF(OR($A13="",$D13&lt;&gt;"READY"),"",IF(AGENT_INPUT!H13&gt;=SUMIFS(BONUS_RULES!$E$5:$E$46,BONUS_RULES!$A$5:$A$46,$C13,BONUS_RULES!$B$5:$B$46,"PCS % (Participation)"),SUMIFS(BONUS_RULES!$D$5:$D$46,BONUS_RULES!$A$5:$A$46,$C13,BONUS_RULES!$B$5:$B$46,"PCS % (Participation)"),IF(AGENT_INPUT!H13&gt;=SUMIFS(BONUS_RULES!$G$5:$G$46,BONUS_RULES!$A$5:$A$46,$C13,BONUS_RULES!$B$5:$B$46,"PCS % (Participation)"),SUMIFS(BONUS_RULES!$F$5:$F$46,BONUS_RULES!$A$5:$A$46,$C13,BONUS_RULES!$B$5:$B$46,"PCS % (Participation)"),0)))</f>
        <v/>
      </c>
      <c r="J13" s="10">
        <f>IF(OR($A13="",$D13&lt;&gt;"READY"),"",IF(AGENT_INPUT!I13&gt;=SUMIFS(BONUS_RULES!$E$5:$E$46,BONUS_RULES!$A$5:$A$46,$C13,BONUS_RULES!$B$5:$B$46,"QM"),SUMIFS(BONUS_RULES!$D$5:$D$46,BONUS_RULES!$A$5:$A$46,$C13,BONUS_RULES!$B$5:$B$46,"QM"),IF(AGENT_INPUT!I13&gt;=SUMIFS(BONUS_RULES!$G$5:$G$46,BONUS_RULES!$A$5:$A$46,$C13,BONUS_RULES!$B$5:$B$46,"QM"),SUMIFS(BONUS_RULES!$F$5:$F$46,BONUS_RULES!$A$5:$A$46,$C13,BONUS_RULES!$B$5:$B$46,"QM"),0)))</f>
        <v/>
      </c>
      <c r="K13" s="10">
        <f>IF(POLICY_APPROVAL!$B$9="Eligibility only",0,IF(OR($A13="",$D13&lt;&gt;"READY"),"",IF(AGENT_INPUT!J13&lt;=SUMIFS(BONUS_RULES!$E$5:$E$46,BONUS_RULES!$A$5:$A$46,$C13,BONUS_RULES!$B$5:$B$46,"Abs%"),SUMIFS(BONUS_RULES!$D$5:$D$46,BONUS_RULES!$A$5:$A$46,$C13,BONUS_RULES!$B$5:$B$46,"Abs%"),IF(AGENT_INPUT!J13&lt;=SUMIFS(BONUS_RULES!$G$5:$G$46,BONUS_RULES!$A$5:$A$46,$C13,BONUS_RULES!$B$5:$B$46,"Abs%"),SUMIFS(BONUS_RULES!$F$5:$F$46,BONUS_RULES!$A$5:$A$46,$C13,BONUS_RULES!$B$5:$B$46,"Abs%"),0))))</f>
        <v/>
      </c>
      <c r="L13" s="10">
        <f>IF(OR($A13="",$D13&lt;&gt;"READY"),"",IF(AGENT_INPUT!G13&gt;=SUMIFS(BONUS_RULES!$E$5:$E$46,BONUS_RULES!$A$5:$A$46,$C13,BONUS_RULES!$B$5:$B$46,"Extra Bonus (PCS Score)"),SUMIFS(BONUS_RULES!$D$5:$D$46,BONUS_RULES!$A$5:$A$46,$C13,BONUS_RULES!$B$5:$B$46,"Extra Bonus (PCS Score)"),IF(AGENT_INPUT!G13&gt;=SUMIFS(BONUS_RULES!$G$5:$G$46,BONUS_RULES!$A$5:$A$46,$C13,BONUS_RULES!$B$5:$B$46,"Extra Bonus (PCS Score)"),SUMIFS(BONUS_RULES!$F$5:$F$46,BONUS_RULES!$A$5:$A$46,$C13,BONUS_RULES!$B$5:$B$46,"Extra Bonus (PCS Score)"),0)))</f>
        <v/>
      </c>
      <c r="M13" s="10">
        <f>IF($A13="","",MIN(IF(POLICY_APPROVAL!$B$6="Replacement",SUM(F13:K13)-H13+MAX(H13,L13),SUM(F13:L13)),POLICY_APPROVAL!$B$10))</f>
        <v>0</v>
      </c>
      <c r="N13" s="10">
        <f>IF($A13="","",IFERROR(INDEX(BONUS_RULES!$J$5:$J$10,MATCH(MIN(MAX(AGENT_INPUT!K13,0),5),BONUS_RULES!$I$5:$I$10,0)),1))</f>
        <v>0</v>
      </c>
      <c r="O13" s="10">
        <f>IF(M13="","",MAX(0,IF(POLICY_APPROVAL!$B$5="Percentage points",M13-N13,M13*(1-N13))))</f>
        <v>0</v>
      </c>
      <c r="P13" s="11">
        <f>IF(D13&lt;&gt;"READY","",IF(AGENT_INPUT!O13&gt;0,AGENT_INPUT!O13,AGENT_INPUT!M13*AGENT_INPUT!N13/IF(POLICY_APPROVAL!$B$7="Annual",12,1)))</f>
        <v/>
      </c>
      <c r="Q13" s="10">
        <f>IF(D13&lt;&gt;"READY","",MIN(1,AGENT_INPUT!P13/AGENT_INPUT!Q13))</f>
        <v/>
      </c>
      <c r="R13" s="11">
        <f>IF(D13&lt;&gt;"READY","",ROUND(P13*Q13*O13,IF(POLICY_APPROVAL!$B$11="Whole MAD",0,2)))</f>
        <v/>
      </c>
      <c r="S13" s="11">
        <f>IF(AND(SETUP!$B$9="READY",T13="READY"),R13,"")</f>
        <v/>
      </c>
      <c r="T13" s="4" t="str">
        <f>IF($A13="","",IF(D13&lt;&gt;"READY","BLOCKED - INPUT",IF(E13&lt;&gt;"ELIGIBLE","BLOCKED - ELIGIBILITY",IF(AGENT_INPUT!S13&lt;&gt;"VALIDATED","BLOCKED - DATA",IF(SETUP!$B$9&lt;&gt;"READY","BLOCKED - POLICY","READY")))))</f>
        <v>BLOCKED - INPUT</v>
      </c>
      <c r="U13" s="4" t="str">
        <f>IF($A13="","",IF(COUNTIFS(AGENT_INPUT!$A$5:$A$254,$A13,AGENT_INPUT!$D$5:$D$254,AGENT_INPUT!D13)&gt;1,"DUPLICATE AGENT + PERIOD",IF(D13&lt;&gt;"READY","INPUT OR CONFIG REVIEW",IF(T13&lt;&gt;"READY",T13,""))))</f>
        <v>Missing, invalid, or unconfigured required input</v>
      </c>
    </row>
    <row r="14" spans="1:21">
      <c r="A14" s="4">
        <f>IF(AGENT_INPUT!A14="","",AGENT_INPUT!A14)</f>
        <v>250749</v>
      </c>
      <c r="B14" s="4" t="str">
        <f>IF($A14="","",AGENT_INPUT!B14)</f>
        <v>Achraf ENNAJAH</v>
      </c>
      <c r="C14" s="4" t="str">
        <f>IF($A14="","",AGENT_INPUT!C14)</f>
        <v>OEM FR</v>
      </c>
      <c r="D14" s="4" t="str">
        <f>IF($A14="","",IF(AND(COUNT(AGENT_INPUT!E14:J14)=6,COUNT(AGENT_INPUT!K14)=1,COUNTIF(BONUS_RULES!$A$5:$A$46,AGENT_INPUT!C14)&gt;0,OR(AGENT_INPUT!O14&gt;0,AND(AGENT_INPUT!M14&gt;0,AGENT_INPUT!N14&gt;0)),AGENT_INPUT!P14&gt;=0,AGENT_INPUT!Q14&gt;0,AGENT_INPUT!P14&lt;=AGENT_INPUT!Q14,AGENT_INPUT!H14&gt;=0,AGENT_INPUT!H14&lt;=1,AGENT_INPUT!I14&gt;=0,AGENT_INPUT!I14&lt;=1,AGENT_INPUT!J14&gt;=0,AGENT_INPUT!J14&lt;=1),"READY","BLOCKED"))</f>
        <v>BLOCKED</v>
      </c>
      <c r="E14" s="4">
        <f>IF($A14="","",IF(AGENT_INPUT!R14&lt;&gt;"Active","REVIEW",IF(OR(POLICY_APPROVAL!$B$9="Eligibility only",POLICY_APPROVAL!$B$9="Both"),IF(AGENT_INPUT!J14&lt;=SUMIFS(BONUS_RULES!$E$5:$E$46,BONUS_RULES!$A$5:$A$46,$C14,BONUS_RULES!$B$5:$B$46,"Abs%"),"ELIGIBLE","INELIGIBLE ABS"),"ELIGIBLE")))</f>
        <v/>
      </c>
      <c r="F14" s="10">
        <f>IF(OR($A14="",$D14&lt;&gt;"READY"),"",IF(AGENT_INPUT!E14&lt;=SUMIFS(BONUS_RULES!$E$5:$E$46,BONUS_RULES!$A$5:$A$46,$C14,BONUS_RULES!$B$5:$B$46,"AHT"),SUMIFS(BONUS_RULES!$D$5:$D$46,BONUS_RULES!$A$5:$A$46,$C14,BONUS_RULES!$B$5:$B$46,"AHT"),IF(AGENT_INPUT!E14&lt;=SUMIFS(BONUS_RULES!$G$5:$G$46,BONUS_RULES!$A$5:$A$46,$C14,BONUS_RULES!$B$5:$B$46,"AHT"),SUMIFS(BONUS_RULES!$F$5:$F$46,BONUS_RULES!$A$5:$A$46,$C14,BONUS_RULES!$B$5:$B$46,"AHT"),0)))</f>
        <v/>
      </c>
      <c r="G14" s="10">
        <f>IF(OR($A14="",$D14&lt;&gt;"READY"),"",IF(AGENT_INPUT!F14&gt;=SUMIFS(BONUS_RULES!$E$5:$E$46,BONUS_RULES!$A$5:$A$46,$C14,BONUS_RULES!$B$5:$B$46,"Productivity"),SUMIFS(BONUS_RULES!$D$5:$D$46,BONUS_RULES!$A$5:$A$46,$C14,BONUS_RULES!$B$5:$B$46,"Productivity"),IF(AGENT_INPUT!F14&gt;=SUMIFS(BONUS_RULES!$G$5:$G$46,BONUS_RULES!$A$5:$A$46,$C14,BONUS_RULES!$B$5:$B$46,"Productivity"),SUMIFS(BONUS_RULES!$F$5:$F$46,BONUS_RULES!$A$5:$A$46,$C14,BONUS_RULES!$B$5:$B$46,"Productivity"),0)))</f>
        <v/>
      </c>
      <c r="H14" s="10">
        <f>IF(OR($A14="",$D14&lt;&gt;"READY"),"",IF(AGENT_INPUT!G14&gt;=SUMIFS(BONUS_RULES!$E$5:$E$46,BONUS_RULES!$A$5:$A$46,$C14,BONUS_RULES!$B$5:$B$46,"PCS Score"),SUMIFS(BONUS_RULES!$D$5:$D$46,BONUS_RULES!$A$5:$A$46,$C14,BONUS_RULES!$B$5:$B$46,"PCS Score"),IF(AGENT_INPUT!G14&gt;=SUMIFS(BONUS_RULES!$G$5:$G$46,BONUS_RULES!$A$5:$A$46,$C14,BONUS_RULES!$B$5:$B$46,"PCS Score"),SUMIFS(BONUS_RULES!$F$5:$F$46,BONUS_RULES!$A$5:$A$46,$C14,BONUS_RULES!$B$5:$B$46,"PCS Score"),0)))</f>
        <v/>
      </c>
      <c r="I14" s="10">
        <f>IF(OR($A14="",$D14&lt;&gt;"READY"),"",IF(AGENT_INPUT!H14&gt;=SUMIFS(BONUS_RULES!$E$5:$E$46,BONUS_RULES!$A$5:$A$46,$C14,BONUS_RULES!$B$5:$B$46,"PCS % (Participation)"),SUMIFS(BONUS_RULES!$D$5:$D$46,BONUS_RULES!$A$5:$A$46,$C14,BONUS_RULES!$B$5:$B$46,"PCS % (Participation)"),IF(AGENT_INPUT!H14&gt;=SUMIFS(BONUS_RULES!$G$5:$G$46,BONUS_RULES!$A$5:$A$46,$C14,BONUS_RULES!$B$5:$B$46,"PCS % (Participation)"),SUMIFS(BONUS_RULES!$F$5:$F$46,BONUS_RULES!$A$5:$A$46,$C14,BONUS_RULES!$B$5:$B$46,"PCS % (Participation)"),0)))</f>
        <v/>
      </c>
      <c r="J14" s="10">
        <f>IF(OR($A14="",$D14&lt;&gt;"READY"),"",IF(AGENT_INPUT!I14&gt;=SUMIFS(BONUS_RULES!$E$5:$E$46,BONUS_RULES!$A$5:$A$46,$C14,BONUS_RULES!$B$5:$B$46,"QM"),SUMIFS(BONUS_RULES!$D$5:$D$46,BONUS_RULES!$A$5:$A$46,$C14,BONUS_RULES!$B$5:$B$46,"QM"),IF(AGENT_INPUT!I14&gt;=SUMIFS(BONUS_RULES!$G$5:$G$46,BONUS_RULES!$A$5:$A$46,$C14,BONUS_RULES!$B$5:$B$46,"QM"),SUMIFS(BONUS_RULES!$F$5:$F$46,BONUS_RULES!$A$5:$A$46,$C14,BONUS_RULES!$B$5:$B$46,"QM"),0)))</f>
        <v/>
      </c>
      <c r="K14" s="10">
        <f>IF(POLICY_APPROVAL!$B$9="Eligibility only",0,IF(OR($A14="",$D14&lt;&gt;"READY"),"",IF(AGENT_INPUT!J14&lt;=SUMIFS(BONUS_RULES!$E$5:$E$46,BONUS_RULES!$A$5:$A$46,$C14,BONUS_RULES!$B$5:$B$46,"Abs%"),SUMIFS(BONUS_RULES!$D$5:$D$46,BONUS_RULES!$A$5:$A$46,$C14,BONUS_RULES!$B$5:$B$46,"Abs%"),IF(AGENT_INPUT!J14&lt;=SUMIFS(BONUS_RULES!$G$5:$G$46,BONUS_RULES!$A$5:$A$46,$C14,BONUS_RULES!$B$5:$B$46,"Abs%"),SUMIFS(BONUS_RULES!$F$5:$F$46,BONUS_RULES!$A$5:$A$46,$C14,BONUS_RULES!$B$5:$B$46,"Abs%"),0))))</f>
        <v/>
      </c>
      <c r="L14" s="10">
        <f>IF(OR($A14="",$D14&lt;&gt;"READY"),"",IF(AGENT_INPUT!G14&gt;=SUMIFS(BONUS_RULES!$E$5:$E$46,BONUS_RULES!$A$5:$A$46,$C14,BONUS_RULES!$B$5:$B$46,"Extra Bonus (PCS Score)"),SUMIFS(BONUS_RULES!$D$5:$D$46,BONUS_RULES!$A$5:$A$46,$C14,BONUS_RULES!$B$5:$B$46,"Extra Bonus (PCS Score)"),IF(AGENT_INPUT!G14&gt;=SUMIFS(BONUS_RULES!$G$5:$G$46,BONUS_RULES!$A$5:$A$46,$C14,BONUS_RULES!$B$5:$B$46,"Extra Bonus (PCS Score)"),SUMIFS(BONUS_RULES!$F$5:$F$46,BONUS_RULES!$A$5:$A$46,$C14,BONUS_RULES!$B$5:$B$46,"Extra Bonus (PCS Score)"),0)))</f>
        <v/>
      </c>
      <c r="M14" s="10">
        <f>IF($A14="","",MIN(IF(POLICY_APPROVAL!$B$6="Replacement",SUM(F14:K14)-H14+MAX(H14,L14),SUM(F14:L14)),POLICY_APPROVAL!$B$10))</f>
        <v>0</v>
      </c>
      <c r="N14" s="10">
        <f>IF($A14="","",IFERROR(INDEX(BONUS_RULES!$J$5:$J$10,MATCH(MIN(MAX(AGENT_INPUT!K14,0),5),BONUS_RULES!$I$5:$I$10,0)),1))</f>
        <v>0</v>
      </c>
      <c r="O14" s="10">
        <f>IF(M14="","",MAX(0,IF(POLICY_APPROVAL!$B$5="Percentage points",M14-N14,M14*(1-N14))))</f>
        <v>0</v>
      </c>
      <c r="P14" s="11">
        <f>IF(D14&lt;&gt;"READY","",IF(AGENT_INPUT!O14&gt;0,AGENT_INPUT!O14,AGENT_INPUT!M14*AGENT_INPUT!N14/IF(POLICY_APPROVAL!$B$7="Annual",12,1)))</f>
        <v/>
      </c>
      <c r="Q14" s="10">
        <f>IF(D14&lt;&gt;"READY","",MIN(1,AGENT_INPUT!P14/AGENT_INPUT!Q14))</f>
        <v/>
      </c>
      <c r="R14" s="11">
        <f>IF(D14&lt;&gt;"READY","",ROUND(P14*Q14*O14,IF(POLICY_APPROVAL!$B$11="Whole MAD",0,2)))</f>
        <v/>
      </c>
      <c r="S14" s="11">
        <f>IF(AND(SETUP!$B$9="READY",T14="READY"),R14,"")</f>
        <v/>
      </c>
      <c r="T14" s="4" t="str">
        <f>IF($A14="","",IF(D14&lt;&gt;"READY","BLOCKED - INPUT",IF(E14&lt;&gt;"ELIGIBLE","BLOCKED - ELIGIBILITY",IF(AGENT_INPUT!S14&lt;&gt;"VALIDATED","BLOCKED - DATA",IF(SETUP!$B$9&lt;&gt;"READY","BLOCKED - POLICY","READY")))))</f>
        <v>BLOCKED - INPUT</v>
      </c>
      <c r="U14" s="4" t="str">
        <f>IF($A14="","",IF(COUNTIFS(AGENT_INPUT!$A$5:$A$254,$A14,AGENT_INPUT!$D$5:$D$254,AGENT_INPUT!D14)&gt;1,"DUPLICATE AGENT + PERIOD",IF(D14&lt;&gt;"READY","INPUT OR CONFIG REVIEW",IF(T14&lt;&gt;"READY",T14,""))))</f>
        <v>Missing, invalid, or unconfigured required input</v>
      </c>
    </row>
    <row r="15" spans="1:21">
      <c r="A15" s="4">
        <f>IF(AGENT_INPUT!A15="","",AGENT_INPUT!A15)</f>
        <v>250750</v>
      </c>
      <c r="B15" s="4" t="str">
        <f>IF($A15="","",AGENT_INPUT!B15)</f>
        <v>Ayoub EL ADRAOUI</v>
      </c>
      <c r="C15" s="4" t="str">
        <f>IF($A15="","",AGENT_INPUT!C15)</f>
        <v>OEM FR</v>
      </c>
      <c r="D15" s="4" t="str">
        <f>IF($A15="","",IF(AND(COUNT(AGENT_INPUT!E15:J15)=6,COUNT(AGENT_INPUT!K15)=1,COUNTIF(BONUS_RULES!$A$5:$A$46,AGENT_INPUT!C15)&gt;0,OR(AGENT_INPUT!O15&gt;0,AND(AGENT_INPUT!M15&gt;0,AGENT_INPUT!N15&gt;0)),AGENT_INPUT!P15&gt;=0,AGENT_INPUT!Q15&gt;0,AGENT_INPUT!P15&lt;=AGENT_INPUT!Q15,AGENT_INPUT!H15&gt;=0,AGENT_INPUT!H15&lt;=1,AGENT_INPUT!I15&gt;=0,AGENT_INPUT!I15&lt;=1,AGENT_INPUT!J15&gt;=0,AGENT_INPUT!J15&lt;=1),"READY","BLOCKED"))</f>
        <v>BLOCKED</v>
      </c>
      <c r="E15" s="4">
        <f>IF($A15="","",IF(AGENT_INPUT!R15&lt;&gt;"Active","REVIEW",IF(OR(POLICY_APPROVAL!$B$9="Eligibility only",POLICY_APPROVAL!$B$9="Both"),IF(AGENT_INPUT!J15&lt;=SUMIFS(BONUS_RULES!$E$5:$E$46,BONUS_RULES!$A$5:$A$46,$C15,BONUS_RULES!$B$5:$B$46,"Abs%"),"ELIGIBLE","INELIGIBLE ABS"),"ELIGIBLE")))</f>
        <v/>
      </c>
      <c r="F15" s="10">
        <f>IF(OR($A15="",$D15&lt;&gt;"READY"),"",IF(AGENT_INPUT!E15&lt;=SUMIFS(BONUS_RULES!$E$5:$E$46,BONUS_RULES!$A$5:$A$46,$C15,BONUS_RULES!$B$5:$B$46,"AHT"),SUMIFS(BONUS_RULES!$D$5:$D$46,BONUS_RULES!$A$5:$A$46,$C15,BONUS_RULES!$B$5:$B$46,"AHT"),IF(AGENT_INPUT!E15&lt;=SUMIFS(BONUS_RULES!$G$5:$G$46,BONUS_RULES!$A$5:$A$46,$C15,BONUS_RULES!$B$5:$B$46,"AHT"),SUMIFS(BONUS_RULES!$F$5:$F$46,BONUS_RULES!$A$5:$A$46,$C15,BONUS_RULES!$B$5:$B$46,"AHT"),0)))</f>
        <v/>
      </c>
      <c r="G15" s="10">
        <f>IF(OR($A15="",$D15&lt;&gt;"READY"),"",IF(AGENT_INPUT!F15&gt;=SUMIFS(BONUS_RULES!$E$5:$E$46,BONUS_RULES!$A$5:$A$46,$C15,BONUS_RULES!$B$5:$B$46,"Productivity"),SUMIFS(BONUS_RULES!$D$5:$D$46,BONUS_RULES!$A$5:$A$46,$C15,BONUS_RULES!$B$5:$B$46,"Productivity"),IF(AGENT_INPUT!F15&gt;=SUMIFS(BONUS_RULES!$G$5:$G$46,BONUS_RULES!$A$5:$A$46,$C15,BONUS_RULES!$B$5:$B$46,"Productivity"),SUMIFS(BONUS_RULES!$F$5:$F$46,BONUS_RULES!$A$5:$A$46,$C15,BONUS_RULES!$B$5:$B$46,"Productivity"),0)))</f>
        <v/>
      </c>
      <c r="H15" s="10">
        <f>IF(OR($A15="",$D15&lt;&gt;"READY"),"",IF(AGENT_INPUT!G15&gt;=SUMIFS(BONUS_RULES!$E$5:$E$46,BONUS_RULES!$A$5:$A$46,$C15,BONUS_RULES!$B$5:$B$46,"PCS Score"),SUMIFS(BONUS_RULES!$D$5:$D$46,BONUS_RULES!$A$5:$A$46,$C15,BONUS_RULES!$B$5:$B$46,"PCS Score"),IF(AGENT_INPUT!G15&gt;=SUMIFS(BONUS_RULES!$G$5:$G$46,BONUS_RULES!$A$5:$A$46,$C15,BONUS_RULES!$B$5:$B$46,"PCS Score"),SUMIFS(BONUS_RULES!$F$5:$F$46,BONUS_RULES!$A$5:$A$46,$C15,BONUS_RULES!$B$5:$B$46,"PCS Score"),0)))</f>
        <v/>
      </c>
      <c r="I15" s="10">
        <f>IF(OR($A15="",$D15&lt;&gt;"READY"),"",IF(AGENT_INPUT!H15&gt;=SUMIFS(BONUS_RULES!$E$5:$E$46,BONUS_RULES!$A$5:$A$46,$C15,BONUS_RULES!$B$5:$B$46,"PCS % (Participation)"),SUMIFS(BONUS_RULES!$D$5:$D$46,BONUS_RULES!$A$5:$A$46,$C15,BONUS_RULES!$B$5:$B$46,"PCS % (Participation)"),IF(AGENT_INPUT!H15&gt;=SUMIFS(BONUS_RULES!$G$5:$G$46,BONUS_RULES!$A$5:$A$46,$C15,BONUS_RULES!$B$5:$B$46,"PCS % (Participation)"),SUMIFS(BONUS_RULES!$F$5:$F$46,BONUS_RULES!$A$5:$A$46,$C15,BONUS_RULES!$B$5:$B$46,"PCS % (Participation)"),0)))</f>
        <v/>
      </c>
      <c r="J15" s="10">
        <f>IF(OR($A15="",$D15&lt;&gt;"READY"),"",IF(AGENT_INPUT!I15&gt;=SUMIFS(BONUS_RULES!$E$5:$E$46,BONUS_RULES!$A$5:$A$46,$C15,BONUS_RULES!$B$5:$B$46,"QM"),SUMIFS(BONUS_RULES!$D$5:$D$46,BONUS_RULES!$A$5:$A$46,$C15,BONUS_RULES!$B$5:$B$46,"QM"),IF(AGENT_INPUT!I15&gt;=SUMIFS(BONUS_RULES!$G$5:$G$46,BONUS_RULES!$A$5:$A$46,$C15,BONUS_RULES!$B$5:$B$46,"QM"),SUMIFS(BONUS_RULES!$F$5:$F$46,BONUS_RULES!$A$5:$A$46,$C15,BONUS_RULES!$B$5:$B$46,"QM"),0)))</f>
        <v/>
      </c>
      <c r="K15" s="10">
        <f>IF(POLICY_APPROVAL!$B$9="Eligibility only",0,IF(OR($A15="",$D15&lt;&gt;"READY"),"",IF(AGENT_INPUT!J15&lt;=SUMIFS(BONUS_RULES!$E$5:$E$46,BONUS_RULES!$A$5:$A$46,$C15,BONUS_RULES!$B$5:$B$46,"Abs%"),SUMIFS(BONUS_RULES!$D$5:$D$46,BONUS_RULES!$A$5:$A$46,$C15,BONUS_RULES!$B$5:$B$46,"Abs%"),IF(AGENT_INPUT!J15&lt;=SUMIFS(BONUS_RULES!$G$5:$G$46,BONUS_RULES!$A$5:$A$46,$C15,BONUS_RULES!$B$5:$B$46,"Abs%"),SUMIFS(BONUS_RULES!$F$5:$F$46,BONUS_RULES!$A$5:$A$46,$C15,BONUS_RULES!$B$5:$B$46,"Abs%"),0))))</f>
        <v/>
      </c>
      <c r="L15" s="10">
        <f>IF(OR($A15="",$D15&lt;&gt;"READY"),"",IF(AGENT_INPUT!G15&gt;=SUMIFS(BONUS_RULES!$E$5:$E$46,BONUS_RULES!$A$5:$A$46,$C15,BONUS_RULES!$B$5:$B$46,"Extra Bonus (PCS Score)"),SUMIFS(BONUS_RULES!$D$5:$D$46,BONUS_RULES!$A$5:$A$46,$C15,BONUS_RULES!$B$5:$B$46,"Extra Bonus (PCS Score)"),IF(AGENT_INPUT!G15&gt;=SUMIFS(BONUS_RULES!$G$5:$G$46,BONUS_RULES!$A$5:$A$46,$C15,BONUS_RULES!$B$5:$B$46,"Extra Bonus (PCS Score)"),SUMIFS(BONUS_RULES!$F$5:$F$46,BONUS_RULES!$A$5:$A$46,$C15,BONUS_RULES!$B$5:$B$46,"Extra Bonus (PCS Score)"),0)))</f>
        <v/>
      </c>
      <c r="M15" s="10">
        <f>IF($A15="","",MIN(IF(POLICY_APPROVAL!$B$6="Replacement",SUM(F15:K15)-H15+MAX(H15,L15),SUM(F15:L15)),POLICY_APPROVAL!$B$10))</f>
        <v>0</v>
      </c>
      <c r="N15" s="10">
        <f>IF($A15="","",IFERROR(INDEX(BONUS_RULES!$J$5:$J$10,MATCH(MIN(MAX(AGENT_INPUT!K15,0),5),BONUS_RULES!$I$5:$I$10,0)),1))</f>
        <v>0</v>
      </c>
      <c r="O15" s="10">
        <f>IF(M15="","",MAX(0,IF(POLICY_APPROVAL!$B$5="Percentage points",M15-N15,M15*(1-N15))))</f>
        <v>0</v>
      </c>
      <c r="P15" s="11">
        <f>IF(D15&lt;&gt;"READY","",IF(AGENT_INPUT!O15&gt;0,AGENT_INPUT!O15,AGENT_INPUT!M15*AGENT_INPUT!N15/IF(POLICY_APPROVAL!$B$7="Annual",12,1)))</f>
        <v/>
      </c>
      <c r="Q15" s="10">
        <f>IF(D15&lt;&gt;"READY","",MIN(1,AGENT_INPUT!P15/AGENT_INPUT!Q15))</f>
        <v/>
      </c>
      <c r="R15" s="11">
        <f>IF(D15&lt;&gt;"READY","",ROUND(P15*Q15*O15,IF(POLICY_APPROVAL!$B$11="Whole MAD",0,2)))</f>
        <v/>
      </c>
      <c r="S15" s="11">
        <f>IF(AND(SETUP!$B$9="READY",T15="READY"),R15,"")</f>
        <v/>
      </c>
      <c r="T15" s="4" t="str">
        <f>IF($A15="","",IF(D15&lt;&gt;"READY","BLOCKED - INPUT",IF(E15&lt;&gt;"ELIGIBLE","BLOCKED - ELIGIBILITY",IF(AGENT_INPUT!S15&lt;&gt;"VALIDATED","BLOCKED - DATA",IF(SETUP!$B$9&lt;&gt;"READY","BLOCKED - POLICY","READY")))))</f>
        <v>BLOCKED - INPUT</v>
      </c>
      <c r="U15" s="4" t="str">
        <f>IF($A15="","",IF(COUNTIFS(AGENT_INPUT!$A$5:$A$254,$A15,AGENT_INPUT!$D$5:$D$254,AGENT_INPUT!D15)&gt;1,"DUPLICATE AGENT + PERIOD",IF(D15&lt;&gt;"READY","INPUT OR CONFIG REVIEW",IF(T15&lt;&gt;"READY",T15,""))))</f>
        <v>Missing, invalid, or unconfigured required input</v>
      </c>
    </row>
    <row r="16" spans="1:21">
      <c r="A16" s="4">
        <f>IF(AGENT_INPUT!A16="","",AGENT_INPUT!A16)</f>
        <v>266361</v>
      </c>
      <c r="B16" s="4" t="str">
        <f>IF($A16="","",AGENT_INPUT!B16)</f>
        <v>Mohamed Zuljami</v>
      </c>
      <c r="C16" s="4" t="str">
        <f>IF($A16="","",AGENT_INPUT!C16)</f>
        <v>RSA VL</v>
      </c>
      <c r="D16" s="4" t="str">
        <f>IF($A16="","",IF(AND(COUNT(AGENT_INPUT!E16:J16)=6,COUNT(AGENT_INPUT!K16)=1,COUNTIF(BONUS_RULES!$A$5:$A$46,AGENT_INPUT!C16)&gt;0,OR(AGENT_INPUT!O16&gt;0,AND(AGENT_INPUT!M16&gt;0,AGENT_INPUT!N16&gt;0)),AGENT_INPUT!P16&gt;=0,AGENT_INPUT!Q16&gt;0,AGENT_INPUT!P16&lt;=AGENT_INPUT!Q16,AGENT_INPUT!H16&gt;=0,AGENT_INPUT!H16&lt;=1,AGENT_INPUT!I16&gt;=0,AGENT_INPUT!I16&lt;=1,AGENT_INPUT!J16&gt;=0,AGENT_INPUT!J16&lt;=1),"READY","BLOCKED"))</f>
        <v>BLOCKED</v>
      </c>
      <c r="E16" s="4">
        <f>IF($A16="","",IF(AGENT_INPUT!R16&lt;&gt;"Active","REVIEW",IF(OR(POLICY_APPROVAL!$B$9="Eligibility only",POLICY_APPROVAL!$B$9="Both"),IF(AGENT_INPUT!J16&lt;=SUMIFS(BONUS_RULES!$E$5:$E$46,BONUS_RULES!$A$5:$A$46,$C16,BONUS_RULES!$B$5:$B$46,"Abs%"),"ELIGIBLE","INELIGIBLE ABS"),"ELIGIBLE")))</f>
        <v/>
      </c>
      <c r="F16" s="10">
        <f>IF(OR($A16="",$D16&lt;&gt;"READY"),"",IF(AGENT_INPUT!E16&lt;=SUMIFS(BONUS_RULES!$E$5:$E$46,BONUS_RULES!$A$5:$A$46,$C16,BONUS_RULES!$B$5:$B$46,"AHT"),SUMIFS(BONUS_RULES!$D$5:$D$46,BONUS_RULES!$A$5:$A$46,$C16,BONUS_RULES!$B$5:$B$46,"AHT"),IF(AGENT_INPUT!E16&lt;=SUMIFS(BONUS_RULES!$G$5:$G$46,BONUS_RULES!$A$5:$A$46,$C16,BONUS_RULES!$B$5:$B$46,"AHT"),SUMIFS(BONUS_RULES!$F$5:$F$46,BONUS_RULES!$A$5:$A$46,$C16,BONUS_RULES!$B$5:$B$46,"AHT"),0)))</f>
        <v/>
      </c>
      <c r="G16" s="10">
        <f>IF(OR($A16="",$D16&lt;&gt;"READY"),"",IF(AGENT_INPUT!F16&gt;=SUMIFS(BONUS_RULES!$E$5:$E$46,BONUS_RULES!$A$5:$A$46,$C16,BONUS_RULES!$B$5:$B$46,"Productivity"),SUMIFS(BONUS_RULES!$D$5:$D$46,BONUS_RULES!$A$5:$A$46,$C16,BONUS_RULES!$B$5:$B$46,"Productivity"),IF(AGENT_INPUT!F16&gt;=SUMIFS(BONUS_RULES!$G$5:$G$46,BONUS_RULES!$A$5:$A$46,$C16,BONUS_RULES!$B$5:$B$46,"Productivity"),SUMIFS(BONUS_RULES!$F$5:$F$46,BONUS_RULES!$A$5:$A$46,$C16,BONUS_RULES!$B$5:$B$46,"Productivity"),0)))</f>
        <v/>
      </c>
      <c r="H16" s="10">
        <f>IF(OR($A16="",$D16&lt;&gt;"READY"),"",IF(AGENT_INPUT!G16&gt;=SUMIFS(BONUS_RULES!$E$5:$E$46,BONUS_RULES!$A$5:$A$46,$C16,BONUS_RULES!$B$5:$B$46,"PCS Score"),SUMIFS(BONUS_RULES!$D$5:$D$46,BONUS_RULES!$A$5:$A$46,$C16,BONUS_RULES!$B$5:$B$46,"PCS Score"),IF(AGENT_INPUT!G16&gt;=SUMIFS(BONUS_RULES!$G$5:$G$46,BONUS_RULES!$A$5:$A$46,$C16,BONUS_RULES!$B$5:$B$46,"PCS Score"),SUMIFS(BONUS_RULES!$F$5:$F$46,BONUS_RULES!$A$5:$A$46,$C16,BONUS_RULES!$B$5:$B$46,"PCS Score"),0)))</f>
        <v/>
      </c>
      <c r="I16" s="10">
        <f>IF(OR($A16="",$D16&lt;&gt;"READY"),"",IF(AGENT_INPUT!H16&gt;=SUMIFS(BONUS_RULES!$E$5:$E$46,BONUS_RULES!$A$5:$A$46,$C16,BONUS_RULES!$B$5:$B$46,"PCS % (Participation)"),SUMIFS(BONUS_RULES!$D$5:$D$46,BONUS_RULES!$A$5:$A$46,$C16,BONUS_RULES!$B$5:$B$46,"PCS % (Participation)"),IF(AGENT_INPUT!H16&gt;=SUMIFS(BONUS_RULES!$G$5:$G$46,BONUS_RULES!$A$5:$A$46,$C16,BONUS_RULES!$B$5:$B$46,"PCS % (Participation)"),SUMIFS(BONUS_RULES!$F$5:$F$46,BONUS_RULES!$A$5:$A$46,$C16,BONUS_RULES!$B$5:$B$46,"PCS % (Participation)"),0)))</f>
        <v/>
      </c>
      <c r="J16" s="10">
        <f>IF(OR($A16="",$D16&lt;&gt;"READY"),"",IF(AGENT_INPUT!I16&gt;=SUMIFS(BONUS_RULES!$E$5:$E$46,BONUS_RULES!$A$5:$A$46,$C16,BONUS_RULES!$B$5:$B$46,"QM"),SUMIFS(BONUS_RULES!$D$5:$D$46,BONUS_RULES!$A$5:$A$46,$C16,BONUS_RULES!$B$5:$B$46,"QM"),IF(AGENT_INPUT!I16&gt;=SUMIFS(BONUS_RULES!$G$5:$G$46,BONUS_RULES!$A$5:$A$46,$C16,BONUS_RULES!$B$5:$B$46,"QM"),SUMIFS(BONUS_RULES!$F$5:$F$46,BONUS_RULES!$A$5:$A$46,$C16,BONUS_RULES!$B$5:$B$46,"QM"),0)))</f>
        <v/>
      </c>
      <c r="K16" s="10">
        <f>IF(POLICY_APPROVAL!$B$9="Eligibility only",0,IF(OR($A16="",$D16&lt;&gt;"READY"),"",IF(AGENT_INPUT!J16&lt;=SUMIFS(BONUS_RULES!$E$5:$E$46,BONUS_RULES!$A$5:$A$46,$C16,BONUS_RULES!$B$5:$B$46,"Abs%"),SUMIFS(BONUS_RULES!$D$5:$D$46,BONUS_RULES!$A$5:$A$46,$C16,BONUS_RULES!$B$5:$B$46,"Abs%"),IF(AGENT_INPUT!J16&lt;=SUMIFS(BONUS_RULES!$G$5:$G$46,BONUS_RULES!$A$5:$A$46,$C16,BONUS_RULES!$B$5:$B$46,"Abs%"),SUMIFS(BONUS_RULES!$F$5:$F$46,BONUS_RULES!$A$5:$A$46,$C16,BONUS_RULES!$B$5:$B$46,"Abs%"),0))))</f>
        <v/>
      </c>
      <c r="L16" s="10">
        <f>IF(OR($A16="",$D16&lt;&gt;"READY"),"",IF(AGENT_INPUT!G16&gt;=SUMIFS(BONUS_RULES!$E$5:$E$46,BONUS_RULES!$A$5:$A$46,$C16,BONUS_RULES!$B$5:$B$46,"Extra Bonus (PCS Score)"),SUMIFS(BONUS_RULES!$D$5:$D$46,BONUS_RULES!$A$5:$A$46,$C16,BONUS_RULES!$B$5:$B$46,"Extra Bonus (PCS Score)"),IF(AGENT_INPUT!G16&gt;=SUMIFS(BONUS_RULES!$G$5:$G$46,BONUS_RULES!$A$5:$A$46,$C16,BONUS_RULES!$B$5:$B$46,"Extra Bonus (PCS Score)"),SUMIFS(BONUS_RULES!$F$5:$F$46,BONUS_RULES!$A$5:$A$46,$C16,BONUS_RULES!$B$5:$B$46,"Extra Bonus (PCS Score)"),0)))</f>
        <v/>
      </c>
      <c r="M16" s="10">
        <f>IF($A16="","",MIN(IF(POLICY_APPROVAL!$B$6="Replacement",SUM(F16:K16)-H16+MAX(H16,L16),SUM(F16:L16)),POLICY_APPROVAL!$B$10))</f>
        <v>0</v>
      </c>
      <c r="N16" s="10">
        <f>IF($A16="","",IFERROR(INDEX(BONUS_RULES!$J$5:$J$10,MATCH(MIN(MAX(AGENT_INPUT!K16,0),5),BONUS_RULES!$I$5:$I$10,0)),1))</f>
        <v>0</v>
      </c>
      <c r="O16" s="10">
        <f>IF(M16="","",MAX(0,IF(POLICY_APPROVAL!$B$5="Percentage points",M16-N16,M16*(1-N16))))</f>
        <v>0</v>
      </c>
      <c r="P16" s="11">
        <f>IF(D16&lt;&gt;"READY","",IF(AGENT_INPUT!O16&gt;0,AGENT_INPUT!O16,AGENT_INPUT!M16*AGENT_INPUT!N16/IF(POLICY_APPROVAL!$B$7="Annual",12,1)))</f>
        <v/>
      </c>
      <c r="Q16" s="10">
        <f>IF(D16&lt;&gt;"READY","",MIN(1,AGENT_INPUT!P16/AGENT_INPUT!Q16))</f>
        <v/>
      </c>
      <c r="R16" s="11">
        <f>IF(D16&lt;&gt;"READY","",ROUND(P16*Q16*O16,IF(POLICY_APPROVAL!$B$11="Whole MAD",0,2)))</f>
        <v/>
      </c>
      <c r="S16" s="11">
        <f>IF(AND(SETUP!$B$9="READY",T16="READY"),R16,"")</f>
        <v/>
      </c>
      <c r="T16" s="4" t="str">
        <f>IF($A16="","",IF(D16&lt;&gt;"READY","BLOCKED - INPUT",IF(E16&lt;&gt;"ELIGIBLE","BLOCKED - ELIGIBILITY",IF(AGENT_INPUT!S16&lt;&gt;"VALIDATED","BLOCKED - DATA",IF(SETUP!$B$9&lt;&gt;"READY","BLOCKED - POLICY","READY")))))</f>
        <v>BLOCKED - INPUT</v>
      </c>
      <c r="U16" s="4" t="str">
        <f>IF($A16="","",IF(COUNTIFS(AGENT_INPUT!$A$5:$A$254,$A16,AGENT_INPUT!$D$5:$D$254,AGENT_INPUT!D16)&gt;1,"DUPLICATE AGENT + PERIOD",IF(D16&lt;&gt;"READY","INPUT OR CONFIG REVIEW",IF(T16&lt;&gt;"READY",T16,""))))</f>
        <v>Missing, invalid, or unconfigured required input</v>
      </c>
    </row>
    <row r="17" spans="1:21">
      <c r="A17" s="4">
        <f>IF(AGENT_INPUT!A17="","",AGENT_INPUT!A17)</f>
        <v>204037</v>
      </c>
      <c r="B17" s="4" t="str">
        <f>IF($A17="","",AGENT_INPUT!B17)</f>
        <v>Ouadie REGRAGUI</v>
      </c>
      <c r="C17" s="4" t="str">
        <f>IF($A17="","",AGENT_INPUT!C17)</f>
        <v>RSA NL</v>
      </c>
      <c r="D17" s="4" t="str">
        <f>IF($A17="","",IF(AND(COUNT(AGENT_INPUT!E17:J17)=6,COUNT(AGENT_INPUT!K17)=1,COUNTIF(BONUS_RULES!$A$5:$A$46,AGENT_INPUT!C17)&gt;0,OR(AGENT_INPUT!O17&gt;0,AND(AGENT_INPUT!M17&gt;0,AGENT_INPUT!N17&gt;0)),AGENT_INPUT!P17&gt;=0,AGENT_INPUT!Q17&gt;0,AGENT_INPUT!P17&lt;=AGENT_INPUT!Q17,AGENT_INPUT!H17&gt;=0,AGENT_INPUT!H17&lt;=1,AGENT_INPUT!I17&gt;=0,AGENT_INPUT!I17&lt;=1,AGENT_INPUT!J17&gt;=0,AGENT_INPUT!J17&lt;=1),"READY","BLOCKED"))</f>
        <v>READY</v>
      </c>
      <c r="E17" s="4" t="str">
        <f>IF($A17="","",IF(AGENT_INPUT!R17&lt;&gt;"Active","REVIEW",IF(OR(POLICY_APPROVAL!$B$9="Eligibility only",POLICY_APPROVAL!$B$9="Both"),IF(AGENT_INPUT!J17&lt;=SUMIFS(BONUS_RULES!$E$5:$E$46,BONUS_RULES!$A$5:$A$46,$C17,BONUS_RULES!$B$5:$B$46,"Abs%"),"ELIGIBLE","INELIGIBLE ABS"),"ELIGIBLE")))</f>
        <v>REVIEW</v>
      </c>
      <c r="F17" s="10">
        <f>IF(OR($A17="",$D17&lt;&gt;"READY"),"",IF(AGENT_INPUT!E17&lt;=SUMIFS(BONUS_RULES!$E$5:$E$46,BONUS_RULES!$A$5:$A$46,$C17,BONUS_RULES!$B$5:$B$46,"AHT"),SUMIFS(BONUS_RULES!$D$5:$D$46,BONUS_RULES!$A$5:$A$46,$C17,BONUS_RULES!$B$5:$B$46,"AHT"),IF(AGENT_INPUT!E17&lt;=SUMIFS(BONUS_RULES!$G$5:$G$46,BONUS_RULES!$A$5:$A$46,$C17,BONUS_RULES!$B$5:$B$46,"AHT"),SUMIFS(BONUS_RULES!$F$5:$F$46,BONUS_RULES!$A$5:$A$46,$C17,BONUS_RULES!$B$5:$B$46,"AHT"),0)))</f>
        <v>0.0</v>
      </c>
      <c r="G17" s="10">
        <f>IF(OR($A17="",$D17&lt;&gt;"READY"),"",IF(AGENT_INPUT!F17&gt;=SUMIFS(BONUS_RULES!$E$5:$E$46,BONUS_RULES!$A$5:$A$46,$C17,BONUS_RULES!$B$5:$B$46,"Productivity"),SUMIFS(BONUS_RULES!$D$5:$D$46,BONUS_RULES!$A$5:$A$46,$C17,BONUS_RULES!$B$5:$B$46,"Productivity"),IF(AGENT_INPUT!F17&gt;=SUMIFS(BONUS_RULES!$G$5:$G$46,BONUS_RULES!$A$5:$A$46,$C17,BONUS_RULES!$B$5:$B$46,"Productivity"),SUMIFS(BONUS_RULES!$F$5:$F$46,BONUS_RULES!$A$5:$A$46,$C17,BONUS_RULES!$B$5:$B$46,"Productivity"),0)))</f>
        <v>0.0</v>
      </c>
      <c r="H17" s="10">
        <f>IF(OR($A17="",$D17&lt;&gt;"READY"),"",IF(AGENT_INPUT!G17&gt;=SUMIFS(BONUS_RULES!$E$5:$E$46,BONUS_RULES!$A$5:$A$46,$C17,BONUS_RULES!$B$5:$B$46,"PCS Score"),SUMIFS(BONUS_RULES!$D$5:$D$46,BONUS_RULES!$A$5:$A$46,$C17,BONUS_RULES!$B$5:$B$46,"PCS Score"),IF(AGENT_INPUT!G17&gt;=SUMIFS(BONUS_RULES!$G$5:$G$46,BONUS_RULES!$A$5:$A$46,$C17,BONUS_RULES!$B$5:$B$46,"PCS Score"),SUMIFS(BONUS_RULES!$F$5:$F$46,BONUS_RULES!$A$5:$A$46,$C17,BONUS_RULES!$B$5:$B$46,"PCS Score"),0)))</f>
        <v>0.0</v>
      </c>
      <c r="I17" s="10">
        <f>IF(OR($A17="",$D17&lt;&gt;"READY"),"",IF(AGENT_INPUT!H17&gt;=SUMIFS(BONUS_RULES!$E$5:$E$46,BONUS_RULES!$A$5:$A$46,$C17,BONUS_RULES!$B$5:$B$46,"PCS % (Participation)"),SUMIFS(BONUS_RULES!$D$5:$D$46,BONUS_RULES!$A$5:$A$46,$C17,BONUS_RULES!$B$5:$B$46,"PCS % (Participation)"),IF(AGENT_INPUT!H17&gt;=SUMIFS(BONUS_RULES!$G$5:$G$46,BONUS_RULES!$A$5:$A$46,$C17,BONUS_RULES!$B$5:$B$46,"PCS % (Participation)"),SUMIFS(BONUS_RULES!$F$5:$F$46,BONUS_RULES!$A$5:$A$46,$C17,BONUS_RULES!$B$5:$B$46,"PCS % (Participation)"),0)))</f>
        <v>0.0</v>
      </c>
      <c r="J17" s="10">
        <f>IF(OR($A17="",$D17&lt;&gt;"READY"),"",IF(AGENT_INPUT!I17&gt;=SUMIFS(BONUS_RULES!$E$5:$E$46,BONUS_RULES!$A$5:$A$46,$C17,BONUS_RULES!$B$5:$B$46,"QM"),SUMIFS(BONUS_RULES!$D$5:$D$46,BONUS_RULES!$A$5:$A$46,$C17,BONUS_RULES!$B$5:$B$46,"QM"),IF(AGENT_INPUT!I17&gt;=SUMIFS(BONUS_RULES!$G$5:$G$46,BONUS_RULES!$A$5:$A$46,$C17,BONUS_RULES!$B$5:$B$46,"QM"),SUMIFS(BONUS_RULES!$F$5:$F$46,BONUS_RULES!$A$5:$A$46,$C17,BONUS_RULES!$B$5:$B$46,"QM"),0)))</f>
        <v>0.15</v>
      </c>
      <c r="K17" s="10">
        <f>IF(POLICY_APPROVAL!$B$9="Eligibility only",0,IF(OR($A17="",$D17&lt;&gt;"READY"),"",IF(AGENT_INPUT!J17&lt;=SUMIFS(BONUS_RULES!$E$5:$E$46,BONUS_RULES!$A$5:$A$46,$C17,BONUS_RULES!$B$5:$B$46,"Abs%"),SUMIFS(BONUS_RULES!$D$5:$D$46,BONUS_RULES!$A$5:$A$46,$C17,BONUS_RULES!$B$5:$B$46,"Abs%"),IF(AGENT_INPUT!J17&lt;=SUMIFS(BONUS_RULES!$G$5:$G$46,BONUS_RULES!$A$5:$A$46,$C17,BONUS_RULES!$B$5:$B$46,"Abs%"),SUMIFS(BONUS_RULES!$F$5:$F$46,BONUS_RULES!$A$5:$A$46,$C17,BONUS_RULES!$B$5:$B$46,"Abs%"),0))))</f>
        <v>0.0</v>
      </c>
      <c r="L17" s="10">
        <f>IF(OR($A17="",$D17&lt;&gt;"READY"),"",IF(AGENT_INPUT!G17&gt;=SUMIFS(BONUS_RULES!$E$5:$E$46,BONUS_RULES!$A$5:$A$46,$C17,BONUS_RULES!$B$5:$B$46,"Extra Bonus (PCS Score)"),SUMIFS(BONUS_RULES!$D$5:$D$46,BONUS_RULES!$A$5:$A$46,$C17,BONUS_RULES!$B$5:$B$46,"Extra Bonus (PCS Score)"),IF(AGENT_INPUT!G17&gt;=SUMIFS(BONUS_RULES!$G$5:$G$46,BONUS_RULES!$A$5:$A$46,$C17,BONUS_RULES!$B$5:$B$46,"Extra Bonus (PCS Score)"),SUMIFS(BONUS_RULES!$F$5:$F$46,BONUS_RULES!$A$5:$A$46,$C17,BONUS_RULES!$B$5:$B$46,"Extra Bonus (PCS Score)"),0)))</f>
        <v>0.0</v>
      </c>
      <c r="M17" s="10">
        <f>IF($A17="","",MIN(IF(POLICY_APPROVAL!$B$6="Replacement",SUM(F17:K17)-H17+MAX(H17,L17),SUM(F17:L17)),POLICY_APPROVAL!$B$10))</f>
        <v>0.15</v>
      </c>
      <c r="N17" s="10">
        <f>IF($A17="","",IFERROR(INDEX(BONUS_RULES!$J$5:$J$10,MATCH(MIN(MAX(AGENT_INPUT!K17,0),5),BONUS_RULES!$I$5:$I$10,0)),1))</f>
        <v>0</v>
      </c>
      <c r="O17" s="10">
        <f>IF(M17="","",MAX(0,IF(POLICY_APPROVAL!$B$5="Percentage points",M17-N17,M17*(1-N17))))</f>
        <v>0.15</v>
      </c>
      <c r="P17" s="11">
        <f>IF(D17&lt;&gt;"READY","",IF(AGENT_INPUT!O17&gt;0,AGENT_INPUT!O17,AGENT_INPUT!M17*AGENT_INPUT!N17/IF(POLICY_APPROVAL!$B$7="Annual",12,1)))</f>
        <v>2000.0</v>
      </c>
      <c r="Q17" s="10">
        <f>IF(D17&lt;&gt;"READY","",MIN(1,AGENT_INPUT!P17/AGENT_INPUT!Q17))</f>
        <v>1.0</v>
      </c>
      <c r="R17" s="11">
        <f>IF(D17&lt;&gt;"READY","",ROUND(P17*Q17*O17,IF(POLICY_APPROVAL!$B$11="Whole MAD",0,2)))</f>
        <v>300.0</v>
      </c>
      <c r="S17" s="11">
        <f>IF(AND(SETUP!$B$9="READY",T17="READY"),R17,"")</f>
        <v/>
      </c>
      <c r="T17" s="4" t="str">
        <f>IF($A17="","",IF(D17&lt;&gt;"READY","BLOCKED - INPUT",IF(E17&lt;&gt;"ELIGIBLE","BLOCKED - ELIGIBILITY",IF(AGENT_INPUT!S17&lt;&gt;"VALIDATED","BLOCKED - DATA",IF(SETUP!$B$9&lt;&gt;"READY","BLOCKED - POLICY","READY")))))</f>
        <v>BLOCKED - ELIGIBILITY</v>
      </c>
      <c r="U17" s="4" t="str">
        <f>IF($A17="","",IF(COUNTIFS(AGENT_INPUT!$A$5:$A$254,$A17,AGENT_INPUT!$D$5:$D$254,AGENT_INPUT!D17)&gt;1,"DUPLICATE AGENT + PERIOD",IF(D17&lt;&gt;"READY","INPUT OR CONFIG REVIEW",IF(T17&lt;&gt;"READY",T17,""))))</f>
        <v>BLOCKED - ELIGIBILITY</v>
      </c>
    </row>
    <row r="18" spans="1:21">
      <c r="A18" s="4">
        <f>IF(AGENT_INPUT!A18="","",AGENT_INPUT!A18)</f>
        <v>232195</v>
      </c>
      <c r="B18" s="4" t="str">
        <f>IF($A18="","",AGENT_INPUT!B18)</f>
        <v>Khalid BOJADA</v>
      </c>
      <c r="C18" s="4" t="str">
        <f>IF($A18="","",AGENT_INPUT!C18)</f>
        <v>RSA NL</v>
      </c>
      <c r="D18" s="4" t="str">
        <f>IF($A18="","",IF(AND(COUNT(AGENT_INPUT!E18:J18)=6,COUNT(AGENT_INPUT!K18)=1,COUNTIF(BONUS_RULES!$A$5:$A$46,AGENT_INPUT!C18)&gt;0,OR(AGENT_INPUT!O18&gt;0,AND(AGENT_INPUT!M18&gt;0,AGENT_INPUT!N18&gt;0)),AGENT_INPUT!P18&gt;=0,AGENT_INPUT!Q18&gt;0,AGENT_INPUT!P18&lt;=AGENT_INPUT!Q18,AGENT_INPUT!H18&gt;=0,AGENT_INPUT!H18&lt;=1,AGENT_INPUT!I18&gt;=0,AGENT_INPUT!I18&lt;=1,AGENT_INPUT!J18&gt;=0,AGENT_INPUT!J18&lt;=1),"READY","BLOCKED"))</f>
        <v>READY</v>
      </c>
      <c r="E18" s="4" t="str">
        <f>IF($A18="","",IF(AGENT_INPUT!R18&lt;&gt;"Active","REVIEW",IF(OR(POLICY_APPROVAL!$B$9="Eligibility only",POLICY_APPROVAL!$B$9="Both"),IF(AGENT_INPUT!J18&lt;=SUMIFS(BONUS_RULES!$E$5:$E$46,BONUS_RULES!$A$5:$A$46,$C18,BONUS_RULES!$B$5:$B$46,"Abs%"),"ELIGIBLE","INELIGIBLE ABS"),"ELIGIBLE")))</f>
        <v>REVIEW</v>
      </c>
      <c r="F18" s="10">
        <f>IF(OR($A18="",$D18&lt;&gt;"READY"),"",IF(AGENT_INPUT!E18&lt;=SUMIFS(BONUS_RULES!$E$5:$E$46,BONUS_RULES!$A$5:$A$46,$C18,BONUS_RULES!$B$5:$B$46,"AHT"),SUMIFS(BONUS_RULES!$D$5:$D$46,BONUS_RULES!$A$5:$A$46,$C18,BONUS_RULES!$B$5:$B$46,"AHT"),IF(AGENT_INPUT!E18&lt;=SUMIFS(BONUS_RULES!$G$5:$G$46,BONUS_RULES!$A$5:$A$46,$C18,BONUS_RULES!$B$5:$B$46,"AHT"),SUMIFS(BONUS_RULES!$F$5:$F$46,BONUS_RULES!$A$5:$A$46,$C18,BONUS_RULES!$B$5:$B$46,"AHT"),0)))</f>
        <v>0.15</v>
      </c>
      <c r="G18" s="10">
        <f>IF(OR($A18="",$D18&lt;&gt;"READY"),"",IF(AGENT_INPUT!F18&gt;=SUMIFS(BONUS_RULES!$E$5:$E$46,BONUS_RULES!$A$5:$A$46,$C18,BONUS_RULES!$B$5:$B$46,"Productivity"),SUMIFS(BONUS_RULES!$D$5:$D$46,BONUS_RULES!$A$5:$A$46,$C18,BONUS_RULES!$B$5:$B$46,"Productivity"),IF(AGENT_INPUT!F18&gt;=SUMIFS(BONUS_RULES!$G$5:$G$46,BONUS_RULES!$A$5:$A$46,$C18,BONUS_RULES!$B$5:$B$46,"Productivity"),SUMIFS(BONUS_RULES!$F$5:$F$46,BONUS_RULES!$A$5:$A$46,$C18,BONUS_RULES!$B$5:$B$46,"Productivity"),0)))</f>
        <v>0.15</v>
      </c>
      <c r="H18" s="10">
        <f>IF(OR($A18="",$D18&lt;&gt;"READY"),"",IF(AGENT_INPUT!G18&gt;=SUMIFS(BONUS_RULES!$E$5:$E$46,BONUS_RULES!$A$5:$A$46,$C18,BONUS_RULES!$B$5:$B$46,"PCS Score"),SUMIFS(BONUS_RULES!$D$5:$D$46,BONUS_RULES!$A$5:$A$46,$C18,BONUS_RULES!$B$5:$B$46,"PCS Score"),IF(AGENT_INPUT!G18&gt;=SUMIFS(BONUS_RULES!$G$5:$G$46,BONUS_RULES!$A$5:$A$46,$C18,BONUS_RULES!$B$5:$B$46,"PCS Score"),SUMIFS(BONUS_RULES!$F$5:$F$46,BONUS_RULES!$A$5:$A$46,$C18,BONUS_RULES!$B$5:$B$46,"PCS Score"),0)))</f>
        <v>0.15</v>
      </c>
      <c r="I18" s="10">
        <f>IF(OR($A18="",$D18&lt;&gt;"READY"),"",IF(AGENT_INPUT!H18&gt;=SUMIFS(BONUS_RULES!$E$5:$E$46,BONUS_RULES!$A$5:$A$46,$C18,BONUS_RULES!$B$5:$B$46,"PCS % (Participation)"),SUMIFS(BONUS_RULES!$D$5:$D$46,BONUS_RULES!$A$5:$A$46,$C18,BONUS_RULES!$B$5:$B$46,"PCS % (Participation)"),IF(AGENT_INPUT!H18&gt;=SUMIFS(BONUS_RULES!$G$5:$G$46,BONUS_RULES!$A$5:$A$46,$C18,BONUS_RULES!$B$5:$B$46,"PCS % (Participation)"),SUMIFS(BONUS_RULES!$F$5:$F$46,BONUS_RULES!$A$5:$A$46,$C18,BONUS_RULES!$B$5:$B$46,"PCS % (Participation)"),0)))</f>
        <v>0.0</v>
      </c>
      <c r="J18" s="10">
        <f>IF(OR($A18="",$D18&lt;&gt;"READY"),"",IF(AGENT_INPUT!I18&gt;=SUMIFS(BONUS_RULES!$E$5:$E$46,BONUS_RULES!$A$5:$A$46,$C18,BONUS_RULES!$B$5:$B$46,"QM"),SUMIFS(BONUS_RULES!$D$5:$D$46,BONUS_RULES!$A$5:$A$46,$C18,BONUS_RULES!$B$5:$B$46,"QM"),IF(AGENT_INPUT!I18&gt;=SUMIFS(BONUS_RULES!$G$5:$G$46,BONUS_RULES!$A$5:$A$46,$C18,BONUS_RULES!$B$5:$B$46,"QM"),SUMIFS(BONUS_RULES!$F$5:$F$46,BONUS_RULES!$A$5:$A$46,$C18,BONUS_RULES!$B$5:$B$46,"QM"),0)))</f>
        <v>0.0</v>
      </c>
      <c r="K18" s="10">
        <f>IF(POLICY_APPROVAL!$B$9="Eligibility only",0,IF(OR($A18="",$D18&lt;&gt;"READY"),"",IF(AGENT_INPUT!J18&lt;=SUMIFS(BONUS_RULES!$E$5:$E$46,BONUS_RULES!$A$5:$A$46,$C18,BONUS_RULES!$B$5:$B$46,"Abs%"),SUMIFS(BONUS_RULES!$D$5:$D$46,BONUS_RULES!$A$5:$A$46,$C18,BONUS_RULES!$B$5:$B$46,"Abs%"),IF(AGENT_INPUT!J18&lt;=SUMIFS(BONUS_RULES!$G$5:$G$46,BONUS_RULES!$A$5:$A$46,$C18,BONUS_RULES!$B$5:$B$46,"Abs%"),SUMIFS(BONUS_RULES!$F$5:$F$46,BONUS_RULES!$A$5:$A$46,$C18,BONUS_RULES!$B$5:$B$46,"Abs%"),0))))</f>
        <v>0.0</v>
      </c>
      <c r="L18" s="10">
        <f>IF(OR($A18="",$D18&lt;&gt;"READY"),"",IF(AGENT_INPUT!G18&gt;=SUMIFS(BONUS_RULES!$E$5:$E$46,BONUS_RULES!$A$5:$A$46,$C18,BONUS_RULES!$B$5:$B$46,"Extra Bonus (PCS Score)"),SUMIFS(BONUS_RULES!$D$5:$D$46,BONUS_RULES!$A$5:$A$46,$C18,BONUS_RULES!$B$5:$B$46,"Extra Bonus (PCS Score)"),IF(AGENT_INPUT!G18&gt;=SUMIFS(BONUS_RULES!$G$5:$G$46,BONUS_RULES!$A$5:$A$46,$C18,BONUS_RULES!$B$5:$B$46,"Extra Bonus (PCS Score)"),SUMIFS(BONUS_RULES!$F$5:$F$46,BONUS_RULES!$A$5:$A$46,$C18,BONUS_RULES!$B$5:$B$46,"Extra Bonus (PCS Score)"),0)))</f>
        <v>0.0</v>
      </c>
      <c r="M18" s="10">
        <f>IF($A18="","",MIN(IF(POLICY_APPROVAL!$B$6="Replacement",SUM(F18:K18)-H18+MAX(H18,L18),SUM(F18:L18)),POLICY_APPROVAL!$B$10))</f>
        <v>0.44999999999999996</v>
      </c>
      <c r="N18" s="10">
        <f>IF($A18="","",IFERROR(INDEX(BONUS_RULES!$J$5:$J$10,MATCH(MIN(MAX(AGENT_INPUT!K18,0),5),BONUS_RULES!$I$5:$I$10,0)),1))</f>
        <v>0</v>
      </c>
      <c r="O18" s="10">
        <f>IF(M18="","",MAX(0,IF(POLICY_APPROVAL!$B$5="Percentage points",M18-N18,M18*(1-N18))))</f>
        <v>0.44999999999999996</v>
      </c>
      <c r="P18" s="11">
        <f>IF(D18&lt;&gt;"READY","",IF(AGENT_INPUT!O18&gt;0,AGENT_INPUT!O18,AGENT_INPUT!M18*AGENT_INPUT!N18/IF(POLICY_APPROVAL!$B$7="Annual",12,1)))</f>
        <v>2000.0</v>
      </c>
      <c r="Q18" s="10">
        <f>IF(D18&lt;&gt;"READY","",MIN(1,AGENT_INPUT!P18/AGENT_INPUT!Q18))</f>
        <v>1.0</v>
      </c>
      <c r="R18" s="11">
        <f>IF(D18&lt;&gt;"READY","",ROUND(P18*Q18*O18,IF(POLICY_APPROVAL!$B$11="Whole MAD",0,2)))</f>
        <v>900.0</v>
      </c>
      <c r="S18" s="11">
        <f>IF(AND(SETUP!$B$9="READY",T18="READY"),R18,"")</f>
        <v/>
      </c>
      <c r="T18" s="4" t="str">
        <f>IF($A18="","",IF(D18&lt;&gt;"READY","BLOCKED - INPUT",IF(E18&lt;&gt;"ELIGIBLE","BLOCKED - ELIGIBILITY",IF(AGENT_INPUT!S18&lt;&gt;"VALIDATED","BLOCKED - DATA",IF(SETUP!$B$9&lt;&gt;"READY","BLOCKED - POLICY","READY")))))</f>
        <v>BLOCKED - ELIGIBILITY</v>
      </c>
      <c r="U18" s="4" t="str">
        <f>IF($A18="","",IF(COUNTIFS(AGENT_INPUT!$A$5:$A$254,$A18,AGENT_INPUT!$D$5:$D$254,AGENT_INPUT!D18)&gt;1,"DUPLICATE AGENT + PERIOD",IF(D18&lt;&gt;"READY","INPUT OR CONFIG REVIEW",IF(T18&lt;&gt;"READY",T18,""))))</f>
        <v>BLOCKED - ELIGIBILITY</v>
      </c>
    </row>
    <row r="19" spans="1:21">
      <c r="A19" s="4">
        <f>IF(AGENT_INPUT!A19="","",AGENT_INPUT!A19)</f>
        <v>228217</v>
      </c>
      <c r="B19" s="4" t="str">
        <f>IF($A19="","",AGENT_INPUT!B19)</f>
        <v>Zineb ZAAROURI</v>
      </c>
      <c r="C19" s="4" t="str">
        <f>IF($A19="","",AGENT_INPUT!C19)</f>
        <v>OEM FR</v>
      </c>
      <c r="D19" s="4" t="str">
        <f>IF($A19="","",IF(AND(COUNT(AGENT_INPUT!E19:J19)=6,COUNT(AGENT_INPUT!K19)=1,COUNTIF(BONUS_RULES!$A$5:$A$46,AGENT_INPUT!C19)&gt;0,OR(AGENT_INPUT!O19&gt;0,AND(AGENT_INPUT!M19&gt;0,AGENT_INPUT!N19&gt;0)),AGENT_INPUT!P19&gt;=0,AGENT_INPUT!Q19&gt;0,AGENT_INPUT!P19&lt;=AGENT_INPUT!Q19,AGENT_INPUT!H19&gt;=0,AGENT_INPUT!H19&lt;=1,AGENT_INPUT!I19&gt;=0,AGENT_INPUT!I19&lt;=1,AGENT_INPUT!J19&gt;=0,AGENT_INPUT!J19&lt;=1),"READY","BLOCKED"))</f>
        <v>READY</v>
      </c>
      <c r="E19" s="4" t="str">
        <f>IF($A19="","",IF(AGENT_INPUT!R19&lt;&gt;"Active","REVIEW",IF(OR(POLICY_APPROVAL!$B$9="Eligibility only",POLICY_APPROVAL!$B$9="Both"),IF(AGENT_INPUT!J19&lt;=SUMIFS(BONUS_RULES!$E$5:$E$46,BONUS_RULES!$A$5:$A$46,$C19,BONUS_RULES!$B$5:$B$46,"Abs%"),"ELIGIBLE","INELIGIBLE ABS"),"ELIGIBLE")))</f>
        <v>REVIEW</v>
      </c>
      <c r="F19" s="10">
        <f>IF(OR($A19="",$D19&lt;&gt;"READY"),"",IF(AGENT_INPUT!E19&lt;=SUMIFS(BONUS_RULES!$E$5:$E$46,BONUS_RULES!$A$5:$A$46,$C19,BONUS_RULES!$B$5:$B$46,"AHT"),SUMIFS(BONUS_RULES!$D$5:$D$46,BONUS_RULES!$A$5:$A$46,$C19,BONUS_RULES!$B$5:$B$46,"AHT"),IF(AGENT_INPUT!E19&lt;=SUMIFS(BONUS_RULES!$G$5:$G$46,BONUS_RULES!$A$5:$A$46,$C19,BONUS_RULES!$B$5:$B$46,"AHT"),SUMIFS(BONUS_RULES!$F$5:$F$46,BONUS_RULES!$A$5:$A$46,$C19,BONUS_RULES!$B$5:$B$46,"AHT"),0)))</f>
        <v>0.0</v>
      </c>
      <c r="G19" s="10">
        <f>IF(OR($A19="",$D19&lt;&gt;"READY"),"",IF(AGENT_INPUT!F19&gt;=SUMIFS(BONUS_RULES!$E$5:$E$46,BONUS_RULES!$A$5:$A$46,$C19,BONUS_RULES!$B$5:$B$46,"Productivity"),SUMIFS(BONUS_RULES!$D$5:$D$46,BONUS_RULES!$A$5:$A$46,$C19,BONUS_RULES!$B$5:$B$46,"Productivity"),IF(AGENT_INPUT!F19&gt;=SUMIFS(BONUS_RULES!$G$5:$G$46,BONUS_RULES!$A$5:$A$46,$C19,BONUS_RULES!$B$5:$B$46,"Productivity"),SUMIFS(BONUS_RULES!$F$5:$F$46,BONUS_RULES!$A$5:$A$46,$C19,BONUS_RULES!$B$5:$B$46,"Productivity"),0)))</f>
        <v>0.15</v>
      </c>
      <c r="H19" s="10">
        <f>IF(OR($A19="",$D19&lt;&gt;"READY"),"",IF(AGENT_INPUT!G19&gt;=SUMIFS(BONUS_RULES!$E$5:$E$46,BONUS_RULES!$A$5:$A$46,$C19,BONUS_RULES!$B$5:$B$46,"PCS Score"),SUMIFS(BONUS_RULES!$D$5:$D$46,BONUS_RULES!$A$5:$A$46,$C19,BONUS_RULES!$B$5:$B$46,"PCS Score"),IF(AGENT_INPUT!G19&gt;=SUMIFS(BONUS_RULES!$G$5:$G$46,BONUS_RULES!$A$5:$A$46,$C19,BONUS_RULES!$B$5:$B$46,"PCS Score"),SUMIFS(BONUS_RULES!$F$5:$F$46,BONUS_RULES!$A$5:$A$46,$C19,BONUS_RULES!$B$5:$B$46,"PCS Score"),0)))</f>
        <v>0.2</v>
      </c>
      <c r="I19" s="10">
        <f>IF(OR($A19="",$D19&lt;&gt;"READY"),"",IF(AGENT_INPUT!H19&gt;=SUMIFS(BONUS_RULES!$E$5:$E$46,BONUS_RULES!$A$5:$A$46,$C19,BONUS_RULES!$B$5:$B$46,"PCS % (Participation)"),SUMIFS(BONUS_RULES!$D$5:$D$46,BONUS_RULES!$A$5:$A$46,$C19,BONUS_RULES!$B$5:$B$46,"PCS % (Participation)"),IF(AGENT_INPUT!H19&gt;=SUMIFS(BONUS_RULES!$G$5:$G$46,BONUS_RULES!$A$5:$A$46,$C19,BONUS_RULES!$B$5:$B$46,"PCS % (Participation)"),SUMIFS(BONUS_RULES!$F$5:$F$46,BONUS_RULES!$A$5:$A$46,$C19,BONUS_RULES!$B$5:$B$46,"PCS % (Participation)"),0)))</f>
        <v>0.0</v>
      </c>
      <c r="J19" s="10">
        <f>IF(OR($A19="",$D19&lt;&gt;"READY"),"",IF(AGENT_INPUT!I19&gt;=SUMIFS(BONUS_RULES!$E$5:$E$46,BONUS_RULES!$A$5:$A$46,$C19,BONUS_RULES!$B$5:$B$46,"QM"),SUMIFS(BONUS_RULES!$D$5:$D$46,BONUS_RULES!$A$5:$A$46,$C19,BONUS_RULES!$B$5:$B$46,"QM"),IF(AGENT_INPUT!I19&gt;=SUMIFS(BONUS_RULES!$G$5:$G$46,BONUS_RULES!$A$5:$A$46,$C19,BONUS_RULES!$B$5:$B$46,"QM"),SUMIFS(BONUS_RULES!$F$5:$F$46,BONUS_RULES!$A$5:$A$46,$C19,BONUS_RULES!$B$5:$B$46,"QM"),0)))</f>
        <v>0.15</v>
      </c>
      <c r="K19" s="10">
        <f>IF(POLICY_APPROVAL!$B$9="Eligibility only",0,IF(OR($A19="",$D19&lt;&gt;"READY"),"",IF(AGENT_INPUT!J19&lt;=SUMIFS(BONUS_RULES!$E$5:$E$46,BONUS_RULES!$A$5:$A$46,$C19,BONUS_RULES!$B$5:$B$46,"Abs%"),SUMIFS(BONUS_RULES!$D$5:$D$46,BONUS_RULES!$A$5:$A$46,$C19,BONUS_RULES!$B$5:$B$46,"Abs%"),IF(AGENT_INPUT!J19&lt;=SUMIFS(BONUS_RULES!$G$5:$G$46,BONUS_RULES!$A$5:$A$46,$C19,BONUS_RULES!$B$5:$B$46,"Abs%"),SUMIFS(BONUS_RULES!$F$5:$F$46,BONUS_RULES!$A$5:$A$46,$C19,BONUS_RULES!$B$5:$B$46,"Abs%"),0))))</f>
        <v>0.15</v>
      </c>
      <c r="L19" s="10">
        <f>IF(OR($A19="",$D19&lt;&gt;"READY"),"",IF(AGENT_INPUT!G19&gt;=SUMIFS(BONUS_RULES!$E$5:$E$46,BONUS_RULES!$A$5:$A$46,$C19,BONUS_RULES!$B$5:$B$46,"Extra Bonus (PCS Score)"),SUMIFS(BONUS_RULES!$D$5:$D$46,BONUS_RULES!$A$5:$A$46,$C19,BONUS_RULES!$B$5:$B$46,"Extra Bonus (PCS Score)"),IF(AGENT_INPUT!G19&gt;=SUMIFS(BONUS_RULES!$G$5:$G$46,BONUS_RULES!$A$5:$A$46,$C19,BONUS_RULES!$B$5:$B$46,"Extra Bonus (PCS Score)"),SUMIFS(BONUS_RULES!$F$5:$F$46,BONUS_RULES!$A$5:$A$46,$C19,BONUS_RULES!$B$5:$B$46,"Extra Bonus (PCS Score)"),0)))</f>
        <v>0.3</v>
      </c>
      <c r="M19" s="10">
        <f>IF($A19="","",MIN(IF(POLICY_APPROVAL!$B$6="Replacement",SUM(F19:K19)-H19+MAX(H19,L19),SUM(F19:L19)),POLICY_APPROVAL!$B$10))</f>
        <v>0.95</v>
      </c>
      <c r="N19" s="10">
        <f>IF($A19="","",IFERROR(INDEX(BONUS_RULES!$J$5:$J$10,MATCH(MIN(MAX(AGENT_INPUT!K19,0),5),BONUS_RULES!$I$5:$I$10,0)),1))</f>
        <v>0</v>
      </c>
      <c r="O19" s="10">
        <f>IF(M19="","",MAX(0,IF(POLICY_APPROVAL!$B$5="Percentage points",M19-N19,M19*(1-N19))))</f>
        <v>0.95</v>
      </c>
      <c r="P19" s="11">
        <f>IF(D19&lt;&gt;"READY","",IF(AGENT_INPUT!O19&gt;0,AGENT_INPUT!O19,AGENT_INPUT!M19*AGENT_INPUT!N19/IF(POLICY_APPROVAL!$B$7="Annual",12,1)))</f>
        <v>2000.0</v>
      </c>
      <c r="Q19" s="10">
        <f>IF(D19&lt;&gt;"READY","",MIN(1,AGENT_INPUT!P19/AGENT_INPUT!Q19))</f>
        <v>1.0</v>
      </c>
      <c r="R19" s="11">
        <f>IF(D19&lt;&gt;"READY","",ROUND(P19*Q19*O19,IF(POLICY_APPROVAL!$B$11="Whole MAD",0,2)))</f>
        <v>1900.0</v>
      </c>
      <c r="S19" s="11">
        <f>IF(AND(SETUP!$B$9="READY",T19="READY"),R19,"")</f>
        <v/>
      </c>
      <c r="T19" s="4" t="str">
        <f>IF($A19="","",IF(D19&lt;&gt;"READY","BLOCKED - INPUT",IF(E19&lt;&gt;"ELIGIBLE","BLOCKED - ELIGIBILITY",IF(AGENT_INPUT!S19&lt;&gt;"VALIDATED","BLOCKED - DATA",IF(SETUP!$B$9&lt;&gt;"READY","BLOCKED - POLICY","READY")))))</f>
        <v>BLOCKED - ELIGIBILITY</v>
      </c>
      <c r="U19" s="4" t="str">
        <f>IF($A19="","",IF(COUNTIFS(AGENT_INPUT!$A$5:$A$254,$A19,AGENT_INPUT!$D$5:$D$254,AGENT_INPUT!D19)&gt;1,"DUPLICATE AGENT + PERIOD",IF(D19&lt;&gt;"READY","INPUT OR CONFIG REVIEW",IF(T19&lt;&gt;"READY",T19,""))))</f>
        <v>BLOCKED - ELIGIBILITY</v>
      </c>
    </row>
    <row r="20" spans="1:21">
      <c r="A20" s="4">
        <f>IF(AGENT_INPUT!A20="","",AGENT_INPUT!A20)</f>
        <v>204033</v>
      </c>
      <c r="B20" s="4" t="str">
        <f>IF($A20="","",AGENT_INPUT!B20)</f>
        <v>Oulad Abdelaziz Youssef</v>
      </c>
      <c r="C20" s="4" t="str">
        <f>IF($A20="","",AGENT_INPUT!C20)</f>
        <v>Ford Dutch</v>
      </c>
      <c r="D20" s="4" t="str">
        <f>IF($A20="","",IF(AND(COUNT(AGENT_INPUT!E20:J20)=6,COUNT(AGENT_INPUT!K20)=1,COUNTIF(BONUS_RULES!$A$5:$A$46,AGENT_INPUT!C20)&gt;0,OR(AGENT_INPUT!O20&gt;0,AND(AGENT_INPUT!M20&gt;0,AGENT_INPUT!N20&gt;0)),AGENT_INPUT!P20&gt;=0,AGENT_INPUT!Q20&gt;0,AGENT_INPUT!P20&lt;=AGENT_INPUT!Q20,AGENT_INPUT!H20&gt;=0,AGENT_INPUT!H20&lt;=1,AGENT_INPUT!I20&gt;=0,AGENT_INPUT!I20&lt;=1,AGENT_INPUT!J20&gt;=0,AGENT_INPUT!J20&lt;=1),"READY","BLOCKED"))</f>
        <v>READY</v>
      </c>
      <c r="E20" s="4" t="str">
        <f>IF($A20="","",IF(AGENT_INPUT!R20&lt;&gt;"Active","REVIEW",IF(OR(POLICY_APPROVAL!$B$9="Eligibility only",POLICY_APPROVAL!$B$9="Both"),IF(AGENT_INPUT!J20&lt;=SUMIFS(BONUS_RULES!$E$5:$E$46,BONUS_RULES!$A$5:$A$46,$C20,BONUS_RULES!$B$5:$B$46,"Abs%"),"ELIGIBLE","INELIGIBLE ABS"),"ELIGIBLE")))</f>
        <v>REVIEW</v>
      </c>
      <c r="F20" s="10">
        <f>IF(OR($A20="",$D20&lt;&gt;"READY"),"",IF(AGENT_INPUT!E20&lt;=SUMIFS(BONUS_RULES!$E$5:$E$46,BONUS_RULES!$A$5:$A$46,$C20,BONUS_RULES!$B$5:$B$46,"AHT"),SUMIFS(BONUS_RULES!$D$5:$D$46,BONUS_RULES!$A$5:$A$46,$C20,BONUS_RULES!$B$5:$B$46,"AHT"),IF(AGENT_INPUT!E20&lt;=SUMIFS(BONUS_RULES!$G$5:$G$46,BONUS_RULES!$A$5:$A$46,$C20,BONUS_RULES!$B$5:$B$46,"AHT"),SUMIFS(BONUS_RULES!$F$5:$F$46,BONUS_RULES!$A$5:$A$46,$C20,BONUS_RULES!$B$5:$B$46,"AHT"),0)))</f>
        <v>0.15</v>
      </c>
      <c r="G20" s="10">
        <f>IF(OR($A20="",$D20&lt;&gt;"READY"),"",IF(AGENT_INPUT!F20&gt;=SUMIFS(BONUS_RULES!$E$5:$E$46,BONUS_RULES!$A$5:$A$46,$C20,BONUS_RULES!$B$5:$B$46,"Productivity"),SUMIFS(BONUS_RULES!$D$5:$D$46,BONUS_RULES!$A$5:$A$46,$C20,BONUS_RULES!$B$5:$B$46,"Productivity"),IF(AGENT_INPUT!F20&gt;=SUMIFS(BONUS_RULES!$G$5:$G$46,BONUS_RULES!$A$5:$A$46,$C20,BONUS_RULES!$B$5:$B$46,"Productivity"),SUMIFS(BONUS_RULES!$F$5:$F$46,BONUS_RULES!$A$5:$A$46,$C20,BONUS_RULES!$B$5:$B$46,"Productivity"),0)))</f>
        <v>0.15</v>
      </c>
      <c r="H20" s="10">
        <f>IF(OR($A20="",$D20&lt;&gt;"READY"),"",IF(AGENT_INPUT!G20&gt;=SUMIFS(BONUS_RULES!$E$5:$E$46,BONUS_RULES!$A$5:$A$46,$C20,BONUS_RULES!$B$5:$B$46,"PCS Score"),SUMIFS(BONUS_RULES!$D$5:$D$46,BONUS_RULES!$A$5:$A$46,$C20,BONUS_RULES!$B$5:$B$46,"PCS Score"),IF(AGENT_INPUT!G20&gt;=SUMIFS(BONUS_RULES!$G$5:$G$46,BONUS_RULES!$A$5:$A$46,$C20,BONUS_RULES!$B$5:$B$46,"PCS Score"),SUMIFS(BONUS_RULES!$F$5:$F$46,BONUS_RULES!$A$5:$A$46,$C20,BONUS_RULES!$B$5:$B$46,"PCS Score"),0)))</f>
        <v>0.0</v>
      </c>
      <c r="I20" s="10">
        <f>IF(OR($A20="",$D20&lt;&gt;"READY"),"",IF(AGENT_INPUT!H20&gt;=SUMIFS(BONUS_RULES!$E$5:$E$46,BONUS_RULES!$A$5:$A$46,$C20,BONUS_RULES!$B$5:$B$46,"PCS % (Participation)"),SUMIFS(BONUS_RULES!$D$5:$D$46,BONUS_RULES!$A$5:$A$46,$C20,BONUS_RULES!$B$5:$B$46,"PCS % (Participation)"),IF(AGENT_INPUT!H20&gt;=SUMIFS(BONUS_RULES!$G$5:$G$46,BONUS_RULES!$A$5:$A$46,$C20,BONUS_RULES!$B$5:$B$46,"PCS % (Participation)"),SUMIFS(BONUS_RULES!$F$5:$F$46,BONUS_RULES!$A$5:$A$46,$C20,BONUS_RULES!$B$5:$B$46,"PCS % (Participation)"),0)))</f>
        <v>0.0</v>
      </c>
      <c r="J20" s="10">
        <f>IF(OR($A20="",$D20&lt;&gt;"READY"),"",IF(AGENT_INPUT!I20&gt;=SUMIFS(BONUS_RULES!$E$5:$E$46,BONUS_RULES!$A$5:$A$46,$C20,BONUS_RULES!$B$5:$B$46,"QM"),SUMIFS(BONUS_RULES!$D$5:$D$46,BONUS_RULES!$A$5:$A$46,$C20,BONUS_RULES!$B$5:$B$46,"QM"),IF(AGENT_INPUT!I20&gt;=SUMIFS(BONUS_RULES!$G$5:$G$46,BONUS_RULES!$A$5:$A$46,$C20,BONUS_RULES!$B$5:$B$46,"QM"),SUMIFS(BONUS_RULES!$F$5:$F$46,BONUS_RULES!$A$5:$A$46,$C20,BONUS_RULES!$B$5:$B$46,"QM"),0)))</f>
        <v>0.0</v>
      </c>
      <c r="K20" s="10">
        <f>IF(POLICY_APPROVAL!$B$9="Eligibility only",0,IF(OR($A20="",$D20&lt;&gt;"READY"),"",IF(AGENT_INPUT!J20&lt;=SUMIFS(BONUS_RULES!$E$5:$E$46,BONUS_RULES!$A$5:$A$46,$C20,BONUS_RULES!$B$5:$B$46,"Abs%"),SUMIFS(BONUS_RULES!$D$5:$D$46,BONUS_RULES!$A$5:$A$46,$C20,BONUS_RULES!$B$5:$B$46,"Abs%"),IF(AGENT_INPUT!J20&lt;=SUMIFS(BONUS_RULES!$G$5:$G$46,BONUS_RULES!$A$5:$A$46,$C20,BONUS_RULES!$B$5:$B$46,"Abs%"),SUMIFS(BONUS_RULES!$F$5:$F$46,BONUS_RULES!$A$5:$A$46,$C20,BONUS_RULES!$B$5:$B$46,"Abs%"),0))))</f>
        <v>0.0</v>
      </c>
      <c r="L20" s="10">
        <f>IF(OR($A20="",$D20&lt;&gt;"READY"),"",IF(AGENT_INPUT!G20&gt;=SUMIFS(BONUS_RULES!$E$5:$E$46,BONUS_RULES!$A$5:$A$46,$C20,BONUS_RULES!$B$5:$B$46,"Extra Bonus (PCS Score)"),SUMIFS(BONUS_RULES!$D$5:$D$46,BONUS_RULES!$A$5:$A$46,$C20,BONUS_RULES!$B$5:$B$46,"Extra Bonus (PCS Score)"),IF(AGENT_INPUT!G20&gt;=SUMIFS(BONUS_RULES!$G$5:$G$46,BONUS_RULES!$A$5:$A$46,$C20,BONUS_RULES!$B$5:$B$46,"Extra Bonus (PCS Score)"),SUMIFS(BONUS_RULES!$F$5:$F$46,BONUS_RULES!$A$5:$A$46,$C20,BONUS_RULES!$B$5:$B$46,"Extra Bonus (PCS Score)"),0)))</f>
        <v>0.0</v>
      </c>
      <c r="M20" s="10">
        <f>IF($A20="","",MIN(IF(POLICY_APPROVAL!$B$6="Replacement",SUM(F20:K20)-H20+MAX(H20,L20),SUM(F20:L20)),POLICY_APPROVAL!$B$10))</f>
        <v>0.3</v>
      </c>
      <c r="N20" s="10">
        <f>IF($A20="","",IFERROR(INDEX(BONUS_RULES!$J$5:$J$10,MATCH(MIN(MAX(AGENT_INPUT!K20,0),5),BONUS_RULES!$I$5:$I$10,0)),1))</f>
        <v>0</v>
      </c>
      <c r="O20" s="10">
        <f>IF(M20="","",MAX(0,IF(POLICY_APPROVAL!$B$5="Percentage points",M20-N20,M20*(1-N20))))</f>
        <v>0.3</v>
      </c>
      <c r="P20" s="11">
        <f>IF(D20&lt;&gt;"READY","",IF(AGENT_INPUT!O20&gt;0,AGENT_INPUT!O20,AGENT_INPUT!M20*AGENT_INPUT!N20/IF(POLICY_APPROVAL!$B$7="Annual",12,1)))</f>
        <v>2000.0</v>
      </c>
      <c r="Q20" s="10">
        <f>IF(D20&lt;&gt;"READY","",MIN(1,AGENT_INPUT!P20/AGENT_INPUT!Q20))</f>
        <v>1.0</v>
      </c>
      <c r="R20" s="11">
        <f>IF(D20&lt;&gt;"READY","",ROUND(P20*Q20*O20,IF(POLICY_APPROVAL!$B$11="Whole MAD",0,2)))</f>
        <v>600.0</v>
      </c>
      <c r="S20" s="11">
        <f>IF(AND(SETUP!$B$9="READY",T20="READY"),R20,"")</f>
        <v/>
      </c>
      <c r="T20" s="4" t="str">
        <f>IF($A20="","",IF(D20&lt;&gt;"READY","BLOCKED - INPUT",IF(E20&lt;&gt;"ELIGIBLE","BLOCKED - ELIGIBILITY",IF(AGENT_INPUT!S20&lt;&gt;"VALIDATED","BLOCKED - DATA",IF(SETUP!$B$9&lt;&gt;"READY","BLOCKED - POLICY","READY")))))</f>
        <v>BLOCKED - ELIGIBILITY</v>
      </c>
      <c r="U20" s="4" t="str">
        <f>IF($A20="","",IF(COUNTIFS(AGENT_INPUT!$A$5:$A$254,$A20,AGENT_INPUT!$D$5:$D$254,AGENT_INPUT!D20)&gt;1,"DUPLICATE AGENT + PERIOD",IF(D20&lt;&gt;"READY","INPUT OR CONFIG REVIEW",IF(T20&lt;&gt;"READY",T20,""))))</f>
        <v>BLOCKED - ELIGIBILITY</v>
      </c>
    </row>
    <row r="21" spans="1:21">
      <c r="A21" s="4">
        <f>IF(AGENT_INPUT!A21="","",AGENT_INPUT!A21)</f>
        <v>228202</v>
      </c>
      <c r="B21" s="4" t="str">
        <f>IF($A21="","",AGENT_INPUT!B21)</f>
        <v>Youssef AZIZ</v>
      </c>
      <c r="C21" s="4" t="str">
        <f>IF($A21="","",AGENT_INPUT!C21)</f>
        <v>OEM FR</v>
      </c>
      <c r="D21" s="4" t="str">
        <f>IF($A21="","",IF(AND(COUNT(AGENT_INPUT!E21:J21)=6,COUNT(AGENT_INPUT!K21)=1,COUNTIF(BONUS_RULES!$A$5:$A$46,AGENT_INPUT!C21)&gt;0,OR(AGENT_INPUT!O21&gt;0,AND(AGENT_INPUT!M21&gt;0,AGENT_INPUT!N21&gt;0)),AGENT_INPUT!P21&gt;=0,AGENT_INPUT!Q21&gt;0,AGENT_INPUT!P21&lt;=AGENT_INPUT!Q21,AGENT_INPUT!H21&gt;=0,AGENT_INPUT!H21&lt;=1,AGENT_INPUT!I21&gt;=0,AGENT_INPUT!I21&lt;=1,AGENT_INPUT!J21&gt;=0,AGENT_INPUT!J21&lt;=1),"READY","BLOCKED"))</f>
        <v>READY</v>
      </c>
      <c r="E21" s="4" t="str">
        <f>IF($A21="","",IF(AGENT_INPUT!R21&lt;&gt;"Active","REVIEW",IF(OR(POLICY_APPROVAL!$B$9="Eligibility only",POLICY_APPROVAL!$B$9="Both"),IF(AGENT_INPUT!J21&lt;=SUMIFS(BONUS_RULES!$E$5:$E$46,BONUS_RULES!$A$5:$A$46,$C21,BONUS_RULES!$B$5:$B$46,"Abs%"),"ELIGIBLE","INELIGIBLE ABS"),"ELIGIBLE")))</f>
        <v>REVIEW</v>
      </c>
      <c r="F21" s="10">
        <f>IF(OR($A21="",$D21&lt;&gt;"READY"),"",IF(AGENT_INPUT!E21&lt;=SUMIFS(BONUS_RULES!$E$5:$E$46,BONUS_RULES!$A$5:$A$46,$C21,BONUS_RULES!$B$5:$B$46,"AHT"),SUMIFS(BONUS_RULES!$D$5:$D$46,BONUS_RULES!$A$5:$A$46,$C21,BONUS_RULES!$B$5:$B$46,"AHT"),IF(AGENT_INPUT!E21&lt;=SUMIFS(BONUS_RULES!$G$5:$G$46,BONUS_RULES!$A$5:$A$46,$C21,BONUS_RULES!$B$5:$B$46,"AHT"),SUMIFS(BONUS_RULES!$F$5:$F$46,BONUS_RULES!$A$5:$A$46,$C21,BONUS_RULES!$B$5:$B$46,"AHT"),0)))</f>
        <v>0.0</v>
      </c>
      <c r="G21" s="10">
        <f>IF(OR($A21="",$D21&lt;&gt;"READY"),"",IF(AGENT_INPUT!F21&gt;=SUMIFS(BONUS_RULES!$E$5:$E$46,BONUS_RULES!$A$5:$A$46,$C21,BONUS_RULES!$B$5:$B$46,"Productivity"),SUMIFS(BONUS_RULES!$D$5:$D$46,BONUS_RULES!$A$5:$A$46,$C21,BONUS_RULES!$B$5:$B$46,"Productivity"),IF(AGENT_INPUT!F21&gt;=SUMIFS(BONUS_RULES!$G$5:$G$46,BONUS_RULES!$A$5:$A$46,$C21,BONUS_RULES!$B$5:$B$46,"Productivity"),SUMIFS(BONUS_RULES!$F$5:$F$46,BONUS_RULES!$A$5:$A$46,$C21,BONUS_RULES!$B$5:$B$46,"Productivity"),0)))</f>
        <v>0.0</v>
      </c>
      <c r="H21" s="10">
        <f>IF(OR($A21="",$D21&lt;&gt;"READY"),"",IF(AGENT_INPUT!G21&gt;=SUMIFS(BONUS_RULES!$E$5:$E$46,BONUS_RULES!$A$5:$A$46,$C21,BONUS_RULES!$B$5:$B$46,"PCS Score"),SUMIFS(BONUS_RULES!$D$5:$D$46,BONUS_RULES!$A$5:$A$46,$C21,BONUS_RULES!$B$5:$B$46,"PCS Score"),IF(AGENT_INPUT!G21&gt;=SUMIFS(BONUS_RULES!$G$5:$G$46,BONUS_RULES!$A$5:$A$46,$C21,BONUS_RULES!$B$5:$B$46,"PCS Score"),SUMIFS(BONUS_RULES!$F$5:$F$46,BONUS_RULES!$A$5:$A$46,$C21,BONUS_RULES!$B$5:$B$46,"PCS Score"),0)))</f>
        <v>0.2</v>
      </c>
      <c r="I21" s="10">
        <f>IF(OR($A21="",$D21&lt;&gt;"READY"),"",IF(AGENT_INPUT!H21&gt;=SUMIFS(BONUS_RULES!$E$5:$E$46,BONUS_RULES!$A$5:$A$46,$C21,BONUS_RULES!$B$5:$B$46,"PCS % (Participation)"),SUMIFS(BONUS_RULES!$D$5:$D$46,BONUS_RULES!$A$5:$A$46,$C21,BONUS_RULES!$B$5:$B$46,"PCS % (Participation)"),IF(AGENT_INPUT!H21&gt;=SUMIFS(BONUS_RULES!$G$5:$G$46,BONUS_RULES!$A$5:$A$46,$C21,BONUS_RULES!$B$5:$B$46,"PCS % (Participation)"),SUMIFS(BONUS_RULES!$F$5:$F$46,BONUS_RULES!$A$5:$A$46,$C21,BONUS_RULES!$B$5:$B$46,"PCS % (Participation)"),0)))</f>
        <v>0.0</v>
      </c>
      <c r="J21" s="10">
        <f>IF(OR($A21="",$D21&lt;&gt;"READY"),"",IF(AGENT_INPUT!I21&gt;=SUMIFS(BONUS_RULES!$E$5:$E$46,BONUS_RULES!$A$5:$A$46,$C21,BONUS_RULES!$B$5:$B$46,"QM"),SUMIFS(BONUS_RULES!$D$5:$D$46,BONUS_RULES!$A$5:$A$46,$C21,BONUS_RULES!$B$5:$B$46,"QM"),IF(AGENT_INPUT!I21&gt;=SUMIFS(BONUS_RULES!$G$5:$G$46,BONUS_RULES!$A$5:$A$46,$C21,BONUS_RULES!$B$5:$B$46,"QM"),SUMIFS(BONUS_RULES!$F$5:$F$46,BONUS_RULES!$A$5:$A$46,$C21,BONUS_RULES!$B$5:$B$46,"QM"),0)))</f>
        <v>0.0</v>
      </c>
      <c r="K21" s="10">
        <f>IF(POLICY_APPROVAL!$B$9="Eligibility only",0,IF(OR($A21="",$D21&lt;&gt;"READY"),"",IF(AGENT_INPUT!J21&lt;=SUMIFS(BONUS_RULES!$E$5:$E$46,BONUS_RULES!$A$5:$A$46,$C21,BONUS_RULES!$B$5:$B$46,"Abs%"),SUMIFS(BONUS_RULES!$D$5:$D$46,BONUS_RULES!$A$5:$A$46,$C21,BONUS_RULES!$B$5:$B$46,"Abs%"),IF(AGENT_INPUT!J21&lt;=SUMIFS(BONUS_RULES!$G$5:$G$46,BONUS_RULES!$A$5:$A$46,$C21,BONUS_RULES!$B$5:$B$46,"Abs%"),SUMIFS(BONUS_RULES!$F$5:$F$46,BONUS_RULES!$A$5:$A$46,$C21,BONUS_RULES!$B$5:$B$46,"Abs%"),0))))</f>
        <v>0.15</v>
      </c>
      <c r="L21" s="10">
        <f>IF(OR($A21="",$D21&lt;&gt;"READY"),"",IF(AGENT_INPUT!G21&gt;=SUMIFS(BONUS_RULES!$E$5:$E$46,BONUS_RULES!$A$5:$A$46,$C21,BONUS_RULES!$B$5:$B$46,"Extra Bonus (PCS Score)"),SUMIFS(BONUS_RULES!$D$5:$D$46,BONUS_RULES!$A$5:$A$46,$C21,BONUS_RULES!$B$5:$B$46,"Extra Bonus (PCS Score)"),IF(AGENT_INPUT!G21&gt;=SUMIFS(BONUS_RULES!$G$5:$G$46,BONUS_RULES!$A$5:$A$46,$C21,BONUS_RULES!$B$5:$B$46,"Extra Bonus (PCS Score)"),SUMIFS(BONUS_RULES!$F$5:$F$46,BONUS_RULES!$A$5:$A$46,$C21,BONUS_RULES!$B$5:$B$46,"Extra Bonus (PCS Score)"),0)))</f>
        <v>0.3</v>
      </c>
      <c r="M21" s="10">
        <f>IF($A21="","",MIN(IF(POLICY_APPROVAL!$B$6="Replacement",SUM(F21:K21)-H21+MAX(H21,L21),SUM(F21:L21)),POLICY_APPROVAL!$B$10))</f>
        <v>0.6499999999999999</v>
      </c>
      <c r="N21" s="10">
        <f>IF($A21="","",IFERROR(INDEX(BONUS_RULES!$J$5:$J$10,MATCH(MIN(MAX(AGENT_INPUT!K21,0),5),BONUS_RULES!$I$5:$I$10,0)),1))</f>
        <v>0</v>
      </c>
      <c r="O21" s="10">
        <f>IF(M21="","",MAX(0,IF(POLICY_APPROVAL!$B$5="Percentage points",M21-N21,M21*(1-N21))))</f>
        <v>0.6499999999999999</v>
      </c>
      <c r="P21" s="11">
        <f>IF(D21&lt;&gt;"READY","",IF(AGENT_INPUT!O21&gt;0,AGENT_INPUT!O21,AGENT_INPUT!M21*AGENT_INPUT!N21/IF(POLICY_APPROVAL!$B$7="Annual",12,1)))</f>
        <v>2000.0</v>
      </c>
      <c r="Q21" s="10">
        <f>IF(D21&lt;&gt;"READY","",MIN(1,AGENT_INPUT!P21/AGENT_INPUT!Q21))</f>
        <v>1.0</v>
      </c>
      <c r="R21" s="11">
        <f>IF(D21&lt;&gt;"READY","",ROUND(P21*Q21*O21,IF(POLICY_APPROVAL!$B$11="Whole MAD",0,2)))</f>
        <v>1300.0</v>
      </c>
      <c r="S21" s="11">
        <f>IF(AND(SETUP!$B$9="READY",T21="READY"),R21,"")</f>
        <v/>
      </c>
      <c r="T21" s="4" t="str">
        <f>IF($A21="","",IF(D21&lt;&gt;"READY","BLOCKED - INPUT",IF(E21&lt;&gt;"ELIGIBLE","BLOCKED - ELIGIBILITY",IF(AGENT_INPUT!S21&lt;&gt;"VALIDATED","BLOCKED - DATA",IF(SETUP!$B$9&lt;&gt;"READY","BLOCKED - POLICY","READY")))))</f>
        <v>BLOCKED - ELIGIBILITY</v>
      </c>
      <c r="U21" s="4" t="str">
        <f>IF($A21="","",IF(COUNTIFS(AGENT_INPUT!$A$5:$A$254,$A21,AGENT_INPUT!$D$5:$D$254,AGENT_INPUT!D21)&gt;1,"DUPLICATE AGENT + PERIOD",IF(D21&lt;&gt;"READY","INPUT OR CONFIG REVIEW",IF(T21&lt;&gt;"READY",T21,""))))</f>
        <v>BLOCKED - ELIGIBILITY</v>
      </c>
    </row>
    <row r="22" spans="1:21">
      <c r="A22" s="4">
        <f>IF(AGENT_INPUT!A22="","",AGENT_INPUT!A22)</f>
        <v>228201</v>
      </c>
      <c r="B22" s="4" t="str">
        <f>IF($A22="","",AGENT_INPUT!B22)</f>
        <v>Youssef AMNAD</v>
      </c>
      <c r="C22" s="4" t="str">
        <f>IF($A22="","",AGENT_INPUT!C22)</f>
        <v>OEM FR</v>
      </c>
      <c r="D22" s="4" t="str">
        <f>IF($A22="","",IF(AND(COUNT(AGENT_INPUT!E22:J22)=6,COUNT(AGENT_INPUT!K22)=1,COUNTIF(BONUS_RULES!$A$5:$A$46,AGENT_INPUT!C22)&gt;0,OR(AGENT_INPUT!O22&gt;0,AND(AGENT_INPUT!M22&gt;0,AGENT_INPUT!N22&gt;0)),AGENT_INPUT!P22&gt;=0,AGENT_INPUT!Q22&gt;0,AGENT_INPUT!P22&lt;=AGENT_INPUT!Q22,AGENT_INPUT!H22&gt;=0,AGENT_INPUT!H22&lt;=1,AGENT_INPUT!I22&gt;=0,AGENT_INPUT!I22&lt;=1,AGENT_INPUT!J22&gt;=0,AGENT_INPUT!J22&lt;=1),"READY","BLOCKED"))</f>
        <v>READY</v>
      </c>
      <c r="E22" s="4" t="str">
        <f>IF($A22="","",IF(AGENT_INPUT!R22&lt;&gt;"Active","REVIEW",IF(OR(POLICY_APPROVAL!$B$9="Eligibility only",POLICY_APPROVAL!$B$9="Both"),IF(AGENT_INPUT!J22&lt;=SUMIFS(BONUS_RULES!$E$5:$E$46,BONUS_RULES!$A$5:$A$46,$C22,BONUS_RULES!$B$5:$B$46,"Abs%"),"ELIGIBLE","INELIGIBLE ABS"),"ELIGIBLE")))</f>
        <v>REVIEW</v>
      </c>
      <c r="F22" s="10">
        <f>IF(OR($A22="",$D22&lt;&gt;"READY"),"",IF(AGENT_INPUT!E22&lt;=SUMIFS(BONUS_RULES!$E$5:$E$46,BONUS_RULES!$A$5:$A$46,$C22,BONUS_RULES!$B$5:$B$46,"AHT"),SUMIFS(BONUS_RULES!$D$5:$D$46,BONUS_RULES!$A$5:$A$46,$C22,BONUS_RULES!$B$5:$B$46,"AHT"),IF(AGENT_INPUT!E22&lt;=SUMIFS(BONUS_RULES!$G$5:$G$46,BONUS_RULES!$A$5:$A$46,$C22,BONUS_RULES!$B$5:$B$46,"AHT"),SUMIFS(BONUS_RULES!$F$5:$F$46,BONUS_RULES!$A$5:$A$46,$C22,BONUS_RULES!$B$5:$B$46,"AHT"),0)))</f>
        <v>0.0</v>
      </c>
      <c r="G22" s="10">
        <f>IF(OR($A22="",$D22&lt;&gt;"READY"),"",IF(AGENT_INPUT!F22&gt;=SUMIFS(BONUS_RULES!$E$5:$E$46,BONUS_RULES!$A$5:$A$46,$C22,BONUS_RULES!$B$5:$B$46,"Productivity"),SUMIFS(BONUS_RULES!$D$5:$D$46,BONUS_RULES!$A$5:$A$46,$C22,BONUS_RULES!$B$5:$B$46,"Productivity"),IF(AGENT_INPUT!F22&gt;=SUMIFS(BONUS_RULES!$G$5:$G$46,BONUS_RULES!$A$5:$A$46,$C22,BONUS_RULES!$B$5:$B$46,"Productivity"),SUMIFS(BONUS_RULES!$F$5:$F$46,BONUS_RULES!$A$5:$A$46,$C22,BONUS_RULES!$B$5:$B$46,"Productivity"),0)))</f>
        <v>0.15</v>
      </c>
      <c r="H22" s="10">
        <f>IF(OR($A22="",$D22&lt;&gt;"READY"),"",IF(AGENT_INPUT!G22&gt;=SUMIFS(BONUS_RULES!$E$5:$E$46,BONUS_RULES!$A$5:$A$46,$C22,BONUS_RULES!$B$5:$B$46,"PCS Score"),SUMIFS(BONUS_RULES!$D$5:$D$46,BONUS_RULES!$A$5:$A$46,$C22,BONUS_RULES!$B$5:$B$46,"PCS Score"),IF(AGENT_INPUT!G22&gt;=SUMIFS(BONUS_RULES!$G$5:$G$46,BONUS_RULES!$A$5:$A$46,$C22,BONUS_RULES!$B$5:$B$46,"PCS Score"),SUMIFS(BONUS_RULES!$F$5:$F$46,BONUS_RULES!$A$5:$A$46,$C22,BONUS_RULES!$B$5:$B$46,"PCS Score"),0)))</f>
        <v>0.2</v>
      </c>
      <c r="I22" s="10">
        <f>IF(OR($A22="",$D22&lt;&gt;"READY"),"",IF(AGENT_INPUT!H22&gt;=SUMIFS(BONUS_RULES!$E$5:$E$46,BONUS_RULES!$A$5:$A$46,$C22,BONUS_RULES!$B$5:$B$46,"PCS % (Participation)"),SUMIFS(BONUS_RULES!$D$5:$D$46,BONUS_RULES!$A$5:$A$46,$C22,BONUS_RULES!$B$5:$B$46,"PCS % (Participation)"),IF(AGENT_INPUT!H22&gt;=SUMIFS(BONUS_RULES!$G$5:$G$46,BONUS_RULES!$A$5:$A$46,$C22,BONUS_RULES!$B$5:$B$46,"PCS % (Participation)"),SUMIFS(BONUS_RULES!$F$5:$F$46,BONUS_RULES!$A$5:$A$46,$C22,BONUS_RULES!$B$5:$B$46,"PCS % (Participation)"),0)))</f>
        <v>0.0</v>
      </c>
      <c r="J22" s="10">
        <f>IF(OR($A22="",$D22&lt;&gt;"READY"),"",IF(AGENT_INPUT!I22&gt;=SUMIFS(BONUS_RULES!$E$5:$E$46,BONUS_RULES!$A$5:$A$46,$C22,BONUS_RULES!$B$5:$B$46,"QM"),SUMIFS(BONUS_RULES!$D$5:$D$46,BONUS_RULES!$A$5:$A$46,$C22,BONUS_RULES!$B$5:$B$46,"QM"),IF(AGENT_INPUT!I22&gt;=SUMIFS(BONUS_RULES!$G$5:$G$46,BONUS_RULES!$A$5:$A$46,$C22,BONUS_RULES!$B$5:$B$46,"QM"),SUMIFS(BONUS_RULES!$F$5:$F$46,BONUS_RULES!$A$5:$A$46,$C22,BONUS_RULES!$B$5:$B$46,"QM"),0)))</f>
        <v>0.0</v>
      </c>
      <c r="K22" s="10">
        <f>IF(POLICY_APPROVAL!$B$9="Eligibility only",0,IF(OR($A22="",$D22&lt;&gt;"READY"),"",IF(AGENT_INPUT!J22&lt;=SUMIFS(BONUS_RULES!$E$5:$E$46,BONUS_RULES!$A$5:$A$46,$C22,BONUS_RULES!$B$5:$B$46,"Abs%"),SUMIFS(BONUS_RULES!$D$5:$D$46,BONUS_RULES!$A$5:$A$46,$C22,BONUS_RULES!$B$5:$B$46,"Abs%"),IF(AGENT_INPUT!J22&lt;=SUMIFS(BONUS_RULES!$G$5:$G$46,BONUS_RULES!$A$5:$A$46,$C22,BONUS_RULES!$B$5:$B$46,"Abs%"),SUMIFS(BONUS_RULES!$F$5:$F$46,BONUS_RULES!$A$5:$A$46,$C22,BONUS_RULES!$B$5:$B$46,"Abs%"),0))))</f>
        <v>0.15</v>
      </c>
      <c r="L22" s="10">
        <f>IF(OR($A22="",$D22&lt;&gt;"READY"),"",IF(AGENT_INPUT!G22&gt;=SUMIFS(BONUS_RULES!$E$5:$E$46,BONUS_RULES!$A$5:$A$46,$C22,BONUS_RULES!$B$5:$B$46,"Extra Bonus (PCS Score)"),SUMIFS(BONUS_RULES!$D$5:$D$46,BONUS_RULES!$A$5:$A$46,$C22,BONUS_RULES!$B$5:$B$46,"Extra Bonus (PCS Score)"),IF(AGENT_INPUT!G22&gt;=SUMIFS(BONUS_RULES!$G$5:$G$46,BONUS_RULES!$A$5:$A$46,$C22,BONUS_RULES!$B$5:$B$46,"Extra Bonus (PCS Score)"),SUMIFS(BONUS_RULES!$F$5:$F$46,BONUS_RULES!$A$5:$A$46,$C22,BONUS_RULES!$B$5:$B$46,"Extra Bonus (PCS Score)"),0)))</f>
        <v>0.3</v>
      </c>
      <c r="M22" s="10">
        <f>IF($A22="","",MIN(IF(POLICY_APPROVAL!$B$6="Replacement",SUM(F22:K22)-H22+MAX(H22,L22),SUM(F22:L22)),POLICY_APPROVAL!$B$10))</f>
        <v>0.8</v>
      </c>
      <c r="N22" s="10">
        <f>IF($A22="","",IFERROR(INDEX(BONUS_RULES!$J$5:$J$10,MATCH(MIN(MAX(AGENT_INPUT!K22,0),5),BONUS_RULES!$I$5:$I$10,0)),1))</f>
        <v>0</v>
      </c>
      <c r="O22" s="10">
        <f>IF(M22="","",MAX(0,IF(POLICY_APPROVAL!$B$5="Percentage points",M22-N22,M22*(1-N22))))</f>
        <v>0.8</v>
      </c>
      <c r="P22" s="11">
        <f>IF(D22&lt;&gt;"READY","",IF(AGENT_INPUT!O22&gt;0,AGENT_INPUT!O22,AGENT_INPUT!M22*AGENT_INPUT!N22/IF(POLICY_APPROVAL!$B$7="Annual",12,1)))</f>
        <v>2000.0</v>
      </c>
      <c r="Q22" s="10">
        <f>IF(D22&lt;&gt;"READY","",MIN(1,AGENT_INPUT!P22/AGENT_INPUT!Q22))</f>
        <v>1.0</v>
      </c>
      <c r="R22" s="11">
        <f>IF(D22&lt;&gt;"READY","",ROUND(P22*Q22*O22,IF(POLICY_APPROVAL!$B$11="Whole MAD",0,2)))</f>
        <v>1600.0</v>
      </c>
      <c r="S22" s="11">
        <f>IF(AND(SETUP!$B$9="READY",T22="READY"),R22,"")</f>
        <v/>
      </c>
      <c r="T22" s="4" t="str">
        <f>IF($A22="","",IF(D22&lt;&gt;"READY","BLOCKED - INPUT",IF(E22&lt;&gt;"ELIGIBLE","BLOCKED - ELIGIBILITY",IF(AGENT_INPUT!S22&lt;&gt;"VALIDATED","BLOCKED - DATA",IF(SETUP!$B$9&lt;&gt;"READY","BLOCKED - POLICY","READY")))))</f>
        <v>BLOCKED - ELIGIBILITY</v>
      </c>
      <c r="U22" s="4" t="str">
        <f>IF($A22="","",IF(COUNTIFS(AGENT_INPUT!$A$5:$A$254,$A22,AGENT_INPUT!$D$5:$D$254,AGENT_INPUT!D22)&gt;1,"DUPLICATE AGENT + PERIOD",IF(D22&lt;&gt;"READY","INPUT OR CONFIG REVIEW",IF(T22&lt;&gt;"READY",T22,""))))</f>
        <v>BLOCKED - ELIGIBILITY</v>
      </c>
    </row>
    <row r="23" spans="1:21">
      <c r="A23" s="4">
        <f>IF(AGENT_INPUT!A23="","",AGENT_INPUT!A23)</f>
        <v>250753</v>
      </c>
      <c r="B23" s="4" t="str">
        <f>IF($A23="","",AGENT_INPUT!B23)</f>
        <v>Youness ZBATI</v>
      </c>
      <c r="C23" s="4" t="str">
        <f>IF($A23="","",AGENT_INPUT!C23)</f>
        <v>OEM FR</v>
      </c>
      <c r="D23" s="4" t="str">
        <f>IF($A23="","",IF(AND(COUNT(AGENT_INPUT!E23:J23)=6,COUNT(AGENT_INPUT!K23)=1,COUNTIF(BONUS_RULES!$A$5:$A$46,AGENT_INPUT!C23)&gt;0,OR(AGENT_INPUT!O23&gt;0,AND(AGENT_INPUT!M23&gt;0,AGENT_INPUT!N23&gt;0)),AGENT_INPUT!P23&gt;=0,AGENT_INPUT!Q23&gt;0,AGENT_INPUT!P23&lt;=AGENT_INPUT!Q23,AGENT_INPUT!H23&gt;=0,AGENT_INPUT!H23&lt;=1,AGENT_INPUT!I23&gt;=0,AGENT_INPUT!I23&lt;=1,AGENT_INPUT!J23&gt;=0,AGENT_INPUT!J23&lt;=1),"READY","BLOCKED"))</f>
        <v>BLOCKED</v>
      </c>
      <c r="E23" s="4">
        <f>IF($A23="","",IF(AGENT_INPUT!R23&lt;&gt;"Active","REVIEW",IF(OR(POLICY_APPROVAL!$B$9="Eligibility only",POLICY_APPROVAL!$B$9="Both"),IF(AGENT_INPUT!J23&lt;=SUMIFS(BONUS_RULES!$E$5:$E$46,BONUS_RULES!$A$5:$A$46,$C23,BONUS_RULES!$B$5:$B$46,"Abs%"),"ELIGIBLE","INELIGIBLE ABS"),"ELIGIBLE")))</f>
        <v/>
      </c>
      <c r="F23" s="10">
        <f>IF(OR($A23="",$D23&lt;&gt;"READY"),"",IF(AGENT_INPUT!E23&lt;=SUMIFS(BONUS_RULES!$E$5:$E$46,BONUS_RULES!$A$5:$A$46,$C23,BONUS_RULES!$B$5:$B$46,"AHT"),SUMIFS(BONUS_RULES!$D$5:$D$46,BONUS_RULES!$A$5:$A$46,$C23,BONUS_RULES!$B$5:$B$46,"AHT"),IF(AGENT_INPUT!E23&lt;=SUMIFS(BONUS_RULES!$G$5:$G$46,BONUS_RULES!$A$5:$A$46,$C23,BONUS_RULES!$B$5:$B$46,"AHT"),SUMIFS(BONUS_RULES!$F$5:$F$46,BONUS_RULES!$A$5:$A$46,$C23,BONUS_RULES!$B$5:$B$46,"AHT"),0)))</f>
        <v/>
      </c>
      <c r="G23" s="10">
        <f>IF(OR($A23="",$D23&lt;&gt;"READY"),"",IF(AGENT_INPUT!F23&gt;=SUMIFS(BONUS_RULES!$E$5:$E$46,BONUS_RULES!$A$5:$A$46,$C23,BONUS_RULES!$B$5:$B$46,"Productivity"),SUMIFS(BONUS_RULES!$D$5:$D$46,BONUS_RULES!$A$5:$A$46,$C23,BONUS_RULES!$B$5:$B$46,"Productivity"),IF(AGENT_INPUT!F23&gt;=SUMIFS(BONUS_RULES!$G$5:$G$46,BONUS_RULES!$A$5:$A$46,$C23,BONUS_RULES!$B$5:$B$46,"Productivity"),SUMIFS(BONUS_RULES!$F$5:$F$46,BONUS_RULES!$A$5:$A$46,$C23,BONUS_RULES!$B$5:$B$46,"Productivity"),0)))</f>
        <v/>
      </c>
      <c r="H23" s="10">
        <f>IF(OR($A23="",$D23&lt;&gt;"READY"),"",IF(AGENT_INPUT!G23&gt;=SUMIFS(BONUS_RULES!$E$5:$E$46,BONUS_RULES!$A$5:$A$46,$C23,BONUS_RULES!$B$5:$B$46,"PCS Score"),SUMIFS(BONUS_RULES!$D$5:$D$46,BONUS_RULES!$A$5:$A$46,$C23,BONUS_RULES!$B$5:$B$46,"PCS Score"),IF(AGENT_INPUT!G23&gt;=SUMIFS(BONUS_RULES!$G$5:$G$46,BONUS_RULES!$A$5:$A$46,$C23,BONUS_RULES!$B$5:$B$46,"PCS Score"),SUMIFS(BONUS_RULES!$F$5:$F$46,BONUS_RULES!$A$5:$A$46,$C23,BONUS_RULES!$B$5:$B$46,"PCS Score"),0)))</f>
        <v/>
      </c>
      <c r="I23" s="10">
        <f>IF(OR($A23="",$D23&lt;&gt;"READY"),"",IF(AGENT_INPUT!H23&gt;=SUMIFS(BONUS_RULES!$E$5:$E$46,BONUS_RULES!$A$5:$A$46,$C23,BONUS_RULES!$B$5:$B$46,"PCS % (Participation)"),SUMIFS(BONUS_RULES!$D$5:$D$46,BONUS_RULES!$A$5:$A$46,$C23,BONUS_RULES!$B$5:$B$46,"PCS % (Participation)"),IF(AGENT_INPUT!H23&gt;=SUMIFS(BONUS_RULES!$G$5:$G$46,BONUS_RULES!$A$5:$A$46,$C23,BONUS_RULES!$B$5:$B$46,"PCS % (Participation)"),SUMIFS(BONUS_RULES!$F$5:$F$46,BONUS_RULES!$A$5:$A$46,$C23,BONUS_RULES!$B$5:$B$46,"PCS % (Participation)"),0)))</f>
        <v/>
      </c>
      <c r="J23" s="10">
        <f>IF(OR($A23="",$D23&lt;&gt;"READY"),"",IF(AGENT_INPUT!I23&gt;=SUMIFS(BONUS_RULES!$E$5:$E$46,BONUS_RULES!$A$5:$A$46,$C23,BONUS_RULES!$B$5:$B$46,"QM"),SUMIFS(BONUS_RULES!$D$5:$D$46,BONUS_RULES!$A$5:$A$46,$C23,BONUS_RULES!$B$5:$B$46,"QM"),IF(AGENT_INPUT!I23&gt;=SUMIFS(BONUS_RULES!$G$5:$G$46,BONUS_RULES!$A$5:$A$46,$C23,BONUS_RULES!$B$5:$B$46,"QM"),SUMIFS(BONUS_RULES!$F$5:$F$46,BONUS_RULES!$A$5:$A$46,$C23,BONUS_RULES!$B$5:$B$46,"QM"),0)))</f>
        <v/>
      </c>
      <c r="K23" s="10">
        <f>IF(POLICY_APPROVAL!$B$9="Eligibility only",0,IF(OR($A23="",$D23&lt;&gt;"READY"),"",IF(AGENT_INPUT!J23&lt;=SUMIFS(BONUS_RULES!$E$5:$E$46,BONUS_RULES!$A$5:$A$46,$C23,BONUS_RULES!$B$5:$B$46,"Abs%"),SUMIFS(BONUS_RULES!$D$5:$D$46,BONUS_RULES!$A$5:$A$46,$C23,BONUS_RULES!$B$5:$B$46,"Abs%"),IF(AGENT_INPUT!J23&lt;=SUMIFS(BONUS_RULES!$G$5:$G$46,BONUS_RULES!$A$5:$A$46,$C23,BONUS_RULES!$B$5:$B$46,"Abs%"),SUMIFS(BONUS_RULES!$F$5:$F$46,BONUS_RULES!$A$5:$A$46,$C23,BONUS_RULES!$B$5:$B$46,"Abs%"),0))))</f>
        <v/>
      </c>
      <c r="L23" s="10">
        <f>IF(OR($A23="",$D23&lt;&gt;"READY"),"",IF(AGENT_INPUT!G23&gt;=SUMIFS(BONUS_RULES!$E$5:$E$46,BONUS_RULES!$A$5:$A$46,$C23,BONUS_RULES!$B$5:$B$46,"Extra Bonus (PCS Score)"),SUMIFS(BONUS_RULES!$D$5:$D$46,BONUS_RULES!$A$5:$A$46,$C23,BONUS_RULES!$B$5:$B$46,"Extra Bonus (PCS Score)"),IF(AGENT_INPUT!G23&gt;=SUMIFS(BONUS_RULES!$G$5:$G$46,BONUS_RULES!$A$5:$A$46,$C23,BONUS_RULES!$B$5:$B$46,"Extra Bonus (PCS Score)"),SUMIFS(BONUS_RULES!$F$5:$F$46,BONUS_RULES!$A$5:$A$46,$C23,BONUS_RULES!$B$5:$B$46,"Extra Bonus (PCS Score)"),0)))</f>
        <v/>
      </c>
      <c r="M23" s="10">
        <f>IF($A23="","",MIN(IF(POLICY_APPROVAL!$B$6="Replacement",SUM(F23:K23)-H23+MAX(H23,L23),SUM(F23:L23)),POLICY_APPROVAL!$B$10))</f>
        <v>0</v>
      </c>
      <c r="N23" s="10">
        <f>IF($A23="","",IFERROR(INDEX(BONUS_RULES!$J$5:$J$10,MATCH(MIN(MAX(AGENT_INPUT!K23,0),5),BONUS_RULES!$I$5:$I$10,0)),1))</f>
        <v>0</v>
      </c>
      <c r="O23" s="10">
        <f>IF(M23="","",MAX(0,IF(POLICY_APPROVAL!$B$5="Percentage points",M23-N23,M23*(1-N23))))</f>
        <v>0</v>
      </c>
      <c r="P23" s="11">
        <f>IF(D23&lt;&gt;"READY","",IF(AGENT_INPUT!O23&gt;0,AGENT_INPUT!O23,AGENT_INPUT!M23*AGENT_INPUT!N23/IF(POLICY_APPROVAL!$B$7="Annual",12,1)))</f>
        <v/>
      </c>
      <c r="Q23" s="10">
        <f>IF(D23&lt;&gt;"READY","",MIN(1,AGENT_INPUT!P23/AGENT_INPUT!Q23))</f>
        <v/>
      </c>
      <c r="R23" s="11">
        <f>IF(D23&lt;&gt;"READY","",ROUND(P23*Q23*O23,IF(POLICY_APPROVAL!$B$11="Whole MAD",0,2)))</f>
        <v/>
      </c>
      <c r="S23" s="11">
        <f>IF(AND(SETUP!$B$9="READY",T23="READY"),R23,"")</f>
        <v/>
      </c>
      <c r="T23" s="4" t="str">
        <f>IF($A23="","",IF(D23&lt;&gt;"READY","BLOCKED - INPUT",IF(E23&lt;&gt;"ELIGIBLE","BLOCKED - ELIGIBILITY",IF(AGENT_INPUT!S23&lt;&gt;"VALIDATED","BLOCKED - DATA",IF(SETUP!$B$9&lt;&gt;"READY","BLOCKED - POLICY","READY")))))</f>
        <v>BLOCKED - INPUT</v>
      </c>
      <c r="U23" s="4" t="str">
        <f>IF($A23="","",IF(COUNTIFS(AGENT_INPUT!$A$5:$A$254,$A23,AGENT_INPUT!$D$5:$D$254,AGENT_INPUT!D23)&gt;1,"DUPLICATE AGENT + PERIOD",IF(D23&lt;&gt;"READY","INPUT OR CONFIG REVIEW",IF(T23&lt;&gt;"READY",T23,""))))</f>
        <v>Missing, invalid, or unconfigured required input</v>
      </c>
    </row>
    <row r="24" spans="1:21">
      <c r="A24" s="4">
        <f>IF(AGENT_INPUT!A24="","",AGENT_INPUT!A24)</f>
        <v>249778</v>
      </c>
      <c r="B24" s="4" t="str">
        <f>IF($A24="","",AGENT_INPUT!B24)</f>
        <v>Youness OUAHBI</v>
      </c>
      <c r="C24" s="4" t="str">
        <f>IF($A24="","",AGENT_INPUT!C24)</f>
        <v>RSA FR</v>
      </c>
      <c r="D24" s="4" t="str">
        <f>IF($A24="","",IF(AND(COUNT(AGENT_INPUT!E24:J24)=6,COUNT(AGENT_INPUT!K24)=1,COUNTIF(BONUS_RULES!$A$5:$A$46,AGENT_INPUT!C24)&gt;0,OR(AGENT_INPUT!O24&gt;0,AND(AGENT_INPUT!M24&gt;0,AGENT_INPUT!N24&gt;0)),AGENT_INPUT!P24&gt;=0,AGENT_INPUT!Q24&gt;0,AGENT_INPUT!P24&lt;=AGENT_INPUT!Q24,AGENT_INPUT!H24&gt;=0,AGENT_INPUT!H24&lt;=1,AGENT_INPUT!I24&gt;=0,AGENT_INPUT!I24&lt;=1,AGENT_INPUT!J24&gt;=0,AGENT_INPUT!J24&lt;=1),"READY","BLOCKED"))</f>
        <v>BLOCKED</v>
      </c>
      <c r="E24" s="4">
        <f>IF($A24="","",IF(AGENT_INPUT!R24&lt;&gt;"Active","REVIEW",IF(OR(POLICY_APPROVAL!$B$9="Eligibility only",POLICY_APPROVAL!$B$9="Both"),IF(AGENT_INPUT!J24&lt;=SUMIFS(BONUS_RULES!$E$5:$E$46,BONUS_RULES!$A$5:$A$46,$C24,BONUS_RULES!$B$5:$B$46,"Abs%"),"ELIGIBLE","INELIGIBLE ABS"),"ELIGIBLE")))</f>
        <v/>
      </c>
      <c r="F24" s="10">
        <f>IF(OR($A24="",$D24&lt;&gt;"READY"),"",IF(AGENT_INPUT!E24&lt;=SUMIFS(BONUS_RULES!$E$5:$E$46,BONUS_RULES!$A$5:$A$46,$C24,BONUS_RULES!$B$5:$B$46,"AHT"),SUMIFS(BONUS_RULES!$D$5:$D$46,BONUS_RULES!$A$5:$A$46,$C24,BONUS_RULES!$B$5:$B$46,"AHT"),IF(AGENT_INPUT!E24&lt;=SUMIFS(BONUS_RULES!$G$5:$G$46,BONUS_RULES!$A$5:$A$46,$C24,BONUS_RULES!$B$5:$B$46,"AHT"),SUMIFS(BONUS_RULES!$F$5:$F$46,BONUS_RULES!$A$5:$A$46,$C24,BONUS_RULES!$B$5:$B$46,"AHT"),0)))</f>
        <v/>
      </c>
      <c r="G24" s="10">
        <f>IF(OR($A24="",$D24&lt;&gt;"READY"),"",IF(AGENT_INPUT!F24&gt;=SUMIFS(BONUS_RULES!$E$5:$E$46,BONUS_RULES!$A$5:$A$46,$C24,BONUS_RULES!$B$5:$B$46,"Productivity"),SUMIFS(BONUS_RULES!$D$5:$D$46,BONUS_RULES!$A$5:$A$46,$C24,BONUS_RULES!$B$5:$B$46,"Productivity"),IF(AGENT_INPUT!F24&gt;=SUMIFS(BONUS_RULES!$G$5:$G$46,BONUS_RULES!$A$5:$A$46,$C24,BONUS_RULES!$B$5:$B$46,"Productivity"),SUMIFS(BONUS_RULES!$F$5:$F$46,BONUS_RULES!$A$5:$A$46,$C24,BONUS_RULES!$B$5:$B$46,"Productivity"),0)))</f>
        <v/>
      </c>
      <c r="H24" s="10">
        <f>IF(OR($A24="",$D24&lt;&gt;"READY"),"",IF(AGENT_INPUT!G24&gt;=SUMIFS(BONUS_RULES!$E$5:$E$46,BONUS_RULES!$A$5:$A$46,$C24,BONUS_RULES!$B$5:$B$46,"PCS Score"),SUMIFS(BONUS_RULES!$D$5:$D$46,BONUS_RULES!$A$5:$A$46,$C24,BONUS_RULES!$B$5:$B$46,"PCS Score"),IF(AGENT_INPUT!G24&gt;=SUMIFS(BONUS_RULES!$G$5:$G$46,BONUS_RULES!$A$5:$A$46,$C24,BONUS_RULES!$B$5:$B$46,"PCS Score"),SUMIFS(BONUS_RULES!$F$5:$F$46,BONUS_RULES!$A$5:$A$46,$C24,BONUS_RULES!$B$5:$B$46,"PCS Score"),0)))</f>
        <v/>
      </c>
      <c r="I24" s="10">
        <f>IF(OR($A24="",$D24&lt;&gt;"READY"),"",IF(AGENT_INPUT!H24&gt;=SUMIFS(BONUS_RULES!$E$5:$E$46,BONUS_RULES!$A$5:$A$46,$C24,BONUS_RULES!$B$5:$B$46,"PCS % (Participation)"),SUMIFS(BONUS_RULES!$D$5:$D$46,BONUS_RULES!$A$5:$A$46,$C24,BONUS_RULES!$B$5:$B$46,"PCS % (Participation)"),IF(AGENT_INPUT!H24&gt;=SUMIFS(BONUS_RULES!$G$5:$G$46,BONUS_RULES!$A$5:$A$46,$C24,BONUS_RULES!$B$5:$B$46,"PCS % (Participation)"),SUMIFS(BONUS_RULES!$F$5:$F$46,BONUS_RULES!$A$5:$A$46,$C24,BONUS_RULES!$B$5:$B$46,"PCS % (Participation)"),0)))</f>
        <v/>
      </c>
      <c r="J24" s="10">
        <f>IF(OR($A24="",$D24&lt;&gt;"READY"),"",IF(AGENT_INPUT!I24&gt;=SUMIFS(BONUS_RULES!$E$5:$E$46,BONUS_RULES!$A$5:$A$46,$C24,BONUS_RULES!$B$5:$B$46,"QM"),SUMIFS(BONUS_RULES!$D$5:$D$46,BONUS_RULES!$A$5:$A$46,$C24,BONUS_RULES!$B$5:$B$46,"QM"),IF(AGENT_INPUT!I24&gt;=SUMIFS(BONUS_RULES!$G$5:$G$46,BONUS_RULES!$A$5:$A$46,$C24,BONUS_RULES!$B$5:$B$46,"QM"),SUMIFS(BONUS_RULES!$F$5:$F$46,BONUS_RULES!$A$5:$A$46,$C24,BONUS_RULES!$B$5:$B$46,"QM"),0)))</f>
        <v/>
      </c>
      <c r="K24" s="10">
        <f>IF(POLICY_APPROVAL!$B$9="Eligibility only",0,IF(OR($A24="",$D24&lt;&gt;"READY"),"",IF(AGENT_INPUT!J24&lt;=SUMIFS(BONUS_RULES!$E$5:$E$46,BONUS_RULES!$A$5:$A$46,$C24,BONUS_RULES!$B$5:$B$46,"Abs%"),SUMIFS(BONUS_RULES!$D$5:$D$46,BONUS_RULES!$A$5:$A$46,$C24,BONUS_RULES!$B$5:$B$46,"Abs%"),IF(AGENT_INPUT!J24&lt;=SUMIFS(BONUS_RULES!$G$5:$G$46,BONUS_RULES!$A$5:$A$46,$C24,BONUS_RULES!$B$5:$B$46,"Abs%"),SUMIFS(BONUS_RULES!$F$5:$F$46,BONUS_RULES!$A$5:$A$46,$C24,BONUS_RULES!$B$5:$B$46,"Abs%"),0))))</f>
        <v/>
      </c>
      <c r="L24" s="10">
        <f>IF(OR($A24="",$D24&lt;&gt;"READY"),"",IF(AGENT_INPUT!G24&gt;=SUMIFS(BONUS_RULES!$E$5:$E$46,BONUS_RULES!$A$5:$A$46,$C24,BONUS_RULES!$B$5:$B$46,"Extra Bonus (PCS Score)"),SUMIFS(BONUS_RULES!$D$5:$D$46,BONUS_RULES!$A$5:$A$46,$C24,BONUS_RULES!$B$5:$B$46,"Extra Bonus (PCS Score)"),IF(AGENT_INPUT!G24&gt;=SUMIFS(BONUS_RULES!$G$5:$G$46,BONUS_RULES!$A$5:$A$46,$C24,BONUS_RULES!$B$5:$B$46,"Extra Bonus (PCS Score)"),SUMIFS(BONUS_RULES!$F$5:$F$46,BONUS_RULES!$A$5:$A$46,$C24,BONUS_RULES!$B$5:$B$46,"Extra Bonus (PCS Score)"),0)))</f>
        <v/>
      </c>
      <c r="M24" s="10">
        <f>IF($A24="","",MIN(IF(POLICY_APPROVAL!$B$6="Replacement",SUM(F24:K24)-H24+MAX(H24,L24),SUM(F24:L24)),POLICY_APPROVAL!$B$10))</f>
        <v>0</v>
      </c>
      <c r="N24" s="10">
        <f>IF($A24="","",IFERROR(INDEX(BONUS_RULES!$J$5:$J$10,MATCH(MIN(MAX(AGENT_INPUT!K24,0),5),BONUS_RULES!$I$5:$I$10,0)),1))</f>
        <v>0</v>
      </c>
      <c r="O24" s="10">
        <f>IF(M24="","",MAX(0,IF(POLICY_APPROVAL!$B$5="Percentage points",M24-N24,M24*(1-N24))))</f>
        <v>0</v>
      </c>
      <c r="P24" s="11">
        <f>IF(D24&lt;&gt;"READY","",IF(AGENT_INPUT!O24&gt;0,AGENT_INPUT!O24,AGENT_INPUT!M24*AGENT_INPUT!N24/IF(POLICY_APPROVAL!$B$7="Annual",12,1)))</f>
        <v/>
      </c>
      <c r="Q24" s="10">
        <f>IF(D24&lt;&gt;"READY","",MIN(1,AGENT_INPUT!P24/AGENT_INPUT!Q24))</f>
        <v/>
      </c>
      <c r="R24" s="11">
        <f>IF(D24&lt;&gt;"READY","",ROUND(P24*Q24*O24,IF(POLICY_APPROVAL!$B$11="Whole MAD",0,2)))</f>
        <v/>
      </c>
      <c r="S24" s="11">
        <f>IF(AND(SETUP!$B$9="READY",T24="READY"),R24,"")</f>
        <v/>
      </c>
      <c r="T24" s="4" t="str">
        <f>IF($A24="","",IF(D24&lt;&gt;"READY","BLOCKED - INPUT",IF(E24&lt;&gt;"ELIGIBLE","BLOCKED - ELIGIBILITY",IF(AGENT_INPUT!S24&lt;&gt;"VALIDATED","BLOCKED - DATA",IF(SETUP!$B$9&lt;&gt;"READY","BLOCKED - POLICY","READY")))))</f>
        <v>BLOCKED - INPUT</v>
      </c>
      <c r="U24" s="4" t="str">
        <f>IF($A24="","",IF(COUNTIFS(AGENT_INPUT!$A$5:$A$254,$A24,AGENT_INPUT!$D$5:$D$254,AGENT_INPUT!D24)&gt;1,"DUPLICATE AGENT + PERIOD",IF(D24&lt;&gt;"READY","INPUT OR CONFIG REVIEW",IF(T24&lt;&gt;"READY",T24,""))))</f>
        <v>Missing, invalid, or unconfigured required input</v>
      </c>
    </row>
    <row r="25" spans="1:21">
      <c r="A25" s="4">
        <f>IF(AGENT_INPUT!A25="","",AGENT_INPUT!A25)</f>
        <v>96496</v>
      </c>
      <c r="B25" s="4" t="str">
        <f>IF($A25="","",AGENT_INPUT!B25)</f>
        <v>HADRI Younes</v>
      </c>
      <c r="C25" s="4" t="str">
        <f>IF($A25="","",AGENT_INPUT!C25)</f>
        <v>RSA VL</v>
      </c>
      <c r="D25" s="4" t="str">
        <f>IF($A25="","",IF(AND(COUNT(AGENT_INPUT!E25:J25)=6,COUNT(AGENT_INPUT!K25)=1,COUNTIF(BONUS_RULES!$A$5:$A$46,AGENT_INPUT!C25)&gt;0,OR(AGENT_INPUT!O25&gt;0,AND(AGENT_INPUT!M25&gt;0,AGENT_INPUT!N25&gt;0)),AGENT_INPUT!P25&gt;=0,AGENT_INPUT!Q25&gt;0,AGENT_INPUT!P25&lt;=AGENT_INPUT!Q25,AGENT_INPUT!H25&gt;=0,AGENT_INPUT!H25&lt;=1,AGENT_INPUT!I25&gt;=0,AGENT_INPUT!I25&lt;=1,AGENT_INPUT!J25&gt;=0,AGENT_INPUT!J25&lt;=1),"READY","BLOCKED"))</f>
        <v>READY</v>
      </c>
      <c r="E25" s="4" t="str">
        <f>IF($A25="","",IF(AGENT_INPUT!R25&lt;&gt;"Active","REVIEW",IF(OR(POLICY_APPROVAL!$B$9="Eligibility only",POLICY_APPROVAL!$B$9="Both"),IF(AGENT_INPUT!J25&lt;=SUMIFS(BONUS_RULES!$E$5:$E$46,BONUS_RULES!$A$5:$A$46,$C25,BONUS_RULES!$B$5:$B$46,"Abs%"),"ELIGIBLE","INELIGIBLE ABS"),"ELIGIBLE")))</f>
        <v>REVIEW</v>
      </c>
      <c r="F25" s="10">
        <f>IF(OR($A25="",$D25&lt;&gt;"READY"),"",IF(AGENT_INPUT!E25&lt;=SUMIFS(BONUS_RULES!$E$5:$E$46,BONUS_RULES!$A$5:$A$46,$C25,BONUS_RULES!$B$5:$B$46,"AHT"),SUMIFS(BONUS_RULES!$D$5:$D$46,BONUS_RULES!$A$5:$A$46,$C25,BONUS_RULES!$B$5:$B$46,"AHT"),IF(AGENT_INPUT!E25&lt;=SUMIFS(BONUS_RULES!$G$5:$G$46,BONUS_RULES!$A$5:$A$46,$C25,BONUS_RULES!$B$5:$B$46,"AHT"),SUMIFS(BONUS_RULES!$F$5:$F$46,BONUS_RULES!$A$5:$A$46,$C25,BONUS_RULES!$B$5:$B$46,"AHT"),0)))</f>
        <v>0.15</v>
      </c>
      <c r="G25" s="10">
        <f>IF(OR($A25="",$D25&lt;&gt;"READY"),"",IF(AGENT_INPUT!F25&gt;=SUMIFS(BONUS_RULES!$E$5:$E$46,BONUS_RULES!$A$5:$A$46,$C25,BONUS_RULES!$B$5:$B$46,"Productivity"),SUMIFS(BONUS_RULES!$D$5:$D$46,BONUS_RULES!$A$5:$A$46,$C25,BONUS_RULES!$B$5:$B$46,"Productivity"),IF(AGENT_INPUT!F25&gt;=SUMIFS(BONUS_RULES!$G$5:$G$46,BONUS_RULES!$A$5:$A$46,$C25,BONUS_RULES!$B$5:$B$46,"Productivity"),SUMIFS(BONUS_RULES!$F$5:$F$46,BONUS_RULES!$A$5:$A$46,$C25,BONUS_RULES!$B$5:$B$46,"Productivity"),0)))</f>
        <v>0.15</v>
      </c>
      <c r="H25" s="10">
        <f>IF(OR($A25="",$D25&lt;&gt;"READY"),"",IF(AGENT_INPUT!G25&gt;=SUMIFS(BONUS_RULES!$E$5:$E$46,BONUS_RULES!$A$5:$A$46,$C25,BONUS_RULES!$B$5:$B$46,"PCS Score"),SUMIFS(BONUS_RULES!$D$5:$D$46,BONUS_RULES!$A$5:$A$46,$C25,BONUS_RULES!$B$5:$B$46,"PCS Score"),IF(AGENT_INPUT!G25&gt;=SUMIFS(BONUS_RULES!$G$5:$G$46,BONUS_RULES!$A$5:$A$46,$C25,BONUS_RULES!$B$5:$B$46,"PCS Score"),SUMIFS(BONUS_RULES!$F$5:$F$46,BONUS_RULES!$A$5:$A$46,$C25,BONUS_RULES!$B$5:$B$46,"PCS Score"),0)))</f>
        <v>0.0</v>
      </c>
      <c r="I25" s="10">
        <f>IF(OR($A25="",$D25&lt;&gt;"READY"),"",IF(AGENT_INPUT!H25&gt;=SUMIFS(BONUS_RULES!$E$5:$E$46,BONUS_RULES!$A$5:$A$46,$C25,BONUS_RULES!$B$5:$B$46,"PCS % (Participation)"),SUMIFS(BONUS_RULES!$D$5:$D$46,BONUS_RULES!$A$5:$A$46,$C25,BONUS_RULES!$B$5:$B$46,"PCS % (Participation)"),IF(AGENT_INPUT!H25&gt;=SUMIFS(BONUS_RULES!$G$5:$G$46,BONUS_RULES!$A$5:$A$46,$C25,BONUS_RULES!$B$5:$B$46,"PCS % (Participation)"),SUMIFS(BONUS_RULES!$F$5:$F$46,BONUS_RULES!$A$5:$A$46,$C25,BONUS_RULES!$B$5:$B$46,"PCS % (Participation)"),0)))</f>
        <v>0.0</v>
      </c>
      <c r="J25" s="10">
        <f>IF(OR($A25="",$D25&lt;&gt;"READY"),"",IF(AGENT_INPUT!I25&gt;=SUMIFS(BONUS_RULES!$E$5:$E$46,BONUS_RULES!$A$5:$A$46,$C25,BONUS_RULES!$B$5:$B$46,"QM"),SUMIFS(BONUS_RULES!$D$5:$D$46,BONUS_RULES!$A$5:$A$46,$C25,BONUS_RULES!$B$5:$B$46,"QM"),IF(AGENT_INPUT!I25&gt;=SUMIFS(BONUS_RULES!$G$5:$G$46,BONUS_RULES!$A$5:$A$46,$C25,BONUS_RULES!$B$5:$B$46,"QM"),SUMIFS(BONUS_RULES!$F$5:$F$46,BONUS_RULES!$A$5:$A$46,$C25,BONUS_RULES!$B$5:$B$46,"QM"),0)))</f>
        <v>0.2</v>
      </c>
      <c r="K25" s="10">
        <f>IF(POLICY_APPROVAL!$B$9="Eligibility only",0,IF(OR($A25="",$D25&lt;&gt;"READY"),"",IF(AGENT_INPUT!J25&lt;=SUMIFS(BONUS_RULES!$E$5:$E$46,BONUS_RULES!$A$5:$A$46,$C25,BONUS_RULES!$B$5:$B$46,"Abs%"),SUMIFS(BONUS_RULES!$D$5:$D$46,BONUS_RULES!$A$5:$A$46,$C25,BONUS_RULES!$B$5:$B$46,"Abs%"),IF(AGENT_INPUT!J25&lt;=SUMIFS(BONUS_RULES!$G$5:$G$46,BONUS_RULES!$A$5:$A$46,$C25,BONUS_RULES!$B$5:$B$46,"Abs%"),SUMIFS(BONUS_RULES!$F$5:$F$46,BONUS_RULES!$A$5:$A$46,$C25,BONUS_RULES!$B$5:$B$46,"Abs%"),0))))</f>
        <v>0.15</v>
      </c>
      <c r="L25" s="10">
        <f>IF(OR($A25="",$D25&lt;&gt;"READY"),"",IF(AGENT_INPUT!G25&gt;=SUMIFS(BONUS_RULES!$E$5:$E$46,BONUS_RULES!$A$5:$A$46,$C25,BONUS_RULES!$B$5:$B$46,"Extra Bonus (PCS Score)"),SUMIFS(BONUS_RULES!$D$5:$D$46,BONUS_RULES!$A$5:$A$46,$C25,BONUS_RULES!$B$5:$B$46,"Extra Bonus (PCS Score)"),IF(AGENT_INPUT!G25&gt;=SUMIFS(BONUS_RULES!$G$5:$G$46,BONUS_RULES!$A$5:$A$46,$C25,BONUS_RULES!$B$5:$B$46,"Extra Bonus (PCS Score)"),SUMIFS(BONUS_RULES!$F$5:$F$46,BONUS_RULES!$A$5:$A$46,$C25,BONUS_RULES!$B$5:$B$46,"Extra Bonus (PCS Score)"),0)))</f>
        <v>0.0</v>
      </c>
      <c r="M25" s="10">
        <f>IF($A25="","",MIN(IF(POLICY_APPROVAL!$B$6="Replacement",SUM(F25:K25)-H25+MAX(H25,L25),SUM(F25:L25)),POLICY_APPROVAL!$B$10))</f>
        <v>0.65</v>
      </c>
      <c r="N25" s="10">
        <f>IF($A25="","",IFERROR(INDEX(BONUS_RULES!$J$5:$J$10,MATCH(MIN(MAX(AGENT_INPUT!K25,0),5),BONUS_RULES!$I$5:$I$10,0)),1))</f>
        <v>0</v>
      </c>
      <c r="O25" s="10">
        <f>IF(M25="","",MAX(0,IF(POLICY_APPROVAL!$B$5="Percentage points",M25-N25,M25*(1-N25))))</f>
        <v>0.65</v>
      </c>
      <c r="P25" s="11">
        <f>IF(D25&lt;&gt;"READY","",IF(AGENT_INPUT!O25&gt;0,AGENT_INPUT!O25,AGENT_INPUT!M25*AGENT_INPUT!N25/IF(POLICY_APPROVAL!$B$7="Annual",12,1)))</f>
        <v>2000.0</v>
      </c>
      <c r="Q25" s="10">
        <f>IF(D25&lt;&gt;"READY","",MIN(1,AGENT_INPUT!P25/AGENT_INPUT!Q25))</f>
        <v>1.0</v>
      </c>
      <c r="R25" s="11">
        <f>IF(D25&lt;&gt;"READY","",ROUND(P25*Q25*O25,IF(POLICY_APPROVAL!$B$11="Whole MAD",0,2)))</f>
        <v>1300.0</v>
      </c>
      <c r="S25" s="11">
        <f>IF(AND(SETUP!$B$9="READY",T25="READY"),R25,"")</f>
        <v/>
      </c>
      <c r="T25" s="4" t="str">
        <f>IF($A25="","",IF(D25&lt;&gt;"READY","BLOCKED - INPUT",IF(E25&lt;&gt;"ELIGIBLE","BLOCKED - ELIGIBILITY",IF(AGENT_INPUT!S25&lt;&gt;"VALIDATED","BLOCKED - DATA",IF(SETUP!$B$9&lt;&gt;"READY","BLOCKED - POLICY","READY")))))</f>
        <v>BLOCKED - ELIGIBILITY</v>
      </c>
      <c r="U25" s="4" t="str">
        <f>IF($A25="","",IF(COUNTIFS(AGENT_INPUT!$A$5:$A$254,$A25,AGENT_INPUT!$D$5:$D$254,AGENT_INPUT!D25)&gt;1,"DUPLICATE AGENT + PERIOD",IF(D25&lt;&gt;"READY","INPUT OR CONFIG REVIEW",IF(T25&lt;&gt;"READY",T25,""))))</f>
        <v>BLOCKED - ELIGIBILITY</v>
      </c>
    </row>
    <row r="26" spans="1:21">
      <c r="A26" s="4">
        <f>IF(AGENT_INPUT!A26="","",AGENT_INPUT!A26)</f>
        <v>228215</v>
      </c>
      <c r="B26" s="4" t="str">
        <f>IF($A26="","",AGENT_INPUT!B26)</f>
        <v>Younes EL FELLAH EL OUAZZANI</v>
      </c>
      <c r="C26" s="4" t="str">
        <f>IF($A26="","",AGENT_INPUT!C26)</f>
        <v>OEM FR</v>
      </c>
      <c r="D26" s="4" t="str">
        <f>IF($A26="","",IF(AND(COUNT(AGENT_INPUT!E26:J26)=6,COUNT(AGENT_INPUT!K26)=1,COUNTIF(BONUS_RULES!$A$5:$A$46,AGENT_INPUT!C26)&gt;0,OR(AGENT_INPUT!O26&gt;0,AND(AGENT_INPUT!M26&gt;0,AGENT_INPUT!N26&gt;0)),AGENT_INPUT!P26&gt;=0,AGENT_INPUT!Q26&gt;0,AGENT_INPUT!P26&lt;=AGENT_INPUT!Q26,AGENT_INPUT!H26&gt;=0,AGENT_INPUT!H26&lt;=1,AGENT_INPUT!I26&gt;=0,AGENT_INPUT!I26&lt;=1,AGENT_INPUT!J26&gt;=0,AGENT_INPUT!J26&lt;=1),"READY","BLOCKED"))</f>
        <v>READY</v>
      </c>
      <c r="E26" s="4" t="str">
        <f>IF($A26="","",IF(AGENT_INPUT!R26&lt;&gt;"Active","REVIEW",IF(OR(POLICY_APPROVAL!$B$9="Eligibility only",POLICY_APPROVAL!$B$9="Both"),IF(AGENT_INPUT!J26&lt;=SUMIFS(BONUS_RULES!$E$5:$E$46,BONUS_RULES!$A$5:$A$46,$C26,BONUS_RULES!$B$5:$B$46,"Abs%"),"ELIGIBLE","INELIGIBLE ABS"),"ELIGIBLE")))</f>
        <v>REVIEW</v>
      </c>
      <c r="F26" s="10">
        <f>IF(OR($A26="",$D26&lt;&gt;"READY"),"",IF(AGENT_INPUT!E26&lt;=SUMIFS(BONUS_RULES!$E$5:$E$46,BONUS_RULES!$A$5:$A$46,$C26,BONUS_RULES!$B$5:$B$46,"AHT"),SUMIFS(BONUS_RULES!$D$5:$D$46,BONUS_RULES!$A$5:$A$46,$C26,BONUS_RULES!$B$5:$B$46,"AHT"),IF(AGENT_INPUT!E26&lt;=SUMIFS(BONUS_RULES!$G$5:$G$46,BONUS_RULES!$A$5:$A$46,$C26,BONUS_RULES!$B$5:$B$46,"AHT"),SUMIFS(BONUS_RULES!$F$5:$F$46,BONUS_RULES!$A$5:$A$46,$C26,BONUS_RULES!$B$5:$B$46,"AHT"),0)))</f>
        <v>0.0</v>
      </c>
      <c r="G26" s="10">
        <f>IF(OR($A26="",$D26&lt;&gt;"READY"),"",IF(AGENT_INPUT!F26&gt;=SUMIFS(BONUS_RULES!$E$5:$E$46,BONUS_RULES!$A$5:$A$46,$C26,BONUS_RULES!$B$5:$B$46,"Productivity"),SUMIFS(BONUS_RULES!$D$5:$D$46,BONUS_RULES!$A$5:$A$46,$C26,BONUS_RULES!$B$5:$B$46,"Productivity"),IF(AGENT_INPUT!F26&gt;=SUMIFS(BONUS_RULES!$G$5:$G$46,BONUS_RULES!$A$5:$A$46,$C26,BONUS_RULES!$B$5:$B$46,"Productivity"),SUMIFS(BONUS_RULES!$F$5:$F$46,BONUS_RULES!$A$5:$A$46,$C26,BONUS_RULES!$B$5:$B$46,"Productivity"),0)))</f>
        <v>0.15</v>
      </c>
      <c r="H26" s="10">
        <f>IF(OR($A26="",$D26&lt;&gt;"READY"),"",IF(AGENT_INPUT!G26&gt;=SUMIFS(BONUS_RULES!$E$5:$E$46,BONUS_RULES!$A$5:$A$46,$C26,BONUS_RULES!$B$5:$B$46,"PCS Score"),SUMIFS(BONUS_RULES!$D$5:$D$46,BONUS_RULES!$A$5:$A$46,$C26,BONUS_RULES!$B$5:$B$46,"PCS Score"),IF(AGENT_INPUT!G26&gt;=SUMIFS(BONUS_RULES!$G$5:$G$46,BONUS_RULES!$A$5:$A$46,$C26,BONUS_RULES!$B$5:$B$46,"PCS Score"),SUMIFS(BONUS_RULES!$F$5:$F$46,BONUS_RULES!$A$5:$A$46,$C26,BONUS_RULES!$B$5:$B$46,"PCS Score"),0)))</f>
        <v>0.2</v>
      </c>
      <c r="I26" s="10">
        <f>IF(OR($A26="",$D26&lt;&gt;"READY"),"",IF(AGENT_INPUT!H26&gt;=SUMIFS(BONUS_RULES!$E$5:$E$46,BONUS_RULES!$A$5:$A$46,$C26,BONUS_RULES!$B$5:$B$46,"PCS % (Participation)"),SUMIFS(BONUS_RULES!$D$5:$D$46,BONUS_RULES!$A$5:$A$46,$C26,BONUS_RULES!$B$5:$B$46,"PCS % (Participation)"),IF(AGENT_INPUT!H26&gt;=SUMIFS(BONUS_RULES!$G$5:$G$46,BONUS_RULES!$A$5:$A$46,$C26,BONUS_RULES!$B$5:$B$46,"PCS % (Participation)"),SUMIFS(BONUS_RULES!$F$5:$F$46,BONUS_RULES!$A$5:$A$46,$C26,BONUS_RULES!$B$5:$B$46,"PCS % (Participation)"),0)))</f>
        <v>0.0</v>
      </c>
      <c r="J26" s="10">
        <f>IF(OR($A26="",$D26&lt;&gt;"READY"),"",IF(AGENT_INPUT!I26&gt;=SUMIFS(BONUS_RULES!$E$5:$E$46,BONUS_RULES!$A$5:$A$46,$C26,BONUS_RULES!$B$5:$B$46,"QM"),SUMIFS(BONUS_RULES!$D$5:$D$46,BONUS_RULES!$A$5:$A$46,$C26,BONUS_RULES!$B$5:$B$46,"QM"),IF(AGENT_INPUT!I26&gt;=SUMIFS(BONUS_RULES!$G$5:$G$46,BONUS_RULES!$A$5:$A$46,$C26,BONUS_RULES!$B$5:$B$46,"QM"),SUMIFS(BONUS_RULES!$F$5:$F$46,BONUS_RULES!$A$5:$A$46,$C26,BONUS_RULES!$B$5:$B$46,"QM"),0)))</f>
        <v>0.0</v>
      </c>
      <c r="K26" s="10">
        <f>IF(POLICY_APPROVAL!$B$9="Eligibility only",0,IF(OR($A26="",$D26&lt;&gt;"READY"),"",IF(AGENT_INPUT!J26&lt;=SUMIFS(BONUS_RULES!$E$5:$E$46,BONUS_RULES!$A$5:$A$46,$C26,BONUS_RULES!$B$5:$B$46,"Abs%"),SUMIFS(BONUS_RULES!$D$5:$D$46,BONUS_RULES!$A$5:$A$46,$C26,BONUS_RULES!$B$5:$B$46,"Abs%"),IF(AGENT_INPUT!J26&lt;=SUMIFS(BONUS_RULES!$G$5:$G$46,BONUS_RULES!$A$5:$A$46,$C26,BONUS_RULES!$B$5:$B$46,"Abs%"),SUMIFS(BONUS_RULES!$F$5:$F$46,BONUS_RULES!$A$5:$A$46,$C26,BONUS_RULES!$B$5:$B$46,"Abs%"),0))))</f>
        <v>0.15</v>
      </c>
      <c r="L26" s="10">
        <f>IF(OR($A26="",$D26&lt;&gt;"READY"),"",IF(AGENT_INPUT!G26&gt;=SUMIFS(BONUS_RULES!$E$5:$E$46,BONUS_RULES!$A$5:$A$46,$C26,BONUS_RULES!$B$5:$B$46,"Extra Bonus (PCS Score)"),SUMIFS(BONUS_RULES!$D$5:$D$46,BONUS_RULES!$A$5:$A$46,$C26,BONUS_RULES!$B$5:$B$46,"Extra Bonus (PCS Score)"),IF(AGENT_INPUT!G26&gt;=SUMIFS(BONUS_RULES!$G$5:$G$46,BONUS_RULES!$A$5:$A$46,$C26,BONUS_RULES!$B$5:$B$46,"Extra Bonus (PCS Score)"),SUMIFS(BONUS_RULES!$F$5:$F$46,BONUS_RULES!$A$5:$A$46,$C26,BONUS_RULES!$B$5:$B$46,"Extra Bonus (PCS Score)"),0)))</f>
        <v>0.3</v>
      </c>
      <c r="M26" s="10">
        <f>IF($A26="","",MIN(IF(POLICY_APPROVAL!$B$6="Replacement",SUM(F26:K26)-H26+MAX(H26,L26),SUM(F26:L26)),POLICY_APPROVAL!$B$10))</f>
        <v>0.8</v>
      </c>
      <c r="N26" s="10">
        <f>IF($A26="","",IFERROR(INDEX(BONUS_RULES!$J$5:$J$10,MATCH(MIN(MAX(AGENT_INPUT!K26,0),5),BONUS_RULES!$I$5:$I$10,0)),1))</f>
        <v>0</v>
      </c>
      <c r="O26" s="10">
        <f>IF(M26="","",MAX(0,IF(POLICY_APPROVAL!$B$5="Percentage points",M26-N26,M26*(1-N26))))</f>
        <v>0.8</v>
      </c>
      <c r="P26" s="11">
        <f>IF(D26&lt;&gt;"READY","",IF(AGENT_INPUT!O26&gt;0,AGENT_INPUT!O26,AGENT_INPUT!M26*AGENT_INPUT!N26/IF(POLICY_APPROVAL!$B$7="Annual",12,1)))</f>
        <v>2000.0</v>
      </c>
      <c r="Q26" s="10">
        <f>IF(D26&lt;&gt;"READY","",MIN(1,AGENT_INPUT!P26/AGENT_INPUT!Q26))</f>
        <v>1.0</v>
      </c>
      <c r="R26" s="11">
        <f>IF(D26&lt;&gt;"READY","",ROUND(P26*Q26*O26,IF(POLICY_APPROVAL!$B$11="Whole MAD",0,2)))</f>
        <v>1600.0</v>
      </c>
      <c r="S26" s="11">
        <f>IF(AND(SETUP!$B$9="READY",T26="READY"),R26,"")</f>
        <v/>
      </c>
      <c r="T26" s="4" t="str">
        <f>IF($A26="","",IF(D26&lt;&gt;"READY","BLOCKED - INPUT",IF(E26&lt;&gt;"ELIGIBLE","BLOCKED - ELIGIBILITY",IF(AGENT_INPUT!S26&lt;&gt;"VALIDATED","BLOCKED - DATA",IF(SETUP!$B$9&lt;&gt;"READY","BLOCKED - POLICY","READY")))))</f>
        <v>BLOCKED - ELIGIBILITY</v>
      </c>
      <c r="U26" s="4" t="str">
        <f>IF($A26="","",IF(COUNTIFS(AGENT_INPUT!$A$5:$A$254,$A26,AGENT_INPUT!$D$5:$D$254,AGENT_INPUT!D26)&gt;1,"DUPLICATE AGENT + PERIOD",IF(D26&lt;&gt;"READY","INPUT OR CONFIG REVIEW",IF(T26&lt;&gt;"READY",T26,""))))</f>
        <v>BLOCKED - ELIGIBILITY</v>
      </c>
    </row>
    <row r="27" spans="1:21">
      <c r="A27" s="4">
        <f>IF(AGENT_INPUT!A27="","",AGENT_INPUT!A27)</f>
        <v>228211</v>
      </c>
      <c r="B27" s="4" t="str">
        <f>IF($A27="","",AGENT_INPUT!B27)</f>
        <v>Yazid LAGDEM</v>
      </c>
      <c r="C27" s="4" t="str">
        <f>IF($A27="","",AGENT_INPUT!C27)</f>
        <v>OEM FR</v>
      </c>
      <c r="D27" s="4" t="str">
        <f>IF($A27="","",IF(AND(COUNT(AGENT_INPUT!E27:J27)=6,COUNT(AGENT_INPUT!K27)=1,COUNTIF(BONUS_RULES!$A$5:$A$46,AGENT_INPUT!C27)&gt;0,OR(AGENT_INPUT!O27&gt;0,AND(AGENT_INPUT!M27&gt;0,AGENT_INPUT!N27&gt;0)),AGENT_INPUT!P27&gt;=0,AGENT_INPUT!Q27&gt;0,AGENT_INPUT!P27&lt;=AGENT_INPUT!Q27,AGENT_INPUT!H27&gt;=0,AGENT_INPUT!H27&lt;=1,AGENT_INPUT!I27&gt;=0,AGENT_INPUT!I27&lt;=1,AGENT_INPUT!J27&gt;=0,AGENT_INPUT!J27&lt;=1),"READY","BLOCKED"))</f>
        <v>READY</v>
      </c>
      <c r="E27" s="4" t="str">
        <f>IF($A27="","",IF(AGENT_INPUT!R27&lt;&gt;"Active","REVIEW",IF(OR(POLICY_APPROVAL!$B$9="Eligibility only",POLICY_APPROVAL!$B$9="Both"),IF(AGENT_INPUT!J27&lt;=SUMIFS(BONUS_RULES!$E$5:$E$46,BONUS_RULES!$A$5:$A$46,$C27,BONUS_RULES!$B$5:$B$46,"Abs%"),"ELIGIBLE","INELIGIBLE ABS"),"ELIGIBLE")))</f>
        <v>REVIEW</v>
      </c>
      <c r="F27" s="10">
        <f>IF(OR($A27="",$D27&lt;&gt;"READY"),"",IF(AGENT_INPUT!E27&lt;=SUMIFS(BONUS_RULES!$E$5:$E$46,BONUS_RULES!$A$5:$A$46,$C27,BONUS_RULES!$B$5:$B$46,"AHT"),SUMIFS(BONUS_RULES!$D$5:$D$46,BONUS_RULES!$A$5:$A$46,$C27,BONUS_RULES!$B$5:$B$46,"AHT"),IF(AGENT_INPUT!E27&lt;=SUMIFS(BONUS_RULES!$G$5:$G$46,BONUS_RULES!$A$5:$A$46,$C27,BONUS_RULES!$B$5:$B$46,"AHT"),SUMIFS(BONUS_RULES!$F$5:$F$46,BONUS_RULES!$A$5:$A$46,$C27,BONUS_RULES!$B$5:$B$46,"AHT"),0)))</f>
        <v>0.0</v>
      </c>
      <c r="G27" s="10">
        <f>IF(OR($A27="",$D27&lt;&gt;"READY"),"",IF(AGENT_INPUT!F27&gt;=SUMIFS(BONUS_RULES!$E$5:$E$46,BONUS_RULES!$A$5:$A$46,$C27,BONUS_RULES!$B$5:$B$46,"Productivity"),SUMIFS(BONUS_RULES!$D$5:$D$46,BONUS_RULES!$A$5:$A$46,$C27,BONUS_RULES!$B$5:$B$46,"Productivity"),IF(AGENT_INPUT!F27&gt;=SUMIFS(BONUS_RULES!$G$5:$G$46,BONUS_RULES!$A$5:$A$46,$C27,BONUS_RULES!$B$5:$B$46,"Productivity"),SUMIFS(BONUS_RULES!$F$5:$F$46,BONUS_RULES!$A$5:$A$46,$C27,BONUS_RULES!$B$5:$B$46,"Productivity"),0)))</f>
        <v>0.0</v>
      </c>
      <c r="H27" s="10">
        <f>IF(OR($A27="",$D27&lt;&gt;"READY"),"",IF(AGENT_INPUT!G27&gt;=SUMIFS(BONUS_RULES!$E$5:$E$46,BONUS_RULES!$A$5:$A$46,$C27,BONUS_RULES!$B$5:$B$46,"PCS Score"),SUMIFS(BONUS_RULES!$D$5:$D$46,BONUS_RULES!$A$5:$A$46,$C27,BONUS_RULES!$B$5:$B$46,"PCS Score"),IF(AGENT_INPUT!G27&gt;=SUMIFS(BONUS_RULES!$G$5:$G$46,BONUS_RULES!$A$5:$A$46,$C27,BONUS_RULES!$B$5:$B$46,"PCS Score"),SUMIFS(BONUS_RULES!$F$5:$F$46,BONUS_RULES!$A$5:$A$46,$C27,BONUS_RULES!$B$5:$B$46,"PCS Score"),0)))</f>
        <v>0.2</v>
      </c>
      <c r="I27" s="10">
        <f>IF(OR($A27="",$D27&lt;&gt;"READY"),"",IF(AGENT_INPUT!H27&gt;=SUMIFS(BONUS_RULES!$E$5:$E$46,BONUS_RULES!$A$5:$A$46,$C27,BONUS_RULES!$B$5:$B$46,"PCS % (Participation)"),SUMIFS(BONUS_RULES!$D$5:$D$46,BONUS_RULES!$A$5:$A$46,$C27,BONUS_RULES!$B$5:$B$46,"PCS % (Participation)"),IF(AGENT_INPUT!H27&gt;=SUMIFS(BONUS_RULES!$G$5:$G$46,BONUS_RULES!$A$5:$A$46,$C27,BONUS_RULES!$B$5:$B$46,"PCS % (Participation)"),SUMIFS(BONUS_RULES!$F$5:$F$46,BONUS_RULES!$A$5:$A$46,$C27,BONUS_RULES!$B$5:$B$46,"PCS % (Participation)"),0)))</f>
        <v>0.0</v>
      </c>
      <c r="J27" s="10">
        <f>IF(OR($A27="",$D27&lt;&gt;"READY"),"",IF(AGENT_INPUT!I27&gt;=SUMIFS(BONUS_RULES!$E$5:$E$46,BONUS_RULES!$A$5:$A$46,$C27,BONUS_RULES!$B$5:$B$46,"QM"),SUMIFS(BONUS_RULES!$D$5:$D$46,BONUS_RULES!$A$5:$A$46,$C27,BONUS_RULES!$B$5:$B$46,"QM"),IF(AGENT_INPUT!I27&gt;=SUMIFS(BONUS_RULES!$G$5:$G$46,BONUS_RULES!$A$5:$A$46,$C27,BONUS_RULES!$B$5:$B$46,"QM"),SUMIFS(BONUS_RULES!$F$5:$F$46,BONUS_RULES!$A$5:$A$46,$C27,BONUS_RULES!$B$5:$B$46,"QM"),0)))</f>
        <v>0.0</v>
      </c>
      <c r="K27" s="10">
        <f>IF(POLICY_APPROVAL!$B$9="Eligibility only",0,IF(OR($A27="",$D27&lt;&gt;"READY"),"",IF(AGENT_INPUT!J27&lt;=SUMIFS(BONUS_RULES!$E$5:$E$46,BONUS_RULES!$A$5:$A$46,$C27,BONUS_RULES!$B$5:$B$46,"Abs%"),SUMIFS(BONUS_RULES!$D$5:$D$46,BONUS_RULES!$A$5:$A$46,$C27,BONUS_RULES!$B$5:$B$46,"Abs%"),IF(AGENT_INPUT!J27&lt;=SUMIFS(BONUS_RULES!$G$5:$G$46,BONUS_RULES!$A$5:$A$46,$C27,BONUS_RULES!$B$5:$B$46,"Abs%"),SUMIFS(BONUS_RULES!$F$5:$F$46,BONUS_RULES!$A$5:$A$46,$C27,BONUS_RULES!$B$5:$B$46,"Abs%"),0))))</f>
        <v>0.15</v>
      </c>
      <c r="L27" s="10">
        <f>IF(OR($A27="",$D27&lt;&gt;"READY"),"",IF(AGENT_INPUT!G27&gt;=SUMIFS(BONUS_RULES!$E$5:$E$46,BONUS_RULES!$A$5:$A$46,$C27,BONUS_RULES!$B$5:$B$46,"Extra Bonus (PCS Score)"),SUMIFS(BONUS_RULES!$D$5:$D$46,BONUS_RULES!$A$5:$A$46,$C27,BONUS_RULES!$B$5:$B$46,"Extra Bonus (PCS Score)"),IF(AGENT_INPUT!G27&gt;=SUMIFS(BONUS_RULES!$G$5:$G$46,BONUS_RULES!$A$5:$A$46,$C27,BONUS_RULES!$B$5:$B$46,"Extra Bonus (PCS Score)"),SUMIFS(BONUS_RULES!$F$5:$F$46,BONUS_RULES!$A$5:$A$46,$C27,BONUS_RULES!$B$5:$B$46,"Extra Bonus (PCS Score)"),0)))</f>
        <v>0.3</v>
      </c>
      <c r="M27" s="10">
        <f>IF($A27="","",MIN(IF(POLICY_APPROVAL!$B$6="Replacement",SUM(F27:K27)-H27+MAX(H27,L27),SUM(F27:L27)),POLICY_APPROVAL!$B$10))</f>
        <v>0.6499999999999999</v>
      </c>
      <c r="N27" s="10">
        <f>IF($A27="","",IFERROR(INDEX(BONUS_RULES!$J$5:$J$10,MATCH(MIN(MAX(AGENT_INPUT!K27,0),5),BONUS_RULES!$I$5:$I$10,0)),1))</f>
        <v>0</v>
      </c>
      <c r="O27" s="10">
        <f>IF(M27="","",MAX(0,IF(POLICY_APPROVAL!$B$5="Percentage points",M27-N27,M27*(1-N27))))</f>
        <v>0.6499999999999999</v>
      </c>
      <c r="P27" s="11">
        <f>IF(D27&lt;&gt;"READY","",IF(AGENT_INPUT!O27&gt;0,AGENT_INPUT!O27,AGENT_INPUT!M27*AGENT_INPUT!N27/IF(POLICY_APPROVAL!$B$7="Annual",12,1)))</f>
        <v>2000.0</v>
      </c>
      <c r="Q27" s="10">
        <f>IF(D27&lt;&gt;"READY","",MIN(1,AGENT_INPUT!P27/AGENT_INPUT!Q27))</f>
        <v>1.0</v>
      </c>
      <c r="R27" s="11">
        <f>IF(D27&lt;&gt;"READY","",ROUND(P27*Q27*O27,IF(POLICY_APPROVAL!$B$11="Whole MAD",0,2)))</f>
        <v>1300.0</v>
      </c>
      <c r="S27" s="11">
        <f>IF(AND(SETUP!$B$9="READY",T27="READY"),R27,"")</f>
        <v/>
      </c>
      <c r="T27" s="4" t="str">
        <f>IF($A27="","",IF(D27&lt;&gt;"READY","BLOCKED - INPUT",IF(E27&lt;&gt;"ELIGIBLE","BLOCKED - ELIGIBILITY",IF(AGENT_INPUT!S27&lt;&gt;"VALIDATED","BLOCKED - DATA",IF(SETUP!$B$9&lt;&gt;"READY","BLOCKED - POLICY","READY")))))</f>
        <v>BLOCKED - ELIGIBILITY</v>
      </c>
      <c r="U27" s="4" t="str">
        <f>IF($A27="","",IF(COUNTIFS(AGENT_INPUT!$A$5:$A$254,$A27,AGENT_INPUT!$D$5:$D$254,AGENT_INPUT!D27)&gt;1,"DUPLICATE AGENT + PERIOD",IF(D27&lt;&gt;"READY","INPUT OR CONFIG REVIEW",IF(T27&lt;&gt;"READY",T27,""))))</f>
        <v>BLOCKED - ELIGIBILITY</v>
      </c>
    </row>
    <row r="28" spans="1:21">
      <c r="A28" s="4">
        <f>IF(AGENT_INPUT!A28="","",AGENT_INPUT!A28)</f>
        <v>232196</v>
      </c>
      <c r="B28" s="4" t="str">
        <f>IF($A28="","",AGENT_INPUT!B28)</f>
        <v>Yassir Issarti</v>
      </c>
      <c r="C28" s="4" t="str">
        <f>IF($A28="","",AGENT_INPUT!C28)</f>
        <v>RSA NL</v>
      </c>
      <c r="D28" s="4" t="str">
        <f>IF($A28="","",IF(AND(COUNT(AGENT_INPUT!E28:J28)=6,COUNT(AGENT_INPUT!K28)=1,COUNTIF(BONUS_RULES!$A$5:$A$46,AGENT_INPUT!C28)&gt;0,OR(AGENT_INPUT!O28&gt;0,AND(AGENT_INPUT!M28&gt;0,AGENT_INPUT!N28&gt;0)),AGENT_INPUT!P28&gt;=0,AGENT_INPUT!Q28&gt;0,AGENT_INPUT!P28&lt;=AGENT_INPUT!Q28,AGENT_INPUT!H28&gt;=0,AGENT_INPUT!H28&lt;=1,AGENT_INPUT!I28&gt;=0,AGENT_INPUT!I28&lt;=1,AGENT_INPUT!J28&gt;=0,AGENT_INPUT!J28&lt;=1),"READY","BLOCKED"))</f>
        <v>READY</v>
      </c>
      <c r="E28" s="4" t="str">
        <f>IF($A28="","",IF(AGENT_INPUT!R28&lt;&gt;"Active","REVIEW",IF(OR(POLICY_APPROVAL!$B$9="Eligibility only",POLICY_APPROVAL!$B$9="Both"),IF(AGENT_INPUT!J28&lt;=SUMIFS(BONUS_RULES!$E$5:$E$46,BONUS_RULES!$A$5:$A$46,$C28,BONUS_RULES!$B$5:$B$46,"Abs%"),"ELIGIBLE","INELIGIBLE ABS"),"ELIGIBLE")))</f>
        <v>REVIEW</v>
      </c>
      <c r="F28" s="10">
        <f>IF(OR($A28="",$D28&lt;&gt;"READY"),"",IF(AGENT_INPUT!E28&lt;=SUMIFS(BONUS_RULES!$E$5:$E$46,BONUS_RULES!$A$5:$A$46,$C28,BONUS_RULES!$B$5:$B$46,"AHT"),SUMIFS(BONUS_RULES!$D$5:$D$46,BONUS_RULES!$A$5:$A$46,$C28,BONUS_RULES!$B$5:$B$46,"AHT"),IF(AGENT_INPUT!E28&lt;=SUMIFS(BONUS_RULES!$G$5:$G$46,BONUS_RULES!$A$5:$A$46,$C28,BONUS_RULES!$B$5:$B$46,"AHT"),SUMIFS(BONUS_RULES!$F$5:$F$46,BONUS_RULES!$A$5:$A$46,$C28,BONUS_RULES!$B$5:$B$46,"AHT"),0)))</f>
        <v>0.0</v>
      </c>
      <c r="G28" s="10">
        <f>IF(OR($A28="",$D28&lt;&gt;"READY"),"",IF(AGENT_INPUT!F28&gt;=SUMIFS(BONUS_RULES!$E$5:$E$46,BONUS_RULES!$A$5:$A$46,$C28,BONUS_RULES!$B$5:$B$46,"Productivity"),SUMIFS(BONUS_RULES!$D$5:$D$46,BONUS_RULES!$A$5:$A$46,$C28,BONUS_RULES!$B$5:$B$46,"Productivity"),IF(AGENT_INPUT!F28&gt;=SUMIFS(BONUS_RULES!$G$5:$G$46,BONUS_RULES!$A$5:$A$46,$C28,BONUS_RULES!$B$5:$B$46,"Productivity"),SUMIFS(BONUS_RULES!$F$5:$F$46,BONUS_RULES!$A$5:$A$46,$C28,BONUS_RULES!$B$5:$B$46,"Productivity"),0)))</f>
        <v>0.0</v>
      </c>
      <c r="H28" s="10">
        <f>IF(OR($A28="",$D28&lt;&gt;"READY"),"",IF(AGENT_INPUT!G28&gt;=SUMIFS(BONUS_RULES!$E$5:$E$46,BONUS_RULES!$A$5:$A$46,$C28,BONUS_RULES!$B$5:$B$46,"PCS Score"),SUMIFS(BONUS_RULES!$D$5:$D$46,BONUS_RULES!$A$5:$A$46,$C28,BONUS_RULES!$B$5:$B$46,"PCS Score"),IF(AGENT_INPUT!G28&gt;=SUMIFS(BONUS_RULES!$G$5:$G$46,BONUS_RULES!$A$5:$A$46,$C28,BONUS_RULES!$B$5:$B$46,"PCS Score"),SUMIFS(BONUS_RULES!$F$5:$F$46,BONUS_RULES!$A$5:$A$46,$C28,BONUS_RULES!$B$5:$B$46,"PCS Score"),0)))</f>
        <v>0.15</v>
      </c>
      <c r="I28" s="10">
        <f>IF(OR($A28="",$D28&lt;&gt;"READY"),"",IF(AGENT_INPUT!H28&gt;=SUMIFS(BONUS_RULES!$E$5:$E$46,BONUS_RULES!$A$5:$A$46,$C28,BONUS_RULES!$B$5:$B$46,"PCS % (Participation)"),SUMIFS(BONUS_RULES!$D$5:$D$46,BONUS_RULES!$A$5:$A$46,$C28,BONUS_RULES!$B$5:$B$46,"PCS % (Participation)"),IF(AGENT_INPUT!H28&gt;=SUMIFS(BONUS_RULES!$G$5:$G$46,BONUS_RULES!$A$5:$A$46,$C28,BONUS_RULES!$B$5:$B$46,"PCS % (Participation)"),SUMIFS(BONUS_RULES!$F$5:$F$46,BONUS_RULES!$A$5:$A$46,$C28,BONUS_RULES!$B$5:$B$46,"PCS % (Participation)"),0)))</f>
        <v>0.0</v>
      </c>
      <c r="J28" s="10">
        <f>IF(OR($A28="",$D28&lt;&gt;"READY"),"",IF(AGENT_INPUT!I28&gt;=SUMIFS(BONUS_RULES!$E$5:$E$46,BONUS_RULES!$A$5:$A$46,$C28,BONUS_RULES!$B$5:$B$46,"QM"),SUMIFS(BONUS_RULES!$D$5:$D$46,BONUS_RULES!$A$5:$A$46,$C28,BONUS_RULES!$B$5:$B$46,"QM"),IF(AGENT_INPUT!I28&gt;=SUMIFS(BONUS_RULES!$G$5:$G$46,BONUS_RULES!$A$5:$A$46,$C28,BONUS_RULES!$B$5:$B$46,"QM"),SUMIFS(BONUS_RULES!$F$5:$F$46,BONUS_RULES!$A$5:$A$46,$C28,BONUS_RULES!$B$5:$B$46,"QM"),0)))</f>
        <v>0.0</v>
      </c>
      <c r="K28" s="10">
        <f>IF(POLICY_APPROVAL!$B$9="Eligibility only",0,IF(OR($A28="",$D28&lt;&gt;"READY"),"",IF(AGENT_INPUT!J28&lt;=SUMIFS(BONUS_RULES!$E$5:$E$46,BONUS_RULES!$A$5:$A$46,$C28,BONUS_RULES!$B$5:$B$46,"Abs%"),SUMIFS(BONUS_RULES!$D$5:$D$46,BONUS_RULES!$A$5:$A$46,$C28,BONUS_RULES!$B$5:$B$46,"Abs%"),IF(AGENT_INPUT!J28&lt;=SUMIFS(BONUS_RULES!$G$5:$G$46,BONUS_RULES!$A$5:$A$46,$C28,BONUS_RULES!$B$5:$B$46,"Abs%"),SUMIFS(BONUS_RULES!$F$5:$F$46,BONUS_RULES!$A$5:$A$46,$C28,BONUS_RULES!$B$5:$B$46,"Abs%"),0))))</f>
        <v>0.15</v>
      </c>
      <c r="L28" s="10">
        <f>IF(OR($A28="",$D28&lt;&gt;"READY"),"",IF(AGENT_INPUT!G28&gt;=SUMIFS(BONUS_RULES!$E$5:$E$46,BONUS_RULES!$A$5:$A$46,$C28,BONUS_RULES!$B$5:$B$46,"Extra Bonus (PCS Score)"),SUMIFS(BONUS_RULES!$D$5:$D$46,BONUS_RULES!$A$5:$A$46,$C28,BONUS_RULES!$B$5:$B$46,"Extra Bonus (PCS Score)"),IF(AGENT_INPUT!G28&gt;=SUMIFS(BONUS_RULES!$G$5:$G$46,BONUS_RULES!$A$5:$A$46,$C28,BONUS_RULES!$B$5:$B$46,"Extra Bonus (PCS Score)"),SUMIFS(BONUS_RULES!$F$5:$F$46,BONUS_RULES!$A$5:$A$46,$C28,BONUS_RULES!$B$5:$B$46,"Extra Bonus (PCS Score)"),0)))</f>
        <v>0.0</v>
      </c>
      <c r="M28" s="10">
        <f>IF($A28="","",MIN(IF(POLICY_APPROVAL!$B$6="Replacement",SUM(F28:K28)-H28+MAX(H28,L28),SUM(F28:L28)),POLICY_APPROVAL!$B$10))</f>
        <v>0.3</v>
      </c>
      <c r="N28" s="10">
        <f>IF($A28="","",IFERROR(INDEX(BONUS_RULES!$J$5:$J$10,MATCH(MIN(MAX(AGENT_INPUT!K28,0),5),BONUS_RULES!$I$5:$I$10,0)),1))</f>
        <v>0</v>
      </c>
      <c r="O28" s="10">
        <f>IF(M28="","",MAX(0,IF(POLICY_APPROVAL!$B$5="Percentage points",M28-N28,M28*(1-N28))))</f>
        <v>0.3</v>
      </c>
      <c r="P28" s="11">
        <f>IF(D28&lt;&gt;"READY","",IF(AGENT_INPUT!O28&gt;0,AGENT_INPUT!O28,AGENT_INPUT!M28*AGENT_INPUT!N28/IF(POLICY_APPROVAL!$B$7="Annual",12,1)))</f>
        <v>2000.0</v>
      </c>
      <c r="Q28" s="10">
        <f>IF(D28&lt;&gt;"READY","",MIN(1,AGENT_INPUT!P28/AGENT_INPUT!Q28))</f>
        <v>1.0</v>
      </c>
      <c r="R28" s="11">
        <f>IF(D28&lt;&gt;"READY","",ROUND(P28*Q28*O28,IF(POLICY_APPROVAL!$B$11="Whole MAD",0,2)))</f>
        <v>600.0</v>
      </c>
      <c r="S28" s="11">
        <f>IF(AND(SETUP!$B$9="READY",T28="READY"),R28,"")</f>
        <v/>
      </c>
      <c r="T28" s="4" t="str">
        <f>IF($A28="","",IF(D28&lt;&gt;"READY","BLOCKED - INPUT",IF(E28&lt;&gt;"ELIGIBLE","BLOCKED - ELIGIBILITY",IF(AGENT_INPUT!S28&lt;&gt;"VALIDATED","BLOCKED - DATA",IF(SETUP!$B$9&lt;&gt;"READY","BLOCKED - POLICY","READY")))))</f>
        <v>BLOCKED - ELIGIBILITY</v>
      </c>
      <c r="U28" s="4" t="str">
        <f>IF($A28="","",IF(COUNTIFS(AGENT_INPUT!$A$5:$A$254,$A28,AGENT_INPUT!$D$5:$D$254,AGENT_INPUT!D28)&gt;1,"DUPLICATE AGENT + PERIOD",IF(D28&lt;&gt;"READY","INPUT OR CONFIG REVIEW",IF(T28&lt;&gt;"READY",T28,""))))</f>
        <v>BLOCKED - ELIGIBILITY</v>
      </c>
    </row>
    <row r="29" spans="1:21">
      <c r="A29" s="4">
        <f>IF(AGENT_INPUT!A29="","",AGENT_INPUT!A29)</f>
        <v>203614</v>
      </c>
      <c r="B29" s="4" t="str">
        <f>IF($A29="","",AGENT_INPUT!B29)</f>
        <v>El Mekkaoui Yassir</v>
      </c>
      <c r="C29" s="4" t="str">
        <f>IF($A29="","",AGENT_INPUT!C29)</f>
        <v>OEM FR</v>
      </c>
      <c r="D29" s="4" t="str">
        <f>IF($A29="","",IF(AND(COUNT(AGENT_INPUT!E29:J29)=6,COUNT(AGENT_INPUT!K29)=1,COUNTIF(BONUS_RULES!$A$5:$A$46,AGENT_INPUT!C29)&gt;0,OR(AGENT_INPUT!O29&gt;0,AND(AGENT_INPUT!M29&gt;0,AGENT_INPUT!N29&gt;0)),AGENT_INPUT!P29&gt;=0,AGENT_INPUT!Q29&gt;0,AGENT_INPUT!P29&lt;=AGENT_INPUT!Q29,AGENT_INPUT!H29&gt;=0,AGENT_INPUT!H29&lt;=1,AGENT_INPUT!I29&gt;=0,AGENT_INPUT!I29&lt;=1,AGENT_INPUT!J29&gt;=0,AGENT_INPUT!J29&lt;=1),"READY","BLOCKED"))</f>
        <v>READY</v>
      </c>
      <c r="E29" s="4" t="str">
        <f>IF($A29="","",IF(AGENT_INPUT!R29&lt;&gt;"Active","REVIEW",IF(OR(POLICY_APPROVAL!$B$9="Eligibility only",POLICY_APPROVAL!$B$9="Both"),IF(AGENT_INPUT!J29&lt;=SUMIFS(BONUS_RULES!$E$5:$E$46,BONUS_RULES!$A$5:$A$46,$C29,BONUS_RULES!$B$5:$B$46,"Abs%"),"ELIGIBLE","INELIGIBLE ABS"),"ELIGIBLE")))</f>
        <v>REVIEW</v>
      </c>
      <c r="F29" s="10">
        <f>IF(OR($A29="",$D29&lt;&gt;"READY"),"",IF(AGENT_INPUT!E29&lt;=SUMIFS(BONUS_RULES!$E$5:$E$46,BONUS_RULES!$A$5:$A$46,$C29,BONUS_RULES!$B$5:$B$46,"AHT"),SUMIFS(BONUS_RULES!$D$5:$D$46,BONUS_RULES!$A$5:$A$46,$C29,BONUS_RULES!$B$5:$B$46,"AHT"),IF(AGENT_INPUT!E29&lt;=SUMIFS(BONUS_RULES!$G$5:$G$46,BONUS_RULES!$A$5:$A$46,$C29,BONUS_RULES!$B$5:$B$46,"AHT"),SUMIFS(BONUS_RULES!$F$5:$F$46,BONUS_RULES!$A$5:$A$46,$C29,BONUS_RULES!$B$5:$B$46,"AHT"),0)))</f>
        <v>0.0</v>
      </c>
      <c r="G29" s="10">
        <f>IF(OR($A29="",$D29&lt;&gt;"READY"),"",IF(AGENT_INPUT!F29&gt;=SUMIFS(BONUS_RULES!$E$5:$E$46,BONUS_RULES!$A$5:$A$46,$C29,BONUS_RULES!$B$5:$B$46,"Productivity"),SUMIFS(BONUS_RULES!$D$5:$D$46,BONUS_RULES!$A$5:$A$46,$C29,BONUS_RULES!$B$5:$B$46,"Productivity"),IF(AGENT_INPUT!F29&gt;=SUMIFS(BONUS_RULES!$G$5:$G$46,BONUS_RULES!$A$5:$A$46,$C29,BONUS_RULES!$B$5:$B$46,"Productivity"),SUMIFS(BONUS_RULES!$F$5:$F$46,BONUS_RULES!$A$5:$A$46,$C29,BONUS_RULES!$B$5:$B$46,"Productivity"),0)))</f>
        <v>0.0</v>
      </c>
      <c r="H29" s="10">
        <f>IF(OR($A29="",$D29&lt;&gt;"READY"),"",IF(AGENT_INPUT!G29&gt;=SUMIFS(BONUS_RULES!$E$5:$E$46,BONUS_RULES!$A$5:$A$46,$C29,BONUS_RULES!$B$5:$B$46,"PCS Score"),SUMIFS(BONUS_RULES!$D$5:$D$46,BONUS_RULES!$A$5:$A$46,$C29,BONUS_RULES!$B$5:$B$46,"PCS Score"),IF(AGENT_INPUT!G29&gt;=SUMIFS(BONUS_RULES!$G$5:$G$46,BONUS_RULES!$A$5:$A$46,$C29,BONUS_RULES!$B$5:$B$46,"PCS Score"),SUMIFS(BONUS_RULES!$F$5:$F$46,BONUS_RULES!$A$5:$A$46,$C29,BONUS_RULES!$B$5:$B$46,"PCS Score"),0)))</f>
        <v>0.2</v>
      </c>
      <c r="I29" s="10">
        <f>IF(OR($A29="",$D29&lt;&gt;"READY"),"",IF(AGENT_INPUT!H29&gt;=SUMIFS(BONUS_RULES!$E$5:$E$46,BONUS_RULES!$A$5:$A$46,$C29,BONUS_RULES!$B$5:$B$46,"PCS % (Participation)"),SUMIFS(BONUS_RULES!$D$5:$D$46,BONUS_RULES!$A$5:$A$46,$C29,BONUS_RULES!$B$5:$B$46,"PCS % (Participation)"),IF(AGENT_INPUT!H29&gt;=SUMIFS(BONUS_RULES!$G$5:$G$46,BONUS_RULES!$A$5:$A$46,$C29,BONUS_RULES!$B$5:$B$46,"PCS % (Participation)"),SUMIFS(BONUS_RULES!$F$5:$F$46,BONUS_RULES!$A$5:$A$46,$C29,BONUS_RULES!$B$5:$B$46,"PCS % (Participation)"),0)))</f>
        <v>0.0</v>
      </c>
      <c r="J29" s="10">
        <f>IF(OR($A29="",$D29&lt;&gt;"READY"),"",IF(AGENT_INPUT!I29&gt;=SUMIFS(BONUS_RULES!$E$5:$E$46,BONUS_RULES!$A$5:$A$46,$C29,BONUS_RULES!$B$5:$B$46,"QM"),SUMIFS(BONUS_RULES!$D$5:$D$46,BONUS_RULES!$A$5:$A$46,$C29,BONUS_RULES!$B$5:$B$46,"QM"),IF(AGENT_INPUT!I29&gt;=SUMIFS(BONUS_RULES!$G$5:$G$46,BONUS_RULES!$A$5:$A$46,$C29,BONUS_RULES!$B$5:$B$46,"QM"),SUMIFS(BONUS_RULES!$F$5:$F$46,BONUS_RULES!$A$5:$A$46,$C29,BONUS_RULES!$B$5:$B$46,"QM"),0)))</f>
        <v>0.0</v>
      </c>
      <c r="K29" s="10">
        <f>IF(POLICY_APPROVAL!$B$9="Eligibility only",0,IF(OR($A29="",$D29&lt;&gt;"READY"),"",IF(AGENT_INPUT!J29&lt;=SUMIFS(BONUS_RULES!$E$5:$E$46,BONUS_RULES!$A$5:$A$46,$C29,BONUS_RULES!$B$5:$B$46,"Abs%"),SUMIFS(BONUS_RULES!$D$5:$D$46,BONUS_RULES!$A$5:$A$46,$C29,BONUS_RULES!$B$5:$B$46,"Abs%"),IF(AGENT_INPUT!J29&lt;=SUMIFS(BONUS_RULES!$G$5:$G$46,BONUS_RULES!$A$5:$A$46,$C29,BONUS_RULES!$B$5:$B$46,"Abs%"),SUMIFS(BONUS_RULES!$F$5:$F$46,BONUS_RULES!$A$5:$A$46,$C29,BONUS_RULES!$B$5:$B$46,"Abs%"),0))))</f>
        <v>0.15</v>
      </c>
      <c r="L29" s="10">
        <f>IF(OR($A29="",$D29&lt;&gt;"READY"),"",IF(AGENT_INPUT!G29&gt;=SUMIFS(BONUS_RULES!$E$5:$E$46,BONUS_RULES!$A$5:$A$46,$C29,BONUS_RULES!$B$5:$B$46,"Extra Bonus (PCS Score)"),SUMIFS(BONUS_RULES!$D$5:$D$46,BONUS_RULES!$A$5:$A$46,$C29,BONUS_RULES!$B$5:$B$46,"Extra Bonus (PCS Score)"),IF(AGENT_INPUT!G29&gt;=SUMIFS(BONUS_RULES!$G$5:$G$46,BONUS_RULES!$A$5:$A$46,$C29,BONUS_RULES!$B$5:$B$46,"Extra Bonus (PCS Score)"),SUMIFS(BONUS_RULES!$F$5:$F$46,BONUS_RULES!$A$5:$A$46,$C29,BONUS_RULES!$B$5:$B$46,"Extra Bonus (PCS Score)"),0)))</f>
        <v>0.3</v>
      </c>
      <c r="M29" s="10">
        <f>IF($A29="","",MIN(IF(POLICY_APPROVAL!$B$6="Replacement",SUM(F29:K29)-H29+MAX(H29,L29),SUM(F29:L29)),POLICY_APPROVAL!$B$10))</f>
        <v>0.6499999999999999</v>
      </c>
      <c r="N29" s="10">
        <f>IF($A29="","",IFERROR(INDEX(BONUS_RULES!$J$5:$J$10,MATCH(MIN(MAX(AGENT_INPUT!K29,0),5),BONUS_RULES!$I$5:$I$10,0)),1))</f>
        <v>0</v>
      </c>
      <c r="O29" s="10">
        <f>IF(M29="","",MAX(0,IF(POLICY_APPROVAL!$B$5="Percentage points",M29-N29,M29*(1-N29))))</f>
        <v>0.6499999999999999</v>
      </c>
      <c r="P29" s="11">
        <f>IF(D29&lt;&gt;"READY","",IF(AGENT_INPUT!O29&gt;0,AGENT_INPUT!O29,AGENT_INPUT!M29*AGENT_INPUT!N29/IF(POLICY_APPROVAL!$B$7="Annual",12,1)))</f>
        <v>2000.0</v>
      </c>
      <c r="Q29" s="10">
        <f>IF(D29&lt;&gt;"READY","",MIN(1,AGENT_INPUT!P29/AGENT_INPUT!Q29))</f>
        <v>1.0</v>
      </c>
      <c r="R29" s="11">
        <f>IF(D29&lt;&gt;"READY","",ROUND(P29*Q29*O29,IF(POLICY_APPROVAL!$B$11="Whole MAD",0,2)))</f>
        <v>1300.0</v>
      </c>
      <c r="S29" s="11">
        <f>IF(AND(SETUP!$B$9="READY",T29="READY"),R29,"")</f>
        <v/>
      </c>
      <c r="T29" s="4" t="str">
        <f>IF($A29="","",IF(D29&lt;&gt;"READY","BLOCKED - INPUT",IF(E29&lt;&gt;"ELIGIBLE","BLOCKED - ELIGIBILITY",IF(AGENT_INPUT!S29&lt;&gt;"VALIDATED","BLOCKED - DATA",IF(SETUP!$B$9&lt;&gt;"READY","BLOCKED - POLICY","READY")))))</f>
        <v>BLOCKED - ELIGIBILITY</v>
      </c>
      <c r="U29" s="4" t="str">
        <f>IF($A29="","",IF(COUNTIFS(AGENT_INPUT!$A$5:$A$254,$A29,AGENT_INPUT!$D$5:$D$254,AGENT_INPUT!D29)&gt;1,"DUPLICATE AGENT + PERIOD",IF(D29&lt;&gt;"READY","INPUT OR CONFIG REVIEW",IF(T29&lt;&gt;"READY",T29,""))))</f>
        <v>BLOCKED - ELIGIBILITY</v>
      </c>
    </row>
    <row r="30" spans="1:21">
      <c r="A30" s="4">
        <f>IF(AGENT_INPUT!A30="","",AGENT_INPUT!A30)</f>
        <v>244554</v>
      </c>
      <c r="B30" s="4" t="str">
        <f>IF($A30="","",AGENT_INPUT!B30)</f>
        <v>Yassine Athmane</v>
      </c>
      <c r="C30" s="4" t="str">
        <f>IF($A30="","",AGENT_INPUT!C30)</f>
        <v>RSA NL</v>
      </c>
      <c r="D30" s="4" t="str">
        <f>IF($A30="","",IF(AND(COUNT(AGENT_INPUT!E30:J30)=6,COUNT(AGENT_INPUT!K30)=1,COUNTIF(BONUS_RULES!$A$5:$A$46,AGENT_INPUT!C30)&gt;0,OR(AGENT_INPUT!O30&gt;0,AND(AGENT_INPUT!M30&gt;0,AGENT_INPUT!N30&gt;0)),AGENT_INPUT!P30&gt;=0,AGENT_INPUT!Q30&gt;0,AGENT_INPUT!P30&lt;=AGENT_INPUT!Q30,AGENT_INPUT!H30&gt;=0,AGENT_INPUT!H30&lt;=1,AGENT_INPUT!I30&gt;=0,AGENT_INPUT!I30&lt;=1,AGENT_INPUT!J30&gt;=0,AGENT_INPUT!J30&lt;=1),"READY","BLOCKED"))</f>
        <v>BLOCKED</v>
      </c>
      <c r="E30" s="4">
        <f>IF($A30="","",IF(AGENT_INPUT!R30&lt;&gt;"Active","REVIEW",IF(OR(POLICY_APPROVAL!$B$9="Eligibility only",POLICY_APPROVAL!$B$9="Both"),IF(AGENT_INPUT!J30&lt;=SUMIFS(BONUS_RULES!$E$5:$E$46,BONUS_RULES!$A$5:$A$46,$C30,BONUS_RULES!$B$5:$B$46,"Abs%"),"ELIGIBLE","INELIGIBLE ABS"),"ELIGIBLE")))</f>
        <v/>
      </c>
      <c r="F30" s="10">
        <f>IF(OR($A30="",$D30&lt;&gt;"READY"),"",IF(AGENT_INPUT!E30&lt;=SUMIFS(BONUS_RULES!$E$5:$E$46,BONUS_RULES!$A$5:$A$46,$C30,BONUS_RULES!$B$5:$B$46,"AHT"),SUMIFS(BONUS_RULES!$D$5:$D$46,BONUS_RULES!$A$5:$A$46,$C30,BONUS_RULES!$B$5:$B$46,"AHT"),IF(AGENT_INPUT!E30&lt;=SUMIFS(BONUS_RULES!$G$5:$G$46,BONUS_RULES!$A$5:$A$46,$C30,BONUS_RULES!$B$5:$B$46,"AHT"),SUMIFS(BONUS_RULES!$F$5:$F$46,BONUS_RULES!$A$5:$A$46,$C30,BONUS_RULES!$B$5:$B$46,"AHT"),0)))</f>
        <v/>
      </c>
      <c r="G30" s="10">
        <f>IF(OR($A30="",$D30&lt;&gt;"READY"),"",IF(AGENT_INPUT!F30&gt;=SUMIFS(BONUS_RULES!$E$5:$E$46,BONUS_RULES!$A$5:$A$46,$C30,BONUS_RULES!$B$5:$B$46,"Productivity"),SUMIFS(BONUS_RULES!$D$5:$D$46,BONUS_RULES!$A$5:$A$46,$C30,BONUS_RULES!$B$5:$B$46,"Productivity"),IF(AGENT_INPUT!F30&gt;=SUMIFS(BONUS_RULES!$G$5:$G$46,BONUS_RULES!$A$5:$A$46,$C30,BONUS_RULES!$B$5:$B$46,"Productivity"),SUMIFS(BONUS_RULES!$F$5:$F$46,BONUS_RULES!$A$5:$A$46,$C30,BONUS_RULES!$B$5:$B$46,"Productivity"),0)))</f>
        <v/>
      </c>
      <c r="H30" s="10">
        <f>IF(OR($A30="",$D30&lt;&gt;"READY"),"",IF(AGENT_INPUT!G30&gt;=SUMIFS(BONUS_RULES!$E$5:$E$46,BONUS_RULES!$A$5:$A$46,$C30,BONUS_RULES!$B$5:$B$46,"PCS Score"),SUMIFS(BONUS_RULES!$D$5:$D$46,BONUS_RULES!$A$5:$A$46,$C30,BONUS_RULES!$B$5:$B$46,"PCS Score"),IF(AGENT_INPUT!G30&gt;=SUMIFS(BONUS_RULES!$G$5:$G$46,BONUS_RULES!$A$5:$A$46,$C30,BONUS_RULES!$B$5:$B$46,"PCS Score"),SUMIFS(BONUS_RULES!$F$5:$F$46,BONUS_RULES!$A$5:$A$46,$C30,BONUS_RULES!$B$5:$B$46,"PCS Score"),0)))</f>
        <v/>
      </c>
      <c r="I30" s="10">
        <f>IF(OR($A30="",$D30&lt;&gt;"READY"),"",IF(AGENT_INPUT!H30&gt;=SUMIFS(BONUS_RULES!$E$5:$E$46,BONUS_RULES!$A$5:$A$46,$C30,BONUS_RULES!$B$5:$B$46,"PCS % (Participation)"),SUMIFS(BONUS_RULES!$D$5:$D$46,BONUS_RULES!$A$5:$A$46,$C30,BONUS_RULES!$B$5:$B$46,"PCS % (Participation)"),IF(AGENT_INPUT!H30&gt;=SUMIFS(BONUS_RULES!$G$5:$G$46,BONUS_RULES!$A$5:$A$46,$C30,BONUS_RULES!$B$5:$B$46,"PCS % (Participation)"),SUMIFS(BONUS_RULES!$F$5:$F$46,BONUS_RULES!$A$5:$A$46,$C30,BONUS_RULES!$B$5:$B$46,"PCS % (Participation)"),0)))</f>
        <v/>
      </c>
      <c r="J30" s="10">
        <f>IF(OR($A30="",$D30&lt;&gt;"READY"),"",IF(AGENT_INPUT!I30&gt;=SUMIFS(BONUS_RULES!$E$5:$E$46,BONUS_RULES!$A$5:$A$46,$C30,BONUS_RULES!$B$5:$B$46,"QM"),SUMIFS(BONUS_RULES!$D$5:$D$46,BONUS_RULES!$A$5:$A$46,$C30,BONUS_RULES!$B$5:$B$46,"QM"),IF(AGENT_INPUT!I30&gt;=SUMIFS(BONUS_RULES!$G$5:$G$46,BONUS_RULES!$A$5:$A$46,$C30,BONUS_RULES!$B$5:$B$46,"QM"),SUMIFS(BONUS_RULES!$F$5:$F$46,BONUS_RULES!$A$5:$A$46,$C30,BONUS_RULES!$B$5:$B$46,"QM"),0)))</f>
        <v/>
      </c>
      <c r="K30" s="10">
        <f>IF(POLICY_APPROVAL!$B$9="Eligibility only",0,IF(OR($A30="",$D30&lt;&gt;"READY"),"",IF(AGENT_INPUT!J30&lt;=SUMIFS(BONUS_RULES!$E$5:$E$46,BONUS_RULES!$A$5:$A$46,$C30,BONUS_RULES!$B$5:$B$46,"Abs%"),SUMIFS(BONUS_RULES!$D$5:$D$46,BONUS_RULES!$A$5:$A$46,$C30,BONUS_RULES!$B$5:$B$46,"Abs%"),IF(AGENT_INPUT!J30&lt;=SUMIFS(BONUS_RULES!$G$5:$G$46,BONUS_RULES!$A$5:$A$46,$C30,BONUS_RULES!$B$5:$B$46,"Abs%"),SUMIFS(BONUS_RULES!$F$5:$F$46,BONUS_RULES!$A$5:$A$46,$C30,BONUS_RULES!$B$5:$B$46,"Abs%"),0))))</f>
        <v/>
      </c>
      <c r="L30" s="10">
        <f>IF(OR($A30="",$D30&lt;&gt;"READY"),"",IF(AGENT_INPUT!G30&gt;=SUMIFS(BONUS_RULES!$E$5:$E$46,BONUS_RULES!$A$5:$A$46,$C30,BONUS_RULES!$B$5:$B$46,"Extra Bonus (PCS Score)"),SUMIFS(BONUS_RULES!$D$5:$D$46,BONUS_RULES!$A$5:$A$46,$C30,BONUS_RULES!$B$5:$B$46,"Extra Bonus (PCS Score)"),IF(AGENT_INPUT!G30&gt;=SUMIFS(BONUS_RULES!$G$5:$G$46,BONUS_RULES!$A$5:$A$46,$C30,BONUS_RULES!$B$5:$B$46,"Extra Bonus (PCS Score)"),SUMIFS(BONUS_RULES!$F$5:$F$46,BONUS_RULES!$A$5:$A$46,$C30,BONUS_RULES!$B$5:$B$46,"Extra Bonus (PCS Score)"),0)))</f>
        <v/>
      </c>
      <c r="M30" s="10">
        <f>IF($A30="","",MIN(IF(POLICY_APPROVAL!$B$6="Replacement",SUM(F30:K30)-H30+MAX(H30,L30),SUM(F30:L30)),POLICY_APPROVAL!$B$10))</f>
        <v>0</v>
      </c>
      <c r="N30" s="10">
        <f>IF($A30="","",IFERROR(INDEX(BONUS_RULES!$J$5:$J$10,MATCH(MIN(MAX(AGENT_INPUT!K30,0),5),BONUS_RULES!$I$5:$I$10,0)),1))</f>
        <v>0</v>
      </c>
      <c r="O30" s="10">
        <f>IF(M30="","",MAX(0,IF(POLICY_APPROVAL!$B$5="Percentage points",M30-N30,M30*(1-N30))))</f>
        <v>0</v>
      </c>
      <c r="P30" s="11">
        <f>IF(D30&lt;&gt;"READY","",IF(AGENT_INPUT!O30&gt;0,AGENT_INPUT!O30,AGENT_INPUT!M30*AGENT_INPUT!N30/IF(POLICY_APPROVAL!$B$7="Annual",12,1)))</f>
        <v/>
      </c>
      <c r="Q30" s="10">
        <f>IF(D30&lt;&gt;"READY","",MIN(1,AGENT_INPUT!P30/AGENT_INPUT!Q30))</f>
        <v/>
      </c>
      <c r="R30" s="11">
        <f>IF(D30&lt;&gt;"READY","",ROUND(P30*Q30*O30,IF(POLICY_APPROVAL!$B$11="Whole MAD",0,2)))</f>
        <v/>
      </c>
      <c r="S30" s="11">
        <f>IF(AND(SETUP!$B$9="READY",T30="READY"),R30,"")</f>
        <v/>
      </c>
      <c r="T30" s="4" t="str">
        <f>IF($A30="","",IF(D30&lt;&gt;"READY","BLOCKED - INPUT",IF(E30&lt;&gt;"ELIGIBLE","BLOCKED - ELIGIBILITY",IF(AGENT_INPUT!S30&lt;&gt;"VALIDATED","BLOCKED - DATA",IF(SETUP!$B$9&lt;&gt;"READY","BLOCKED - POLICY","READY")))))</f>
        <v>BLOCKED - INPUT</v>
      </c>
      <c r="U30" s="4" t="str">
        <f>IF($A30="","",IF(COUNTIFS(AGENT_INPUT!$A$5:$A$254,$A30,AGENT_INPUT!$D$5:$D$254,AGENT_INPUT!D30)&gt;1,"DUPLICATE AGENT + PERIOD",IF(D30&lt;&gt;"READY","INPUT OR CONFIG REVIEW",IF(T30&lt;&gt;"READY",T30,""))))</f>
        <v>Missing, invalid, or unconfigured required input</v>
      </c>
    </row>
    <row r="31" spans="1:21">
      <c r="A31" s="4">
        <f>IF(AGENT_INPUT!A31="","",AGENT_INPUT!A31)</f>
        <v>203646</v>
      </c>
      <c r="B31" s="4" t="str">
        <f>IF($A31="","",AGENT_INPUT!B31)</f>
        <v>Jemkar Yasmine</v>
      </c>
      <c r="C31" s="4" t="str">
        <f>IF($A31="","",AGENT_INPUT!C31)</f>
        <v>OEM FR</v>
      </c>
      <c r="D31" s="4" t="str">
        <f>IF($A31="","",IF(AND(COUNT(AGENT_INPUT!E31:J31)=6,COUNT(AGENT_INPUT!K31)=1,COUNTIF(BONUS_RULES!$A$5:$A$46,AGENT_INPUT!C31)&gt;0,OR(AGENT_INPUT!O31&gt;0,AND(AGENT_INPUT!M31&gt;0,AGENT_INPUT!N31&gt;0)),AGENT_INPUT!P31&gt;=0,AGENT_INPUT!Q31&gt;0,AGENT_INPUT!P31&lt;=AGENT_INPUT!Q31,AGENT_INPUT!H31&gt;=0,AGENT_INPUT!H31&lt;=1,AGENT_INPUT!I31&gt;=0,AGENT_INPUT!I31&lt;=1,AGENT_INPUT!J31&gt;=0,AGENT_INPUT!J31&lt;=1),"READY","BLOCKED"))</f>
        <v>READY</v>
      </c>
      <c r="E31" s="4" t="str">
        <f>IF($A31="","",IF(AGENT_INPUT!R31&lt;&gt;"Active","REVIEW",IF(OR(POLICY_APPROVAL!$B$9="Eligibility only",POLICY_APPROVAL!$B$9="Both"),IF(AGENT_INPUT!J31&lt;=SUMIFS(BONUS_RULES!$E$5:$E$46,BONUS_RULES!$A$5:$A$46,$C31,BONUS_RULES!$B$5:$B$46,"Abs%"),"ELIGIBLE","INELIGIBLE ABS"),"ELIGIBLE")))</f>
        <v>REVIEW</v>
      </c>
      <c r="F31" s="10">
        <f>IF(OR($A31="",$D31&lt;&gt;"READY"),"",IF(AGENT_INPUT!E31&lt;=SUMIFS(BONUS_RULES!$E$5:$E$46,BONUS_RULES!$A$5:$A$46,$C31,BONUS_RULES!$B$5:$B$46,"AHT"),SUMIFS(BONUS_RULES!$D$5:$D$46,BONUS_RULES!$A$5:$A$46,$C31,BONUS_RULES!$B$5:$B$46,"AHT"),IF(AGENT_INPUT!E31&lt;=SUMIFS(BONUS_RULES!$G$5:$G$46,BONUS_RULES!$A$5:$A$46,$C31,BONUS_RULES!$B$5:$B$46,"AHT"),SUMIFS(BONUS_RULES!$F$5:$F$46,BONUS_RULES!$A$5:$A$46,$C31,BONUS_RULES!$B$5:$B$46,"AHT"),0)))</f>
        <v>0.15</v>
      </c>
      <c r="G31" s="10">
        <f>IF(OR($A31="",$D31&lt;&gt;"READY"),"",IF(AGENT_INPUT!F31&gt;=SUMIFS(BONUS_RULES!$E$5:$E$46,BONUS_RULES!$A$5:$A$46,$C31,BONUS_RULES!$B$5:$B$46,"Productivity"),SUMIFS(BONUS_RULES!$D$5:$D$46,BONUS_RULES!$A$5:$A$46,$C31,BONUS_RULES!$B$5:$B$46,"Productivity"),IF(AGENT_INPUT!F31&gt;=SUMIFS(BONUS_RULES!$G$5:$G$46,BONUS_RULES!$A$5:$A$46,$C31,BONUS_RULES!$B$5:$B$46,"Productivity"),SUMIFS(BONUS_RULES!$F$5:$F$46,BONUS_RULES!$A$5:$A$46,$C31,BONUS_RULES!$B$5:$B$46,"Productivity"),0)))</f>
        <v>0.15</v>
      </c>
      <c r="H31" s="10">
        <f>IF(OR($A31="",$D31&lt;&gt;"READY"),"",IF(AGENT_INPUT!G31&gt;=SUMIFS(BONUS_RULES!$E$5:$E$46,BONUS_RULES!$A$5:$A$46,$C31,BONUS_RULES!$B$5:$B$46,"PCS Score"),SUMIFS(BONUS_RULES!$D$5:$D$46,BONUS_RULES!$A$5:$A$46,$C31,BONUS_RULES!$B$5:$B$46,"PCS Score"),IF(AGENT_INPUT!G31&gt;=SUMIFS(BONUS_RULES!$G$5:$G$46,BONUS_RULES!$A$5:$A$46,$C31,BONUS_RULES!$B$5:$B$46,"PCS Score"),SUMIFS(BONUS_RULES!$F$5:$F$46,BONUS_RULES!$A$5:$A$46,$C31,BONUS_RULES!$B$5:$B$46,"PCS Score"),0)))</f>
        <v>0.2</v>
      </c>
      <c r="I31" s="10">
        <f>IF(OR($A31="",$D31&lt;&gt;"READY"),"",IF(AGENT_INPUT!H31&gt;=SUMIFS(BONUS_RULES!$E$5:$E$46,BONUS_RULES!$A$5:$A$46,$C31,BONUS_RULES!$B$5:$B$46,"PCS % (Participation)"),SUMIFS(BONUS_RULES!$D$5:$D$46,BONUS_RULES!$A$5:$A$46,$C31,BONUS_RULES!$B$5:$B$46,"PCS % (Participation)"),IF(AGENT_INPUT!H31&gt;=SUMIFS(BONUS_RULES!$G$5:$G$46,BONUS_RULES!$A$5:$A$46,$C31,BONUS_RULES!$B$5:$B$46,"PCS % (Participation)"),SUMIFS(BONUS_RULES!$F$5:$F$46,BONUS_RULES!$A$5:$A$46,$C31,BONUS_RULES!$B$5:$B$46,"PCS % (Participation)"),0)))</f>
        <v>0.0</v>
      </c>
      <c r="J31" s="10">
        <f>IF(OR($A31="",$D31&lt;&gt;"READY"),"",IF(AGENT_INPUT!I31&gt;=SUMIFS(BONUS_RULES!$E$5:$E$46,BONUS_RULES!$A$5:$A$46,$C31,BONUS_RULES!$B$5:$B$46,"QM"),SUMIFS(BONUS_RULES!$D$5:$D$46,BONUS_RULES!$A$5:$A$46,$C31,BONUS_RULES!$B$5:$B$46,"QM"),IF(AGENT_INPUT!I31&gt;=SUMIFS(BONUS_RULES!$G$5:$G$46,BONUS_RULES!$A$5:$A$46,$C31,BONUS_RULES!$B$5:$B$46,"QM"),SUMIFS(BONUS_RULES!$F$5:$F$46,BONUS_RULES!$A$5:$A$46,$C31,BONUS_RULES!$B$5:$B$46,"QM"),0)))</f>
        <v>0.0</v>
      </c>
      <c r="K31" s="10">
        <f>IF(POLICY_APPROVAL!$B$9="Eligibility only",0,IF(OR($A31="",$D31&lt;&gt;"READY"),"",IF(AGENT_INPUT!J31&lt;=SUMIFS(BONUS_RULES!$E$5:$E$46,BONUS_RULES!$A$5:$A$46,$C31,BONUS_RULES!$B$5:$B$46,"Abs%"),SUMIFS(BONUS_RULES!$D$5:$D$46,BONUS_RULES!$A$5:$A$46,$C31,BONUS_RULES!$B$5:$B$46,"Abs%"),IF(AGENT_INPUT!J31&lt;=SUMIFS(BONUS_RULES!$G$5:$G$46,BONUS_RULES!$A$5:$A$46,$C31,BONUS_RULES!$B$5:$B$46,"Abs%"),SUMIFS(BONUS_RULES!$F$5:$F$46,BONUS_RULES!$A$5:$A$46,$C31,BONUS_RULES!$B$5:$B$46,"Abs%"),0))))</f>
        <v>0.15</v>
      </c>
      <c r="L31" s="10">
        <f>IF(OR($A31="",$D31&lt;&gt;"READY"),"",IF(AGENT_INPUT!G31&gt;=SUMIFS(BONUS_RULES!$E$5:$E$46,BONUS_RULES!$A$5:$A$46,$C31,BONUS_RULES!$B$5:$B$46,"Extra Bonus (PCS Score)"),SUMIFS(BONUS_RULES!$D$5:$D$46,BONUS_RULES!$A$5:$A$46,$C31,BONUS_RULES!$B$5:$B$46,"Extra Bonus (PCS Score)"),IF(AGENT_INPUT!G31&gt;=SUMIFS(BONUS_RULES!$G$5:$G$46,BONUS_RULES!$A$5:$A$46,$C31,BONUS_RULES!$B$5:$B$46,"Extra Bonus (PCS Score)"),SUMIFS(BONUS_RULES!$F$5:$F$46,BONUS_RULES!$A$5:$A$46,$C31,BONUS_RULES!$B$5:$B$46,"Extra Bonus (PCS Score)"),0)))</f>
        <v>0.3</v>
      </c>
      <c r="M31" s="10">
        <f>IF($A31="","",MIN(IF(POLICY_APPROVAL!$B$6="Replacement",SUM(F31:K31)-H31+MAX(H31,L31),SUM(F31:L31)),POLICY_APPROVAL!$B$10))</f>
        <v>0.95</v>
      </c>
      <c r="N31" s="10">
        <f>IF($A31="","",IFERROR(INDEX(BONUS_RULES!$J$5:$J$10,MATCH(MIN(MAX(AGENT_INPUT!K31,0),5),BONUS_RULES!$I$5:$I$10,0)),1))</f>
        <v>0</v>
      </c>
      <c r="O31" s="10">
        <f>IF(M31="","",MAX(0,IF(POLICY_APPROVAL!$B$5="Percentage points",M31-N31,M31*(1-N31))))</f>
        <v>0.95</v>
      </c>
      <c r="P31" s="11">
        <f>IF(D31&lt;&gt;"READY","",IF(AGENT_INPUT!O31&gt;0,AGENT_INPUT!O31,AGENT_INPUT!M31*AGENT_INPUT!N31/IF(POLICY_APPROVAL!$B$7="Annual",12,1)))</f>
        <v>2000.0</v>
      </c>
      <c r="Q31" s="10">
        <f>IF(D31&lt;&gt;"READY","",MIN(1,AGENT_INPUT!P31/AGENT_INPUT!Q31))</f>
        <v>1.0</v>
      </c>
      <c r="R31" s="11">
        <f>IF(D31&lt;&gt;"READY","",ROUND(P31*Q31*O31,IF(POLICY_APPROVAL!$B$11="Whole MAD",0,2)))</f>
        <v>1900.0</v>
      </c>
      <c r="S31" s="11">
        <f>IF(AND(SETUP!$B$9="READY",T31="READY"),R31,"")</f>
        <v/>
      </c>
      <c r="T31" s="4" t="str">
        <f>IF($A31="","",IF(D31&lt;&gt;"READY","BLOCKED - INPUT",IF(E31&lt;&gt;"ELIGIBLE","BLOCKED - ELIGIBILITY",IF(AGENT_INPUT!S31&lt;&gt;"VALIDATED","BLOCKED - DATA",IF(SETUP!$B$9&lt;&gt;"READY","BLOCKED - POLICY","READY")))))</f>
        <v>BLOCKED - ELIGIBILITY</v>
      </c>
      <c r="U31" s="4" t="str">
        <f>IF($A31="","",IF(COUNTIFS(AGENT_INPUT!$A$5:$A$254,$A31,AGENT_INPUT!$D$5:$D$254,AGENT_INPUT!D31)&gt;1,"DUPLICATE AGENT + PERIOD",IF(D31&lt;&gt;"READY","INPUT OR CONFIG REVIEW",IF(T31&lt;&gt;"READY",T31,""))))</f>
        <v>BLOCKED - ELIGIBILITY</v>
      </c>
    </row>
    <row r="32" spans="1:21">
      <c r="A32" s="4">
        <f>IF(AGENT_INPUT!A32="","",AGENT_INPUT!A32)</f>
        <v>96486</v>
      </c>
      <c r="B32" s="4" t="str">
        <f>IF($A32="","",AGENT_INPUT!B32)</f>
        <v>EL BAROUDI El Yassmine</v>
      </c>
      <c r="C32" s="4" t="str">
        <f>IF($A32="","",AGENT_INPUT!C32)</f>
        <v>RSA NL</v>
      </c>
      <c r="D32" s="4" t="str">
        <f>IF($A32="","",IF(AND(COUNT(AGENT_INPUT!E32:J32)=6,COUNT(AGENT_INPUT!K32)=1,COUNTIF(BONUS_RULES!$A$5:$A$46,AGENT_INPUT!C32)&gt;0,OR(AGENT_INPUT!O32&gt;0,AND(AGENT_INPUT!M32&gt;0,AGENT_INPUT!N32&gt;0)),AGENT_INPUT!P32&gt;=0,AGENT_INPUT!Q32&gt;0,AGENT_INPUT!P32&lt;=AGENT_INPUT!Q32,AGENT_INPUT!H32&gt;=0,AGENT_INPUT!H32&lt;=1,AGENT_INPUT!I32&gt;=0,AGENT_INPUT!I32&lt;=1,AGENT_INPUT!J32&gt;=0,AGENT_INPUT!J32&lt;=1),"READY","BLOCKED"))</f>
        <v>READY</v>
      </c>
      <c r="E32" s="4" t="str">
        <f>IF($A32="","",IF(AGENT_INPUT!R32&lt;&gt;"Active","REVIEW",IF(OR(POLICY_APPROVAL!$B$9="Eligibility only",POLICY_APPROVAL!$B$9="Both"),IF(AGENT_INPUT!J32&lt;=SUMIFS(BONUS_RULES!$E$5:$E$46,BONUS_RULES!$A$5:$A$46,$C32,BONUS_RULES!$B$5:$B$46,"Abs%"),"ELIGIBLE","INELIGIBLE ABS"),"ELIGIBLE")))</f>
        <v>REVIEW</v>
      </c>
      <c r="F32" s="10">
        <f>IF(OR($A32="",$D32&lt;&gt;"READY"),"",IF(AGENT_INPUT!E32&lt;=SUMIFS(BONUS_RULES!$E$5:$E$46,BONUS_RULES!$A$5:$A$46,$C32,BONUS_RULES!$B$5:$B$46,"AHT"),SUMIFS(BONUS_RULES!$D$5:$D$46,BONUS_RULES!$A$5:$A$46,$C32,BONUS_RULES!$B$5:$B$46,"AHT"),IF(AGENT_INPUT!E32&lt;=SUMIFS(BONUS_RULES!$G$5:$G$46,BONUS_RULES!$A$5:$A$46,$C32,BONUS_RULES!$B$5:$B$46,"AHT"),SUMIFS(BONUS_RULES!$F$5:$F$46,BONUS_RULES!$A$5:$A$46,$C32,BONUS_RULES!$B$5:$B$46,"AHT"),0)))</f>
        <v>0.15</v>
      </c>
      <c r="G32" s="10">
        <f>IF(OR($A32="",$D32&lt;&gt;"READY"),"",IF(AGENT_INPUT!F32&gt;=SUMIFS(BONUS_RULES!$E$5:$E$46,BONUS_RULES!$A$5:$A$46,$C32,BONUS_RULES!$B$5:$B$46,"Productivity"),SUMIFS(BONUS_RULES!$D$5:$D$46,BONUS_RULES!$A$5:$A$46,$C32,BONUS_RULES!$B$5:$B$46,"Productivity"),IF(AGENT_INPUT!F32&gt;=SUMIFS(BONUS_RULES!$G$5:$G$46,BONUS_RULES!$A$5:$A$46,$C32,BONUS_RULES!$B$5:$B$46,"Productivity"),SUMIFS(BONUS_RULES!$F$5:$F$46,BONUS_RULES!$A$5:$A$46,$C32,BONUS_RULES!$B$5:$B$46,"Productivity"),0)))</f>
        <v>0.15</v>
      </c>
      <c r="H32" s="10">
        <f>IF(OR($A32="",$D32&lt;&gt;"READY"),"",IF(AGENT_INPUT!G32&gt;=SUMIFS(BONUS_RULES!$E$5:$E$46,BONUS_RULES!$A$5:$A$46,$C32,BONUS_RULES!$B$5:$B$46,"PCS Score"),SUMIFS(BONUS_RULES!$D$5:$D$46,BONUS_RULES!$A$5:$A$46,$C32,BONUS_RULES!$B$5:$B$46,"PCS Score"),IF(AGENT_INPUT!G32&gt;=SUMIFS(BONUS_RULES!$G$5:$G$46,BONUS_RULES!$A$5:$A$46,$C32,BONUS_RULES!$B$5:$B$46,"PCS Score"),SUMIFS(BONUS_RULES!$F$5:$F$46,BONUS_RULES!$A$5:$A$46,$C32,BONUS_RULES!$B$5:$B$46,"PCS Score"),0)))</f>
        <v>0.0</v>
      </c>
      <c r="I32" s="10">
        <f>IF(OR($A32="",$D32&lt;&gt;"READY"),"",IF(AGENT_INPUT!H32&gt;=SUMIFS(BONUS_RULES!$E$5:$E$46,BONUS_RULES!$A$5:$A$46,$C32,BONUS_RULES!$B$5:$B$46,"PCS % (Participation)"),SUMIFS(BONUS_RULES!$D$5:$D$46,BONUS_RULES!$A$5:$A$46,$C32,BONUS_RULES!$B$5:$B$46,"PCS % (Participation)"),IF(AGENT_INPUT!H32&gt;=SUMIFS(BONUS_RULES!$G$5:$G$46,BONUS_RULES!$A$5:$A$46,$C32,BONUS_RULES!$B$5:$B$46,"PCS % (Participation)"),SUMIFS(BONUS_RULES!$F$5:$F$46,BONUS_RULES!$A$5:$A$46,$C32,BONUS_RULES!$B$5:$B$46,"PCS % (Participation)"),0)))</f>
        <v>0.0</v>
      </c>
      <c r="J32" s="10">
        <f>IF(OR($A32="",$D32&lt;&gt;"READY"),"",IF(AGENT_INPUT!I32&gt;=SUMIFS(BONUS_RULES!$E$5:$E$46,BONUS_RULES!$A$5:$A$46,$C32,BONUS_RULES!$B$5:$B$46,"QM"),SUMIFS(BONUS_RULES!$D$5:$D$46,BONUS_RULES!$A$5:$A$46,$C32,BONUS_RULES!$B$5:$B$46,"QM"),IF(AGENT_INPUT!I32&gt;=SUMIFS(BONUS_RULES!$G$5:$G$46,BONUS_RULES!$A$5:$A$46,$C32,BONUS_RULES!$B$5:$B$46,"QM"),SUMIFS(BONUS_RULES!$F$5:$F$46,BONUS_RULES!$A$5:$A$46,$C32,BONUS_RULES!$B$5:$B$46,"QM"),0)))</f>
        <v>0.0</v>
      </c>
      <c r="K32" s="10">
        <f>IF(POLICY_APPROVAL!$B$9="Eligibility only",0,IF(OR($A32="",$D32&lt;&gt;"READY"),"",IF(AGENT_INPUT!J32&lt;=SUMIFS(BONUS_RULES!$E$5:$E$46,BONUS_RULES!$A$5:$A$46,$C32,BONUS_RULES!$B$5:$B$46,"Abs%"),SUMIFS(BONUS_RULES!$D$5:$D$46,BONUS_RULES!$A$5:$A$46,$C32,BONUS_RULES!$B$5:$B$46,"Abs%"),IF(AGENT_INPUT!J32&lt;=SUMIFS(BONUS_RULES!$G$5:$G$46,BONUS_RULES!$A$5:$A$46,$C32,BONUS_RULES!$B$5:$B$46,"Abs%"),SUMIFS(BONUS_RULES!$F$5:$F$46,BONUS_RULES!$A$5:$A$46,$C32,BONUS_RULES!$B$5:$B$46,"Abs%"),0))))</f>
        <v>0.15</v>
      </c>
      <c r="L32" s="10">
        <f>IF(OR($A32="",$D32&lt;&gt;"READY"),"",IF(AGENT_INPUT!G32&gt;=SUMIFS(BONUS_RULES!$E$5:$E$46,BONUS_RULES!$A$5:$A$46,$C32,BONUS_RULES!$B$5:$B$46,"Extra Bonus (PCS Score)"),SUMIFS(BONUS_RULES!$D$5:$D$46,BONUS_RULES!$A$5:$A$46,$C32,BONUS_RULES!$B$5:$B$46,"Extra Bonus (PCS Score)"),IF(AGENT_INPUT!G32&gt;=SUMIFS(BONUS_RULES!$G$5:$G$46,BONUS_RULES!$A$5:$A$46,$C32,BONUS_RULES!$B$5:$B$46,"Extra Bonus (PCS Score)"),SUMIFS(BONUS_RULES!$F$5:$F$46,BONUS_RULES!$A$5:$A$46,$C32,BONUS_RULES!$B$5:$B$46,"Extra Bonus (PCS Score)"),0)))</f>
        <v>0.0</v>
      </c>
      <c r="M32" s="10">
        <f>IF($A32="","",MIN(IF(POLICY_APPROVAL!$B$6="Replacement",SUM(F32:K32)-H32+MAX(H32,L32),SUM(F32:L32)),POLICY_APPROVAL!$B$10))</f>
        <v>0.44999999999999996</v>
      </c>
      <c r="N32" s="10">
        <f>IF($A32="","",IFERROR(INDEX(BONUS_RULES!$J$5:$J$10,MATCH(MIN(MAX(AGENT_INPUT!K32,0),5),BONUS_RULES!$I$5:$I$10,0)),1))</f>
        <v>0</v>
      </c>
      <c r="O32" s="10">
        <f>IF(M32="","",MAX(0,IF(POLICY_APPROVAL!$B$5="Percentage points",M32-N32,M32*(1-N32))))</f>
        <v>0.44999999999999996</v>
      </c>
      <c r="P32" s="11">
        <f>IF(D32&lt;&gt;"READY","",IF(AGENT_INPUT!O32&gt;0,AGENT_INPUT!O32,AGENT_INPUT!M32*AGENT_INPUT!N32/IF(POLICY_APPROVAL!$B$7="Annual",12,1)))</f>
        <v>2000.0</v>
      </c>
      <c r="Q32" s="10">
        <f>IF(D32&lt;&gt;"READY","",MIN(1,AGENT_INPUT!P32/AGENT_INPUT!Q32))</f>
        <v>1.0</v>
      </c>
      <c r="R32" s="11">
        <f>IF(D32&lt;&gt;"READY","",ROUND(P32*Q32*O32,IF(POLICY_APPROVAL!$B$11="Whole MAD",0,2)))</f>
        <v>900.0</v>
      </c>
      <c r="S32" s="11">
        <f>IF(AND(SETUP!$B$9="READY",T32="READY"),R32,"")</f>
        <v/>
      </c>
      <c r="T32" s="4" t="str">
        <f>IF($A32="","",IF(D32&lt;&gt;"READY","BLOCKED - INPUT",IF(E32&lt;&gt;"ELIGIBLE","BLOCKED - ELIGIBILITY",IF(AGENT_INPUT!S32&lt;&gt;"VALIDATED","BLOCKED - DATA",IF(SETUP!$B$9&lt;&gt;"READY","BLOCKED - POLICY","READY")))))</f>
        <v>BLOCKED - ELIGIBILITY</v>
      </c>
      <c r="U32" s="4" t="str">
        <f>IF($A32="","",IF(COUNTIFS(AGENT_INPUT!$A$5:$A$254,$A32,AGENT_INPUT!$D$5:$D$254,AGENT_INPUT!D32)&gt;1,"DUPLICATE AGENT + PERIOD",IF(D32&lt;&gt;"READY","INPUT OR CONFIG REVIEW",IF(T32&lt;&gt;"READY",T32,""))))</f>
        <v>BLOCKED - ELIGIBILITY</v>
      </c>
    </row>
    <row r="33" spans="1:21">
      <c r="A33" s="4">
        <f>IF(AGENT_INPUT!A33="","",AGENT_INPUT!A33)</f>
        <v>204024</v>
      </c>
      <c r="B33" s="4" t="str">
        <f>IF($A33="","",AGENT_INPUT!B33)</f>
        <v>Van der Laan Tim</v>
      </c>
      <c r="C33" s="4" t="str">
        <f>IF($A33="","",AGENT_INPUT!C33)</f>
        <v>Ford Dutch</v>
      </c>
      <c r="D33" s="4" t="str">
        <f>IF($A33="","",IF(AND(COUNT(AGENT_INPUT!E33:J33)=6,COUNT(AGENT_INPUT!K33)=1,COUNTIF(BONUS_RULES!$A$5:$A$46,AGENT_INPUT!C33)&gt;0,OR(AGENT_INPUT!O33&gt;0,AND(AGENT_INPUT!M33&gt;0,AGENT_INPUT!N33&gt;0)),AGENT_INPUT!P33&gt;=0,AGENT_INPUT!Q33&gt;0,AGENT_INPUT!P33&lt;=AGENT_INPUT!Q33,AGENT_INPUT!H33&gt;=0,AGENT_INPUT!H33&lt;=1,AGENT_INPUT!I33&gt;=0,AGENT_INPUT!I33&lt;=1,AGENT_INPUT!J33&gt;=0,AGENT_INPUT!J33&lt;=1),"READY","BLOCKED"))</f>
        <v>READY</v>
      </c>
      <c r="E33" s="4" t="str">
        <f>IF($A33="","",IF(AGENT_INPUT!R33&lt;&gt;"Active","REVIEW",IF(OR(POLICY_APPROVAL!$B$9="Eligibility only",POLICY_APPROVAL!$B$9="Both"),IF(AGENT_INPUT!J33&lt;=SUMIFS(BONUS_RULES!$E$5:$E$46,BONUS_RULES!$A$5:$A$46,$C33,BONUS_RULES!$B$5:$B$46,"Abs%"),"ELIGIBLE","INELIGIBLE ABS"),"ELIGIBLE")))</f>
        <v>REVIEW</v>
      </c>
      <c r="F33" s="10">
        <f>IF(OR($A33="",$D33&lt;&gt;"READY"),"",IF(AGENT_INPUT!E33&lt;=SUMIFS(BONUS_RULES!$E$5:$E$46,BONUS_RULES!$A$5:$A$46,$C33,BONUS_RULES!$B$5:$B$46,"AHT"),SUMIFS(BONUS_RULES!$D$5:$D$46,BONUS_RULES!$A$5:$A$46,$C33,BONUS_RULES!$B$5:$B$46,"AHT"),IF(AGENT_INPUT!E33&lt;=SUMIFS(BONUS_RULES!$G$5:$G$46,BONUS_RULES!$A$5:$A$46,$C33,BONUS_RULES!$B$5:$B$46,"AHT"),SUMIFS(BONUS_RULES!$F$5:$F$46,BONUS_RULES!$A$5:$A$46,$C33,BONUS_RULES!$B$5:$B$46,"AHT"),0)))</f>
        <v>0.15</v>
      </c>
      <c r="G33" s="10">
        <f>IF(OR($A33="",$D33&lt;&gt;"READY"),"",IF(AGENT_INPUT!F33&gt;=SUMIFS(BONUS_RULES!$E$5:$E$46,BONUS_RULES!$A$5:$A$46,$C33,BONUS_RULES!$B$5:$B$46,"Productivity"),SUMIFS(BONUS_RULES!$D$5:$D$46,BONUS_RULES!$A$5:$A$46,$C33,BONUS_RULES!$B$5:$B$46,"Productivity"),IF(AGENT_INPUT!F33&gt;=SUMIFS(BONUS_RULES!$G$5:$G$46,BONUS_RULES!$A$5:$A$46,$C33,BONUS_RULES!$B$5:$B$46,"Productivity"),SUMIFS(BONUS_RULES!$F$5:$F$46,BONUS_RULES!$A$5:$A$46,$C33,BONUS_RULES!$B$5:$B$46,"Productivity"),0)))</f>
        <v>0.15</v>
      </c>
      <c r="H33" s="10">
        <f>IF(OR($A33="",$D33&lt;&gt;"READY"),"",IF(AGENT_INPUT!G33&gt;=SUMIFS(BONUS_RULES!$E$5:$E$46,BONUS_RULES!$A$5:$A$46,$C33,BONUS_RULES!$B$5:$B$46,"PCS Score"),SUMIFS(BONUS_RULES!$D$5:$D$46,BONUS_RULES!$A$5:$A$46,$C33,BONUS_RULES!$B$5:$B$46,"PCS Score"),IF(AGENT_INPUT!G33&gt;=SUMIFS(BONUS_RULES!$G$5:$G$46,BONUS_RULES!$A$5:$A$46,$C33,BONUS_RULES!$B$5:$B$46,"PCS Score"),SUMIFS(BONUS_RULES!$F$5:$F$46,BONUS_RULES!$A$5:$A$46,$C33,BONUS_RULES!$B$5:$B$46,"PCS Score"),0)))</f>
        <v>0.15</v>
      </c>
      <c r="I33" s="10">
        <f>IF(OR($A33="",$D33&lt;&gt;"READY"),"",IF(AGENT_INPUT!H33&gt;=SUMIFS(BONUS_RULES!$E$5:$E$46,BONUS_RULES!$A$5:$A$46,$C33,BONUS_RULES!$B$5:$B$46,"PCS % (Participation)"),SUMIFS(BONUS_RULES!$D$5:$D$46,BONUS_RULES!$A$5:$A$46,$C33,BONUS_RULES!$B$5:$B$46,"PCS % (Participation)"),IF(AGENT_INPUT!H33&gt;=SUMIFS(BONUS_RULES!$G$5:$G$46,BONUS_RULES!$A$5:$A$46,$C33,BONUS_RULES!$B$5:$B$46,"PCS % (Participation)"),SUMIFS(BONUS_RULES!$F$5:$F$46,BONUS_RULES!$A$5:$A$46,$C33,BONUS_RULES!$B$5:$B$46,"PCS % (Participation)"),0)))</f>
        <v>0.0</v>
      </c>
      <c r="J33" s="10">
        <f>IF(OR($A33="",$D33&lt;&gt;"READY"),"",IF(AGENT_INPUT!I33&gt;=SUMIFS(BONUS_RULES!$E$5:$E$46,BONUS_RULES!$A$5:$A$46,$C33,BONUS_RULES!$B$5:$B$46,"QM"),SUMIFS(BONUS_RULES!$D$5:$D$46,BONUS_RULES!$A$5:$A$46,$C33,BONUS_RULES!$B$5:$B$46,"QM"),IF(AGENT_INPUT!I33&gt;=SUMIFS(BONUS_RULES!$G$5:$G$46,BONUS_RULES!$A$5:$A$46,$C33,BONUS_RULES!$B$5:$B$46,"QM"),SUMIFS(BONUS_RULES!$F$5:$F$46,BONUS_RULES!$A$5:$A$46,$C33,BONUS_RULES!$B$5:$B$46,"QM"),0)))</f>
        <v>0.0</v>
      </c>
      <c r="K33" s="10">
        <f>IF(POLICY_APPROVAL!$B$9="Eligibility only",0,IF(OR($A33="",$D33&lt;&gt;"READY"),"",IF(AGENT_INPUT!J33&lt;=SUMIFS(BONUS_RULES!$E$5:$E$46,BONUS_RULES!$A$5:$A$46,$C33,BONUS_RULES!$B$5:$B$46,"Abs%"),SUMIFS(BONUS_RULES!$D$5:$D$46,BONUS_RULES!$A$5:$A$46,$C33,BONUS_RULES!$B$5:$B$46,"Abs%"),IF(AGENT_INPUT!J33&lt;=SUMIFS(BONUS_RULES!$G$5:$G$46,BONUS_RULES!$A$5:$A$46,$C33,BONUS_RULES!$B$5:$B$46,"Abs%"),SUMIFS(BONUS_RULES!$F$5:$F$46,BONUS_RULES!$A$5:$A$46,$C33,BONUS_RULES!$B$5:$B$46,"Abs%"),0))))</f>
        <v>0.0</v>
      </c>
      <c r="L33" s="10">
        <f>IF(OR($A33="",$D33&lt;&gt;"READY"),"",IF(AGENT_INPUT!G33&gt;=SUMIFS(BONUS_RULES!$E$5:$E$46,BONUS_RULES!$A$5:$A$46,$C33,BONUS_RULES!$B$5:$B$46,"Extra Bonus (PCS Score)"),SUMIFS(BONUS_RULES!$D$5:$D$46,BONUS_RULES!$A$5:$A$46,$C33,BONUS_RULES!$B$5:$B$46,"Extra Bonus (PCS Score)"),IF(AGENT_INPUT!G33&gt;=SUMIFS(BONUS_RULES!$G$5:$G$46,BONUS_RULES!$A$5:$A$46,$C33,BONUS_RULES!$B$5:$B$46,"Extra Bonus (PCS Score)"),SUMIFS(BONUS_RULES!$F$5:$F$46,BONUS_RULES!$A$5:$A$46,$C33,BONUS_RULES!$B$5:$B$46,"Extra Bonus (PCS Score)"),0)))</f>
        <v>0.0</v>
      </c>
      <c r="M33" s="10">
        <f>IF($A33="","",MIN(IF(POLICY_APPROVAL!$B$6="Replacement",SUM(F33:K33)-H33+MAX(H33,L33),SUM(F33:L33)),POLICY_APPROVAL!$B$10))</f>
        <v>0.44999999999999996</v>
      </c>
      <c r="N33" s="10">
        <f>IF($A33="","",IFERROR(INDEX(BONUS_RULES!$J$5:$J$10,MATCH(MIN(MAX(AGENT_INPUT!K33,0),5),BONUS_RULES!$I$5:$I$10,0)),1))</f>
        <v>0</v>
      </c>
      <c r="O33" s="10">
        <f>IF(M33="","",MAX(0,IF(POLICY_APPROVAL!$B$5="Percentage points",M33-N33,M33*(1-N33))))</f>
        <v>0.44999999999999996</v>
      </c>
      <c r="P33" s="11">
        <f>IF(D33&lt;&gt;"READY","",IF(AGENT_INPUT!O33&gt;0,AGENT_INPUT!O33,AGENT_INPUT!M33*AGENT_INPUT!N33/IF(POLICY_APPROVAL!$B$7="Annual",12,1)))</f>
        <v>2000.0</v>
      </c>
      <c r="Q33" s="10">
        <f>IF(D33&lt;&gt;"READY","",MIN(1,AGENT_INPUT!P33/AGENT_INPUT!Q33))</f>
        <v>1.0</v>
      </c>
      <c r="R33" s="11">
        <f>IF(D33&lt;&gt;"READY","",ROUND(P33*Q33*O33,IF(POLICY_APPROVAL!$B$11="Whole MAD",0,2)))</f>
        <v>900.0</v>
      </c>
      <c r="S33" s="11">
        <f>IF(AND(SETUP!$B$9="READY",T33="READY"),R33,"")</f>
        <v/>
      </c>
      <c r="T33" s="4" t="str">
        <f>IF($A33="","",IF(D33&lt;&gt;"READY","BLOCKED - INPUT",IF(E33&lt;&gt;"ELIGIBLE","BLOCKED - ELIGIBILITY",IF(AGENT_INPUT!S33&lt;&gt;"VALIDATED","BLOCKED - DATA",IF(SETUP!$B$9&lt;&gt;"READY","BLOCKED - POLICY","READY")))))</f>
        <v>BLOCKED - ELIGIBILITY</v>
      </c>
      <c r="U33" s="4" t="str">
        <f>IF($A33="","",IF(COUNTIFS(AGENT_INPUT!$A$5:$A$254,$A33,AGENT_INPUT!$D$5:$D$254,AGENT_INPUT!D33)&gt;1,"DUPLICATE AGENT + PERIOD",IF(D33&lt;&gt;"READY","INPUT OR CONFIG REVIEW",IF(T33&lt;&gt;"READY",T33,""))))</f>
        <v>BLOCKED - ELIGIBILITY</v>
      </c>
    </row>
    <row r="34" spans="1:21">
      <c r="A34" s="4">
        <f>IF(AGENT_INPUT!A34="","",AGENT_INPUT!A34)</f>
        <v>224102</v>
      </c>
      <c r="B34" s="4" t="str">
        <f>IF($A34="","",AGENT_INPUT!B34)</f>
        <v>Tasnim NAJI</v>
      </c>
      <c r="C34" s="4" t="str">
        <f>IF($A34="","",AGENT_INPUT!C34)</f>
        <v>RSA NL</v>
      </c>
      <c r="D34" s="4" t="str">
        <f>IF($A34="","",IF(AND(COUNT(AGENT_INPUT!E34:J34)=6,COUNT(AGENT_INPUT!K34)=1,COUNTIF(BONUS_RULES!$A$5:$A$46,AGENT_INPUT!C34)&gt;0,OR(AGENT_INPUT!O34&gt;0,AND(AGENT_INPUT!M34&gt;0,AGENT_INPUT!N34&gt;0)),AGENT_INPUT!P34&gt;=0,AGENT_INPUT!Q34&gt;0,AGENT_INPUT!P34&lt;=AGENT_INPUT!Q34,AGENT_INPUT!H34&gt;=0,AGENT_INPUT!H34&lt;=1,AGENT_INPUT!I34&gt;=0,AGENT_INPUT!I34&lt;=1,AGENT_INPUT!J34&gt;=0,AGENT_INPUT!J34&lt;=1),"READY","BLOCKED"))</f>
        <v>READY</v>
      </c>
      <c r="E34" s="4" t="str">
        <f>IF($A34="","",IF(AGENT_INPUT!R34&lt;&gt;"Active","REVIEW",IF(OR(POLICY_APPROVAL!$B$9="Eligibility only",POLICY_APPROVAL!$B$9="Both"),IF(AGENT_INPUT!J34&lt;=SUMIFS(BONUS_RULES!$E$5:$E$46,BONUS_RULES!$A$5:$A$46,$C34,BONUS_RULES!$B$5:$B$46,"Abs%"),"ELIGIBLE","INELIGIBLE ABS"),"ELIGIBLE")))</f>
        <v>REVIEW</v>
      </c>
      <c r="F34" s="10">
        <f>IF(OR($A34="",$D34&lt;&gt;"READY"),"",IF(AGENT_INPUT!E34&lt;=SUMIFS(BONUS_RULES!$E$5:$E$46,BONUS_RULES!$A$5:$A$46,$C34,BONUS_RULES!$B$5:$B$46,"AHT"),SUMIFS(BONUS_RULES!$D$5:$D$46,BONUS_RULES!$A$5:$A$46,$C34,BONUS_RULES!$B$5:$B$46,"AHT"),IF(AGENT_INPUT!E34&lt;=SUMIFS(BONUS_RULES!$G$5:$G$46,BONUS_RULES!$A$5:$A$46,$C34,BONUS_RULES!$B$5:$B$46,"AHT"),SUMIFS(BONUS_RULES!$F$5:$F$46,BONUS_RULES!$A$5:$A$46,$C34,BONUS_RULES!$B$5:$B$46,"AHT"),0)))</f>
        <v>0.0</v>
      </c>
      <c r="G34" s="10">
        <f>IF(OR($A34="",$D34&lt;&gt;"READY"),"",IF(AGENT_INPUT!F34&gt;=SUMIFS(BONUS_RULES!$E$5:$E$46,BONUS_RULES!$A$5:$A$46,$C34,BONUS_RULES!$B$5:$B$46,"Productivity"),SUMIFS(BONUS_RULES!$D$5:$D$46,BONUS_RULES!$A$5:$A$46,$C34,BONUS_RULES!$B$5:$B$46,"Productivity"),IF(AGENT_INPUT!F34&gt;=SUMIFS(BONUS_RULES!$G$5:$G$46,BONUS_RULES!$A$5:$A$46,$C34,BONUS_RULES!$B$5:$B$46,"Productivity"),SUMIFS(BONUS_RULES!$F$5:$F$46,BONUS_RULES!$A$5:$A$46,$C34,BONUS_RULES!$B$5:$B$46,"Productivity"),0)))</f>
        <v>0.0</v>
      </c>
      <c r="H34" s="10">
        <f>IF(OR($A34="",$D34&lt;&gt;"READY"),"",IF(AGENT_INPUT!G34&gt;=SUMIFS(BONUS_RULES!$E$5:$E$46,BONUS_RULES!$A$5:$A$46,$C34,BONUS_RULES!$B$5:$B$46,"PCS Score"),SUMIFS(BONUS_RULES!$D$5:$D$46,BONUS_RULES!$A$5:$A$46,$C34,BONUS_RULES!$B$5:$B$46,"PCS Score"),IF(AGENT_INPUT!G34&gt;=SUMIFS(BONUS_RULES!$G$5:$G$46,BONUS_RULES!$A$5:$A$46,$C34,BONUS_RULES!$B$5:$B$46,"PCS Score"),SUMIFS(BONUS_RULES!$F$5:$F$46,BONUS_RULES!$A$5:$A$46,$C34,BONUS_RULES!$B$5:$B$46,"PCS Score"),0)))</f>
        <v>0.0</v>
      </c>
      <c r="I34" s="10">
        <f>IF(OR($A34="",$D34&lt;&gt;"READY"),"",IF(AGENT_INPUT!H34&gt;=SUMIFS(BONUS_RULES!$E$5:$E$46,BONUS_RULES!$A$5:$A$46,$C34,BONUS_RULES!$B$5:$B$46,"PCS % (Participation)"),SUMIFS(BONUS_RULES!$D$5:$D$46,BONUS_RULES!$A$5:$A$46,$C34,BONUS_RULES!$B$5:$B$46,"PCS % (Participation)"),IF(AGENT_INPUT!H34&gt;=SUMIFS(BONUS_RULES!$G$5:$G$46,BONUS_RULES!$A$5:$A$46,$C34,BONUS_RULES!$B$5:$B$46,"PCS % (Participation)"),SUMIFS(BONUS_RULES!$F$5:$F$46,BONUS_RULES!$A$5:$A$46,$C34,BONUS_RULES!$B$5:$B$46,"PCS % (Participation)"),0)))</f>
        <v>0.0</v>
      </c>
      <c r="J34" s="10">
        <f>IF(OR($A34="",$D34&lt;&gt;"READY"),"",IF(AGENT_INPUT!I34&gt;=SUMIFS(BONUS_RULES!$E$5:$E$46,BONUS_RULES!$A$5:$A$46,$C34,BONUS_RULES!$B$5:$B$46,"QM"),SUMIFS(BONUS_RULES!$D$5:$D$46,BONUS_RULES!$A$5:$A$46,$C34,BONUS_RULES!$B$5:$B$46,"QM"),IF(AGENT_INPUT!I34&gt;=SUMIFS(BONUS_RULES!$G$5:$G$46,BONUS_RULES!$A$5:$A$46,$C34,BONUS_RULES!$B$5:$B$46,"QM"),SUMIFS(BONUS_RULES!$F$5:$F$46,BONUS_RULES!$A$5:$A$46,$C34,BONUS_RULES!$B$5:$B$46,"QM"),0)))</f>
        <v>0.0</v>
      </c>
      <c r="K34" s="10">
        <f>IF(POLICY_APPROVAL!$B$9="Eligibility only",0,IF(OR($A34="",$D34&lt;&gt;"READY"),"",IF(AGENT_INPUT!J34&lt;=SUMIFS(BONUS_RULES!$E$5:$E$46,BONUS_RULES!$A$5:$A$46,$C34,BONUS_RULES!$B$5:$B$46,"Abs%"),SUMIFS(BONUS_RULES!$D$5:$D$46,BONUS_RULES!$A$5:$A$46,$C34,BONUS_RULES!$B$5:$B$46,"Abs%"),IF(AGENT_INPUT!J34&lt;=SUMIFS(BONUS_RULES!$G$5:$G$46,BONUS_RULES!$A$5:$A$46,$C34,BONUS_RULES!$B$5:$B$46,"Abs%"),SUMIFS(BONUS_RULES!$F$5:$F$46,BONUS_RULES!$A$5:$A$46,$C34,BONUS_RULES!$B$5:$B$46,"Abs%"),0))))</f>
        <v>0.0</v>
      </c>
      <c r="L34" s="10">
        <f>IF(OR($A34="",$D34&lt;&gt;"READY"),"",IF(AGENT_INPUT!G34&gt;=SUMIFS(BONUS_RULES!$E$5:$E$46,BONUS_RULES!$A$5:$A$46,$C34,BONUS_RULES!$B$5:$B$46,"Extra Bonus (PCS Score)"),SUMIFS(BONUS_RULES!$D$5:$D$46,BONUS_RULES!$A$5:$A$46,$C34,BONUS_RULES!$B$5:$B$46,"Extra Bonus (PCS Score)"),IF(AGENT_INPUT!G34&gt;=SUMIFS(BONUS_RULES!$G$5:$G$46,BONUS_RULES!$A$5:$A$46,$C34,BONUS_RULES!$B$5:$B$46,"Extra Bonus (PCS Score)"),SUMIFS(BONUS_RULES!$F$5:$F$46,BONUS_RULES!$A$5:$A$46,$C34,BONUS_RULES!$B$5:$B$46,"Extra Bonus (PCS Score)"),0)))</f>
        <v>0.0</v>
      </c>
      <c r="M34" s="10">
        <f>IF($A34="","",MIN(IF(POLICY_APPROVAL!$B$6="Replacement",SUM(F34:K34)-H34+MAX(H34,L34),SUM(F34:L34)),POLICY_APPROVAL!$B$10))</f>
        <v>0</v>
      </c>
      <c r="N34" s="10">
        <f>IF($A34="","",IFERROR(INDEX(BONUS_RULES!$J$5:$J$10,MATCH(MIN(MAX(AGENT_INPUT!K34,0),5),BONUS_RULES!$I$5:$I$10,0)),1))</f>
        <v>0</v>
      </c>
      <c r="O34" s="10">
        <f>IF(M34="","",MAX(0,IF(POLICY_APPROVAL!$B$5="Percentage points",M34-N34,M34*(1-N34))))</f>
        <v>0</v>
      </c>
      <c r="P34" s="11">
        <f>IF(D34&lt;&gt;"READY","",IF(AGENT_INPUT!O34&gt;0,AGENT_INPUT!O34,AGENT_INPUT!M34*AGENT_INPUT!N34/IF(POLICY_APPROVAL!$B$7="Annual",12,1)))</f>
        <v>2000.0</v>
      </c>
      <c r="Q34" s="10">
        <f>IF(D34&lt;&gt;"READY","",MIN(1,AGENT_INPUT!P34/AGENT_INPUT!Q34))</f>
        <v>1.0</v>
      </c>
      <c r="R34" s="11">
        <f>IF(D34&lt;&gt;"READY","",ROUND(P34*Q34*O34,IF(POLICY_APPROVAL!$B$11="Whole MAD",0,2)))</f>
        <v/>
      </c>
      <c r="S34" s="11">
        <f>IF(AND(SETUP!$B$9="READY",T34="READY"),R34,"")</f>
        <v/>
      </c>
      <c r="T34" s="4" t="str">
        <f>IF($A34="","",IF(D34&lt;&gt;"READY","BLOCKED - INPUT",IF(E34&lt;&gt;"ELIGIBLE","BLOCKED - ELIGIBILITY",IF(AGENT_INPUT!S34&lt;&gt;"VALIDATED","BLOCKED - DATA",IF(SETUP!$B$9&lt;&gt;"READY","BLOCKED - POLICY","READY")))))</f>
        <v>BLOCKED - ELIGIBILITY</v>
      </c>
      <c r="U34" s="4" t="str">
        <f>IF($A34="","",IF(COUNTIFS(AGENT_INPUT!$A$5:$A$254,$A34,AGENT_INPUT!$D$5:$D$254,AGENT_INPUT!D34)&gt;1,"DUPLICATE AGENT + PERIOD",IF(D34&lt;&gt;"READY","INPUT OR CONFIG REVIEW",IF(T34&lt;&gt;"READY",T34,""))))</f>
        <v>BLOCKED - ELIGIBILITY</v>
      </c>
    </row>
    <row r="35" spans="1:21">
      <c r="A35" s="4">
        <f>IF(AGENT_INPUT!A35="","",AGENT_INPUT!A35)</f>
        <v>228213</v>
      </c>
      <c r="B35" s="4" t="str">
        <f>IF($A35="","",AGENT_INPUT!B35)</f>
        <v>Taoufik MANOUNI</v>
      </c>
      <c r="C35" s="4" t="str">
        <f>IF($A35="","",AGENT_INPUT!C35)</f>
        <v>OEM FR</v>
      </c>
      <c r="D35" s="4" t="str">
        <f>IF($A35="","",IF(AND(COUNT(AGENT_INPUT!E35:J35)=6,COUNT(AGENT_INPUT!K35)=1,COUNTIF(BONUS_RULES!$A$5:$A$46,AGENT_INPUT!C35)&gt;0,OR(AGENT_INPUT!O35&gt;0,AND(AGENT_INPUT!M35&gt;0,AGENT_INPUT!N35&gt;0)),AGENT_INPUT!P35&gt;=0,AGENT_INPUT!Q35&gt;0,AGENT_INPUT!P35&lt;=AGENT_INPUT!Q35,AGENT_INPUT!H35&gt;=0,AGENT_INPUT!H35&lt;=1,AGENT_INPUT!I35&gt;=0,AGENT_INPUT!I35&lt;=1,AGENT_INPUT!J35&gt;=0,AGENT_INPUT!J35&lt;=1),"READY","BLOCKED"))</f>
        <v>READY</v>
      </c>
      <c r="E35" s="4" t="str">
        <f>IF($A35="","",IF(AGENT_INPUT!R35&lt;&gt;"Active","REVIEW",IF(OR(POLICY_APPROVAL!$B$9="Eligibility only",POLICY_APPROVAL!$B$9="Both"),IF(AGENT_INPUT!J35&lt;=SUMIFS(BONUS_RULES!$E$5:$E$46,BONUS_RULES!$A$5:$A$46,$C35,BONUS_RULES!$B$5:$B$46,"Abs%"),"ELIGIBLE","INELIGIBLE ABS"),"ELIGIBLE")))</f>
        <v>REVIEW</v>
      </c>
      <c r="F35" s="10">
        <f>IF(OR($A35="",$D35&lt;&gt;"READY"),"",IF(AGENT_INPUT!E35&lt;=SUMIFS(BONUS_RULES!$E$5:$E$46,BONUS_RULES!$A$5:$A$46,$C35,BONUS_RULES!$B$5:$B$46,"AHT"),SUMIFS(BONUS_RULES!$D$5:$D$46,BONUS_RULES!$A$5:$A$46,$C35,BONUS_RULES!$B$5:$B$46,"AHT"),IF(AGENT_INPUT!E35&lt;=SUMIFS(BONUS_RULES!$G$5:$G$46,BONUS_RULES!$A$5:$A$46,$C35,BONUS_RULES!$B$5:$B$46,"AHT"),SUMIFS(BONUS_RULES!$F$5:$F$46,BONUS_RULES!$A$5:$A$46,$C35,BONUS_RULES!$B$5:$B$46,"AHT"),0)))</f>
        <v>0.15</v>
      </c>
      <c r="G35" s="10">
        <f>IF(OR($A35="",$D35&lt;&gt;"READY"),"",IF(AGENT_INPUT!F35&gt;=SUMIFS(BONUS_RULES!$E$5:$E$46,BONUS_RULES!$A$5:$A$46,$C35,BONUS_RULES!$B$5:$B$46,"Productivity"),SUMIFS(BONUS_RULES!$D$5:$D$46,BONUS_RULES!$A$5:$A$46,$C35,BONUS_RULES!$B$5:$B$46,"Productivity"),IF(AGENT_INPUT!F35&gt;=SUMIFS(BONUS_RULES!$G$5:$G$46,BONUS_RULES!$A$5:$A$46,$C35,BONUS_RULES!$B$5:$B$46,"Productivity"),SUMIFS(BONUS_RULES!$F$5:$F$46,BONUS_RULES!$A$5:$A$46,$C35,BONUS_RULES!$B$5:$B$46,"Productivity"),0)))</f>
        <v>0.15</v>
      </c>
      <c r="H35" s="10">
        <f>IF(OR($A35="",$D35&lt;&gt;"READY"),"",IF(AGENT_INPUT!G35&gt;=SUMIFS(BONUS_RULES!$E$5:$E$46,BONUS_RULES!$A$5:$A$46,$C35,BONUS_RULES!$B$5:$B$46,"PCS Score"),SUMIFS(BONUS_RULES!$D$5:$D$46,BONUS_RULES!$A$5:$A$46,$C35,BONUS_RULES!$B$5:$B$46,"PCS Score"),IF(AGENT_INPUT!G35&gt;=SUMIFS(BONUS_RULES!$G$5:$G$46,BONUS_RULES!$A$5:$A$46,$C35,BONUS_RULES!$B$5:$B$46,"PCS Score"),SUMIFS(BONUS_RULES!$F$5:$F$46,BONUS_RULES!$A$5:$A$46,$C35,BONUS_RULES!$B$5:$B$46,"PCS Score"),0)))</f>
        <v>0.2</v>
      </c>
      <c r="I35" s="10">
        <f>IF(OR($A35="",$D35&lt;&gt;"READY"),"",IF(AGENT_INPUT!H35&gt;=SUMIFS(BONUS_RULES!$E$5:$E$46,BONUS_RULES!$A$5:$A$46,$C35,BONUS_RULES!$B$5:$B$46,"PCS % (Participation)"),SUMIFS(BONUS_RULES!$D$5:$D$46,BONUS_RULES!$A$5:$A$46,$C35,BONUS_RULES!$B$5:$B$46,"PCS % (Participation)"),IF(AGENT_INPUT!H35&gt;=SUMIFS(BONUS_RULES!$G$5:$G$46,BONUS_RULES!$A$5:$A$46,$C35,BONUS_RULES!$B$5:$B$46,"PCS % (Participation)"),SUMIFS(BONUS_RULES!$F$5:$F$46,BONUS_RULES!$A$5:$A$46,$C35,BONUS_RULES!$B$5:$B$46,"PCS % (Participation)"),0)))</f>
        <v>0.1</v>
      </c>
      <c r="J35" s="10">
        <f>IF(OR($A35="",$D35&lt;&gt;"READY"),"",IF(AGENT_INPUT!I35&gt;=SUMIFS(BONUS_RULES!$E$5:$E$46,BONUS_RULES!$A$5:$A$46,$C35,BONUS_RULES!$B$5:$B$46,"QM"),SUMIFS(BONUS_RULES!$D$5:$D$46,BONUS_RULES!$A$5:$A$46,$C35,BONUS_RULES!$B$5:$B$46,"QM"),IF(AGENT_INPUT!I35&gt;=SUMIFS(BONUS_RULES!$G$5:$G$46,BONUS_RULES!$A$5:$A$46,$C35,BONUS_RULES!$B$5:$B$46,"QM"),SUMIFS(BONUS_RULES!$F$5:$F$46,BONUS_RULES!$A$5:$A$46,$C35,BONUS_RULES!$B$5:$B$46,"QM"),0)))</f>
        <v>0.0</v>
      </c>
      <c r="K35" s="10">
        <f>IF(POLICY_APPROVAL!$B$9="Eligibility only",0,IF(OR($A35="",$D35&lt;&gt;"READY"),"",IF(AGENT_INPUT!J35&lt;=SUMIFS(BONUS_RULES!$E$5:$E$46,BONUS_RULES!$A$5:$A$46,$C35,BONUS_RULES!$B$5:$B$46,"Abs%"),SUMIFS(BONUS_RULES!$D$5:$D$46,BONUS_RULES!$A$5:$A$46,$C35,BONUS_RULES!$B$5:$B$46,"Abs%"),IF(AGENT_INPUT!J35&lt;=SUMIFS(BONUS_RULES!$G$5:$G$46,BONUS_RULES!$A$5:$A$46,$C35,BONUS_RULES!$B$5:$B$46,"Abs%"),SUMIFS(BONUS_RULES!$F$5:$F$46,BONUS_RULES!$A$5:$A$46,$C35,BONUS_RULES!$B$5:$B$46,"Abs%"),0))))</f>
        <v>0.15</v>
      </c>
      <c r="L35" s="10">
        <f>IF(OR($A35="",$D35&lt;&gt;"READY"),"",IF(AGENT_INPUT!G35&gt;=SUMIFS(BONUS_RULES!$E$5:$E$46,BONUS_RULES!$A$5:$A$46,$C35,BONUS_RULES!$B$5:$B$46,"Extra Bonus (PCS Score)"),SUMIFS(BONUS_RULES!$D$5:$D$46,BONUS_RULES!$A$5:$A$46,$C35,BONUS_RULES!$B$5:$B$46,"Extra Bonus (PCS Score)"),IF(AGENT_INPUT!G35&gt;=SUMIFS(BONUS_RULES!$G$5:$G$46,BONUS_RULES!$A$5:$A$46,$C35,BONUS_RULES!$B$5:$B$46,"Extra Bonus (PCS Score)"),SUMIFS(BONUS_RULES!$F$5:$F$46,BONUS_RULES!$A$5:$A$46,$C35,BONUS_RULES!$B$5:$B$46,"Extra Bonus (PCS Score)"),0)))</f>
        <v>0.3</v>
      </c>
      <c r="M35" s="10">
        <f>IF($A35="","",MIN(IF(POLICY_APPROVAL!$B$6="Replacement",SUM(F35:K35)-H35+MAX(H35,L35),SUM(F35:L35)),POLICY_APPROVAL!$B$10))</f>
        <v>1.05</v>
      </c>
      <c r="N35" s="10">
        <f>IF($A35="","",IFERROR(INDEX(BONUS_RULES!$J$5:$J$10,MATCH(MIN(MAX(AGENT_INPUT!K35,0),5),BONUS_RULES!$I$5:$I$10,0)),1))</f>
        <v>0</v>
      </c>
      <c r="O35" s="10">
        <f>IF(M35="","",MAX(0,IF(POLICY_APPROVAL!$B$5="Percentage points",M35-N35,M35*(1-N35))))</f>
        <v>1.05</v>
      </c>
      <c r="P35" s="11">
        <f>IF(D35&lt;&gt;"READY","",IF(AGENT_INPUT!O35&gt;0,AGENT_INPUT!O35,AGENT_INPUT!M35*AGENT_INPUT!N35/IF(POLICY_APPROVAL!$B$7="Annual",12,1)))</f>
        <v>2000.0</v>
      </c>
      <c r="Q35" s="10">
        <f>IF(D35&lt;&gt;"READY","",MIN(1,AGENT_INPUT!P35/AGENT_INPUT!Q35))</f>
        <v>1.0</v>
      </c>
      <c r="R35" s="11">
        <f>IF(D35&lt;&gt;"READY","",ROUND(P35*Q35*O35,IF(POLICY_APPROVAL!$B$11="Whole MAD",0,2)))</f>
        <v>2100.0</v>
      </c>
      <c r="S35" s="11">
        <f>IF(AND(SETUP!$B$9="READY",T35="READY"),R35,"")</f>
        <v/>
      </c>
      <c r="T35" s="4" t="str">
        <f>IF($A35="","",IF(D35&lt;&gt;"READY","BLOCKED - INPUT",IF(E35&lt;&gt;"ELIGIBLE","BLOCKED - ELIGIBILITY",IF(AGENT_INPUT!S35&lt;&gt;"VALIDATED","BLOCKED - DATA",IF(SETUP!$B$9&lt;&gt;"READY","BLOCKED - POLICY","READY")))))</f>
        <v>BLOCKED - ELIGIBILITY</v>
      </c>
      <c r="U35" s="4" t="str">
        <f>IF($A35="","",IF(COUNTIFS(AGENT_INPUT!$A$5:$A$254,$A35,AGENT_INPUT!$D$5:$D$254,AGENT_INPUT!D35)&gt;1,"DUPLICATE AGENT + PERIOD",IF(D35&lt;&gt;"READY","INPUT OR CONFIG REVIEW",IF(T35&lt;&gt;"READY",T35,""))))</f>
        <v>BLOCKED - ELIGIBILITY</v>
      </c>
    </row>
    <row r="36" spans="1:21">
      <c r="A36" s="4">
        <f>IF(AGENT_INPUT!A36="","",AGENT_INPUT!A36)</f>
        <v>244550</v>
      </c>
      <c r="B36" s="4" t="str">
        <f>IF($A36="","",AGENT_INPUT!B36)</f>
        <v>taissir Bakour</v>
      </c>
      <c r="C36" s="4" t="str">
        <f>IF($A36="","",AGENT_INPUT!C36)</f>
        <v>RSA NL</v>
      </c>
      <c r="D36" s="4" t="str">
        <f>IF($A36="","",IF(AND(COUNT(AGENT_INPUT!E36:J36)=6,COUNT(AGENT_INPUT!K36)=1,COUNTIF(BONUS_RULES!$A$5:$A$46,AGENT_INPUT!C36)&gt;0,OR(AGENT_INPUT!O36&gt;0,AND(AGENT_INPUT!M36&gt;0,AGENT_INPUT!N36&gt;0)),AGENT_INPUT!P36&gt;=0,AGENT_INPUT!Q36&gt;0,AGENT_INPUT!P36&lt;=AGENT_INPUT!Q36,AGENT_INPUT!H36&gt;=0,AGENT_INPUT!H36&lt;=1,AGENT_INPUT!I36&gt;=0,AGENT_INPUT!I36&lt;=1,AGENT_INPUT!J36&gt;=0,AGENT_INPUT!J36&lt;=1),"READY","BLOCKED"))</f>
        <v>BLOCKED</v>
      </c>
      <c r="E36" s="4">
        <f>IF($A36="","",IF(AGENT_INPUT!R36&lt;&gt;"Active","REVIEW",IF(OR(POLICY_APPROVAL!$B$9="Eligibility only",POLICY_APPROVAL!$B$9="Both"),IF(AGENT_INPUT!J36&lt;=SUMIFS(BONUS_RULES!$E$5:$E$46,BONUS_RULES!$A$5:$A$46,$C36,BONUS_RULES!$B$5:$B$46,"Abs%"),"ELIGIBLE","INELIGIBLE ABS"),"ELIGIBLE")))</f>
        <v/>
      </c>
      <c r="F36" s="10">
        <f>IF(OR($A36="",$D36&lt;&gt;"READY"),"",IF(AGENT_INPUT!E36&lt;=SUMIFS(BONUS_RULES!$E$5:$E$46,BONUS_RULES!$A$5:$A$46,$C36,BONUS_RULES!$B$5:$B$46,"AHT"),SUMIFS(BONUS_RULES!$D$5:$D$46,BONUS_RULES!$A$5:$A$46,$C36,BONUS_RULES!$B$5:$B$46,"AHT"),IF(AGENT_INPUT!E36&lt;=SUMIFS(BONUS_RULES!$G$5:$G$46,BONUS_RULES!$A$5:$A$46,$C36,BONUS_RULES!$B$5:$B$46,"AHT"),SUMIFS(BONUS_RULES!$F$5:$F$46,BONUS_RULES!$A$5:$A$46,$C36,BONUS_RULES!$B$5:$B$46,"AHT"),0)))</f>
        <v/>
      </c>
      <c r="G36" s="10">
        <f>IF(OR($A36="",$D36&lt;&gt;"READY"),"",IF(AGENT_INPUT!F36&gt;=SUMIFS(BONUS_RULES!$E$5:$E$46,BONUS_RULES!$A$5:$A$46,$C36,BONUS_RULES!$B$5:$B$46,"Productivity"),SUMIFS(BONUS_RULES!$D$5:$D$46,BONUS_RULES!$A$5:$A$46,$C36,BONUS_RULES!$B$5:$B$46,"Productivity"),IF(AGENT_INPUT!F36&gt;=SUMIFS(BONUS_RULES!$G$5:$G$46,BONUS_RULES!$A$5:$A$46,$C36,BONUS_RULES!$B$5:$B$46,"Productivity"),SUMIFS(BONUS_RULES!$F$5:$F$46,BONUS_RULES!$A$5:$A$46,$C36,BONUS_RULES!$B$5:$B$46,"Productivity"),0)))</f>
        <v/>
      </c>
      <c r="H36" s="10">
        <f>IF(OR($A36="",$D36&lt;&gt;"READY"),"",IF(AGENT_INPUT!G36&gt;=SUMIFS(BONUS_RULES!$E$5:$E$46,BONUS_RULES!$A$5:$A$46,$C36,BONUS_RULES!$B$5:$B$46,"PCS Score"),SUMIFS(BONUS_RULES!$D$5:$D$46,BONUS_RULES!$A$5:$A$46,$C36,BONUS_RULES!$B$5:$B$46,"PCS Score"),IF(AGENT_INPUT!G36&gt;=SUMIFS(BONUS_RULES!$G$5:$G$46,BONUS_RULES!$A$5:$A$46,$C36,BONUS_RULES!$B$5:$B$46,"PCS Score"),SUMIFS(BONUS_RULES!$F$5:$F$46,BONUS_RULES!$A$5:$A$46,$C36,BONUS_RULES!$B$5:$B$46,"PCS Score"),0)))</f>
        <v/>
      </c>
      <c r="I36" s="10">
        <f>IF(OR($A36="",$D36&lt;&gt;"READY"),"",IF(AGENT_INPUT!H36&gt;=SUMIFS(BONUS_RULES!$E$5:$E$46,BONUS_RULES!$A$5:$A$46,$C36,BONUS_RULES!$B$5:$B$46,"PCS % (Participation)"),SUMIFS(BONUS_RULES!$D$5:$D$46,BONUS_RULES!$A$5:$A$46,$C36,BONUS_RULES!$B$5:$B$46,"PCS % (Participation)"),IF(AGENT_INPUT!H36&gt;=SUMIFS(BONUS_RULES!$G$5:$G$46,BONUS_RULES!$A$5:$A$46,$C36,BONUS_RULES!$B$5:$B$46,"PCS % (Participation)"),SUMIFS(BONUS_RULES!$F$5:$F$46,BONUS_RULES!$A$5:$A$46,$C36,BONUS_RULES!$B$5:$B$46,"PCS % (Participation)"),0)))</f>
        <v/>
      </c>
      <c r="J36" s="10">
        <f>IF(OR($A36="",$D36&lt;&gt;"READY"),"",IF(AGENT_INPUT!I36&gt;=SUMIFS(BONUS_RULES!$E$5:$E$46,BONUS_RULES!$A$5:$A$46,$C36,BONUS_RULES!$B$5:$B$46,"QM"),SUMIFS(BONUS_RULES!$D$5:$D$46,BONUS_RULES!$A$5:$A$46,$C36,BONUS_RULES!$B$5:$B$46,"QM"),IF(AGENT_INPUT!I36&gt;=SUMIFS(BONUS_RULES!$G$5:$G$46,BONUS_RULES!$A$5:$A$46,$C36,BONUS_RULES!$B$5:$B$46,"QM"),SUMIFS(BONUS_RULES!$F$5:$F$46,BONUS_RULES!$A$5:$A$46,$C36,BONUS_RULES!$B$5:$B$46,"QM"),0)))</f>
        <v/>
      </c>
      <c r="K36" s="10">
        <f>IF(POLICY_APPROVAL!$B$9="Eligibility only",0,IF(OR($A36="",$D36&lt;&gt;"READY"),"",IF(AGENT_INPUT!J36&lt;=SUMIFS(BONUS_RULES!$E$5:$E$46,BONUS_RULES!$A$5:$A$46,$C36,BONUS_RULES!$B$5:$B$46,"Abs%"),SUMIFS(BONUS_RULES!$D$5:$D$46,BONUS_RULES!$A$5:$A$46,$C36,BONUS_RULES!$B$5:$B$46,"Abs%"),IF(AGENT_INPUT!J36&lt;=SUMIFS(BONUS_RULES!$G$5:$G$46,BONUS_RULES!$A$5:$A$46,$C36,BONUS_RULES!$B$5:$B$46,"Abs%"),SUMIFS(BONUS_RULES!$F$5:$F$46,BONUS_RULES!$A$5:$A$46,$C36,BONUS_RULES!$B$5:$B$46,"Abs%"),0))))</f>
        <v/>
      </c>
      <c r="L36" s="10">
        <f>IF(OR($A36="",$D36&lt;&gt;"READY"),"",IF(AGENT_INPUT!G36&gt;=SUMIFS(BONUS_RULES!$E$5:$E$46,BONUS_RULES!$A$5:$A$46,$C36,BONUS_RULES!$B$5:$B$46,"Extra Bonus (PCS Score)"),SUMIFS(BONUS_RULES!$D$5:$D$46,BONUS_RULES!$A$5:$A$46,$C36,BONUS_RULES!$B$5:$B$46,"Extra Bonus (PCS Score)"),IF(AGENT_INPUT!G36&gt;=SUMIFS(BONUS_RULES!$G$5:$G$46,BONUS_RULES!$A$5:$A$46,$C36,BONUS_RULES!$B$5:$B$46,"Extra Bonus (PCS Score)"),SUMIFS(BONUS_RULES!$F$5:$F$46,BONUS_RULES!$A$5:$A$46,$C36,BONUS_RULES!$B$5:$B$46,"Extra Bonus (PCS Score)"),0)))</f>
        <v/>
      </c>
      <c r="M36" s="10">
        <f>IF($A36="","",MIN(IF(POLICY_APPROVAL!$B$6="Replacement",SUM(F36:K36)-H36+MAX(H36,L36),SUM(F36:L36)),POLICY_APPROVAL!$B$10))</f>
        <v>0</v>
      </c>
      <c r="N36" s="10">
        <f>IF($A36="","",IFERROR(INDEX(BONUS_RULES!$J$5:$J$10,MATCH(MIN(MAX(AGENT_INPUT!K36,0),5),BONUS_RULES!$I$5:$I$10,0)),1))</f>
        <v>0</v>
      </c>
      <c r="O36" s="10">
        <f>IF(M36="","",MAX(0,IF(POLICY_APPROVAL!$B$5="Percentage points",M36-N36,M36*(1-N36))))</f>
        <v>0</v>
      </c>
      <c r="P36" s="11">
        <f>IF(D36&lt;&gt;"READY","",IF(AGENT_INPUT!O36&gt;0,AGENT_INPUT!O36,AGENT_INPUT!M36*AGENT_INPUT!N36/IF(POLICY_APPROVAL!$B$7="Annual",12,1)))</f>
        <v/>
      </c>
      <c r="Q36" s="10">
        <f>IF(D36&lt;&gt;"READY","",MIN(1,AGENT_INPUT!P36/AGENT_INPUT!Q36))</f>
        <v/>
      </c>
      <c r="R36" s="11">
        <f>IF(D36&lt;&gt;"READY","",ROUND(P36*Q36*O36,IF(POLICY_APPROVAL!$B$11="Whole MAD",0,2)))</f>
        <v/>
      </c>
      <c r="S36" s="11">
        <f>IF(AND(SETUP!$B$9="READY",T36="READY"),R36,"")</f>
        <v/>
      </c>
      <c r="T36" s="4" t="str">
        <f>IF($A36="","",IF(D36&lt;&gt;"READY","BLOCKED - INPUT",IF(E36&lt;&gt;"ELIGIBLE","BLOCKED - ELIGIBILITY",IF(AGENT_INPUT!S36&lt;&gt;"VALIDATED","BLOCKED - DATA",IF(SETUP!$B$9&lt;&gt;"READY","BLOCKED - POLICY","READY")))))</f>
        <v>BLOCKED - INPUT</v>
      </c>
      <c r="U36" s="4" t="str">
        <f>IF($A36="","",IF(COUNTIFS(AGENT_INPUT!$A$5:$A$254,$A36,AGENT_INPUT!$D$5:$D$254,AGENT_INPUT!D36)&gt;1,"DUPLICATE AGENT + PERIOD",IF(D36&lt;&gt;"READY","INPUT OR CONFIG REVIEW",IF(T36&lt;&gt;"READY",T36,""))))</f>
        <v>Missing, invalid, or unconfigured required input</v>
      </c>
    </row>
    <row r="37" spans="1:21">
      <c r="A37" s="4">
        <f>IF(AGENT_INPUT!A37="","",AGENT_INPUT!A37)</f>
        <v>207437</v>
      </c>
      <c r="B37" s="4" t="str">
        <f>IF($A37="","",AGENT_INPUT!B37)</f>
        <v>Taha Aboulhaoul</v>
      </c>
      <c r="C37" s="4" t="str">
        <f>IF($A37="","",AGENT_INPUT!C37)</f>
        <v>RSA FR</v>
      </c>
      <c r="D37" s="4" t="str">
        <f>IF($A37="","",IF(AND(COUNT(AGENT_INPUT!E37:J37)=6,COUNT(AGENT_INPUT!K37)=1,COUNTIF(BONUS_RULES!$A$5:$A$46,AGENT_INPUT!C37)&gt;0,OR(AGENT_INPUT!O37&gt;0,AND(AGENT_INPUT!M37&gt;0,AGENT_INPUT!N37&gt;0)),AGENT_INPUT!P37&gt;=0,AGENT_INPUT!Q37&gt;0,AGENT_INPUT!P37&lt;=AGENT_INPUT!Q37,AGENT_INPUT!H37&gt;=0,AGENT_INPUT!H37&lt;=1,AGENT_INPUT!I37&gt;=0,AGENT_INPUT!I37&lt;=1,AGENT_INPUT!J37&gt;=0,AGENT_INPUT!J37&lt;=1),"READY","BLOCKED"))</f>
        <v>READY</v>
      </c>
      <c r="E37" s="4" t="str">
        <f>IF($A37="","",IF(AGENT_INPUT!R37&lt;&gt;"Active","REVIEW",IF(OR(POLICY_APPROVAL!$B$9="Eligibility only",POLICY_APPROVAL!$B$9="Both"),IF(AGENT_INPUT!J37&lt;=SUMIFS(BONUS_RULES!$E$5:$E$46,BONUS_RULES!$A$5:$A$46,$C37,BONUS_RULES!$B$5:$B$46,"Abs%"),"ELIGIBLE","INELIGIBLE ABS"),"ELIGIBLE")))</f>
        <v>REVIEW</v>
      </c>
      <c r="F37" s="10">
        <f>IF(OR($A37="",$D37&lt;&gt;"READY"),"",IF(AGENT_INPUT!E37&lt;=SUMIFS(BONUS_RULES!$E$5:$E$46,BONUS_RULES!$A$5:$A$46,$C37,BONUS_RULES!$B$5:$B$46,"AHT"),SUMIFS(BONUS_RULES!$D$5:$D$46,BONUS_RULES!$A$5:$A$46,$C37,BONUS_RULES!$B$5:$B$46,"AHT"),IF(AGENT_INPUT!E37&lt;=SUMIFS(BONUS_RULES!$G$5:$G$46,BONUS_RULES!$A$5:$A$46,$C37,BONUS_RULES!$B$5:$B$46,"AHT"),SUMIFS(BONUS_RULES!$F$5:$F$46,BONUS_RULES!$A$5:$A$46,$C37,BONUS_RULES!$B$5:$B$46,"AHT"),0)))</f>
        <v>0.15</v>
      </c>
      <c r="G37" s="10">
        <f>IF(OR($A37="",$D37&lt;&gt;"READY"),"",IF(AGENT_INPUT!F37&gt;=SUMIFS(BONUS_RULES!$E$5:$E$46,BONUS_RULES!$A$5:$A$46,$C37,BONUS_RULES!$B$5:$B$46,"Productivity"),SUMIFS(BONUS_RULES!$D$5:$D$46,BONUS_RULES!$A$5:$A$46,$C37,BONUS_RULES!$B$5:$B$46,"Productivity"),IF(AGENT_INPUT!F37&gt;=SUMIFS(BONUS_RULES!$G$5:$G$46,BONUS_RULES!$A$5:$A$46,$C37,BONUS_RULES!$B$5:$B$46,"Productivity"),SUMIFS(BONUS_RULES!$F$5:$F$46,BONUS_RULES!$A$5:$A$46,$C37,BONUS_RULES!$B$5:$B$46,"Productivity"),0)))</f>
        <v>0.15</v>
      </c>
      <c r="H37" s="10">
        <f>IF(OR($A37="",$D37&lt;&gt;"READY"),"",IF(AGENT_INPUT!G37&gt;=SUMIFS(BONUS_RULES!$E$5:$E$46,BONUS_RULES!$A$5:$A$46,$C37,BONUS_RULES!$B$5:$B$46,"PCS Score"),SUMIFS(BONUS_RULES!$D$5:$D$46,BONUS_RULES!$A$5:$A$46,$C37,BONUS_RULES!$B$5:$B$46,"PCS Score"),IF(AGENT_INPUT!G37&gt;=SUMIFS(BONUS_RULES!$G$5:$G$46,BONUS_RULES!$A$5:$A$46,$C37,BONUS_RULES!$B$5:$B$46,"PCS Score"),SUMIFS(BONUS_RULES!$F$5:$F$46,BONUS_RULES!$A$5:$A$46,$C37,BONUS_RULES!$B$5:$B$46,"PCS Score"),0)))</f>
        <v>0.0</v>
      </c>
      <c r="I37" s="10">
        <f>IF(OR($A37="",$D37&lt;&gt;"READY"),"",IF(AGENT_INPUT!H37&gt;=SUMIFS(BONUS_RULES!$E$5:$E$46,BONUS_RULES!$A$5:$A$46,$C37,BONUS_RULES!$B$5:$B$46,"PCS % (Participation)"),SUMIFS(BONUS_RULES!$D$5:$D$46,BONUS_RULES!$A$5:$A$46,$C37,BONUS_RULES!$B$5:$B$46,"PCS % (Participation)"),IF(AGENT_INPUT!H37&gt;=SUMIFS(BONUS_RULES!$G$5:$G$46,BONUS_RULES!$A$5:$A$46,$C37,BONUS_RULES!$B$5:$B$46,"PCS % (Participation)"),SUMIFS(BONUS_RULES!$F$5:$F$46,BONUS_RULES!$A$5:$A$46,$C37,BONUS_RULES!$B$5:$B$46,"PCS % (Participation)"),0)))</f>
        <v>0.0</v>
      </c>
      <c r="J37" s="10">
        <f>IF(OR($A37="",$D37&lt;&gt;"READY"),"",IF(AGENT_INPUT!I37&gt;=SUMIFS(BONUS_RULES!$E$5:$E$46,BONUS_RULES!$A$5:$A$46,$C37,BONUS_RULES!$B$5:$B$46,"QM"),SUMIFS(BONUS_RULES!$D$5:$D$46,BONUS_RULES!$A$5:$A$46,$C37,BONUS_RULES!$B$5:$B$46,"QM"),IF(AGENT_INPUT!I37&gt;=SUMIFS(BONUS_RULES!$G$5:$G$46,BONUS_RULES!$A$5:$A$46,$C37,BONUS_RULES!$B$5:$B$46,"QM"),SUMIFS(BONUS_RULES!$F$5:$F$46,BONUS_RULES!$A$5:$A$46,$C37,BONUS_RULES!$B$5:$B$46,"QM"),0)))</f>
        <v>0.0</v>
      </c>
      <c r="K37" s="10">
        <f>IF(POLICY_APPROVAL!$B$9="Eligibility only",0,IF(OR($A37="",$D37&lt;&gt;"READY"),"",IF(AGENT_INPUT!J37&lt;=SUMIFS(BONUS_RULES!$E$5:$E$46,BONUS_RULES!$A$5:$A$46,$C37,BONUS_RULES!$B$5:$B$46,"Abs%"),SUMIFS(BONUS_RULES!$D$5:$D$46,BONUS_RULES!$A$5:$A$46,$C37,BONUS_RULES!$B$5:$B$46,"Abs%"),IF(AGENT_INPUT!J37&lt;=SUMIFS(BONUS_RULES!$G$5:$G$46,BONUS_RULES!$A$5:$A$46,$C37,BONUS_RULES!$B$5:$B$46,"Abs%"),SUMIFS(BONUS_RULES!$F$5:$F$46,BONUS_RULES!$A$5:$A$46,$C37,BONUS_RULES!$B$5:$B$46,"Abs%"),0))))</f>
        <v>0.15</v>
      </c>
      <c r="L37" s="10">
        <f>IF(OR($A37="",$D37&lt;&gt;"READY"),"",IF(AGENT_INPUT!G37&gt;=SUMIFS(BONUS_RULES!$E$5:$E$46,BONUS_RULES!$A$5:$A$46,$C37,BONUS_RULES!$B$5:$B$46,"Extra Bonus (PCS Score)"),SUMIFS(BONUS_RULES!$D$5:$D$46,BONUS_RULES!$A$5:$A$46,$C37,BONUS_RULES!$B$5:$B$46,"Extra Bonus (PCS Score)"),IF(AGENT_INPUT!G37&gt;=SUMIFS(BONUS_RULES!$G$5:$G$46,BONUS_RULES!$A$5:$A$46,$C37,BONUS_RULES!$B$5:$B$46,"Extra Bonus (PCS Score)"),SUMIFS(BONUS_RULES!$F$5:$F$46,BONUS_RULES!$A$5:$A$46,$C37,BONUS_RULES!$B$5:$B$46,"Extra Bonus (PCS Score)"),0)))</f>
        <v>0.0</v>
      </c>
      <c r="M37" s="10">
        <f>IF($A37="","",MIN(IF(POLICY_APPROVAL!$B$6="Replacement",SUM(F37:K37)-H37+MAX(H37,L37),SUM(F37:L37)),POLICY_APPROVAL!$B$10))</f>
        <v>0.44999999999999996</v>
      </c>
      <c r="N37" s="10">
        <f>IF($A37="","",IFERROR(INDEX(BONUS_RULES!$J$5:$J$10,MATCH(MIN(MAX(AGENT_INPUT!K37,0),5),BONUS_RULES!$I$5:$I$10,0)),1))</f>
        <v>0</v>
      </c>
      <c r="O37" s="10">
        <f>IF(M37="","",MAX(0,IF(POLICY_APPROVAL!$B$5="Percentage points",M37-N37,M37*(1-N37))))</f>
        <v>0.44999999999999996</v>
      </c>
      <c r="P37" s="11">
        <f>IF(D37&lt;&gt;"READY","",IF(AGENT_INPUT!O37&gt;0,AGENT_INPUT!O37,AGENT_INPUT!M37*AGENT_INPUT!N37/IF(POLICY_APPROVAL!$B$7="Annual",12,1)))</f>
        <v>2000.0</v>
      </c>
      <c r="Q37" s="10">
        <f>IF(D37&lt;&gt;"READY","",MIN(1,AGENT_INPUT!P37/AGENT_INPUT!Q37))</f>
        <v>1.0</v>
      </c>
      <c r="R37" s="11">
        <f>IF(D37&lt;&gt;"READY","",ROUND(P37*Q37*O37,IF(POLICY_APPROVAL!$B$11="Whole MAD",0,2)))</f>
        <v>900.0</v>
      </c>
      <c r="S37" s="11">
        <f>IF(AND(SETUP!$B$9="READY",T37="READY"),R37,"")</f>
        <v/>
      </c>
      <c r="T37" s="4" t="str">
        <f>IF($A37="","",IF(D37&lt;&gt;"READY","BLOCKED - INPUT",IF(E37&lt;&gt;"ELIGIBLE","BLOCKED - ELIGIBILITY",IF(AGENT_INPUT!S37&lt;&gt;"VALIDATED","BLOCKED - DATA",IF(SETUP!$B$9&lt;&gt;"READY","BLOCKED - POLICY","READY")))))</f>
        <v>BLOCKED - ELIGIBILITY</v>
      </c>
      <c r="U37" s="4" t="str">
        <f>IF($A37="","",IF(COUNTIFS(AGENT_INPUT!$A$5:$A$254,$A37,AGENT_INPUT!$D$5:$D$254,AGENT_INPUT!D37)&gt;1,"DUPLICATE AGENT + PERIOD",IF(D37&lt;&gt;"READY","INPUT OR CONFIG REVIEW",IF(T37&lt;&gt;"READY",T37,""))))</f>
        <v>BLOCKED - ELIGIBILITY</v>
      </c>
    </row>
    <row r="38" spans="1:21">
      <c r="A38" s="4">
        <f>IF(AGENT_INPUT!A38="","",AGENT_INPUT!A38)</f>
        <v>240747</v>
      </c>
      <c r="B38" s="4" t="str">
        <f>IF($A38="","",AGENT_INPUT!B38)</f>
        <v>Soufiane ROUH</v>
      </c>
      <c r="C38" s="4" t="str">
        <f>IF($A38="","",AGENT_INPUT!C38)</f>
        <v>RSA NL</v>
      </c>
      <c r="D38" s="4" t="str">
        <f>IF($A38="","",IF(AND(COUNT(AGENT_INPUT!E38:J38)=6,COUNT(AGENT_INPUT!K38)=1,COUNTIF(BONUS_RULES!$A$5:$A$46,AGENT_INPUT!C38)&gt;0,OR(AGENT_INPUT!O38&gt;0,AND(AGENT_INPUT!M38&gt;0,AGENT_INPUT!N38&gt;0)),AGENT_INPUT!P38&gt;=0,AGENT_INPUT!Q38&gt;0,AGENT_INPUT!P38&lt;=AGENT_INPUT!Q38,AGENT_INPUT!H38&gt;=0,AGENT_INPUT!H38&lt;=1,AGENT_INPUT!I38&gt;=0,AGENT_INPUT!I38&lt;=1,AGENT_INPUT!J38&gt;=0,AGENT_INPUT!J38&lt;=1),"READY","BLOCKED"))</f>
        <v>BLOCKED</v>
      </c>
      <c r="E38" s="4">
        <f>IF($A38="","",IF(AGENT_INPUT!R38&lt;&gt;"Active","REVIEW",IF(OR(POLICY_APPROVAL!$B$9="Eligibility only",POLICY_APPROVAL!$B$9="Both"),IF(AGENT_INPUT!J38&lt;=SUMIFS(BONUS_RULES!$E$5:$E$46,BONUS_RULES!$A$5:$A$46,$C38,BONUS_RULES!$B$5:$B$46,"Abs%"),"ELIGIBLE","INELIGIBLE ABS"),"ELIGIBLE")))</f>
        <v/>
      </c>
      <c r="F38" s="10">
        <f>IF(OR($A38="",$D38&lt;&gt;"READY"),"",IF(AGENT_INPUT!E38&lt;=SUMIFS(BONUS_RULES!$E$5:$E$46,BONUS_RULES!$A$5:$A$46,$C38,BONUS_RULES!$B$5:$B$46,"AHT"),SUMIFS(BONUS_RULES!$D$5:$D$46,BONUS_RULES!$A$5:$A$46,$C38,BONUS_RULES!$B$5:$B$46,"AHT"),IF(AGENT_INPUT!E38&lt;=SUMIFS(BONUS_RULES!$G$5:$G$46,BONUS_RULES!$A$5:$A$46,$C38,BONUS_RULES!$B$5:$B$46,"AHT"),SUMIFS(BONUS_RULES!$F$5:$F$46,BONUS_RULES!$A$5:$A$46,$C38,BONUS_RULES!$B$5:$B$46,"AHT"),0)))</f>
        <v/>
      </c>
      <c r="G38" s="10">
        <f>IF(OR($A38="",$D38&lt;&gt;"READY"),"",IF(AGENT_INPUT!F38&gt;=SUMIFS(BONUS_RULES!$E$5:$E$46,BONUS_RULES!$A$5:$A$46,$C38,BONUS_RULES!$B$5:$B$46,"Productivity"),SUMIFS(BONUS_RULES!$D$5:$D$46,BONUS_RULES!$A$5:$A$46,$C38,BONUS_RULES!$B$5:$B$46,"Productivity"),IF(AGENT_INPUT!F38&gt;=SUMIFS(BONUS_RULES!$G$5:$G$46,BONUS_RULES!$A$5:$A$46,$C38,BONUS_RULES!$B$5:$B$46,"Productivity"),SUMIFS(BONUS_RULES!$F$5:$F$46,BONUS_RULES!$A$5:$A$46,$C38,BONUS_RULES!$B$5:$B$46,"Productivity"),0)))</f>
        <v/>
      </c>
      <c r="H38" s="10">
        <f>IF(OR($A38="",$D38&lt;&gt;"READY"),"",IF(AGENT_INPUT!G38&gt;=SUMIFS(BONUS_RULES!$E$5:$E$46,BONUS_RULES!$A$5:$A$46,$C38,BONUS_RULES!$B$5:$B$46,"PCS Score"),SUMIFS(BONUS_RULES!$D$5:$D$46,BONUS_RULES!$A$5:$A$46,$C38,BONUS_RULES!$B$5:$B$46,"PCS Score"),IF(AGENT_INPUT!G38&gt;=SUMIFS(BONUS_RULES!$G$5:$G$46,BONUS_RULES!$A$5:$A$46,$C38,BONUS_RULES!$B$5:$B$46,"PCS Score"),SUMIFS(BONUS_RULES!$F$5:$F$46,BONUS_RULES!$A$5:$A$46,$C38,BONUS_RULES!$B$5:$B$46,"PCS Score"),0)))</f>
        <v/>
      </c>
      <c r="I38" s="10">
        <f>IF(OR($A38="",$D38&lt;&gt;"READY"),"",IF(AGENT_INPUT!H38&gt;=SUMIFS(BONUS_RULES!$E$5:$E$46,BONUS_RULES!$A$5:$A$46,$C38,BONUS_RULES!$B$5:$B$46,"PCS % (Participation)"),SUMIFS(BONUS_RULES!$D$5:$D$46,BONUS_RULES!$A$5:$A$46,$C38,BONUS_RULES!$B$5:$B$46,"PCS % (Participation)"),IF(AGENT_INPUT!H38&gt;=SUMIFS(BONUS_RULES!$G$5:$G$46,BONUS_RULES!$A$5:$A$46,$C38,BONUS_RULES!$B$5:$B$46,"PCS % (Participation)"),SUMIFS(BONUS_RULES!$F$5:$F$46,BONUS_RULES!$A$5:$A$46,$C38,BONUS_RULES!$B$5:$B$46,"PCS % (Participation)"),0)))</f>
        <v/>
      </c>
      <c r="J38" s="10">
        <f>IF(OR($A38="",$D38&lt;&gt;"READY"),"",IF(AGENT_INPUT!I38&gt;=SUMIFS(BONUS_RULES!$E$5:$E$46,BONUS_RULES!$A$5:$A$46,$C38,BONUS_RULES!$B$5:$B$46,"QM"),SUMIFS(BONUS_RULES!$D$5:$D$46,BONUS_RULES!$A$5:$A$46,$C38,BONUS_RULES!$B$5:$B$46,"QM"),IF(AGENT_INPUT!I38&gt;=SUMIFS(BONUS_RULES!$G$5:$G$46,BONUS_RULES!$A$5:$A$46,$C38,BONUS_RULES!$B$5:$B$46,"QM"),SUMIFS(BONUS_RULES!$F$5:$F$46,BONUS_RULES!$A$5:$A$46,$C38,BONUS_RULES!$B$5:$B$46,"QM"),0)))</f>
        <v/>
      </c>
      <c r="K38" s="10">
        <f>IF(POLICY_APPROVAL!$B$9="Eligibility only",0,IF(OR($A38="",$D38&lt;&gt;"READY"),"",IF(AGENT_INPUT!J38&lt;=SUMIFS(BONUS_RULES!$E$5:$E$46,BONUS_RULES!$A$5:$A$46,$C38,BONUS_RULES!$B$5:$B$46,"Abs%"),SUMIFS(BONUS_RULES!$D$5:$D$46,BONUS_RULES!$A$5:$A$46,$C38,BONUS_RULES!$B$5:$B$46,"Abs%"),IF(AGENT_INPUT!J38&lt;=SUMIFS(BONUS_RULES!$G$5:$G$46,BONUS_RULES!$A$5:$A$46,$C38,BONUS_RULES!$B$5:$B$46,"Abs%"),SUMIFS(BONUS_RULES!$F$5:$F$46,BONUS_RULES!$A$5:$A$46,$C38,BONUS_RULES!$B$5:$B$46,"Abs%"),0))))</f>
        <v/>
      </c>
      <c r="L38" s="10">
        <f>IF(OR($A38="",$D38&lt;&gt;"READY"),"",IF(AGENT_INPUT!G38&gt;=SUMIFS(BONUS_RULES!$E$5:$E$46,BONUS_RULES!$A$5:$A$46,$C38,BONUS_RULES!$B$5:$B$46,"Extra Bonus (PCS Score)"),SUMIFS(BONUS_RULES!$D$5:$D$46,BONUS_RULES!$A$5:$A$46,$C38,BONUS_RULES!$B$5:$B$46,"Extra Bonus (PCS Score)"),IF(AGENT_INPUT!G38&gt;=SUMIFS(BONUS_RULES!$G$5:$G$46,BONUS_RULES!$A$5:$A$46,$C38,BONUS_RULES!$B$5:$B$46,"Extra Bonus (PCS Score)"),SUMIFS(BONUS_RULES!$F$5:$F$46,BONUS_RULES!$A$5:$A$46,$C38,BONUS_RULES!$B$5:$B$46,"Extra Bonus (PCS Score)"),0)))</f>
        <v/>
      </c>
      <c r="M38" s="10">
        <f>IF($A38="","",MIN(IF(POLICY_APPROVAL!$B$6="Replacement",SUM(F38:K38)-H38+MAX(H38,L38),SUM(F38:L38)),POLICY_APPROVAL!$B$10))</f>
        <v>0</v>
      </c>
      <c r="N38" s="10">
        <f>IF($A38="","",IFERROR(INDEX(BONUS_RULES!$J$5:$J$10,MATCH(MIN(MAX(AGENT_INPUT!K38,0),5),BONUS_RULES!$I$5:$I$10,0)),1))</f>
        <v>0</v>
      </c>
      <c r="O38" s="10">
        <f>IF(M38="","",MAX(0,IF(POLICY_APPROVAL!$B$5="Percentage points",M38-N38,M38*(1-N38))))</f>
        <v>0</v>
      </c>
      <c r="P38" s="11">
        <f>IF(D38&lt;&gt;"READY","",IF(AGENT_INPUT!O38&gt;0,AGENT_INPUT!O38,AGENT_INPUT!M38*AGENT_INPUT!N38/IF(POLICY_APPROVAL!$B$7="Annual",12,1)))</f>
        <v/>
      </c>
      <c r="Q38" s="10">
        <f>IF(D38&lt;&gt;"READY","",MIN(1,AGENT_INPUT!P38/AGENT_INPUT!Q38))</f>
        <v/>
      </c>
      <c r="R38" s="11">
        <f>IF(D38&lt;&gt;"READY","",ROUND(P38*Q38*O38,IF(POLICY_APPROVAL!$B$11="Whole MAD",0,2)))</f>
        <v/>
      </c>
      <c r="S38" s="11">
        <f>IF(AND(SETUP!$B$9="READY",T38="READY"),R38,"")</f>
        <v/>
      </c>
      <c r="T38" s="4" t="str">
        <f>IF($A38="","",IF(D38&lt;&gt;"READY","BLOCKED - INPUT",IF(E38&lt;&gt;"ELIGIBLE","BLOCKED - ELIGIBILITY",IF(AGENT_INPUT!S38&lt;&gt;"VALIDATED","BLOCKED - DATA",IF(SETUP!$B$9&lt;&gt;"READY","BLOCKED - POLICY","READY")))))</f>
        <v>BLOCKED - INPUT</v>
      </c>
      <c r="U38" s="4" t="str">
        <f>IF($A38="","",IF(COUNTIFS(AGENT_INPUT!$A$5:$A$254,$A38,AGENT_INPUT!$D$5:$D$254,AGENT_INPUT!D38)&gt;1,"DUPLICATE AGENT + PERIOD",IF(D38&lt;&gt;"READY","INPUT OR CONFIG REVIEW",IF(T38&lt;&gt;"READY",T38,""))))</f>
        <v>Missing, invalid, or unconfigured required input</v>
      </c>
    </row>
    <row r="39" spans="1:21">
      <c r="A39" s="4">
        <f>IF(AGENT_INPUT!A39="","",AGENT_INPUT!A39)</f>
        <v>221751</v>
      </c>
      <c r="B39" s="4" t="str">
        <f>IF($A39="","",AGENT_INPUT!B39)</f>
        <v>Shaib Hashemi</v>
      </c>
      <c r="C39" s="4" t="str">
        <f>IF($A39="","",AGENT_INPUT!C39)</f>
        <v>RSA NL</v>
      </c>
      <c r="D39" s="4" t="str">
        <f>IF($A39="","",IF(AND(COUNT(AGENT_INPUT!E39:J39)=6,COUNT(AGENT_INPUT!K39)=1,COUNTIF(BONUS_RULES!$A$5:$A$46,AGENT_INPUT!C39)&gt;0,OR(AGENT_INPUT!O39&gt;0,AND(AGENT_INPUT!M39&gt;0,AGENT_INPUT!N39&gt;0)),AGENT_INPUT!P39&gt;=0,AGENT_INPUT!Q39&gt;0,AGENT_INPUT!P39&lt;=AGENT_INPUT!Q39,AGENT_INPUT!H39&gt;=0,AGENT_INPUT!H39&lt;=1,AGENT_INPUT!I39&gt;=0,AGENT_INPUT!I39&lt;=1,AGENT_INPUT!J39&gt;=0,AGENT_INPUT!J39&lt;=1),"READY","BLOCKED"))</f>
        <v>READY</v>
      </c>
      <c r="E39" s="4" t="str">
        <f>IF($A39="","",IF(AGENT_INPUT!R39&lt;&gt;"Active","REVIEW",IF(OR(POLICY_APPROVAL!$B$9="Eligibility only",POLICY_APPROVAL!$B$9="Both"),IF(AGENT_INPUT!J39&lt;=SUMIFS(BONUS_RULES!$E$5:$E$46,BONUS_RULES!$A$5:$A$46,$C39,BONUS_RULES!$B$5:$B$46,"Abs%"),"ELIGIBLE","INELIGIBLE ABS"),"ELIGIBLE")))</f>
        <v>REVIEW</v>
      </c>
      <c r="F39" s="10">
        <f>IF(OR($A39="",$D39&lt;&gt;"READY"),"",IF(AGENT_INPUT!E39&lt;=SUMIFS(BONUS_RULES!$E$5:$E$46,BONUS_RULES!$A$5:$A$46,$C39,BONUS_RULES!$B$5:$B$46,"AHT"),SUMIFS(BONUS_RULES!$D$5:$D$46,BONUS_RULES!$A$5:$A$46,$C39,BONUS_RULES!$B$5:$B$46,"AHT"),IF(AGENT_INPUT!E39&lt;=SUMIFS(BONUS_RULES!$G$5:$G$46,BONUS_RULES!$A$5:$A$46,$C39,BONUS_RULES!$B$5:$B$46,"AHT"),SUMIFS(BONUS_RULES!$F$5:$F$46,BONUS_RULES!$A$5:$A$46,$C39,BONUS_RULES!$B$5:$B$46,"AHT"),0)))</f>
        <v>0.15</v>
      </c>
      <c r="G39" s="10">
        <f>IF(OR($A39="",$D39&lt;&gt;"READY"),"",IF(AGENT_INPUT!F39&gt;=SUMIFS(BONUS_RULES!$E$5:$E$46,BONUS_RULES!$A$5:$A$46,$C39,BONUS_RULES!$B$5:$B$46,"Productivity"),SUMIFS(BONUS_RULES!$D$5:$D$46,BONUS_RULES!$A$5:$A$46,$C39,BONUS_RULES!$B$5:$B$46,"Productivity"),IF(AGENT_INPUT!F39&gt;=SUMIFS(BONUS_RULES!$G$5:$G$46,BONUS_RULES!$A$5:$A$46,$C39,BONUS_RULES!$B$5:$B$46,"Productivity"),SUMIFS(BONUS_RULES!$F$5:$F$46,BONUS_RULES!$A$5:$A$46,$C39,BONUS_RULES!$B$5:$B$46,"Productivity"),0)))</f>
        <v>0.15</v>
      </c>
      <c r="H39" s="10">
        <f>IF(OR($A39="",$D39&lt;&gt;"READY"),"",IF(AGENT_INPUT!G39&gt;=SUMIFS(BONUS_RULES!$E$5:$E$46,BONUS_RULES!$A$5:$A$46,$C39,BONUS_RULES!$B$5:$B$46,"PCS Score"),SUMIFS(BONUS_RULES!$D$5:$D$46,BONUS_RULES!$A$5:$A$46,$C39,BONUS_RULES!$B$5:$B$46,"PCS Score"),IF(AGENT_INPUT!G39&gt;=SUMIFS(BONUS_RULES!$G$5:$G$46,BONUS_RULES!$A$5:$A$46,$C39,BONUS_RULES!$B$5:$B$46,"PCS Score"),SUMIFS(BONUS_RULES!$F$5:$F$46,BONUS_RULES!$A$5:$A$46,$C39,BONUS_RULES!$B$5:$B$46,"PCS Score"),0)))</f>
        <v>0.0</v>
      </c>
      <c r="I39" s="10">
        <f>IF(OR($A39="",$D39&lt;&gt;"READY"),"",IF(AGENT_INPUT!H39&gt;=SUMIFS(BONUS_RULES!$E$5:$E$46,BONUS_RULES!$A$5:$A$46,$C39,BONUS_RULES!$B$5:$B$46,"PCS % (Participation)"),SUMIFS(BONUS_RULES!$D$5:$D$46,BONUS_RULES!$A$5:$A$46,$C39,BONUS_RULES!$B$5:$B$46,"PCS % (Participation)"),IF(AGENT_INPUT!H39&gt;=SUMIFS(BONUS_RULES!$G$5:$G$46,BONUS_RULES!$A$5:$A$46,$C39,BONUS_RULES!$B$5:$B$46,"PCS % (Participation)"),SUMIFS(BONUS_RULES!$F$5:$F$46,BONUS_RULES!$A$5:$A$46,$C39,BONUS_RULES!$B$5:$B$46,"PCS % (Participation)"),0)))</f>
        <v>0.0</v>
      </c>
      <c r="J39" s="10">
        <f>IF(OR($A39="",$D39&lt;&gt;"READY"),"",IF(AGENT_INPUT!I39&gt;=SUMIFS(BONUS_RULES!$E$5:$E$46,BONUS_RULES!$A$5:$A$46,$C39,BONUS_RULES!$B$5:$B$46,"QM"),SUMIFS(BONUS_RULES!$D$5:$D$46,BONUS_RULES!$A$5:$A$46,$C39,BONUS_RULES!$B$5:$B$46,"QM"),IF(AGENT_INPUT!I39&gt;=SUMIFS(BONUS_RULES!$G$5:$G$46,BONUS_RULES!$A$5:$A$46,$C39,BONUS_RULES!$B$5:$B$46,"QM"),SUMIFS(BONUS_RULES!$F$5:$F$46,BONUS_RULES!$A$5:$A$46,$C39,BONUS_RULES!$B$5:$B$46,"QM"),0)))</f>
        <v>0.0</v>
      </c>
      <c r="K39" s="10">
        <f>IF(POLICY_APPROVAL!$B$9="Eligibility only",0,IF(OR($A39="",$D39&lt;&gt;"READY"),"",IF(AGENT_INPUT!J39&lt;=SUMIFS(BONUS_RULES!$E$5:$E$46,BONUS_RULES!$A$5:$A$46,$C39,BONUS_RULES!$B$5:$B$46,"Abs%"),SUMIFS(BONUS_RULES!$D$5:$D$46,BONUS_RULES!$A$5:$A$46,$C39,BONUS_RULES!$B$5:$B$46,"Abs%"),IF(AGENT_INPUT!J39&lt;=SUMIFS(BONUS_RULES!$G$5:$G$46,BONUS_RULES!$A$5:$A$46,$C39,BONUS_RULES!$B$5:$B$46,"Abs%"),SUMIFS(BONUS_RULES!$F$5:$F$46,BONUS_RULES!$A$5:$A$46,$C39,BONUS_RULES!$B$5:$B$46,"Abs%"),0))))</f>
        <v>0.0</v>
      </c>
      <c r="L39" s="10">
        <f>IF(OR($A39="",$D39&lt;&gt;"READY"),"",IF(AGENT_INPUT!G39&gt;=SUMIFS(BONUS_RULES!$E$5:$E$46,BONUS_RULES!$A$5:$A$46,$C39,BONUS_RULES!$B$5:$B$46,"Extra Bonus (PCS Score)"),SUMIFS(BONUS_RULES!$D$5:$D$46,BONUS_RULES!$A$5:$A$46,$C39,BONUS_RULES!$B$5:$B$46,"Extra Bonus (PCS Score)"),IF(AGENT_INPUT!G39&gt;=SUMIFS(BONUS_RULES!$G$5:$G$46,BONUS_RULES!$A$5:$A$46,$C39,BONUS_RULES!$B$5:$B$46,"Extra Bonus (PCS Score)"),SUMIFS(BONUS_RULES!$F$5:$F$46,BONUS_RULES!$A$5:$A$46,$C39,BONUS_RULES!$B$5:$B$46,"Extra Bonus (PCS Score)"),0)))</f>
        <v>0.0</v>
      </c>
      <c r="M39" s="10">
        <f>IF($A39="","",MIN(IF(POLICY_APPROVAL!$B$6="Replacement",SUM(F39:K39)-H39+MAX(H39,L39),SUM(F39:L39)),POLICY_APPROVAL!$B$10))</f>
        <v>0.3</v>
      </c>
      <c r="N39" s="10">
        <f>IF($A39="","",IFERROR(INDEX(BONUS_RULES!$J$5:$J$10,MATCH(MIN(MAX(AGENT_INPUT!K39,0),5),BONUS_RULES!$I$5:$I$10,0)),1))</f>
        <v>0</v>
      </c>
      <c r="O39" s="10">
        <f>IF(M39="","",MAX(0,IF(POLICY_APPROVAL!$B$5="Percentage points",M39-N39,M39*(1-N39))))</f>
        <v>0.3</v>
      </c>
      <c r="P39" s="11">
        <f>IF(D39&lt;&gt;"READY","",IF(AGENT_INPUT!O39&gt;0,AGENT_INPUT!O39,AGENT_INPUT!M39*AGENT_INPUT!N39/IF(POLICY_APPROVAL!$B$7="Annual",12,1)))</f>
        <v>2000.0</v>
      </c>
      <c r="Q39" s="10">
        <f>IF(D39&lt;&gt;"READY","",MIN(1,AGENT_INPUT!P39/AGENT_INPUT!Q39))</f>
        <v>1.0</v>
      </c>
      <c r="R39" s="11">
        <f>IF(D39&lt;&gt;"READY","",ROUND(P39*Q39*O39,IF(POLICY_APPROVAL!$B$11="Whole MAD",0,2)))</f>
        <v>600.0</v>
      </c>
      <c r="S39" s="11">
        <f>IF(AND(SETUP!$B$9="READY",T39="READY"),R39,"")</f>
        <v/>
      </c>
      <c r="T39" s="4" t="str">
        <f>IF($A39="","",IF(D39&lt;&gt;"READY","BLOCKED - INPUT",IF(E39&lt;&gt;"ELIGIBLE","BLOCKED - ELIGIBILITY",IF(AGENT_INPUT!S39&lt;&gt;"VALIDATED","BLOCKED - DATA",IF(SETUP!$B$9&lt;&gt;"READY","BLOCKED - POLICY","READY")))))</f>
        <v>BLOCKED - ELIGIBILITY</v>
      </c>
      <c r="U39" s="4" t="str">
        <f>IF($A39="","",IF(COUNTIFS(AGENT_INPUT!$A$5:$A$254,$A39,AGENT_INPUT!$D$5:$D$254,AGENT_INPUT!D39)&gt;1,"DUPLICATE AGENT + PERIOD",IF(D39&lt;&gt;"READY","INPUT OR CONFIG REVIEW",IF(T39&lt;&gt;"READY",T39,""))))</f>
        <v>BLOCKED - ELIGIBILITY</v>
      </c>
    </row>
    <row r="40" spans="1:21">
      <c r="A40" s="4">
        <f>IF(AGENT_INPUT!A40="","",AGENT_INPUT!A40)</f>
        <v>232190</v>
      </c>
      <c r="B40" s="4" t="str">
        <f>IF($A40="","",AGENT_INPUT!B40)</f>
        <v>SCOTT BAHRU DE COENE</v>
      </c>
      <c r="C40" s="4" t="str">
        <f>IF($A40="","",AGENT_INPUT!C40)</f>
        <v>RSA VL</v>
      </c>
      <c r="D40" s="4" t="str">
        <f>IF($A40="","",IF(AND(COUNT(AGENT_INPUT!E40:J40)=6,COUNT(AGENT_INPUT!K40)=1,COUNTIF(BONUS_RULES!$A$5:$A$46,AGENT_INPUT!C40)&gt;0,OR(AGENT_INPUT!O40&gt;0,AND(AGENT_INPUT!M40&gt;0,AGENT_INPUT!N40&gt;0)),AGENT_INPUT!P40&gt;=0,AGENT_INPUT!Q40&gt;0,AGENT_INPUT!P40&lt;=AGENT_INPUT!Q40,AGENT_INPUT!H40&gt;=0,AGENT_INPUT!H40&lt;=1,AGENT_INPUT!I40&gt;=0,AGENT_INPUT!I40&lt;=1,AGENT_INPUT!J40&gt;=0,AGENT_INPUT!J40&lt;=1),"READY","BLOCKED"))</f>
        <v>READY</v>
      </c>
      <c r="E40" s="4" t="str">
        <f>IF($A40="","",IF(AGENT_INPUT!R40&lt;&gt;"Active","REVIEW",IF(OR(POLICY_APPROVAL!$B$9="Eligibility only",POLICY_APPROVAL!$B$9="Both"),IF(AGENT_INPUT!J40&lt;=SUMIFS(BONUS_RULES!$E$5:$E$46,BONUS_RULES!$A$5:$A$46,$C40,BONUS_RULES!$B$5:$B$46,"Abs%"),"ELIGIBLE","INELIGIBLE ABS"),"ELIGIBLE")))</f>
        <v>REVIEW</v>
      </c>
      <c r="F40" s="10">
        <f>IF(OR($A40="",$D40&lt;&gt;"READY"),"",IF(AGENT_INPUT!E40&lt;=SUMIFS(BONUS_RULES!$E$5:$E$46,BONUS_RULES!$A$5:$A$46,$C40,BONUS_RULES!$B$5:$B$46,"AHT"),SUMIFS(BONUS_RULES!$D$5:$D$46,BONUS_RULES!$A$5:$A$46,$C40,BONUS_RULES!$B$5:$B$46,"AHT"),IF(AGENT_INPUT!E40&lt;=SUMIFS(BONUS_RULES!$G$5:$G$46,BONUS_RULES!$A$5:$A$46,$C40,BONUS_RULES!$B$5:$B$46,"AHT"),SUMIFS(BONUS_RULES!$F$5:$F$46,BONUS_RULES!$A$5:$A$46,$C40,BONUS_RULES!$B$5:$B$46,"AHT"),0)))</f>
        <v>0.0</v>
      </c>
      <c r="G40" s="10">
        <f>IF(OR($A40="",$D40&lt;&gt;"READY"),"",IF(AGENT_INPUT!F40&gt;=SUMIFS(BONUS_RULES!$E$5:$E$46,BONUS_RULES!$A$5:$A$46,$C40,BONUS_RULES!$B$5:$B$46,"Productivity"),SUMIFS(BONUS_RULES!$D$5:$D$46,BONUS_RULES!$A$5:$A$46,$C40,BONUS_RULES!$B$5:$B$46,"Productivity"),IF(AGENT_INPUT!F40&gt;=SUMIFS(BONUS_RULES!$G$5:$G$46,BONUS_RULES!$A$5:$A$46,$C40,BONUS_RULES!$B$5:$B$46,"Productivity"),SUMIFS(BONUS_RULES!$F$5:$F$46,BONUS_RULES!$A$5:$A$46,$C40,BONUS_RULES!$B$5:$B$46,"Productivity"),0)))</f>
        <v>0.0</v>
      </c>
      <c r="H40" s="10">
        <f>IF(OR($A40="",$D40&lt;&gt;"READY"),"",IF(AGENT_INPUT!G40&gt;=SUMIFS(BONUS_RULES!$E$5:$E$46,BONUS_RULES!$A$5:$A$46,$C40,BONUS_RULES!$B$5:$B$46,"PCS Score"),SUMIFS(BONUS_RULES!$D$5:$D$46,BONUS_RULES!$A$5:$A$46,$C40,BONUS_RULES!$B$5:$B$46,"PCS Score"),IF(AGENT_INPUT!G40&gt;=SUMIFS(BONUS_RULES!$G$5:$G$46,BONUS_RULES!$A$5:$A$46,$C40,BONUS_RULES!$B$5:$B$46,"PCS Score"),SUMIFS(BONUS_RULES!$F$5:$F$46,BONUS_RULES!$A$5:$A$46,$C40,BONUS_RULES!$B$5:$B$46,"PCS Score"),0)))</f>
        <v>0.0</v>
      </c>
      <c r="I40" s="10">
        <f>IF(OR($A40="",$D40&lt;&gt;"READY"),"",IF(AGENT_INPUT!H40&gt;=SUMIFS(BONUS_RULES!$E$5:$E$46,BONUS_RULES!$A$5:$A$46,$C40,BONUS_RULES!$B$5:$B$46,"PCS % (Participation)"),SUMIFS(BONUS_RULES!$D$5:$D$46,BONUS_RULES!$A$5:$A$46,$C40,BONUS_RULES!$B$5:$B$46,"PCS % (Participation)"),IF(AGENT_INPUT!H40&gt;=SUMIFS(BONUS_RULES!$G$5:$G$46,BONUS_RULES!$A$5:$A$46,$C40,BONUS_RULES!$B$5:$B$46,"PCS % (Participation)"),SUMIFS(BONUS_RULES!$F$5:$F$46,BONUS_RULES!$A$5:$A$46,$C40,BONUS_RULES!$B$5:$B$46,"PCS % (Participation)"),0)))</f>
        <v>0.0</v>
      </c>
      <c r="J40" s="10">
        <f>IF(OR($A40="",$D40&lt;&gt;"READY"),"",IF(AGENT_INPUT!I40&gt;=SUMIFS(BONUS_RULES!$E$5:$E$46,BONUS_RULES!$A$5:$A$46,$C40,BONUS_RULES!$B$5:$B$46,"QM"),SUMIFS(BONUS_RULES!$D$5:$D$46,BONUS_RULES!$A$5:$A$46,$C40,BONUS_RULES!$B$5:$B$46,"QM"),IF(AGENT_INPUT!I40&gt;=SUMIFS(BONUS_RULES!$G$5:$G$46,BONUS_RULES!$A$5:$A$46,$C40,BONUS_RULES!$B$5:$B$46,"QM"),SUMIFS(BONUS_RULES!$F$5:$F$46,BONUS_RULES!$A$5:$A$46,$C40,BONUS_RULES!$B$5:$B$46,"QM"),0)))</f>
        <v>0.0</v>
      </c>
      <c r="K40" s="10">
        <f>IF(POLICY_APPROVAL!$B$9="Eligibility only",0,IF(OR($A40="",$D40&lt;&gt;"READY"),"",IF(AGENT_INPUT!J40&lt;=SUMIFS(BONUS_RULES!$E$5:$E$46,BONUS_RULES!$A$5:$A$46,$C40,BONUS_RULES!$B$5:$B$46,"Abs%"),SUMIFS(BONUS_RULES!$D$5:$D$46,BONUS_RULES!$A$5:$A$46,$C40,BONUS_RULES!$B$5:$B$46,"Abs%"),IF(AGENT_INPUT!J40&lt;=SUMIFS(BONUS_RULES!$G$5:$G$46,BONUS_RULES!$A$5:$A$46,$C40,BONUS_RULES!$B$5:$B$46,"Abs%"),SUMIFS(BONUS_RULES!$F$5:$F$46,BONUS_RULES!$A$5:$A$46,$C40,BONUS_RULES!$B$5:$B$46,"Abs%"),0))))</f>
        <v>0.15</v>
      </c>
      <c r="L40" s="10">
        <f>IF(OR($A40="",$D40&lt;&gt;"READY"),"",IF(AGENT_INPUT!G40&gt;=SUMIFS(BONUS_RULES!$E$5:$E$46,BONUS_RULES!$A$5:$A$46,$C40,BONUS_RULES!$B$5:$B$46,"Extra Bonus (PCS Score)"),SUMIFS(BONUS_RULES!$D$5:$D$46,BONUS_RULES!$A$5:$A$46,$C40,BONUS_RULES!$B$5:$B$46,"Extra Bonus (PCS Score)"),IF(AGENT_INPUT!G40&gt;=SUMIFS(BONUS_RULES!$G$5:$G$46,BONUS_RULES!$A$5:$A$46,$C40,BONUS_RULES!$B$5:$B$46,"Extra Bonus (PCS Score)"),SUMIFS(BONUS_RULES!$F$5:$F$46,BONUS_RULES!$A$5:$A$46,$C40,BONUS_RULES!$B$5:$B$46,"Extra Bonus (PCS Score)"),0)))</f>
        <v>0.0</v>
      </c>
      <c r="M40" s="10">
        <f>IF($A40="","",MIN(IF(POLICY_APPROVAL!$B$6="Replacement",SUM(F40:K40)-H40+MAX(H40,L40),SUM(F40:L40)),POLICY_APPROVAL!$B$10))</f>
        <v>0.15</v>
      </c>
      <c r="N40" s="10">
        <f>IF($A40="","",IFERROR(INDEX(BONUS_RULES!$J$5:$J$10,MATCH(MIN(MAX(AGENT_INPUT!K40,0),5),BONUS_RULES!$I$5:$I$10,0)),1))</f>
        <v>0</v>
      </c>
      <c r="O40" s="10">
        <f>IF(M40="","",MAX(0,IF(POLICY_APPROVAL!$B$5="Percentage points",M40-N40,M40*(1-N40))))</f>
        <v>0.15</v>
      </c>
      <c r="P40" s="11">
        <f>IF(D40&lt;&gt;"READY","",IF(AGENT_INPUT!O40&gt;0,AGENT_INPUT!O40,AGENT_INPUT!M40*AGENT_INPUT!N40/IF(POLICY_APPROVAL!$B$7="Annual",12,1)))</f>
        <v>2000.0</v>
      </c>
      <c r="Q40" s="10">
        <f>IF(D40&lt;&gt;"READY","",MIN(1,AGENT_INPUT!P40/AGENT_INPUT!Q40))</f>
        <v>1.0</v>
      </c>
      <c r="R40" s="11">
        <f>IF(D40&lt;&gt;"READY","",ROUND(P40*Q40*O40,IF(POLICY_APPROVAL!$B$11="Whole MAD",0,2)))</f>
        <v>300.0</v>
      </c>
      <c r="S40" s="11">
        <f>IF(AND(SETUP!$B$9="READY",T40="READY"),R40,"")</f>
        <v/>
      </c>
      <c r="T40" s="4" t="str">
        <f>IF($A40="","",IF(D40&lt;&gt;"READY","BLOCKED - INPUT",IF(E40&lt;&gt;"ELIGIBLE","BLOCKED - ELIGIBILITY",IF(AGENT_INPUT!S40&lt;&gt;"VALIDATED","BLOCKED - DATA",IF(SETUP!$B$9&lt;&gt;"READY","BLOCKED - POLICY","READY")))))</f>
        <v>BLOCKED - ELIGIBILITY</v>
      </c>
      <c r="U40" s="4" t="str">
        <f>IF($A40="","",IF(COUNTIFS(AGENT_INPUT!$A$5:$A$254,$A40,AGENT_INPUT!$D$5:$D$254,AGENT_INPUT!D40)&gt;1,"DUPLICATE AGENT + PERIOD",IF(D40&lt;&gt;"READY","INPUT OR CONFIG REVIEW",IF(T40&lt;&gt;"READY",T40,""))))</f>
        <v>BLOCKED - ELIGIBILITY</v>
      </c>
    </row>
    <row r="41" spans="1:21">
      <c r="A41" s="4">
        <f>IF(AGENT_INPUT!A41="","",AGENT_INPUT!A41)</f>
        <v>204045</v>
      </c>
      <c r="B41" s="4" t="str">
        <f>IF($A41="","",AGENT_INPUT!B41)</f>
        <v>Ait El Bashir Salah Eddine</v>
      </c>
      <c r="C41" s="4" t="str">
        <f>IF($A41="","",AGENT_INPUT!C41)</f>
        <v>Ford Dutch</v>
      </c>
      <c r="D41" s="4" t="str">
        <f>IF($A41="","",IF(AND(COUNT(AGENT_INPUT!E41:J41)=6,COUNT(AGENT_INPUT!K41)=1,COUNTIF(BONUS_RULES!$A$5:$A$46,AGENT_INPUT!C41)&gt;0,OR(AGENT_INPUT!O41&gt;0,AND(AGENT_INPUT!M41&gt;0,AGENT_INPUT!N41&gt;0)),AGENT_INPUT!P41&gt;=0,AGENT_INPUT!Q41&gt;0,AGENT_INPUT!P41&lt;=AGENT_INPUT!Q41,AGENT_INPUT!H41&gt;=0,AGENT_INPUT!H41&lt;=1,AGENT_INPUT!I41&gt;=0,AGENT_INPUT!I41&lt;=1,AGENT_INPUT!J41&gt;=0,AGENT_INPUT!J41&lt;=1),"READY","BLOCKED"))</f>
        <v>READY</v>
      </c>
      <c r="E41" s="4" t="str">
        <f>IF($A41="","",IF(AGENT_INPUT!R41&lt;&gt;"Active","REVIEW",IF(OR(POLICY_APPROVAL!$B$9="Eligibility only",POLICY_APPROVAL!$B$9="Both"),IF(AGENT_INPUT!J41&lt;=SUMIFS(BONUS_RULES!$E$5:$E$46,BONUS_RULES!$A$5:$A$46,$C41,BONUS_RULES!$B$5:$B$46,"Abs%"),"ELIGIBLE","INELIGIBLE ABS"),"ELIGIBLE")))</f>
        <v>REVIEW</v>
      </c>
      <c r="F41" s="10">
        <f>IF(OR($A41="",$D41&lt;&gt;"READY"),"",IF(AGENT_INPUT!E41&lt;=SUMIFS(BONUS_RULES!$E$5:$E$46,BONUS_RULES!$A$5:$A$46,$C41,BONUS_RULES!$B$5:$B$46,"AHT"),SUMIFS(BONUS_RULES!$D$5:$D$46,BONUS_RULES!$A$5:$A$46,$C41,BONUS_RULES!$B$5:$B$46,"AHT"),IF(AGENT_INPUT!E41&lt;=SUMIFS(BONUS_RULES!$G$5:$G$46,BONUS_RULES!$A$5:$A$46,$C41,BONUS_RULES!$B$5:$B$46,"AHT"),SUMIFS(BONUS_RULES!$F$5:$F$46,BONUS_RULES!$A$5:$A$46,$C41,BONUS_RULES!$B$5:$B$46,"AHT"),0)))</f>
        <v>0.15</v>
      </c>
      <c r="G41" s="10">
        <f>IF(OR($A41="",$D41&lt;&gt;"READY"),"",IF(AGENT_INPUT!F41&gt;=SUMIFS(BONUS_RULES!$E$5:$E$46,BONUS_RULES!$A$5:$A$46,$C41,BONUS_RULES!$B$5:$B$46,"Productivity"),SUMIFS(BONUS_RULES!$D$5:$D$46,BONUS_RULES!$A$5:$A$46,$C41,BONUS_RULES!$B$5:$B$46,"Productivity"),IF(AGENT_INPUT!F41&gt;=SUMIFS(BONUS_RULES!$G$5:$G$46,BONUS_RULES!$A$5:$A$46,$C41,BONUS_RULES!$B$5:$B$46,"Productivity"),SUMIFS(BONUS_RULES!$F$5:$F$46,BONUS_RULES!$A$5:$A$46,$C41,BONUS_RULES!$B$5:$B$46,"Productivity"),0)))</f>
        <v>0.15</v>
      </c>
      <c r="H41" s="10">
        <f>IF(OR($A41="",$D41&lt;&gt;"READY"),"",IF(AGENT_INPUT!G41&gt;=SUMIFS(BONUS_RULES!$E$5:$E$46,BONUS_RULES!$A$5:$A$46,$C41,BONUS_RULES!$B$5:$B$46,"PCS Score"),SUMIFS(BONUS_RULES!$D$5:$D$46,BONUS_RULES!$A$5:$A$46,$C41,BONUS_RULES!$B$5:$B$46,"PCS Score"),IF(AGENT_INPUT!G41&gt;=SUMIFS(BONUS_RULES!$G$5:$G$46,BONUS_RULES!$A$5:$A$46,$C41,BONUS_RULES!$B$5:$B$46,"PCS Score"),SUMIFS(BONUS_RULES!$F$5:$F$46,BONUS_RULES!$A$5:$A$46,$C41,BONUS_RULES!$B$5:$B$46,"PCS Score"),0)))</f>
        <v>0.15</v>
      </c>
      <c r="I41" s="10">
        <f>IF(OR($A41="",$D41&lt;&gt;"READY"),"",IF(AGENT_INPUT!H41&gt;=SUMIFS(BONUS_RULES!$E$5:$E$46,BONUS_RULES!$A$5:$A$46,$C41,BONUS_RULES!$B$5:$B$46,"PCS % (Participation)"),SUMIFS(BONUS_RULES!$D$5:$D$46,BONUS_RULES!$A$5:$A$46,$C41,BONUS_RULES!$B$5:$B$46,"PCS % (Participation)"),IF(AGENT_INPUT!H41&gt;=SUMIFS(BONUS_RULES!$G$5:$G$46,BONUS_RULES!$A$5:$A$46,$C41,BONUS_RULES!$B$5:$B$46,"PCS % (Participation)"),SUMIFS(BONUS_RULES!$F$5:$F$46,BONUS_RULES!$A$5:$A$46,$C41,BONUS_RULES!$B$5:$B$46,"PCS % (Participation)"),0)))</f>
        <v>0.0</v>
      </c>
      <c r="J41" s="10">
        <f>IF(OR($A41="",$D41&lt;&gt;"READY"),"",IF(AGENT_INPUT!I41&gt;=SUMIFS(BONUS_RULES!$E$5:$E$46,BONUS_RULES!$A$5:$A$46,$C41,BONUS_RULES!$B$5:$B$46,"QM"),SUMIFS(BONUS_RULES!$D$5:$D$46,BONUS_RULES!$A$5:$A$46,$C41,BONUS_RULES!$B$5:$B$46,"QM"),IF(AGENT_INPUT!I41&gt;=SUMIFS(BONUS_RULES!$G$5:$G$46,BONUS_RULES!$A$5:$A$46,$C41,BONUS_RULES!$B$5:$B$46,"QM"),SUMIFS(BONUS_RULES!$F$5:$F$46,BONUS_RULES!$A$5:$A$46,$C41,BONUS_RULES!$B$5:$B$46,"QM"),0)))</f>
        <v>0.0</v>
      </c>
      <c r="K41" s="10">
        <f>IF(POLICY_APPROVAL!$B$9="Eligibility only",0,IF(OR($A41="",$D41&lt;&gt;"READY"),"",IF(AGENT_INPUT!J41&lt;=SUMIFS(BONUS_RULES!$E$5:$E$46,BONUS_RULES!$A$5:$A$46,$C41,BONUS_RULES!$B$5:$B$46,"Abs%"),SUMIFS(BONUS_RULES!$D$5:$D$46,BONUS_RULES!$A$5:$A$46,$C41,BONUS_RULES!$B$5:$B$46,"Abs%"),IF(AGENT_INPUT!J41&lt;=SUMIFS(BONUS_RULES!$G$5:$G$46,BONUS_RULES!$A$5:$A$46,$C41,BONUS_RULES!$B$5:$B$46,"Abs%"),SUMIFS(BONUS_RULES!$F$5:$F$46,BONUS_RULES!$A$5:$A$46,$C41,BONUS_RULES!$B$5:$B$46,"Abs%"),0))))</f>
        <v>0.15</v>
      </c>
      <c r="L41" s="10">
        <f>IF(OR($A41="",$D41&lt;&gt;"READY"),"",IF(AGENT_INPUT!G41&gt;=SUMIFS(BONUS_RULES!$E$5:$E$46,BONUS_RULES!$A$5:$A$46,$C41,BONUS_RULES!$B$5:$B$46,"Extra Bonus (PCS Score)"),SUMIFS(BONUS_RULES!$D$5:$D$46,BONUS_RULES!$A$5:$A$46,$C41,BONUS_RULES!$B$5:$B$46,"Extra Bonus (PCS Score)"),IF(AGENT_INPUT!G41&gt;=SUMIFS(BONUS_RULES!$G$5:$G$46,BONUS_RULES!$A$5:$A$46,$C41,BONUS_RULES!$B$5:$B$46,"Extra Bonus (PCS Score)"),SUMIFS(BONUS_RULES!$F$5:$F$46,BONUS_RULES!$A$5:$A$46,$C41,BONUS_RULES!$B$5:$B$46,"Extra Bonus (PCS Score)"),0)))</f>
        <v>0.0</v>
      </c>
      <c r="M41" s="10">
        <f>IF($A41="","",MIN(IF(POLICY_APPROVAL!$B$6="Replacement",SUM(F41:K41)-H41+MAX(H41,L41),SUM(F41:L41)),POLICY_APPROVAL!$B$10))</f>
        <v>0.6</v>
      </c>
      <c r="N41" s="10">
        <f>IF($A41="","",IFERROR(INDEX(BONUS_RULES!$J$5:$J$10,MATCH(MIN(MAX(AGENT_INPUT!K41,0),5),BONUS_RULES!$I$5:$I$10,0)),1))</f>
        <v>0</v>
      </c>
      <c r="O41" s="10">
        <f>IF(M41="","",MAX(0,IF(POLICY_APPROVAL!$B$5="Percentage points",M41-N41,M41*(1-N41))))</f>
        <v>0.6</v>
      </c>
      <c r="P41" s="11">
        <f>IF(D41&lt;&gt;"READY","",IF(AGENT_INPUT!O41&gt;0,AGENT_INPUT!O41,AGENT_INPUT!M41*AGENT_INPUT!N41/IF(POLICY_APPROVAL!$B$7="Annual",12,1)))</f>
        <v>2000.0</v>
      </c>
      <c r="Q41" s="10">
        <f>IF(D41&lt;&gt;"READY","",MIN(1,AGENT_INPUT!P41/AGENT_INPUT!Q41))</f>
        <v>1.0</v>
      </c>
      <c r="R41" s="11">
        <f>IF(D41&lt;&gt;"READY","",ROUND(P41*Q41*O41,IF(POLICY_APPROVAL!$B$11="Whole MAD",0,2)))</f>
        <v>1200.0</v>
      </c>
      <c r="S41" s="11">
        <f>IF(AND(SETUP!$B$9="READY",T41="READY"),R41,"")</f>
        <v/>
      </c>
      <c r="T41" s="4" t="str">
        <f>IF($A41="","",IF(D41&lt;&gt;"READY","BLOCKED - INPUT",IF(E41&lt;&gt;"ELIGIBLE","BLOCKED - ELIGIBILITY",IF(AGENT_INPUT!S41&lt;&gt;"VALIDATED","BLOCKED - DATA",IF(SETUP!$B$9&lt;&gt;"READY","BLOCKED - POLICY","READY")))))</f>
        <v>BLOCKED - ELIGIBILITY</v>
      </c>
      <c r="U41" s="4" t="str">
        <f>IF($A41="","",IF(COUNTIFS(AGENT_INPUT!$A$5:$A$254,$A41,AGENT_INPUT!$D$5:$D$254,AGENT_INPUT!D41)&gt;1,"DUPLICATE AGENT + PERIOD",IF(D41&lt;&gt;"READY","INPUT OR CONFIG REVIEW",IF(T41&lt;&gt;"READY",T41,""))))</f>
        <v>BLOCKED - ELIGIBILITY</v>
      </c>
    </row>
    <row r="42" spans="1:21">
      <c r="A42" s="4">
        <f>IF(AGENT_INPUT!A42="","",AGENT_INPUT!A42)</f>
        <v>96457</v>
      </c>
      <c r="B42" s="4" t="str">
        <f>IF($A42="","",AGENT_INPUT!B42)</f>
        <v>SAMAR Said</v>
      </c>
      <c r="C42" s="4" t="str">
        <f>IF($A42="","",AGENT_INPUT!C42)</f>
        <v>RSA NL</v>
      </c>
      <c r="D42" s="4" t="str">
        <f>IF($A42="","",IF(AND(COUNT(AGENT_INPUT!E42:J42)=6,COUNT(AGENT_INPUT!K42)=1,COUNTIF(BONUS_RULES!$A$5:$A$46,AGENT_INPUT!C42)&gt;0,OR(AGENT_INPUT!O42&gt;0,AND(AGENT_INPUT!M42&gt;0,AGENT_INPUT!N42&gt;0)),AGENT_INPUT!P42&gt;=0,AGENT_INPUT!Q42&gt;0,AGENT_INPUT!P42&lt;=AGENT_INPUT!Q42,AGENT_INPUT!H42&gt;=0,AGENT_INPUT!H42&lt;=1,AGENT_INPUT!I42&gt;=0,AGENT_INPUT!I42&lt;=1,AGENT_INPUT!J42&gt;=0,AGENT_INPUT!J42&lt;=1),"READY","BLOCKED"))</f>
        <v>READY</v>
      </c>
      <c r="E42" s="4" t="str">
        <f>IF($A42="","",IF(AGENT_INPUT!R42&lt;&gt;"Active","REVIEW",IF(OR(POLICY_APPROVAL!$B$9="Eligibility only",POLICY_APPROVAL!$B$9="Both"),IF(AGENT_INPUT!J42&lt;=SUMIFS(BONUS_RULES!$E$5:$E$46,BONUS_RULES!$A$5:$A$46,$C42,BONUS_RULES!$B$5:$B$46,"Abs%"),"ELIGIBLE","INELIGIBLE ABS"),"ELIGIBLE")))</f>
        <v>REVIEW</v>
      </c>
      <c r="F42" s="10">
        <f>IF(OR($A42="",$D42&lt;&gt;"READY"),"",IF(AGENT_INPUT!E42&lt;=SUMIFS(BONUS_RULES!$E$5:$E$46,BONUS_RULES!$A$5:$A$46,$C42,BONUS_RULES!$B$5:$B$46,"AHT"),SUMIFS(BONUS_RULES!$D$5:$D$46,BONUS_RULES!$A$5:$A$46,$C42,BONUS_RULES!$B$5:$B$46,"AHT"),IF(AGENT_INPUT!E42&lt;=SUMIFS(BONUS_RULES!$G$5:$G$46,BONUS_RULES!$A$5:$A$46,$C42,BONUS_RULES!$B$5:$B$46,"AHT"),SUMIFS(BONUS_RULES!$F$5:$F$46,BONUS_RULES!$A$5:$A$46,$C42,BONUS_RULES!$B$5:$B$46,"AHT"),0)))</f>
        <v>0.15</v>
      </c>
      <c r="G42" s="10">
        <f>IF(OR($A42="",$D42&lt;&gt;"READY"),"",IF(AGENT_INPUT!F42&gt;=SUMIFS(BONUS_RULES!$E$5:$E$46,BONUS_RULES!$A$5:$A$46,$C42,BONUS_RULES!$B$5:$B$46,"Productivity"),SUMIFS(BONUS_RULES!$D$5:$D$46,BONUS_RULES!$A$5:$A$46,$C42,BONUS_RULES!$B$5:$B$46,"Productivity"),IF(AGENT_INPUT!F42&gt;=SUMIFS(BONUS_RULES!$G$5:$G$46,BONUS_RULES!$A$5:$A$46,$C42,BONUS_RULES!$B$5:$B$46,"Productivity"),SUMIFS(BONUS_RULES!$F$5:$F$46,BONUS_RULES!$A$5:$A$46,$C42,BONUS_RULES!$B$5:$B$46,"Productivity"),0)))</f>
        <v>0.15</v>
      </c>
      <c r="H42" s="10">
        <f>IF(OR($A42="",$D42&lt;&gt;"READY"),"",IF(AGENT_INPUT!G42&gt;=SUMIFS(BONUS_RULES!$E$5:$E$46,BONUS_RULES!$A$5:$A$46,$C42,BONUS_RULES!$B$5:$B$46,"PCS Score"),SUMIFS(BONUS_RULES!$D$5:$D$46,BONUS_RULES!$A$5:$A$46,$C42,BONUS_RULES!$B$5:$B$46,"PCS Score"),IF(AGENT_INPUT!G42&gt;=SUMIFS(BONUS_RULES!$G$5:$G$46,BONUS_RULES!$A$5:$A$46,$C42,BONUS_RULES!$B$5:$B$46,"PCS Score"),SUMIFS(BONUS_RULES!$F$5:$F$46,BONUS_RULES!$A$5:$A$46,$C42,BONUS_RULES!$B$5:$B$46,"PCS Score"),0)))</f>
        <v>0.0</v>
      </c>
      <c r="I42" s="10">
        <f>IF(OR($A42="",$D42&lt;&gt;"READY"),"",IF(AGENT_INPUT!H42&gt;=SUMIFS(BONUS_RULES!$E$5:$E$46,BONUS_RULES!$A$5:$A$46,$C42,BONUS_RULES!$B$5:$B$46,"PCS % (Participation)"),SUMIFS(BONUS_RULES!$D$5:$D$46,BONUS_RULES!$A$5:$A$46,$C42,BONUS_RULES!$B$5:$B$46,"PCS % (Participation)"),IF(AGENT_INPUT!H42&gt;=SUMIFS(BONUS_RULES!$G$5:$G$46,BONUS_RULES!$A$5:$A$46,$C42,BONUS_RULES!$B$5:$B$46,"PCS % (Participation)"),SUMIFS(BONUS_RULES!$F$5:$F$46,BONUS_RULES!$A$5:$A$46,$C42,BONUS_RULES!$B$5:$B$46,"PCS % (Participation)"),0)))</f>
        <v>0.0</v>
      </c>
      <c r="J42" s="10">
        <f>IF(OR($A42="",$D42&lt;&gt;"READY"),"",IF(AGENT_INPUT!I42&gt;=SUMIFS(BONUS_RULES!$E$5:$E$46,BONUS_RULES!$A$5:$A$46,$C42,BONUS_RULES!$B$5:$B$46,"QM"),SUMIFS(BONUS_RULES!$D$5:$D$46,BONUS_RULES!$A$5:$A$46,$C42,BONUS_RULES!$B$5:$B$46,"QM"),IF(AGENT_INPUT!I42&gt;=SUMIFS(BONUS_RULES!$G$5:$G$46,BONUS_RULES!$A$5:$A$46,$C42,BONUS_RULES!$B$5:$B$46,"QM"),SUMIFS(BONUS_RULES!$F$5:$F$46,BONUS_RULES!$A$5:$A$46,$C42,BONUS_RULES!$B$5:$B$46,"QM"),0)))</f>
        <v>0.0</v>
      </c>
      <c r="K42" s="10">
        <f>IF(POLICY_APPROVAL!$B$9="Eligibility only",0,IF(OR($A42="",$D42&lt;&gt;"READY"),"",IF(AGENT_INPUT!J42&lt;=SUMIFS(BONUS_RULES!$E$5:$E$46,BONUS_RULES!$A$5:$A$46,$C42,BONUS_RULES!$B$5:$B$46,"Abs%"),SUMIFS(BONUS_RULES!$D$5:$D$46,BONUS_RULES!$A$5:$A$46,$C42,BONUS_RULES!$B$5:$B$46,"Abs%"),IF(AGENT_INPUT!J42&lt;=SUMIFS(BONUS_RULES!$G$5:$G$46,BONUS_RULES!$A$5:$A$46,$C42,BONUS_RULES!$B$5:$B$46,"Abs%"),SUMIFS(BONUS_RULES!$F$5:$F$46,BONUS_RULES!$A$5:$A$46,$C42,BONUS_RULES!$B$5:$B$46,"Abs%"),0))))</f>
        <v>0.0</v>
      </c>
      <c r="L42" s="10">
        <f>IF(OR($A42="",$D42&lt;&gt;"READY"),"",IF(AGENT_INPUT!G42&gt;=SUMIFS(BONUS_RULES!$E$5:$E$46,BONUS_RULES!$A$5:$A$46,$C42,BONUS_RULES!$B$5:$B$46,"Extra Bonus (PCS Score)"),SUMIFS(BONUS_RULES!$D$5:$D$46,BONUS_RULES!$A$5:$A$46,$C42,BONUS_RULES!$B$5:$B$46,"Extra Bonus (PCS Score)"),IF(AGENT_INPUT!G42&gt;=SUMIFS(BONUS_RULES!$G$5:$G$46,BONUS_RULES!$A$5:$A$46,$C42,BONUS_RULES!$B$5:$B$46,"Extra Bonus (PCS Score)"),SUMIFS(BONUS_RULES!$F$5:$F$46,BONUS_RULES!$A$5:$A$46,$C42,BONUS_RULES!$B$5:$B$46,"Extra Bonus (PCS Score)"),0)))</f>
        <v>0.0</v>
      </c>
      <c r="M42" s="10">
        <f>IF($A42="","",MIN(IF(POLICY_APPROVAL!$B$6="Replacement",SUM(F42:K42)-H42+MAX(H42,L42),SUM(F42:L42)),POLICY_APPROVAL!$B$10))</f>
        <v>0.3</v>
      </c>
      <c r="N42" s="10">
        <f>IF($A42="","",IFERROR(INDEX(BONUS_RULES!$J$5:$J$10,MATCH(MIN(MAX(AGENT_INPUT!K42,0),5),BONUS_RULES!$I$5:$I$10,0)),1))</f>
        <v>0</v>
      </c>
      <c r="O42" s="10">
        <f>IF(M42="","",MAX(0,IF(POLICY_APPROVAL!$B$5="Percentage points",M42-N42,M42*(1-N42))))</f>
        <v>0.3</v>
      </c>
      <c r="P42" s="11">
        <f>IF(D42&lt;&gt;"READY","",IF(AGENT_INPUT!O42&gt;0,AGENT_INPUT!O42,AGENT_INPUT!M42*AGENT_INPUT!N42/IF(POLICY_APPROVAL!$B$7="Annual",12,1)))</f>
        <v>2000.0</v>
      </c>
      <c r="Q42" s="10">
        <f>IF(D42&lt;&gt;"READY","",MIN(1,AGENT_INPUT!P42/AGENT_INPUT!Q42))</f>
        <v>1.0</v>
      </c>
      <c r="R42" s="11">
        <f>IF(D42&lt;&gt;"READY","",ROUND(P42*Q42*O42,IF(POLICY_APPROVAL!$B$11="Whole MAD",0,2)))</f>
        <v>600.0</v>
      </c>
      <c r="S42" s="11">
        <f>IF(AND(SETUP!$B$9="READY",T42="READY"),R42,"")</f>
        <v/>
      </c>
      <c r="T42" s="4" t="str">
        <f>IF($A42="","",IF(D42&lt;&gt;"READY","BLOCKED - INPUT",IF(E42&lt;&gt;"ELIGIBLE","BLOCKED - ELIGIBILITY",IF(AGENT_INPUT!S42&lt;&gt;"VALIDATED","BLOCKED - DATA",IF(SETUP!$B$9&lt;&gt;"READY","BLOCKED - POLICY","READY")))))</f>
        <v>BLOCKED - ELIGIBILITY</v>
      </c>
      <c r="U42" s="4" t="str">
        <f>IF($A42="","",IF(COUNTIFS(AGENT_INPUT!$A$5:$A$254,$A42,AGENT_INPUT!$D$5:$D$254,AGENT_INPUT!D42)&gt;1,"DUPLICATE AGENT + PERIOD",IF(D42&lt;&gt;"READY","INPUT OR CONFIG REVIEW",IF(T42&lt;&gt;"READY",T42,""))))</f>
        <v>BLOCKED - ELIGIBILITY</v>
      </c>
    </row>
    <row r="43" spans="1:21">
      <c r="A43" s="4">
        <f>IF(AGENT_INPUT!A43="","",AGENT_INPUT!A43)</f>
        <v>96526</v>
      </c>
      <c r="B43" s="4" t="str">
        <f>IF($A43="","",AGENT_INPUT!B43)</f>
        <v>HAJHOUJ Said</v>
      </c>
      <c r="C43" s="4" t="str">
        <f>IF($A43="","",AGENT_INPUT!C43)</f>
        <v>RSA NL</v>
      </c>
      <c r="D43" s="4" t="str">
        <f>IF($A43="","",IF(AND(COUNT(AGENT_INPUT!E43:J43)=6,COUNT(AGENT_INPUT!K43)=1,COUNTIF(BONUS_RULES!$A$5:$A$46,AGENT_INPUT!C43)&gt;0,OR(AGENT_INPUT!O43&gt;0,AND(AGENT_INPUT!M43&gt;0,AGENT_INPUT!N43&gt;0)),AGENT_INPUT!P43&gt;=0,AGENT_INPUT!Q43&gt;0,AGENT_INPUT!P43&lt;=AGENT_INPUT!Q43,AGENT_INPUT!H43&gt;=0,AGENT_INPUT!H43&lt;=1,AGENT_INPUT!I43&gt;=0,AGENT_INPUT!I43&lt;=1,AGENT_INPUT!J43&gt;=0,AGENT_INPUT!J43&lt;=1),"READY","BLOCKED"))</f>
        <v>READY</v>
      </c>
      <c r="E43" s="4" t="str">
        <f>IF($A43="","",IF(AGENT_INPUT!R43&lt;&gt;"Active","REVIEW",IF(OR(POLICY_APPROVAL!$B$9="Eligibility only",POLICY_APPROVAL!$B$9="Both"),IF(AGENT_INPUT!J43&lt;=SUMIFS(BONUS_RULES!$E$5:$E$46,BONUS_RULES!$A$5:$A$46,$C43,BONUS_RULES!$B$5:$B$46,"Abs%"),"ELIGIBLE","INELIGIBLE ABS"),"ELIGIBLE")))</f>
        <v>REVIEW</v>
      </c>
      <c r="F43" s="10">
        <f>IF(OR($A43="",$D43&lt;&gt;"READY"),"",IF(AGENT_INPUT!E43&lt;=SUMIFS(BONUS_RULES!$E$5:$E$46,BONUS_RULES!$A$5:$A$46,$C43,BONUS_RULES!$B$5:$B$46,"AHT"),SUMIFS(BONUS_RULES!$D$5:$D$46,BONUS_RULES!$A$5:$A$46,$C43,BONUS_RULES!$B$5:$B$46,"AHT"),IF(AGENT_INPUT!E43&lt;=SUMIFS(BONUS_RULES!$G$5:$G$46,BONUS_RULES!$A$5:$A$46,$C43,BONUS_RULES!$B$5:$B$46,"AHT"),SUMIFS(BONUS_RULES!$F$5:$F$46,BONUS_RULES!$A$5:$A$46,$C43,BONUS_RULES!$B$5:$B$46,"AHT"),0)))</f>
        <v>0.15</v>
      </c>
      <c r="G43" s="10">
        <f>IF(OR($A43="",$D43&lt;&gt;"READY"),"",IF(AGENT_INPUT!F43&gt;=SUMIFS(BONUS_RULES!$E$5:$E$46,BONUS_RULES!$A$5:$A$46,$C43,BONUS_RULES!$B$5:$B$46,"Productivity"),SUMIFS(BONUS_RULES!$D$5:$D$46,BONUS_RULES!$A$5:$A$46,$C43,BONUS_RULES!$B$5:$B$46,"Productivity"),IF(AGENT_INPUT!F43&gt;=SUMIFS(BONUS_RULES!$G$5:$G$46,BONUS_RULES!$A$5:$A$46,$C43,BONUS_RULES!$B$5:$B$46,"Productivity"),SUMIFS(BONUS_RULES!$F$5:$F$46,BONUS_RULES!$A$5:$A$46,$C43,BONUS_RULES!$B$5:$B$46,"Productivity"),0)))</f>
        <v>0.15</v>
      </c>
      <c r="H43" s="10">
        <f>IF(OR($A43="",$D43&lt;&gt;"READY"),"",IF(AGENT_INPUT!G43&gt;=SUMIFS(BONUS_RULES!$E$5:$E$46,BONUS_RULES!$A$5:$A$46,$C43,BONUS_RULES!$B$5:$B$46,"PCS Score"),SUMIFS(BONUS_RULES!$D$5:$D$46,BONUS_RULES!$A$5:$A$46,$C43,BONUS_RULES!$B$5:$B$46,"PCS Score"),IF(AGENT_INPUT!G43&gt;=SUMIFS(BONUS_RULES!$G$5:$G$46,BONUS_RULES!$A$5:$A$46,$C43,BONUS_RULES!$B$5:$B$46,"PCS Score"),SUMIFS(BONUS_RULES!$F$5:$F$46,BONUS_RULES!$A$5:$A$46,$C43,BONUS_RULES!$B$5:$B$46,"PCS Score"),0)))</f>
        <v>0.0</v>
      </c>
      <c r="I43" s="10">
        <f>IF(OR($A43="",$D43&lt;&gt;"READY"),"",IF(AGENT_INPUT!H43&gt;=SUMIFS(BONUS_RULES!$E$5:$E$46,BONUS_RULES!$A$5:$A$46,$C43,BONUS_RULES!$B$5:$B$46,"PCS % (Participation)"),SUMIFS(BONUS_RULES!$D$5:$D$46,BONUS_RULES!$A$5:$A$46,$C43,BONUS_RULES!$B$5:$B$46,"PCS % (Participation)"),IF(AGENT_INPUT!H43&gt;=SUMIFS(BONUS_RULES!$G$5:$G$46,BONUS_RULES!$A$5:$A$46,$C43,BONUS_RULES!$B$5:$B$46,"PCS % (Participation)"),SUMIFS(BONUS_RULES!$F$5:$F$46,BONUS_RULES!$A$5:$A$46,$C43,BONUS_RULES!$B$5:$B$46,"PCS % (Participation)"),0)))</f>
        <v>0.0</v>
      </c>
      <c r="J43" s="10">
        <f>IF(OR($A43="",$D43&lt;&gt;"READY"),"",IF(AGENT_INPUT!I43&gt;=SUMIFS(BONUS_RULES!$E$5:$E$46,BONUS_RULES!$A$5:$A$46,$C43,BONUS_RULES!$B$5:$B$46,"QM"),SUMIFS(BONUS_RULES!$D$5:$D$46,BONUS_RULES!$A$5:$A$46,$C43,BONUS_RULES!$B$5:$B$46,"QM"),IF(AGENT_INPUT!I43&gt;=SUMIFS(BONUS_RULES!$G$5:$G$46,BONUS_RULES!$A$5:$A$46,$C43,BONUS_RULES!$B$5:$B$46,"QM"),SUMIFS(BONUS_RULES!$F$5:$F$46,BONUS_RULES!$A$5:$A$46,$C43,BONUS_RULES!$B$5:$B$46,"QM"),0)))</f>
        <v>0.0</v>
      </c>
      <c r="K43" s="10">
        <f>IF(POLICY_APPROVAL!$B$9="Eligibility only",0,IF(OR($A43="",$D43&lt;&gt;"READY"),"",IF(AGENT_INPUT!J43&lt;=SUMIFS(BONUS_RULES!$E$5:$E$46,BONUS_RULES!$A$5:$A$46,$C43,BONUS_RULES!$B$5:$B$46,"Abs%"),SUMIFS(BONUS_RULES!$D$5:$D$46,BONUS_RULES!$A$5:$A$46,$C43,BONUS_RULES!$B$5:$B$46,"Abs%"),IF(AGENT_INPUT!J43&lt;=SUMIFS(BONUS_RULES!$G$5:$G$46,BONUS_RULES!$A$5:$A$46,$C43,BONUS_RULES!$B$5:$B$46,"Abs%"),SUMIFS(BONUS_RULES!$F$5:$F$46,BONUS_RULES!$A$5:$A$46,$C43,BONUS_RULES!$B$5:$B$46,"Abs%"),0))))</f>
        <v>0.0</v>
      </c>
      <c r="L43" s="10">
        <f>IF(OR($A43="",$D43&lt;&gt;"READY"),"",IF(AGENT_INPUT!G43&gt;=SUMIFS(BONUS_RULES!$E$5:$E$46,BONUS_RULES!$A$5:$A$46,$C43,BONUS_RULES!$B$5:$B$46,"Extra Bonus (PCS Score)"),SUMIFS(BONUS_RULES!$D$5:$D$46,BONUS_RULES!$A$5:$A$46,$C43,BONUS_RULES!$B$5:$B$46,"Extra Bonus (PCS Score)"),IF(AGENT_INPUT!G43&gt;=SUMIFS(BONUS_RULES!$G$5:$G$46,BONUS_RULES!$A$5:$A$46,$C43,BONUS_RULES!$B$5:$B$46,"Extra Bonus (PCS Score)"),SUMIFS(BONUS_RULES!$F$5:$F$46,BONUS_RULES!$A$5:$A$46,$C43,BONUS_RULES!$B$5:$B$46,"Extra Bonus (PCS Score)"),0)))</f>
        <v>0.0</v>
      </c>
      <c r="M43" s="10">
        <f>IF($A43="","",MIN(IF(POLICY_APPROVAL!$B$6="Replacement",SUM(F43:K43)-H43+MAX(H43,L43),SUM(F43:L43)),POLICY_APPROVAL!$B$10))</f>
        <v>0.3</v>
      </c>
      <c r="N43" s="10">
        <f>IF($A43="","",IFERROR(INDEX(BONUS_RULES!$J$5:$J$10,MATCH(MIN(MAX(AGENT_INPUT!K43,0),5),BONUS_RULES!$I$5:$I$10,0)),1))</f>
        <v>0</v>
      </c>
      <c r="O43" s="10">
        <f>IF(M43="","",MAX(0,IF(POLICY_APPROVAL!$B$5="Percentage points",M43-N43,M43*(1-N43))))</f>
        <v>0.3</v>
      </c>
      <c r="P43" s="11">
        <f>IF(D43&lt;&gt;"READY","",IF(AGENT_INPUT!O43&gt;0,AGENT_INPUT!O43,AGENT_INPUT!M43*AGENT_INPUT!N43/IF(POLICY_APPROVAL!$B$7="Annual",12,1)))</f>
        <v>2000.0</v>
      </c>
      <c r="Q43" s="10">
        <f>IF(D43&lt;&gt;"READY","",MIN(1,AGENT_INPUT!P43/AGENT_INPUT!Q43))</f>
        <v>1.0</v>
      </c>
      <c r="R43" s="11">
        <f>IF(D43&lt;&gt;"READY","",ROUND(P43*Q43*O43,IF(POLICY_APPROVAL!$B$11="Whole MAD",0,2)))</f>
        <v>600.0</v>
      </c>
      <c r="S43" s="11">
        <f>IF(AND(SETUP!$B$9="READY",T43="READY"),R43,"")</f>
        <v/>
      </c>
      <c r="T43" s="4" t="str">
        <f>IF($A43="","",IF(D43&lt;&gt;"READY","BLOCKED - INPUT",IF(E43&lt;&gt;"ELIGIBLE","BLOCKED - ELIGIBILITY",IF(AGENT_INPUT!S43&lt;&gt;"VALIDATED","BLOCKED - DATA",IF(SETUP!$B$9&lt;&gt;"READY","BLOCKED - POLICY","READY")))))</f>
        <v>BLOCKED - ELIGIBILITY</v>
      </c>
      <c r="U43" s="4" t="str">
        <f>IF($A43="","",IF(COUNTIFS(AGENT_INPUT!$A$5:$A$254,$A43,AGENT_INPUT!$D$5:$D$254,AGENT_INPUT!D43)&gt;1,"DUPLICATE AGENT + PERIOD",IF(D43&lt;&gt;"READY","INPUT OR CONFIG REVIEW",IF(T43&lt;&gt;"READY",T43,""))))</f>
        <v>BLOCKED - ELIGIBILITY</v>
      </c>
    </row>
    <row r="44" spans="1:21">
      <c r="A44" s="4">
        <f>IF(AGENT_INPUT!A44="","",AGENT_INPUT!A44)</f>
        <v>204049</v>
      </c>
      <c r="B44" s="4" t="str">
        <f>IF($A44="","",AGENT_INPUT!B44)</f>
        <v>Chantoufi Said</v>
      </c>
      <c r="C44" s="4" t="str">
        <f>IF($A44="","",AGENT_INPUT!C44)</f>
        <v>Ford Dutch</v>
      </c>
      <c r="D44" s="4" t="str">
        <f>IF($A44="","",IF(AND(COUNT(AGENT_INPUT!E44:J44)=6,COUNT(AGENT_INPUT!K44)=1,COUNTIF(BONUS_RULES!$A$5:$A$46,AGENT_INPUT!C44)&gt;0,OR(AGENT_INPUT!O44&gt;0,AND(AGENT_INPUT!M44&gt;0,AGENT_INPUT!N44&gt;0)),AGENT_INPUT!P44&gt;=0,AGENT_INPUT!Q44&gt;0,AGENT_INPUT!P44&lt;=AGENT_INPUT!Q44,AGENT_INPUT!H44&gt;=0,AGENT_INPUT!H44&lt;=1,AGENT_INPUT!I44&gt;=0,AGENT_INPUT!I44&lt;=1,AGENT_INPUT!J44&gt;=0,AGENT_INPUT!J44&lt;=1),"READY","BLOCKED"))</f>
        <v>READY</v>
      </c>
      <c r="E44" s="4" t="str">
        <f>IF($A44="","",IF(AGENT_INPUT!R44&lt;&gt;"Active","REVIEW",IF(OR(POLICY_APPROVAL!$B$9="Eligibility only",POLICY_APPROVAL!$B$9="Both"),IF(AGENT_INPUT!J44&lt;=SUMIFS(BONUS_RULES!$E$5:$E$46,BONUS_RULES!$A$5:$A$46,$C44,BONUS_RULES!$B$5:$B$46,"Abs%"),"ELIGIBLE","INELIGIBLE ABS"),"ELIGIBLE")))</f>
        <v>REVIEW</v>
      </c>
      <c r="F44" s="10">
        <f>IF(OR($A44="",$D44&lt;&gt;"READY"),"",IF(AGENT_INPUT!E44&lt;=SUMIFS(BONUS_RULES!$E$5:$E$46,BONUS_RULES!$A$5:$A$46,$C44,BONUS_RULES!$B$5:$B$46,"AHT"),SUMIFS(BONUS_RULES!$D$5:$D$46,BONUS_RULES!$A$5:$A$46,$C44,BONUS_RULES!$B$5:$B$46,"AHT"),IF(AGENT_INPUT!E44&lt;=SUMIFS(BONUS_RULES!$G$5:$G$46,BONUS_RULES!$A$5:$A$46,$C44,BONUS_RULES!$B$5:$B$46,"AHT"),SUMIFS(BONUS_RULES!$F$5:$F$46,BONUS_RULES!$A$5:$A$46,$C44,BONUS_RULES!$B$5:$B$46,"AHT"),0)))</f>
        <v>0.0</v>
      </c>
      <c r="G44" s="10">
        <f>IF(OR($A44="",$D44&lt;&gt;"READY"),"",IF(AGENT_INPUT!F44&gt;=SUMIFS(BONUS_RULES!$E$5:$E$46,BONUS_RULES!$A$5:$A$46,$C44,BONUS_RULES!$B$5:$B$46,"Productivity"),SUMIFS(BONUS_RULES!$D$5:$D$46,BONUS_RULES!$A$5:$A$46,$C44,BONUS_RULES!$B$5:$B$46,"Productivity"),IF(AGENT_INPUT!F44&gt;=SUMIFS(BONUS_RULES!$G$5:$G$46,BONUS_RULES!$A$5:$A$46,$C44,BONUS_RULES!$B$5:$B$46,"Productivity"),SUMIFS(BONUS_RULES!$F$5:$F$46,BONUS_RULES!$A$5:$A$46,$C44,BONUS_RULES!$B$5:$B$46,"Productivity"),0)))</f>
        <v>0.15</v>
      </c>
      <c r="H44" s="10">
        <f>IF(OR($A44="",$D44&lt;&gt;"READY"),"",IF(AGENT_INPUT!G44&gt;=SUMIFS(BONUS_RULES!$E$5:$E$46,BONUS_RULES!$A$5:$A$46,$C44,BONUS_RULES!$B$5:$B$46,"PCS Score"),SUMIFS(BONUS_RULES!$D$5:$D$46,BONUS_RULES!$A$5:$A$46,$C44,BONUS_RULES!$B$5:$B$46,"PCS Score"),IF(AGENT_INPUT!G44&gt;=SUMIFS(BONUS_RULES!$G$5:$G$46,BONUS_RULES!$A$5:$A$46,$C44,BONUS_RULES!$B$5:$B$46,"PCS Score"),SUMIFS(BONUS_RULES!$F$5:$F$46,BONUS_RULES!$A$5:$A$46,$C44,BONUS_RULES!$B$5:$B$46,"PCS Score"),0)))</f>
        <v>0.2</v>
      </c>
      <c r="I44" s="10">
        <f>IF(OR($A44="",$D44&lt;&gt;"READY"),"",IF(AGENT_INPUT!H44&gt;=SUMIFS(BONUS_RULES!$E$5:$E$46,BONUS_RULES!$A$5:$A$46,$C44,BONUS_RULES!$B$5:$B$46,"PCS % (Participation)"),SUMIFS(BONUS_RULES!$D$5:$D$46,BONUS_RULES!$A$5:$A$46,$C44,BONUS_RULES!$B$5:$B$46,"PCS % (Participation)"),IF(AGENT_INPUT!H44&gt;=SUMIFS(BONUS_RULES!$G$5:$G$46,BONUS_RULES!$A$5:$A$46,$C44,BONUS_RULES!$B$5:$B$46,"PCS % (Participation)"),SUMIFS(BONUS_RULES!$F$5:$F$46,BONUS_RULES!$A$5:$A$46,$C44,BONUS_RULES!$B$5:$B$46,"PCS % (Participation)"),0)))</f>
        <v>0.0</v>
      </c>
      <c r="J44" s="10">
        <f>IF(OR($A44="",$D44&lt;&gt;"READY"),"",IF(AGENT_INPUT!I44&gt;=SUMIFS(BONUS_RULES!$E$5:$E$46,BONUS_RULES!$A$5:$A$46,$C44,BONUS_RULES!$B$5:$B$46,"QM"),SUMIFS(BONUS_RULES!$D$5:$D$46,BONUS_RULES!$A$5:$A$46,$C44,BONUS_RULES!$B$5:$B$46,"QM"),IF(AGENT_INPUT!I44&gt;=SUMIFS(BONUS_RULES!$G$5:$G$46,BONUS_RULES!$A$5:$A$46,$C44,BONUS_RULES!$B$5:$B$46,"QM"),SUMIFS(BONUS_RULES!$F$5:$F$46,BONUS_RULES!$A$5:$A$46,$C44,BONUS_RULES!$B$5:$B$46,"QM"),0)))</f>
        <v>0.0</v>
      </c>
      <c r="K44" s="10">
        <f>IF(POLICY_APPROVAL!$B$9="Eligibility only",0,IF(OR($A44="",$D44&lt;&gt;"READY"),"",IF(AGENT_INPUT!J44&lt;=SUMIFS(BONUS_RULES!$E$5:$E$46,BONUS_RULES!$A$5:$A$46,$C44,BONUS_RULES!$B$5:$B$46,"Abs%"),SUMIFS(BONUS_RULES!$D$5:$D$46,BONUS_RULES!$A$5:$A$46,$C44,BONUS_RULES!$B$5:$B$46,"Abs%"),IF(AGENT_INPUT!J44&lt;=SUMIFS(BONUS_RULES!$G$5:$G$46,BONUS_RULES!$A$5:$A$46,$C44,BONUS_RULES!$B$5:$B$46,"Abs%"),SUMIFS(BONUS_RULES!$F$5:$F$46,BONUS_RULES!$A$5:$A$46,$C44,BONUS_RULES!$B$5:$B$46,"Abs%"),0))))</f>
        <v>0.0</v>
      </c>
      <c r="L44" s="10">
        <f>IF(OR($A44="",$D44&lt;&gt;"READY"),"",IF(AGENT_INPUT!G44&gt;=SUMIFS(BONUS_RULES!$E$5:$E$46,BONUS_RULES!$A$5:$A$46,$C44,BONUS_RULES!$B$5:$B$46,"Extra Bonus (PCS Score)"),SUMIFS(BONUS_RULES!$D$5:$D$46,BONUS_RULES!$A$5:$A$46,$C44,BONUS_RULES!$B$5:$B$46,"Extra Bonus (PCS Score)"),IF(AGENT_INPUT!G44&gt;=SUMIFS(BONUS_RULES!$G$5:$G$46,BONUS_RULES!$A$5:$A$46,$C44,BONUS_RULES!$B$5:$B$46,"Extra Bonus (PCS Score)"),SUMIFS(BONUS_RULES!$F$5:$F$46,BONUS_RULES!$A$5:$A$46,$C44,BONUS_RULES!$B$5:$B$46,"Extra Bonus (PCS Score)"),0)))</f>
        <v>0.2</v>
      </c>
      <c r="M44" s="10">
        <f>IF($A44="","",MIN(IF(POLICY_APPROVAL!$B$6="Replacement",SUM(F44:K44)-H44+MAX(H44,L44),SUM(F44:L44)),POLICY_APPROVAL!$B$10))</f>
        <v>0.55</v>
      </c>
      <c r="N44" s="10">
        <f>IF($A44="","",IFERROR(INDEX(BONUS_RULES!$J$5:$J$10,MATCH(MIN(MAX(AGENT_INPUT!K44,0),5),BONUS_RULES!$I$5:$I$10,0)),1))</f>
        <v>0</v>
      </c>
      <c r="O44" s="10">
        <f>IF(M44="","",MAX(0,IF(POLICY_APPROVAL!$B$5="Percentage points",M44-N44,M44*(1-N44))))</f>
        <v>0.55</v>
      </c>
      <c r="P44" s="11">
        <f>IF(D44&lt;&gt;"READY","",IF(AGENT_INPUT!O44&gt;0,AGENT_INPUT!O44,AGENT_INPUT!M44*AGENT_INPUT!N44/IF(POLICY_APPROVAL!$B$7="Annual",12,1)))</f>
        <v>2000.0</v>
      </c>
      <c r="Q44" s="10">
        <f>IF(D44&lt;&gt;"READY","",MIN(1,AGENT_INPUT!P44/AGENT_INPUT!Q44))</f>
        <v>1.0</v>
      </c>
      <c r="R44" s="11">
        <f>IF(D44&lt;&gt;"READY","",ROUND(P44*Q44*O44,IF(POLICY_APPROVAL!$B$11="Whole MAD",0,2)))</f>
        <v>1100.0</v>
      </c>
      <c r="S44" s="11">
        <f>IF(AND(SETUP!$B$9="READY",T44="READY"),R44,"")</f>
        <v/>
      </c>
      <c r="T44" s="4" t="str">
        <f>IF($A44="","",IF(D44&lt;&gt;"READY","BLOCKED - INPUT",IF(E44&lt;&gt;"ELIGIBLE","BLOCKED - ELIGIBILITY",IF(AGENT_INPUT!S44&lt;&gt;"VALIDATED","BLOCKED - DATA",IF(SETUP!$B$9&lt;&gt;"READY","BLOCKED - POLICY","READY")))))</f>
        <v>BLOCKED - ELIGIBILITY</v>
      </c>
      <c r="U44" s="4" t="str">
        <f>IF($A44="","",IF(COUNTIFS(AGENT_INPUT!$A$5:$A$254,$A44,AGENT_INPUT!$D$5:$D$254,AGENT_INPUT!D44)&gt;1,"DUPLICATE AGENT + PERIOD",IF(D44&lt;&gt;"READY","INPUT OR CONFIG REVIEW",IF(T44&lt;&gt;"READY",T44,""))))</f>
        <v>BLOCKED - ELIGIBILITY</v>
      </c>
    </row>
    <row r="45" spans="1:21">
      <c r="A45" s="4">
        <f>IF(AGENT_INPUT!A45="","",AGENT_INPUT!A45)</f>
        <v>204047</v>
      </c>
      <c r="B45" s="4" t="str">
        <f>IF($A45="","",AGENT_INPUT!B45)</f>
        <v>Rhauni Safwane</v>
      </c>
      <c r="C45" s="4" t="str">
        <f>IF($A45="","",AGENT_INPUT!C45)</f>
        <v>Ford Dutch</v>
      </c>
      <c r="D45" s="4" t="str">
        <f>IF($A45="","",IF(AND(COUNT(AGENT_INPUT!E45:J45)=6,COUNT(AGENT_INPUT!K45)=1,COUNTIF(BONUS_RULES!$A$5:$A$46,AGENT_INPUT!C45)&gt;0,OR(AGENT_INPUT!O45&gt;0,AND(AGENT_INPUT!M45&gt;0,AGENT_INPUT!N45&gt;0)),AGENT_INPUT!P45&gt;=0,AGENT_INPUT!Q45&gt;0,AGENT_INPUT!P45&lt;=AGENT_INPUT!Q45,AGENT_INPUT!H45&gt;=0,AGENT_INPUT!H45&lt;=1,AGENT_INPUT!I45&gt;=0,AGENT_INPUT!I45&lt;=1,AGENT_INPUT!J45&gt;=0,AGENT_INPUT!J45&lt;=1),"READY","BLOCKED"))</f>
        <v>READY</v>
      </c>
      <c r="E45" s="4" t="str">
        <f>IF($A45="","",IF(AGENT_INPUT!R45&lt;&gt;"Active","REVIEW",IF(OR(POLICY_APPROVAL!$B$9="Eligibility only",POLICY_APPROVAL!$B$9="Both"),IF(AGENT_INPUT!J45&lt;=SUMIFS(BONUS_RULES!$E$5:$E$46,BONUS_RULES!$A$5:$A$46,$C45,BONUS_RULES!$B$5:$B$46,"Abs%"),"ELIGIBLE","INELIGIBLE ABS"),"ELIGIBLE")))</f>
        <v>REVIEW</v>
      </c>
      <c r="F45" s="10">
        <f>IF(OR($A45="",$D45&lt;&gt;"READY"),"",IF(AGENT_INPUT!E45&lt;=SUMIFS(BONUS_RULES!$E$5:$E$46,BONUS_RULES!$A$5:$A$46,$C45,BONUS_RULES!$B$5:$B$46,"AHT"),SUMIFS(BONUS_RULES!$D$5:$D$46,BONUS_RULES!$A$5:$A$46,$C45,BONUS_RULES!$B$5:$B$46,"AHT"),IF(AGENT_INPUT!E45&lt;=SUMIFS(BONUS_RULES!$G$5:$G$46,BONUS_RULES!$A$5:$A$46,$C45,BONUS_RULES!$B$5:$B$46,"AHT"),SUMIFS(BONUS_RULES!$F$5:$F$46,BONUS_RULES!$A$5:$A$46,$C45,BONUS_RULES!$B$5:$B$46,"AHT"),0)))</f>
        <v>0.15</v>
      </c>
      <c r="G45" s="10">
        <f>IF(OR($A45="",$D45&lt;&gt;"READY"),"",IF(AGENT_INPUT!F45&gt;=SUMIFS(BONUS_RULES!$E$5:$E$46,BONUS_RULES!$A$5:$A$46,$C45,BONUS_RULES!$B$5:$B$46,"Productivity"),SUMIFS(BONUS_RULES!$D$5:$D$46,BONUS_RULES!$A$5:$A$46,$C45,BONUS_RULES!$B$5:$B$46,"Productivity"),IF(AGENT_INPUT!F45&gt;=SUMIFS(BONUS_RULES!$G$5:$G$46,BONUS_RULES!$A$5:$A$46,$C45,BONUS_RULES!$B$5:$B$46,"Productivity"),SUMIFS(BONUS_RULES!$F$5:$F$46,BONUS_RULES!$A$5:$A$46,$C45,BONUS_RULES!$B$5:$B$46,"Productivity"),0)))</f>
        <v>0.15</v>
      </c>
      <c r="H45" s="10">
        <f>IF(OR($A45="",$D45&lt;&gt;"READY"),"",IF(AGENT_INPUT!G45&gt;=SUMIFS(BONUS_RULES!$E$5:$E$46,BONUS_RULES!$A$5:$A$46,$C45,BONUS_RULES!$B$5:$B$46,"PCS Score"),SUMIFS(BONUS_RULES!$D$5:$D$46,BONUS_RULES!$A$5:$A$46,$C45,BONUS_RULES!$B$5:$B$46,"PCS Score"),IF(AGENT_INPUT!G45&gt;=SUMIFS(BONUS_RULES!$G$5:$G$46,BONUS_RULES!$A$5:$A$46,$C45,BONUS_RULES!$B$5:$B$46,"PCS Score"),SUMIFS(BONUS_RULES!$F$5:$F$46,BONUS_RULES!$A$5:$A$46,$C45,BONUS_RULES!$B$5:$B$46,"PCS Score"),0)))</f>
        <v>0.0</v>
      </c>
      <c r="I45" s="10">
        <f>IF(OR($A45="",$D45&lt;&gt;"READY"),"",IF(AGENT_INPUT!H45&gt;=SUMIFS(BONUS_RULES!$E$5:$E$46,BONUS_RULES!$A$5:$A$46,$C45,BONUS_RULES!$B$5:$B$46,"PCS % (Participation)"),SUMIFS(BONUS_RULES!$D$5:$D$46,BONUS_RULES!$A$5:$A$46,$C45,BONUS_RULES!$B$5:$B$46,"PCS % (Participation)"),IF(AGENT_INPUT!H45&gt;=SUMIFS(BONUS_RULES!$G$5:$G$46,BONUS_RULES!$A$5:$A$46,$C45,BONUS_RULES!$B$5:$B$46,"PCS % (Participation)"),SUMIFS(BONUS_RULES!$F$5:$F$46,BONUS_RULES!$A$5:$A$46,$C45,BONUS_RULES!$B$5:$B$46,"PCS % (Participation)"),0)))</f>
        <v>0.0</v>
      </c>
      <c r="J45" s="10">
        <f>IF(OR($A45="",$D45&lt;&gt;"READY"),"",IF(AGENT_INPUT!I45&gt;=SUMIFS(BONUS_RULES!$E$5:$E$46,BONUS_RULES!$A$5:$A$46,$C45,BONUS_RULES!$B$5:$B$46,"QM"),SUMIFS(BONUS_RULES!$D$5:$D$46,BONUS_RULES!$A$5:$A$46,$C45,BONUS_RULES!$B$5:$B$46,"QM"),IF(AGENT_INPUT!I45&gt;=SUMIFS(BONUS_RULES!$G$5:$G$46,BONUS_RULES!$A$5:$A$46,$C45,BONUS_RULES!$B$5:$B$46,"QM"),SUMIFS(BONUS_RULES!$F$5:$F$46,BONUS_RULES!$A$5:$A$46,$C45,BONUS_RULES!$B$5:$B$46,"QM"),0)))</f>
        <v>0.0</v>
      </c>
      <c r="K45" s="10">
        <f>IF(POLICY_APPROVAL!$B$9="Eligibility only",0,IF(OR($A45="",$D45&lt;&gt;"READY"),"",IF(AGENT_INPUT!J45&lt;=SUMIFS(BONUS_RULES!$E$5:$E$46,BONUS_RULES!$A$5:$A$46,$C45,BONUS_RULES!$B$5:$B$46,"Abs%"),SUMIFS(BONUS_RULES!$D$5:$D$46,BONUS_RULES!$A$5:$A$46,$C45,BONUS_RULES!$B$5:$B$46,"Abs%"),IF(AGENT_INPUT!J45&lt;=SUMIFS(BONUS_RULES!$G$5:$G$46,BONUS_RULES!$A$5:$A$46,$C45,BONUS_RULES!$B$5:$B$46,"Abs%"),SUMIFS(BONUS_RULES!$F$5:$F$46,BONUS_RULES!$A$5:$A$46,$C45,BONUS_RULES!$B$5:$B$46,"Abs%"),0))))</f>
        <v>0.15</v>
      </c>
      <c r="L45" s="10">
        <f>IF(OR($A45="",$D45&lt;&gt;"READY"),"",IF(AGENT_INPUT!G45&gt;=SUMIFS(BONUS_RULES!$E$5:$E$46,BONUS_RULES!$A$5:$A$46,$C45,BONUS_RULES!$B$5:$B$46,"Extra Bonus (PCS Score)"),SUMIFS(BONUS_RULES!$D$5:$D$46,BONUS_RULES!$A$5:$A$46,$C45,BONUS_RULES!$B$5:$B$46,"Extra Bonus (PCS Score)"),IF(AGENT_INPUT!G45&gt;=SUMIFS(BONUS_RULES!$G$5:$G$46,BONUS_RULES!$A$5:$A$46,$C45,BONUS_RULES!$B$5:$B$46,"Extra Bonus (PCS Score)"),SUMIFS(BONUS_RULES!$F$5:$F$46,BONUS_RULES!$A$5:$A$46,$C45,BONUS_RULES!$B$5:$B$46,"Extra Bonus (PCS Score)"),0)))</f>
        <v>0.0</v>
      </c>
      <c r="M45" s="10">
        <f>IF($A45="","",MIN(IF(POLICY_APPROVAL!$B$6="Replacement",SUM(F45:K45)-H45+MAX(H45,L45),SUM(F45:L45)),POLICY_APPROVAL!$B$10))</f>
        <v>0.44999999999999996</v>
      </c>
      <c r="N45" s="10">
        <f>IF($A45="","",IFERROR(INDEX(BONUS_RULES!$J$5:$J$10,MATCH(MIN(MAX(AGENT_INPUT!K45,0),5),BONUS_RULES!$I$5:$I$10,0)),1))</f>
        <v>0</v>
      </c>
      <c r="O45" s="10">
        <f>IF(M45="","",MAX(0,IF(POLICY_APPROVAL!$B$5="Percentage points",M45-N45,M45*(1-N45))))</f>
        <v>0.44999999999999996</v>
      </c>
      <c r="P45" s="11">
        <f>IF(D45&lt;&gt;"READY","",IF(AGENT_INPUT!O45&gt;0,AGENT_INPUT!O45,AGENT_INPUT!M45*AGENT_INPUT!N45/IF(POLICY_APPROVAL!$B$7="Annual",12,1)))</f>
        <v>2000.0</v>
      </c>
      <c r="Q45" s="10">
        <f>IF(D45&lt;&gt;"READY","",MIN(1,AGENT_INPUT!P45/AGENT_INPUT!Q45))</f>
        <v>1.0</v>
      </c>
      <c r="R45" s="11">
        <f>IF(D45&lt;&gt;"READY","",ROUND(P45*Q45*O45,IF(POLICY_APPROVAL!$B$11="Whole MAD",0,2)))</f>
        <v>900.0</v>
      </c>
      <c r="S45" s="11">
        <f>IF(AND(SETUP!$B$9="READY",T45="READY"),R45,"")</f>
        <v/>
      </c>
      <c r="T45" s="4" t="str">
        <f>IF($A45="","",IF(D45&lt;&gt;"READY","BLOCKED - INPUT",IF(E45&lt;&gt;"ELIGIBLE","BLOCKED - ELIGIBILITY",IF(AGENT_INPUT!S45&lt;&gt;"VALIDATED","BLOCKED - DATA",IF(SETUP!$B$9&lt;&gt;"READY","BLOCKED - POLICY","READY")))))</f>
        <v>BLOCKED - ELIGIBILITY</v>
      </c>
      <c r="U45" s="4" t="str">
        <f>IF($A45="","",IF(COUNTIFS(AGENT_INPUT!$A$5:$A$254,$A45,AGENT_INPUT!$D$5:$D$254,AGENT_INPUT!D45)&gt;1,"DUPLICATE AGENT + PERIOD",IF(D45&lt;&gt;"READY","INPUT OR CONFIG REVIEW",IF(T45&lt;&gt;"READY",T45,""))))</f>
        <v>BLOCKED - ELIGIBILITY</v>
      </c>
    </row>
    <row r="46" spans="1:21">
      <c r="A46" s="4">
        <f>IF(AGENT_INPUT!A46="","",AGENT_INPUT!A46)</f>
        <v>96516</v>
      </c>
      <c r="B46" s="4" t="str">
        <f>IF($A46="","",AGENT_INPUT!B46)</f>
        <v>EZZOHARI Saad</v>
      </c>
      <c r="C46" s="4" t="str">
        <f>IF($A46="","",AGENT_INPUT!C46)</f>
        <v>RSA NL</v>
      </c>
      <c r="D46" s="4" t="str">
        <f>IF($A46="","",IF(AND(COUNT(AGENT_INPUT!E46:J46)=6,COUNT(AGENT_INPUT!K46)=1,COUNTIF(BONUS_RULES!$A$5:$A$46,AGENT_INPUT!C46)&gt;0,OR(AGENT_INPUT!O46&gt;0,AND(AGENT_INPUT!M46&gt;0,AGENT_INPUT!N46&gt;0)),AGENT_INPUT!P46&gt;=0,AGENT_INPUT!Q46&gt;0,AGENT_INPUT!P46&lt;=AGENT_INPUT!Q46,AGENT_INPUT!H46&gt;=0,AGENT_INPUT!H46&lt;=1,AGENT_INPUT!I46&gt;=0,AGENT_INPUT!I46&lt;=1,AGENT_INPUT!J46&gt;=0,AGENT_INPUT!J46&lt;=1),"READY","BLOCKED"))</f>
        <v>READY</v>
      </c>
      <c r="E46" s="4" t="str">
        <f>IF($A46="","",IF(AGENT_INPUT!R46&lt;&gt;"Active","REVIEW",IF(OR(POLICY_APPROVAL!$B$9="Eligibility only",POLICY_APPROVAL!$B$9="Both"),IF(AGENT_INPUT!J46&lt;=SUMIFS(BONUS_RULES!$E$5:$E$46,BONUS_RULES!$A$5:$A$46,$C46,BONUS_RULES!$B$5:$B$46,"Abs%"),"ELIGIBLE","INELIGIBLE ABS"),"ELIGIBLE")))</f>
        <v>REVIEW</v>
      </c>
      <c r="F46" s="10">
        <f>IF(OR($A46="",$D46&lt;&gt;"READY"),"",IF(AGENT_INPUT!E46&lt;=SUMIFS(BONUS_RULES!$E$5:$E$46,BONUS_RULES!$A$5:$A$46,$C46,BONUS_RULES!$B$5:$B$46,"AHT"),SUMIFS(BONUS_RULES!$D$5:$D$46,BONUS_RULES!$A$5:$A$46,$C46,BONUS_RULES!$B$5:$B$46,"AHT"),IF(AGENT_INPUT!E46&lt;=SUMIFS(BONUS_RULES!$G$5:$G$46,BONUS_RULES!$A$5:$A$46,$C46,BONUS_RULES!$B$5:$B$46,"AHT"),SUMIFS(BONUS_RULES!$F$5:$F$46,BONUS_RULES!$A$5:$A$46,$C46,BONUS_RULES!$B$5:$B$46,"AHT"),0)))</f>
        <v>0.15</v>
      </c>
      <c r="G46" s="10">
        <f>IF(OR($A46="",$D46&lt;&gt;"READY"),"",IF(AGENT_INPUT!F46&gt;=SUMIFS(BONUS_RULES!$E$5:$E$46,BONUS_RULES!$A$5:$A$46,$C46,BONUS_RULES!$B$5:$B$46,"Productivity"),SUMIFS(BONUS_RULES!$D$5:$D$46,BONUS_RULES!$A$5:$A$46,$C46,BONUS_RULES!$B$5:$B$46,"Productivity"),IF(AGENT_INPUT!F46&gt;=SUMIFS(BONUS_RULES!$G$5:$G$46,BONUS_RULES!$A$5:$A$46,$C46,BONUS_RULES!$B$5:$B$46,"Productivity"),SUMIFS(BONUS_RULES!$F$5:$F$46,BONUS_RULES!$A$5:$A$46,$C46,BONUS_RULES!$B$5:$B$46,"Productivity"),0)))</f>
        <v>0.15</v>
      </c>
      <c r="H46" s="10">
        <f>IF(OR($A46="",$D46&lt;&gt;"READY"),"",IF(AGENT_INPUT!G46&gt;=SUMIFS(BONUS_RULES!$E$5:$E$46,BONUS_RULES!$A$5:$A$46,$C46,BONUS_RULES!$B$5:$B$46,"PCS Score"),SUMIFS(BONUS_RULES!$D$5:$D$46,BONUS_RULES!$A$5:$A$46,$C46,BONUS_RULES!$B$5:$B$46,"PCS Score"),IF(AGENT_INPUT!G46&gt;=SUMIFS(BONUS_RULES!$G$5:$G$46,BONUS_RULES!$A$5:$A$46,$C46,BONUS_RULES!$B$5:$B$46,"PCS Score"),SUMIFS(BONUS_RULES!$F$5:$F$46,BONUS_RULES!$A$5:$A$46,$C46,BONUS_RULES!$B$5:$B$46,"PCS Score"),0)))</f>
        <v>0.0</v>
      </c>
      <c r="I46" s="10">
        <f>IF(OR($A46="",$D46&lt;&gt;"READY"),"",IF(AGENT_INPUT!H46&gt;=SUMIFS(BONUS_RULES!$E$5:$E$46,BONUS_RULES!$A$5:$A$46,$C46,BONUS_RULES!$B$5:$B$46,"PCS % (Participation)"),SUMIFS(BONUS_RULES!$D$5:$D$46,BONUS_RULES!$A$5:$A$46,$C46,BONUS_RULES!$B$5:$B$46,"PCS % (Participation)"),IF(AGENT_INPUT!H46&gt;=SUMIFS(BONUS_RULES!$G$5:$G$46,BONUS_RULES!$A$5:$A$46,$C46,BONUS_RULES!$B$5:$B$46,"PCS % (Participation)"),SUMIFS(BONUS_RULES!$F$5:$F$46,BONUS_RULES!$A$5:$A$46,$C46,BONUS_RULES!$B$5:$B$46,"PCS % (Participation)"),0)))</f>
        <v>0.0</v>
      </c>
      <c r="J46" s="10">
        <f>IF(OR($A46="",$D46&lt;&gt;"READY"),"",IF(AGENT_INPUT!I46&gt;=SUMIFS(BONUS_RULES!$E$5:$E$46,BONUS_RULES!$A$5:$A$46,$C46,BONUS_RULES!$B$5:$B$46,"QM"),SUMIFS(BONUS_RULES!$D$5:$D$46,BONUS_RULES!$A$5:$A$46,$C46,BONUS_RULES!$B$5:$B$46,"QM"),IF(AGENT_INPUT!I46&gt;=SUMIFS(BONUS_RULES!$G$5:$G$46,BONUS_RULES!$A$5:$A$46,$C46,BONUS_RULES!$B$5:$B$46,"QM"),SUMIFS(BONUS_RULES!$F$5:$F$46,BONUS_RULES!$A$5:$A$46,$C46,BONUS_RULES!$B$5:$B$46,"QM"),0)))</f>
        <v>0.0</v>
      </c>
      <c r="K46" s="10">
        <f>IF(POLICY_APPROVAL!$B$9="Eligibility only",0,IF(OR($A46="",$D46&lt;&gt;"READY"),"",IF(AGENT_INPUT!J46&lt;=SUMIFS(BONUS_RULES!$E$5:$E$46,BONUS_RULES!$A$5:$A$46,$C46,BONUS_RULES!$B$5:$B$46,"Abs%"),SUMIFS(BONUS_RULES!$D$5:$D$46,BONUS_RULES!$A$5:$A$46,$C46,BONUS_RULES!$B$5:$B$46,"Abs%"),IF(AGENT_INPUT!J46&lt;=SUMIFS(BONUS_RULES!$G$5:$G$46,BONUS_RULES!$A$5:$A$46,$C46,BONUS_RULES!$B$5:$B$46,"Abs%"),SUMIFS(BONUS_RULES!$F$5:$F$46,BONUS_RULES!$A$5:$A$46,$C46,BONUS_RULES!$B$5:$B$46,"Abs%"),0))))</f>
        <v>0.15</v>
      </c>
      <c r="L46" s="10">
        <f>IF(OR($A46="",$D46&lt;&gt;"READY"),"",IF(AGENT_INPUT!G46&gt;=SUMIFS(BONUS_RULES!$E$5:$E$46,BONUS_RULES!$A$5:$A$46,$C46,BONUS_RULES!$B$5:$B$46,"Extra Bonus (PCS Score)"),SUMIFS(BONUS_RULES!$D$5:$D$46,BONUS_RULES!$A$5:$A$46,$C46,BONUS_RULES!$B$5:$B$46,"Extra Bonus (PCS Score)"),IF(AGENT_INPUT!G46&gt;=SUMIFS(BONUS_RULES!$G$5:$G$46,BONUS_RULES!$A$5:$A$46,$C46,BONUS_RULES!$B$5:$B$46,"Extra Bonus (PCS Score)"),SUMIFS(BONUS_RULES!$F$5:$F$46,BONUS_RULES!$A$5:$A$46,$C46,BONUS_RULES!$B$5:$B$46,"Extra Bonus (PCS Score)"),0)))</f>
        <v>0.0</v>
      </c>
      <c r="M46" s="10">
        <f>IF($A46="","",MIN(IF(POLICY_APPROVAL!$B$6="Replacement",SUM(F46:K46)-H46+MAX(H46,L46),SUM(F46:L46)),POLICY_APPROVAL!$B$10))</f>
        <v>0.44999999999999996</v>
      </c>
      <c r="N46" s="10">
        <f>IF($A46="","",IFERROR(INDEX(BONUS_RULES!$J$5:$J$10,MATCH(MIN(MAX(AGENT_INPUT!K46,0),5),BONUS_RULES!$I$5:$I$10,0)),1))</f>
        <v>0</v>
      </c>
      <c r="O46" s="10">
        <f>IF(M46="","",MAX(0,IF(POLICY_APPROVAL!$B$5="Percentage points",M46-N46,M46*(1-N46))))</f>
        <v>0.44999999999999996</v>
      </c>
      <c r="P46" s="11">
        <f>IF(D46&lt;&gt;"READY","",IF(AGENT_INPUT!O46&gt;0,AGENT_INPUT!O46,AGENT_INPUT!M46*AGENT_INPUT!N46/IF(POLICY_APPROVAL!$B$7="Annual",12,1)))</f>
        <v>2000.0</v>
      </c>
      <c r="Q46" s="10">
        <f>IF(D46&lt;&gt;"READY","",MIN(1,AGENT_INPUT!P46/AGENT_INPUT!Q46))</f>
        <v>1.0</v>
      </c>
      <c r="R46" s="11">
        <f>IF(D46&lt;&gt;"READY","",ROUND(P46*Q46*O46,IF(POLICY_APPROVAL!$B$11="Whole MAD",0,2)))</f>
        <v>900.0</v>
      </c>
      <c r="S46" s="11">
        <f>IF(AND(SETUP!$B$9="READY",T46="READY"),R46,"")</f>
        <v/>
      </c>
      <c r="T46" s="4" t="str">
        <f>IF($A46="","",IF(D46&lt;&gt;"READY","BLOCKED - INPUT",IF(E46&lt;&gt;"ELIGIBLE","BLOCKED - ELIGIBILITY",IF(AGENT_INPUT!S46&lt;&gt;"VALIDATED","BLOCKED - DATA",IF(SETUP!$B$9&lt;&gt;"READY","BLOCKED - POLICY","READY")))))</f>
        <v>BLOCKED - ELIGIBILITY</v>
      </c>
      <c r="U46" s="4" t="str">
        <f>IF($A46="","",IF(COUNTIFS(AGENT_INPUT!$A$5:$A$254,$A46,AGENT_INPUT!$D$5:$D$254,AGENT_INPUT!D46)&gt;1,"DUPLICATE AGENT + PERIOD",IF(D46&lt;&gt;"READY","INPUT OR CONFIG REVIEW",IF(T46&lt;&gt;"READY",T46,""))))</f>
        <v>BLOCKED - ELIGIBILITY</v>
      </c>
    </row>
    <row r="47" spans="1:21">
      <c r="A47" s="4">
        <f>IF(AGENT_INPUT!A47="","",AGENT_INPUT!A47)</f>
        <v>244553</v>
      </c>
      <c r="B47" s="4" t="str">
        <f>IF($A47="","",AGENT_INPUT!B47)</f>
        <v>Rim Fatih</v>
      </c>
      <c r="C47" s="4" t="str">
        <f>IF($A47="","",AGENT_INPUT!C47)</f>
        <v>RSA NL</v>
      </c>
      <c r="D47" s="4" t="str">
        <f>IF($A47="","",IF(AND(COUNT(AGENT_INPUT!E47:J47)=6,COUNT(AGENT_INPUT!K47)=1,COUNTIF(BONUS_RULES!$A$5:$A$46,AGENT_INPUT!C47)&gt;0,OR(AGENT_INPUT!O47&gt;0,AND(AGENT_INPUT!M47&gt;0,AGENT_INPUT!N47&gt;0)),AGENT_INPUT!P47&gt;=0,AGENT_INPUT!Q47&gt;0,AGENT_INPUT!P47&lt;=AGENT_INPUT!Q47,AGENT_INPUT!H47&gt;=0,AGENT_INPUT!H47&lt;=1,AGENT_INPUT!I47&gt;=0,AGENT_INPUT!I47&lt;=1,AGENT_INPUT!J47&gt;=0,AGENT_INPUT!J47&lt;=1),"READY","BLOCKED"))</f>
        <v>BLOCKED</v>
      </c>
      <c r="E47" s="4">
        <f>IF($A47="","",IF(AGENT_INPUT!R47&lt;&gt;"Active","REVIEW",IF(OR(POLICY_APPROVAL!$B$9="Eligibility only",POLICY_APPROVAL!$B$9="Both"),IF(AGENT_INPUT!J47&lt;=SUMIFS(BONUS_RULES!$E$5:$E$46,BONUS_RULES!$A$5:$A$46,$C47,BONUS_RULES!$B$5:$B$46,"Abs%"),"ELIGIBLE","INELIGIBLE ABS"),"ELIGIBLE")))</f>
        <v/>
      </c>
      <c r="F47" s="10">
        <f>IF(OR($A47="",$D47&lt;&gt;"READY"),"",IF(AGENT_INPUT!E47&lt;=SUMIFS(BONUS_RULES!$E$5:$E$46,BONUS_RULES!$A$5:$A$46,$C47,BONUS_RULES!$B$5:$B$46,"AHT"),SUMIFS(BONUS_RULES!$D$5:$D$46,BONUS_RULES!$A$5:$A$46,$C47,BONUS_RULES!$B$5:$B$46,"AHT"),IF(AGENT_INPUT!E47&lt;=SUMIFS(BONUS_RULES!$G$5:$G$46,BONUS_RULES!$A$5:$A$46,$C47,BONUS_RULES!$B$5:$B$46,"AHT"),SUMIFS(BONUS_RULES!$F$5:$F$46,BONUS_RULES!$A$5:$A$46,$C47,BONUS_RULES!$B$5:$B$46,"AHT"),0)))</f>
        <v/>
      </c>
      <c r="G47" s="10">
        <f>IF(OR($A47="",$D47&lt;&gt;"READY"),"",IF(AGENT_INPUT!F47&gt;=SUMIFS(BONUS_RULES!$E$5:$E$46,BONUS_RULES!$A$5:$A$46,$C47,BONUS_RULES!$B$5:$B$46,"Productivity"),SUMIFS(BONUS_RULES!$D$5:$D$46,BONUS_RULES!$A$5:$A$46,$C47,BONUS_RULES!$B$5:$B$46,"Productivity"),IF(AGENT_INPUT!F47&gt;=SUMIFS(BONUS_RULES!$G$5:$G$46,BONUS_RULES!$A$5:$A$46,$C47,BONUS_RULES!$B$5:$B$46,"Productivity"),SUMIFS(BONUS_RULES!$F$5:$F$46,BONUS_RULES!$A$5:$A$46,$C47,BONUS_RULES!$B$5:$B$46,"Productivity"),0)))</f>
        <v/>
      </c>
      <c r="H47" s="10">
        <f>IF(OR($A47="",$D47&lt;&gt;"READY"),"",IF(AGENT_INPUT!G47&gt;=SUMIFS(BONUS_RULES!$E$5:$E$46,BONUS_RULES!$A$5:$A$46,$C47,BONUS_RULES!$B$5:$B$46,"PCS Score"),SUMIFS(BONUS_RULES!$D$5:$D$46,BONUS_RULES!$A$5:$A$46,$C47,BONUS_RULES!$B$5:$B$46,"PCS Score"),IF(AGENT_INPUT!G47&gt;=SUMIFS(BONUS_RULES!$G$5:$G$46,BONUS_RULES!$A$5:$A$46,$C47,BONUS_RULES!$B$5:$B$46,"PCS Score"),SUMIFS(BONUS_RULES!$F$5:$F$46,BONUS_RULES!$A$5:$A$46,$C47,BONUS_RULES!$B$5:$B$46,"PCS Score"),0)))</f>
        <v/>
      </c>
      <c r="I47" s="10">
        <f>IF(OR($A47="",$D47&lt;&gt;"READY"),"",IF(AGENT_INPUT!H47&gt;=SUMIFS(BONUS_RULES!$E$5:$E$46,BONUS_RULES!$A$5:$A$46,$C47,BONUS_RULES!$B$5:$B$46,"PCS % (Participation)"),SUMIFS(BONUS_RULES!$D$5:$D$46,BONUS_RULES!$A$5:$A$46,$C47,BONUS_RULES!$B$5:$B$46,"PCS % (Participation)"),IF(AGENT_INPUT!H47&gt;=SUMIFS(BONUS_RULES!$G$5:$G$46,BONUS_RULES!$A$5:$A$46,$C47,BONUS_RULES!$B$5:$B$46,"PCS % (Participation)"),SUMIFS(BONUS_RULES!$F$5:$F$46,BONUS_RULES!$A$5:$A$46,$C47,BONUS_RULES!$B$5:$B$46,"PCS % (Participation)"),0)))</f>
        <v/>
      </c>
      <c r="J47" s="10">
        <f>IF(OR($A47="",$D47&lt;&gt;"READY"),"",IF(AGENT_INPUT!I47&gt;=SUMIFS(BONUS_RULES!$E$5:$E$46,BONUS_RULES!$A$5:$A$46,$C47,BONUS_RULES!$B$5:$B$46,"QM"),SUMIFS(BONUS_RULES!$D$5:$D$46,BONUS_RULES!$A$5:$A$46,$C47,BONUS_RULES!$B$5:$B$46,"QM"),IF(AGENT_INPUT!I47&gt;=SUMIFS(BONUS_RULES!$G$5:$G$46,BONUS_RULES!$A$5:$A$46,$C47,BONUS_RULES!$B$5:$B$46,"QM"),SUMIFS(BONUS_RULES!$F$5:$F$46,BONUS_RULES!$A$5:$A$46,$C47,BONUS_RULES!$B$5:$B$46,"QM"),0)))</f>
        <v/>
      </c>
      <c r="K47" s="10">
        <f>IF(POLICY_APPROVAL!$B$9="Eligibility only",0,IF(OR($A47="",$D47&lt;&gt;"READY"),"",IF(AGENT_INPUT!J47&lt;=SUMIFS(BONUS_RULES!$E$5:$E$46,BONUS_RULES!$A$5:$A$46,$C47,BONUS_RULES!$B$5:$B$46,"Abs%"),SUMIFS(BONUS_RULES!$D$5:$D$46,BONUS_RULES!$A$5:$A$46,$C47,BONUS_RULES!$B$5:$B$46,"Abs%"),IF(AGENT_INPUT!J47&lt;=SUMIFS(BONUS_RULES!$G$5:$G$46,BONUS_RULES!$A$5:$A$46,$C47,BONUS_RULES!$B$5:$B$46,"Abs%"),SUMIFS(BONUS_RULES!$F$5:$F$46,BONUS_RULES!$A$5:$A$46,$C47,BONUS_RULES!$B$5:$B$46,"Abs%"),0))))</f>
        <v/>
      </c>
      <c r="L47" s="10">
        <f>IF(OR($A47="",$D47&lt;&gt;"READY"),"",IF(AGENT_INPUT!G47&gt;=SUMIFS(BONUS_RULES!$E$5:$E$46,BONUS_RULES!$A$5:$A$46,$C47,BONUS_RULES!$B$5:$B$46,"Extra Bonus (PCS Score)"),SUMIFS(BONUS_RULES!$D$5:$D$46,BONUS_RULES!$A$5:$A$46,$C47,BONUS_RULES!$B$5:$B$46,"Extra Bonus (PCS Score)"),IF(AGENT_INPUT!G47&gt;=SUMIFS(BONUS_RULES!$G$5:$G$46,BONUS_RULES!$A$5:$A$46,$C47,BONUS_RULES!$B$5:$B$46,"Extra Bonus (PCS Score)"),SUMIFS(BONUS_RULES!$F$5:$F$46,BONUS_RULES!$A$5:$A$46,$C47,BONUS_RULES!$B$5:$B$46,"Extra Bonus (PCS Score)"),0)))</f>
        <v/>
      </c>
      <c r="M47" s="10">
        <f>IF($A47="","",MIN(IF(POLICY_APPROVAL!$B$6="Replacement",SUM(F47:K47)-H47+MAX(H47,L47),SUM(F47:L47)),POLICY_APPROVAL!$B$10))</f>
        <v>0</v>
      </c>
      <c r="N47" s="10">
        <f>IF($A47="","",IFERROR(INDEX(BONUS_RULES!$J$5:$J$10,MATCH(MIN(MAX(AGENT_INPUT!K47,0),5),BONUS_RULES!$I$5:$I$10,0)),1))</f>
        <v>0</v>
      </c>
      <c r="O47" s="10">
        <f>IF(M47="","",MAX(0,IF(POLICY_APPROVAL!$B$5="Percentage points",M47-N47,M47*(1-N47))))</f>
        <v>0</v>
      </c>
      <c r="P47" s="11">
        <f>IF(D47&lt;&gt;"READY","",IF(AGENT_INPUT!O47&gt;0,AGENT_INPUT!O47,AGENT_INPUT!M47*AGENT_INPUT!N47/IF(POLICY_APPROVAL!$B$7="Annual",12,1)))</f>
        <v/>
      </c>
      <c r="Q47" s="10">
        <f>IF(D47&lt;&gt;"READY","",MIN(1,AGENT_INPUT!P47/AGENT_INPUT!Q47))</f>
        <v/>
      </c>
      <c r="R47" s="11">
        <f>IF(D47&lt;&gt;"READY","",ROUND(P47*Q47*O47,IF(POLICY_APPROVAL!$B$11="Whole MAD",0,2)))</f>
        <v/>
      </c>
      <c r="S47" s="11">
        <f>IF(AND(SETUP!$B$9="READY",T47="READY"),R47,"")</f>
        <v/>
      </c>
      <c r="T47" s="4" t="str">
        <f>IF($A47="","",IF(D47&lt;&gt;"READY","BLOCKED - INPUT",IF(E47&lt;&gt;"ELIGIBLE","BLOCKED - ELIGIBILITY",IF(AGENT_INPUT!S47&lt;&gt;"VALIDATED","BLOCKED - DATA",IF(SETUP!$B$9&lt;&gt;"READY","BLOCKED - POLICY","READY")))))</f>
        <v>BLOCKED - INPUT</v>
      </c>
      <c r="U47" s="4" t="str">
        <f>IF($A47="","",IF(COUNTIFS(AGENT_INPUT!$A$5:$A$254,$A47,AGENT_INPUT!$D$5:$D$254,AGENT_INPUT!D47)&gt;1,"DUPLICATE AGENT + PERIOD",IF(D47&lt;&gt;"READY","INPUT OR CONFIG REVIEW",IF(T47&lt;&gt;"READY",T47,""))))</f>
        <v>Missing, invalid, or unconfigured required input</v>
      </c>
    </row>
    <row r="48" spans="1:21">
      <c r="A48" s="4">
        <f>IF(AGENT_INPUT!A48="","",AGENT_INPUT!A48)</f>
        <v>232188</v>
      </c>
      <c r="B48" s="4" t="str">
        <f>IF($A48="","",AGENT_INPUT!B48)</f>
        <v>Redwane Ajouaoui</v>
      </c>
      <c r="C48" s="4" t="str">
        <f>IF($A48="","",AGENT_INPUT!C48)</f>
        <v>RSA VL</v>
      </c>
      <c r="D48" s="4" t="str">
        <f>IF($A48="","",IF(AND(COUNT(AGENT_INPUT!E48:J48)=6,COUNT(AGENT_INPUT!K48)=1,COUNTIF(BONUS_RULES!$A$5:$A$46,AGENT_INPUT!C48)&gt;0,OR(AGENT_INPUT!O48&gt;0,AND(AGENT_INPUT!M48&gt;0,AGENT_INPUT!N48&gt;0)),AGENT_INPUT!P48&gt;=0,AGENT_INPUT!Q48&gt;0,AGENT_INPUT!P48&lt;=AGENT_INPUT!Q48,AGENT_INPUT!H48&gt;=0,AGENT_INPUT!H48&lt;=1,AGENT_INPUT!I48&gt;=0,AGENT_INPUT!I48&lt;=1,AGENT_INPUT!J48&gt;=0,AGENT_INPUT!J48&lt;=1),"READY","BLOCKED"))</f>
        <v>READY</v>
      </c>
      <c r="E48" s="4" t="str">
        <f>IF($A48="","",IF(AGENT_INPUT!R48&lt;&gt;"Active","REVIEW",IF(OR(POLICY_APPROVAL!$B$9="Eligibility only",POLICY_APPROVAL!$B$9="Both"),IF(AGENT_INPUT!J48&lt;=SUMIFS(BONUS_RULES!$E$5:$E$46,BONUS_RULES!$A$5:$A$46,$C48,BONUS_RULES!$B$5:$B$46,"Abs%"),"ELIGIBLE","INELIGIBLE ABS"),"ELIGIBLE")))</f>
        <v>REVIEW</v>
      </c>
      <c r="F48" s="10">
        <f>IF(OR($A48="",$D48&lt;&gt;"READY"),"",IF(AGENT_INPUT!E48&lt;=SUMIFS(BONUS_RULES!$E$5:$E$46,BONUS_RULES!$A$5:$A$46,$C48,BONUS_RULES!$B$5:$B$46,"AHT"),SUMIFS(BONUS_RULES!$D$5:$D$46,BONUS_RULES!$A$5:$A$46,$C48,BONUS_RULES!$B$5:$B$46,"AHT"),IF(AGENT_INPUT!E48&lt;=SUMIFS(BONUS_RULES!$G$5:$G$46,BONUS_RULES!$A$5:$A$46,$C48,BONUS_RULES!$B$5:$B$46,"AHT"),SUMIFS(BONUS_RULES!$F$5:$F$46,BONUS_RULES!$A$5:$A$46,$C48,BONUS_RULES!$B$5:$B$46,"AHT"),0)))</f>
        <v>0.15</v>
      </c>
      <c r="G48" s="10">
        <f>IF(OR($A48="",$D48&lt;&gt;"READY"),"",IF(AGENT_INPUT!F48&gt;=SUMIFS(BONUS_RULES!$E$5:$E$46,BONUS_RULES!$A$5:$A$46,$C48,BONUS_RULES!$B$5:$B$46,"Productivity"),SUMIFS(BONUS_RULES!$D$5:$D$46,BONUS_RULES!$A$5:$A$46,$C48,BONUS_RULES!$B$5:$B$46,"Productivity"),IF(AGENT_INPUT!F48&gt;=SUMIFS(BONUS_RULES!$G$5:$G$46,BONUS_RULES!$A$5:$A$46,$C48,BONUS_RULES!$B$5:$B$46,"Productivity"),SUMIFS(BONUS_RULES!$F$5:$F$46,BONUS_RULES!$A$5:$A$46,$C48,BONUS_RULES!$B$5:$B$46,"Productivity"),0)))</f>
        <v>0.15</v>
      </c>
      <c r="H48" s="10">
        <f>IF(OR($A48="",$D48&lt;&gt;"READY"),"",IF(AGENT_INPUT!G48&gt;=SUMIFS(BONUS_RULES!$E$5:$E$46,BONUS_RULES!$A$5:$A$46,$C48,BONUS_RULES!$B$5:$B$46,"PCS Score"),SUMIFS(BONUS_RULES!$D$5:$D$46,BONUS_RULES!$A$5:$A$46,$C48,BONUS_RULES!$B$5:$B$46,"PCS Score"),IF(AGENT_INPUT!G48&gt;=SUMIFS(BONUS_RULES!$G$5:$G$46,BONUS_RULES!$A$5:$A$46,$C48,BONUS_RULES!$B$5:$B$46,"PCS Score"),SUMIFS(BONUS_RULES!$F$5:$F$46,BONUS_RULES!$A$5:$A$46,$C48,BONUS_RULES!$B$5:$B$46,"PCS Score"),0)))</f>
        <v>0.2</v>
      </c>
      <c r="I48" s="10">
        <f>IF(OR($A48="",$D48&lt;&gt;"READY"),"",IF(AGENT_INPUT!H48&gt;=SUMIFS(BONUS_RULES!$E$5:$E$46,BONUS_RULES!$A$5:$A$46,$C48,BONUS_RULES!$B$5:$B$46,"PCS % (Participation)"),SUMIFS(BONUS_RULES!$D$5:$D$46,BONUS_RULES!$A$5:$A$46,$C48,BONUS_RULES!$B$5:$B$46,"PCS % (Participation)"),IF(AGENT_INPUT!H48&gt;=SUMIFS(BONUS_RULES!$G$5:$G$46,BONUS_RULES!$A$5:$A$46,$C48,BONUS_RULES!$B$5:$B$46,"PCS % (Participation)"),SUMIFS(BONUS_RULES!$F$5:$F$46,BONUS_RULES!$A$5:$A$46,$C48,BONUS_RULES!$B$5:$B$46,"PCS % (Participation)"),0)))</f>
        <v>0.0</v>
      </c>
      <c r="J48" s="10">
        <f>IF(OR($A48="",$D48&lt;&gt;"READY"),"",IF(AGENT_INPUT!I48&gt;=SUMIFS(BONUS_RULES!$E$5:$E$46,BONUS_RULES!$A$5:$A$46,$C48,BONUS_RULES!$B$5:$B$46,"QM"),SUMIFS(BONUS_RULES!$D$5:$D$46,BONUS_RULES!$A$5:$A$46,$C48,BONUS_RULES!$B$5:$B$46,"QM"),IF(AGENT_INPUT!I48&gt;=SUMIFS(BONUS_RULES!$G$5:$G$46,BONUS_RULES!$A$5:$A$46,$C48,BONUS_RULES!$B$5:$B$46,"QM"),SUMIFS(BONUS_RULES!$F$5:$F$46,BONUS_RULES!$A$5:$A$46,$C48,BONUS_RULES!$B$5:$B$46,"QM"),0)))</f>
        <v>0.15</v>
      </c>
      <c r="K48" s="10">
        <f>IF(POLICY_APPROVAL!$B$9="Eligibility only",0,IF(OR($A48="",$D48&lt;&gt;"READY"),"",IF(AGENT_INPUT!J48&lt;=SUMIFS(BONUS_RULES!$E$5:$E$46,BONUS_RULES!$A$5:$A$46,$C48,BONUS_RULES!$B$5:$B$46,"Abs%"),SUMIFS(BONUS_RULES!$D$5:$D$46,BONUS_RULES!$A$5:$A$46,$C48,BONUS_RULES!$B$5:$B$46,"Abs%"),IF(AGENT_INPUT!J48&lt;=SUMIFS(BONUS_RULES!$G$5:$G$46,BONUS_RULES!$A$5:$A$46,$C48,BONUS_RULES!$B$5:$B$46,"Abs%"),SUMIFS(BONUS_RULES!$F$5:$F$46,BONUS_RULES!$A$5:$A$46,$C48,BONUS_RULES!$B$5:$B$46,"Abs%"),0))))</f>
        <v>0.15</v>
      </c>
      <c r="L48" s="10">
        <f>IF(OR($A48="",$D48&lt;&gt;"READY"),"",IF(AGENT_INPUT!G48&gt;=SUMIFS(BONUS_RULES!$E$5:$E$46,BONUS_RULES!$A$5:$A$46,$C48,BONUS_RULES!$B$5:$B$46,"Extra Bonus (PCS Score)"),SUMIFS(BONUS_RULES!$D$5:$D$46,BONUS_RULES!$A$5:$A$46,$C48,BONUS_RULES!$B$5:$B$46,"Extra Bonus (PCS Score)"),IF(AGENT_INPUT!G48&gt;=SUMIFS(BONUS_RULES!$G$5:$G$46,BONUS_RULES!$A$5:$A$46,$C48,BONUS_RULES!$B$5:$B$46,"Extra Bonus (PCS Score)"),SUMIFS(BONUS_RULES!$F$5:$F$46,BONUS_RULES!$A$5:$A$46,$C48,BONUS_RULES!$B$5:$B$46,"Extra Bonus (PCS Score)"),0)))</f>
        <v>0.3</v>
      </c>
      <c r="M48" s="10">
        <f>IF($A48="","",MIN(IF(POLICY_APPROVAL!$B$6="Replacement",SUM(F48:K48)-H48+MAX(H48,L48),SUM(F48:L48)),POLICY_APPROVAL!$B$10))</f>
        <v>1.1</v>
      </c>
      <c r="N48" s="10">
        <f>IF($A48="","",IFERROR(INDEX(BONUS_RULES!$J$5:$J$10,MATCH(MIN(MAX(AGENT_INPUT!K48,0),5),BONUS_RULES!$I$5:$I$10,0)),1))</f>
        <v>0</v>
      </c>
      <c r="O48" s="10">
        <f>IF(M48="","",MAX(0,IF(POLICY_APPROVAL!$B$5="Percentage points",M48-N48,M48*(1-N48))))</f>
        <v>1.1</v>
      </c>
      <c r="P48" s="11">
        <f>IF(D48&lt;&gt;"READY","",IF(AGENT_INPUT!O48&gt;0,AGENT_INPUT!O48,AGENT_INPUT!M48*AGENT_INPUT!N48/IF(POLICY_APPROVAL!$B$7="Annual",12,1)))</f>
        <v>2000.0</v>
      </c>
      <c r="Q48" s="10">
        <f>IF(D48&lt;&gt;"READY","",MIN(1,AGENT_INPUT!P48/AGENT_INPUT!Q48))</f>
        <v>1.0</v>
      </c>
      <c r="R48" s="11">
        <f>IF(D48&lt;&gt;"READY","",ROUND(P48*Q48*O48,IF(POLICY_APPROVAL!$B$11="Whole MAD",0,2)))</f>
        <v>2200.0</v>
      </c>
      <c r="S48" s="11">
        <f>IF(AND(SETUP!$B$9="READY",T48="READY"),R48,"")</f>
        <v/>
      </c>
      <c r="T48" s="4" t="str">
        <f>IF($A48="","",IF(D48&lt;&gt;"READY","BLOCKED - INPUT",IF(E48&lt;&gt;"ELIGIBLE","BLOCKED - ELIGIBILITY",IF(AGENT_INPUT!S48&lt;&gt;"VALIDATED","BLOCKED - DATA",IF(SETUP!$B$9&lt;&gt;"READY","BLOCKED - POLICY","READY")))))</f>
        <v>BLOCKED - ELIGIBILITY</v>
      </c>
      <c r="U48" s="4" t="str">
        <f>IF($A48="","",IF(COUNTIFS(AGENT_INPUT!$A$5:$A$254,$A48,AGENT_INPUT!$D$5:$D$254,AGENT_INPUT!D48)&gt;1,"DUPLICATE AGENT + PERIOD",IF(D48&lt;&gt;"READY","INPUT OR CONFIG REVIEW",IF(T48&lt;&gt;"READY",T48,""))))</f>
        <v>BLOCKED - ELIGIBILITY</v>
      </c>
    </row>
    <row r="49" spans="1:21">
      <c r="A49" s="4">
        <f>IF(AGENT_INPUT!A49="","",AGENT_INPUT!A49)</f>
        <v>205224</v>
      </c>
      <c r="B49" s="4" t="str">
        <f>IF($A49="","",AGENT_INPUT!B49)</f>
        <v>Ghalbi Redouane</v>
      </c>
      <c r="C49" s="4" t="str">
        <f>IF($A49="","",AGENT_INPUT!C49)</f>
        <v>Ford Dutch</v>
      </c>
      <c r="D49" s="4" t="str">
        <f>IF($A49="","",IF(AND(COUNT(AGENT_INPUT!E49:J49)=6,COUNT(AGENT_INPUT!K49)=1,COUNTIF(BONUS_RULES!$A$5:$A$46,AGENT_INPUT!C49)&gt;0,OR(AGENT_INPUT!O49&gt;0,AND(AGENT_INPUT!M49&gt;0,AGENT_INPUT!N49&gt;0)),AGENT_INPUT!P49&gt;=0,AGENT_INPUT!Q49&gt;0,AGENT_INPUT!P49&lt;=AGENT_INPUT!Q49,AGENT_INPUT!H49&gt;=0,AGENT_INPUT!H49&lt;=1,AGENT_INPUT!I49&gt;=0,AGENT_INPUT!I49&lt;=1,AGENT_INPUT!J49&gt;=0,AGENT_INPUT!J49&lt;=1),"READY","BLOCKED"))</f>
        <v>READY</v>
      </c>
      <c r="E49" s="4" t="str">
        <f>IF($A49="","",IF(AGENT_INPUT!R49&lt;&gt;"Active","REVIEW",IF(OR(POLICY_APPROVAL!$B$9="Eligibility only",POLICY_APPROVAL!$B$9="Both"),IF(AGENT_INPUT!J49&lt;=SUMIFS(BONUS_RULES!$E$5:$E$46,BONUS_RULES!$A$5:$A$46,$C49,BONUS_RULES!$B$5:$B$46,"Abs%"),"ELIGIBLE","INELIGIBLE ABS"),"ELIGIBLE")))</f>
        <v>REVIEW</v>
      </c>
      <c r="F49" s="10">
        <f>IF(OR($A49="",$D49&lt;&gt;"READY"),"",IF(AGENT_INPUT!E49&lt;=SUMIFS(BONUS_RULES!$E$5:$E$46,BONUS_RULES!$A$5:$A$46,$C49,BONUS_RULES!$B$5:$B$46,"AHT"),SUMIFS(BONUS_RULES!$D$5:$D$46,BONUS_RULES!$A$5:$A$46,$C49,BONUS_RULES!$B$5:$B$46,"AHT"),IF(AGENT_INPUT!E49&lt;=SUMIFS(BONUS_RULES!$G$5:$G$46,BONUS_RULES!$A$5:$A$46,$C49,BONUS_RULES!$B$5:$B$46,"AHT"),SUMIFS(BONUS_RULES!$F$5:$F$46,BONUS_RULES!$A$5:$A$46,$C49,BONUS_RULES!$B$5:$B$46,"AHT"),0)))</f>
        <v>0.15</v>
      </c>
      <c r="G49" s="10">
        <f>IF(OR($A49="",$D49&lt;&gt;"READY"),"",IF(AGENT_INPUT!F49&gt;=SUMIFS(BONUS_RULES!$E$5:$E$46,BONUS_RULES!$A$5:$A$46,$C49,BONUS_RULES!$B$5:$B$46,"Productivity"),SUMIFS(BONUS_RULES!$D$5:$D$46,BONUS_RULES!$A$5:$A$46,$C49,BONUS_RULES!$B$5:$B$46,"Productivity"),IF(AGENT_INPUT!F49&gt;=SUMIFS(BONUS_RULES!$G$5:$G$46,BONUS_RULES!$A$5:$A$46,$C49,BONUS_RULES!$B$5:$B$46,"Productivity"),SUMIFS(BONUS_RULES!$F$5:$F$46,BONUS_RULES!$A$5:$A$46,$C49,BONUS_RULES!$B$5:$B$46,"Productivity"),0)))</f>
        <v>0.15</v>
      </c>
      <c r="H49" s="10">
        <f>IF(OR($A49="",$D49&lt;&gt;"READY"),"",IF(AGENT_INPUT!G49&gt;=SUMIFS(BONUS_RULES!$E$5:$E$46,BONUS_RULES!$A$5:$A$46,$C49,BONUS_RULES!$B$5:$B$46,"PCS Score"),SUMIFS(BONUS_RULES!$D$5:$D$46,BONUS_RULES!$A$5:$A$46,$C49,BONUS_RULES!$B$5:$B$46,"PCS Score"),IF(AGENT_INPUT!G49&gt;=SUMIFS(BONUS_RULES!$G$5:$G$46,BONUS_RULES!$A$5:$A$46,$C49,BONUS_RULES!$B$5:$B$46,"PCS Score"),SUMIFS(BONUS_RULES!$F$5:$F$46,BONUS_RULES!$A$5:$A$46,$C49,BONUS_RULES!$B$5:$B$46,"PCS Score"),0)))</f>
        <v>0.15</v>
      </c>
      <c r="I49" s="10">
        <f>IF(OR($A49="",$D49&lt;&gt;"READY"),"",IF(AGENT_INPUT!H49&gt;=SUMIFS(BONUS_RULES!$E$5:$E$46,BONUS_RULES!$A$5:$A$46,$C49,BONUS_RULES!$B$5:$B$46,"PCS % (Participation)"),SUMIFS(BONUS_RULES!$D$5:$D$46,BONUS_RULES!$A$5:$A$46,$C49,BONUS_RULES!$B$5:$B$46,"PCS % (Participation)"),IF(AGENT_INPUT!H49&gt;=SUMIFS(BONUS_RULES!$G$5:$G$46,BONUS_RULES!$A$5:$A$46,$C49,BONUS_RULES!$B$5:$B$46,"PCS % (Participation)"),SUMIFS(BONUS_RULES!$F$5:$F$46,BONUS_RULES!$A$5:$A$46,$C49,BONUS_RULES!$B$5:$B$46,"PCS % (Participation)"),0)))</f>
        <v>0.0</v>
      </c>
      <c r="J49" s="10">
        <f>IF(OR($A49="",$D49&lt;&gt;"READY"),"",IF(AGENT_INPUT!I49&gt;=SUMIFS(BONUS_RULES!$E$5:$E$46,BONUS_RULES!$A$5:$A$46,$C49,BONUS_RULES!$B$5:$B$46,"QM"),SUMIFS(BONUS_RULES!$D$5:$D$46,BONUS_RULES!$A$5:$A$46,$C49,BONUS_RULES!$B$5:$B$46,"QM"),IF(AGENT_INPUT!I49&gt;=SUMIFS(BONUS_RULES!$G$5:$G$46,BONUS_RULES!$A$5:$A$46,$C49,BONUS_RULES!$B$5:$B$46,"QM"),SUMIFS(BONUS_RULES!$F$5:$F$46,BONUS_RULES!$A$5:$A$46,$C49,BONUS_RULES!$B$5:$B$46,"QM"),0)))</f>
        <v>0.0</v>
      </c>
      <c r="K49" s="10">
        <f>IF(POLICY_APPROVAL!$B$9="Eligibility only",0,IF(OR($A49="",$D49&lt;&gt;"READY"),"",IF(AGENT_INPUT!J49&lt;=SUMIFS(BONUS_RULES!$E$5:$E$46,BONUS_RULES!$A$5:$A$46,$C49,BONUS_RULES!$B$5:$B$46,"Abs%"),SUMIFS(BONUS_RULES!$D$5:$D$46,BONUS_RULES!$A$5:$A$46,$C49,BONUS_RULES!$B$5:$B$46,"Abs%"),IF(AGENT_INPUT!J49&lt;=SUMIFS(BONUS_RULES!$G$5:$G$46,BONUS_RULES!$A$5:$A$46,$C49,BONUS_RULES!$B$5:$B$46,"Abs%"),SUMIFS(BONUS_RULES!$F$5:$F$46,BONUS_RULES!$A$5:$A$46,$C49,BONUS_RULES!$B$5:$B$46,"Abs%"),0))))</f>
        <v>0.0</v>
      </c>
      <c r="L49" s="10">
        <f>IF(OR($A49="",$D49&lt;&gt;"READY"),"",IF(AGENT_INPUT!G49&gt;=SUMIFS(BONUS_RULES!$E$5:$E$46,BONUS_RULES!$A$5:$A$46,$C49,BONUS_RULES!$B$5:$B$46,"Extra Bonus (PCS Score)"),SUMIFS(BONUS_RULES!$D$5:$D$46,BONUS_RULES!$A$5:$A$46,$C49,BONUS_RULES!$B$5:$B$46,"Extra Bonus (PCS Score)"),IF(AGENT_INPUT!G49&gt;=SUMIFS(BONUS_RULES!$G$5:$G$46,BONUS_RULES!$A$5:$A$46,$C49,BONUS_RULES!$B$5:$B$46,"Extra Bonus (PCS Score)"),SUMIFS(BONUS_RULES!$F$5:$F$46,BONUS_RULES!$A$5:$A$46,$C49,BONUS_RULES!$B$5:$B$46,"Extra Bonus (PCS Score)"),0)))</f>
        <v>0.0</v>
      </c>
      <c r="M49" s="10">
        <f>IF($A49="","",MIN(IF(POLICY_APPROVAL!$B$6="Replacement",SUM(F49:K49)-H49+MAX(H49,L49),SUM(F49:L49)),POLICY_APPROVAL!$B$10))</f>
        <v>0.44999999999999996</v>
      </c>
      <c r="N49" s="10">
        <f>IF($A49="","",IFERROR(INDEX(BONUS_RULES!$J$5:$J$10,MATCH(MIN(MAX(AGENT_INPUT!K49,0),5),BONUS_RULES!$I$5:$I$10,0)),1))</f>
        <v>0</v>
      </c>
      <c r="O49" s="10">
        <f>IF(M49="","",MAX(0,IF(POLICY_APPROVAL!$B$5="Percentage points",M49-N49,M49*(1-N49))))</f>
        <v>0.44999999999999996</v>
      </c>
      <c r="P49" s="11">
        <f>IF(D49&lt;&gt;"READY","",IF(AGENT_INPUT!O49&gt;0,AGENT_INPUT!O49,AGENT_INPUT!M49*AGENT_INPUT!N49/IF(POLICY_APPROVAL!$B$7="Annual",12,1)))</f>
        <v>2000.0</v>
      </c>
      <c r="Q49" s="10">
        <f>IF(D49&lt;&gt;"READY","",MIN(1,AGENT_INPUT!P49/AGENT_INPUT!Q49))</f>
        <v>1.0</v>
      </c>
      <c r="R49" s="11">
        <f>IF(D49&lt;&gt;"READY","",ROUND(P49*Q49*O49,IF(POLICY_APPROVAL!$B$11="Whole MAD",0,2)))</f>
        <v>900.0</v>
      </c>
      <c r="S49" s="11">
        <f>IF(AND(SETUP!$B$9="READY",T49="READY"),R49,"")</f>
        <v/>
      </c>
      <c r="T49" s="4" t="str">
        <f>IF($A49="","",IF(D49&lt;&gt;"READY","BLOCKED - INPUT",IF(E49&lt;&gt;"ELIGIBLE","BLOCKED - ELIGIBILITY",IF(AGENT_INPUT!S49&lt;&gt;"VALIDATED","BLOCKED - DATA",IF(SETUP!$B$9&lt;&gt;"READY","BLOCKED - POLICY","READY")))))</f>
        <v>BLOCKED - ELIGIBILITY</v>
      </c>
      <c r="U49" s="4" t="str">
        <f>IF($A49="","",IF(COUNTIFS(AGENT_INPUT!$A$5:$A$254,$A49,AGENT_INPUT!$D$5:$D$254,AGENT_INPUT!D49)&gt;1,"DUPLICATE AGENT + PERIOD",IF(D49&lt;&gt;"READY","INPUT OR CONFIG REVIEW",IF(T49&lt;&gt;"READY",T49,""))))</f>
        <v>BLOCKED - ELIGIBILITY</v>
      </c>
    </row>
    <row r="50" spans="1:21">
      <c r="A50" s="4">
        <f>IF(AGENT_INPUT!A50="","",AGENT_INPUT!A50)</f>
        <v>96462</v>
      </c>
      <c r="B50" s="4" t="str">
        <f>IF($A50="","",AGENT_INPUT!B50)</f>
        <v>OUASKIOT Rachida</v>
      </c>
      <c r="C50" s="4" t="str">
        <f>IF($A50="","",AGENT_INPUT!C50)</f>
        <v>RSA NL</v>
      </c>
      <c r="D50" s="4" t="str">
        <f>IF($A50="","",IF(AND(COUNT(AGENT_INPUT!E50:J50)=6,COUNT(AGENT_INPUT!K50)=1,COUNTIF(BONUS_RULES!$A$5:$A$46,AGENT_INPUT!C50)&gt;0,OR(AGENT_INPUT!O50&gt;0,AND(AGENT_INPUT!M50&gt;0,AGENT_INPUT!N50&gt;0)),AGENT_INPUT!P50&gt;=0,AGENT_INPUT!Q50&gt;0,AGENT_INPUT!P50&lt;=AGENT_INPUT!Q50,AGENT_INPUT!H50&gt;=0,AGENT_INPUT!H50&lt;=1,AGENT_INPUT!I50&gt;=0,AGENT_INPUT!I50&lt;=1,AGENT_INPUT!J50&gt;=0,AGENT_INPUT!J50&lt;=1),"READY","BLOCKED"))</f>
        <v>READY</v>
      </c>
      <c r="E50" s="4" t="str">
        <f>IF($A50="","",IF(AGENT_INPUT!R50&lt;&gt;"Active","REVIEW",IF(OR(POLICY_APPROVAL!$B$9="Eligibility only",POLICY_APPROVAL!$B$9="Both"),IF(AGENT_INPUT!J50&lt;=SUMIFS(BONUS_RULES!$E$5:$E$46,BONUS_RULES!$A$5:$A$46,$C50,BONUS_RULES!$B$5:$B$46,"Abs%"),"ELIGIBLE","INELIGIBLE ABS"),"ELIGIBLE")))</f>
        <v>REVIEW</v>
      </c>
      <c r="F50" s="10">
        <f>IF(OR($A50="",$D50&lt;&gt;"READY"),"",IF(AGENT_INPUT!E50&lt;=SUMIFS(BONUS_RULES!$E$5:$E$46,BONUS_RULES!$A$5:$A$46,$C50,BONUS_RULES!$B$5:$B$46,"AHT"),SUMIFS(BONUS_RULES!$D$5:$D$46,BONUS_RULES!$A$5:$A$46,$C50,BONUS_RULES!$B$5:$B$46,"AHT"),IF(AGENT_INPUT!E50&lt;=SUMIFS(BONUS_RULES!$G$5:$G$46,BONUS_RULES!$A$5:$A$46,$C50,BONUS_RULES!$B$5:$B$46,"AHT"),SUMIFS(BONUS_RULES!$F$5:$F$46,BONUS_RULES!$A$5:$A$46,$C50,BONUS_RULES!$B$5:$B$46,"AHT"),0)))</f>
        <v>0.15</v>
      </c>
      <c r="G50" s="10">
        <f>IF(OR($A50="",$D50&lt;&gt;"READY"),"",IF(AGENT_INPUT!F50&gt;=SUMIFS(BONUS_RULES!$E$5:$E$46,BONUS_RULES!$A$5:$A$46,$C50,BONUS_RULES!$B$5:$B$46,"Productivity"),SUMIFS(BONUS_RULES!$D$5:$D$46,BONUS_RULES!$A$5:$A$46,$C50,BONUS_RULES!$B$5:$B$46,"Productivity"),IF(AGENT_INPUT!F50&gt;=SUMIFS(BONUS_RULES!$G$5:$G$46,BONUS_RULES!$A$5:$A$46,$C50,BONUS_RULES!$B$5:$B$46,"Productivity"),SUMIFS(BONUS_RULES!$F$5:$F$46,BONUS_RULES!$A$5:$A$46,$C50,BONUS_RULES!$B$5:$B$46,"Productivity"),0)))</f>
        <v>0.15</v>
      </c>
      <c r="H50" s="10">
        <f>IF(OR($A50="",$D50&lt;&gt;"READY"),"",IF(AGENT_INPUT!G50&gt;=SUMIFS(BONUS_RULES!$E$5:$E$46,BONUS_RULES!$A$5:$A$46,$C50,BONUS_RULES!$B$5:$B$46,"PCS Score"),SUMIFS(BONUS_RULES!$D$5:$D$46,BONUS_RULES!$A$5:$A$46,$C50,BONUS_RULES!$B$5:$B$46,"PCS Score"),IF(AGENT_INPUT!G50&gt;=SUMIFS(BONUS_RULES!$G$5:$G$46,BONUS_RULES!$A$5:$A$46,$C50,BONUS_RULES!$B$5:$B$46,"PCS Score"),SUMIFS(BONUS_RULES!$F$5:$F$46,BONUS_RULES!$A$5:$A$46,$C50,BONUS_RULES!$B$5:$B$46,"PCS Score"),0)))</f>
        <v>0.0</v>
      </c>
      <c r="I50" s="10">
        <f>IF(OR($A50="",$D50&lt;&gt;"READY"),"",IF(AGENT_INPUT!H50&gt;=SUMIFS(BONUS_RULES!$E$5:$E$46,BONUS_RULES!$A$5:$A$46,$C50,BONUS_RULES!$B$5:$B$46,"PCS % (Participation)"),SUMIFS(BONUS_RULES!$D$5:$D$46,BONUS_RULES!$A$5:$A$46,$C50,BONUS_RULES!$B$5:$B$46,"PCS % (Participation)"),IF(AGENT_INPUT!H50&gt;=SUMIFS(BONUS_RULES!$G$5:$G$46,BONUS_RULES!$A$5:$A$46,$C50,BONUS_RULES!$B$5:$B$46,"PCS % (Participation)"),SUMIFS(BONUS_RULES!$F$5:$F$46,BONUS_RULES!$A$5:$A$46,$C50,BONUS_RULES!$B$5:$B$46,"PCS % (Participation)"),0)))</f>
        <v>0.0</v>
      </c>
      <c r="J50" s="10">
        <f>IF(OR($A50="",$D50&lt;&gt;"READY"),"",IF(AGENT_INPUT!I50&gt;=SUMIFS(BONUS_RULES!$E$5:$E$46,BONUS_RULES!$A$5:$A$46,$C50,BONUS_RULES!$B$5:$B$46,"QM"),SUMIFS(BONUS_RULES!$D$5:$D$46,BONUS_RULES!$A$5:$A$46,$C50,BONUS_RULES!$B$5:$B$46,"QM"),IF(AGENT_INPUT!I50&gt;=SUMIFS(BONUS_RULES!$G$5:$G$46,BONUS_RULES!$A$5:$A$46,$C50,BONUS_RULES!$B$5:$B$46,"QM"),SUMIFS(BONUS_RULES!$F$5:$F$46,BONUS_RULES!$A$5:$A$46,$C50,BONUS_RULES!$B$5:$B$46,"QM"),0)))</f>
        <v>0.15</v>
      </c>
      <c r="K50" s="10">
        <f>IF(POLICY_APPROVAL!$B$9="Eligibility only",0,IF(OR($A50="",$D50&lt;&gt;"READY"),"",IF(AGENT_INPUT!J50&lt;=SUMIFS(BONUS_RULES!$E$5:$E$46,BONUS_RULES!$A$5:$A$46,$C50,BONUS_RULES!$B$5:$B$46,"Abs%"),SUMIFS(BONUS_RULES!$D$5:$D$46,BONUS_RULES!$A$5:$A$46,$C50,BONUS_RULES!$B$5:$B$46,"Abs%"),IF(AGENT_INPUT!J50&lt;=SUMIFS(BONUS_RULES!$G$5:$G$46,BONUS_RULES!$A$5:$A$46,$C50,BONUS_RULES!$B$5:$B$46,"Abs%"),SUMIFS(BONUS_RULES!$F$5:$F$46,BONUS_RULES!$A$5:$A$46,$C50,BONUS_RULES!$B$5:$B$46,"Abs%"),0))))</f>
        <v>0.15</v>
      </c>
      <c r="L50" s="10">
        <f>IF(OR($A50="",$D50&lt;&gt;"READY"),"",IF(AGENT_INPUT!G50&gt;=SUMIFS(BONUS_RULES!$E$5:$E$46,BONUS_RULES!$A$5:$A$46,$C50,BONUS_RULES!$B$5:$B$46,"Extra Bonus (PCS Score)"),SUMIFS(BONUS_RULES!$D$5:$D$46,BONUS_RULES!$A$5:$A$46,$C50,BONUS_RULES!$B$5:$B$46,"Extra Bonus (PCS Score)"),IF(AGENT_INPUT!G50&gt;=SUMIFS(BONUS_RULES!$G$5:$G$46,BONUS_RULES!$A$5:$A$46,$C50,BONUS_RULES!$B$5:$B$46,"Extra Bonus (PCS Score)"),SUMIFS(BONUS_RULES!$F$5:$F$46,BONUS_RULES!$A$5:$A$46,$C50,BONUS_RULES!$B$5:$B$46,"Extra Bonus (PCS Score)"),0)))</f>
        <v>0.0</v>
      </c>
      <c r="M50" s="10">
        <f>IF($A50="","",MIN(IF(POLICY_APPROVAL!$B$6="Replacement",SUM(F50:K50)-H50+MAX(H50,L50),SUM(F50:L50)),POLICY_APPROVAL!$B$10))</f>
        <v>0.6</v>
      </c>
      <c r="N50" s="10">
        <f>IF($A50="","",IFERROR(INDEX(BONUS_RULES!$J$5:$J$10,MATCH(MIN(MAX(AGENT_INPUT!K50,0),5),BONUS_RULES!$I$5:$I$10,0)),1))</f>
        <v>0</v>
      </c>
      <c r="O50" s="10">
        <f>IF(M50="","",MAX(0,IF(POLICY_APPROVAL!$B$5="Percentage points",M50-N50,M50*(1-N50))))</f>
        <v>0.6</v>
      </c>
      <c r="P50" s="11">
        <f>IF(D50&lt;&gt;"READY","",IF(AGENT_INPUT!O50&gt;0,AGENT_INPUT!O50,AGENT_INPUT!M50*AGENT_INPUT!N50/IF(POLICY_APPROVAL!$B$7="Annual",12,1)))</f>
        <v>2000.0</v>
      </c>
      <c r="Q50" s="10">
        <f>IF(D50&lt;&gt;"READY","",MIN(1,AGENT_INPUT!P50/AGENT_INPUT!Q50))</f>
        <v>1.0</v>
      </c>
      <c r="R50" s="11">
        <f>IF(D50&lt;&gt;"READY","",ROUND(P50*Q50*O50,IF(POLICY_APPROVAL!$B$11="Whole MAD",0,2)))</f>
        <v>1200.0</v>
      </c>
      <c r="S50" s="11">
        <f>IF(AND(SETUP!$B$9="READY",T50="READY"),R50,"")</f>
        <v/>
      </c>
      <c r="T50" s="4" t="str">
        <f>IF($A50="","",IF(D50&lt;&gt;"READY","BLOCKED - INPUT",IF(E50&lt;&gt;"ELIGIBLE","BLOCKED - ELIGIBILITY",IF(AGENT_INPUT!S50&lt;&gt;"VALIDATED","BLOCKED - DATA",IF(SETUP!$B$9&lt;&gt;"READY","BLOCKED - POLICY","READY")))))</f>
        <v>BLOCKED - ELIGIBILITY</v>
      </c>
      <c r="U50" s="4" t="str">
        <f>IF($A50="","",IF(COUNTIFS(AGENT_INPUT!$A$5:$A$254,$A50,AGENT_INPUT!$D$5:$D$254,AGENT_INPUT!D50)&gt;1,"DUPLICATE AGENT + PERIOD",IF(D50&lt;&gt;"READY","INPUT OR CONFIG REVIEW",IF(T50&lt;&gt;"READY",T50,""))))</f>
        <v>BLOCKED - ELIGIBILITY</v>
      </c>
    </row>
    <row r="51" spans="1:21">
      <c r="A51" s="4">
        <f>IF(AGENT_INPUT!A51="","",AGENT_INPUT!A51)</f>
        <v>134404</v>
      </c>
      <c r="B51" s="4" t="str">
        <f>IF($A51="","",AGENT_INPUT!B51)</f>
        <v>Rachid  Mourad</v>
      </c>
      <c r="C51" s="4" t="str">
        <f>IF($A51="","",AGENT_INPUT!C51)</f>
        <v>RSA NL</v>
      </c>
      <c r="D51" s="4" t="str">
        <f>IF($A51="","",IF(AND(COUNT(AGENT_INPUT!E51:J51)=6,COUNT(AGENT_INPUT!K51)=1,COUNTIF(BONUS_RULES!$A$5:$A$46,AGENT_INPUT!C51)&gt;0,OR(AGENT_INPUT!O51&gt;0,AND(AGENT_INPUT!M51&gt;0,AGENT_INPUT!N51&gt;0)),AGENT_INPUT!P51&gt;=0,AGENT_INPUT!Q51&gt;0,AGENT_INPUT!P51&lt;=AGENT_INPUT!Q51,AGENT_INPUT!H51&gt;=0,AGENT_INPUT!H51&lt;=1,AGENT_INPUT!I51&gt;=0,AGENT_INPUT!I51&lt;=1,AGENT_INPUT!J51&gt;=0,AGENT_INPUT!J51&lt;=1),"READY","BLOCKED"))</f>
        <v>BLOCKED</v>
      </c>
      <c r="E51" s="4">
        <f>IF($A51="","",IF(AGENT_INPUT!R51&lt;&gt;"Active","REVIEW",IF(OR(POLICY_APPROVAL!$B$9="Eligibility only",POLICY_APPROVAL!$B$9="Both"),IF(AGENT_INPUT!J51&lt;=SUMIFS(BONUS_RULES!$E$5:$E$46,BONUS_RULES!$A$5:$A$46,$C51,BONUS_RULES!$B$5:$B$46,"Abs%"),"ELIGIBLE","INELIGIBLE ABS"),"ELIGIBLE")))</f>
        <v/>
      </c>
      <c r="F51" s="10">
        <f>IF(OR($A51="",$D51&lt;&gt;"READY"),"",IF(AGENT_INPUT!E51&lt;=SUMIFS(BONUS_RULES!$E$5:$E$46,BONUS_RULES!$A$5:$A$46,$C51,BONUS_RULES!$B$5:$B$46,"AHT"),SUMIFS(BONUS_RULES!$D$5:$D$46,BONUS_RULES!$A$5:$A$46,$C51,BONUS_RULES!$B$5:$B$46,"AHT"),IF(AGENT_INPUT!E51&lt;=SUMIFS(BONUS_RULES!$G$5:$G$46,BONUS_RULES!$A$5:$A$46,$C51,BONUS_RULES!$B$5:$B$46,"AHT"),SUMIFS(BONUS_RULES!$F$5:$F$46,BONUS_RULES!$A$5:$A$46,$C51,BONUS_RULES!$B$5:$B$46,"AHT"),0)))</f>
        <v/>
      </c>
      <c r="G51" s="10">
        <f>IF(OR($A51="",$D51&lt;&gt;"READY"),"",IF(AGENT_INPUT!F51&gt;=SUMIFS(BONUS_RULES!$E$5:$E$46,BONUS_RULES!$A$5:$A$46,$C51,BONUS_RULES!$B$5:$B$46,"Productivity"),SUMIFS(BONUS_RULES!$D$5:$D$46,BONUS_RULES!$A$5:$A$46,$C51,BONUS_RULES!$B$5:$B$46,"Productivity"),IF(AGENT_INPUT!F51&gt;=SUMIFS(BONUS_RULES!$G$5:$G$46,BONUS_RULES!$A$5:$A$46,$C51,BONUS_RULES!$B$5:$B$46,"Productivity"),SUMIFS(BONUS_RULES!$F$5:$F$46,BONUS_RULES!$A$5:$A$46,$C51,BONUS_RULES!$B$5:$B$46,"Productivity"),0)))</f>
        <v/>
      </c>
      <c r="H51" s="10">
        <f>IF(OR($A51="",$D51&lt;&gt;"READY"),"",IF(AGENT_INPUT!G51&gt;=SUMIFS(BONUS_RULES!$E$5:$E$46,BONUS_RULES!$A$5:$A$46,$C51,BONUS_RULES!$B$5:$B$46,"PCS Score"),SUMIFS(BONUS_RULES!$D$5:$D$46,BONUS_RULES!$A$5:$A$46,$C51,BONUS_RULES!$B$5:$B$46,"PCS Score"),IF(AGENT_INPUT!G51&gt;=SUMIFS(BONUS_RULES!$G$5:$G$46,BONUS_RULES!$A$5:$A$46,$C51,BONUS_RULES!$B$5:$B$46,"PCS Score"),SUMIFS(BONUS_RULES!$F$5:$F$46,BONUS_RULES!$A$5:$A$46,$C51,BONUS_RULES!$B$5:$B$46,"PCS Score"),0)))</f>
        <v/>
      </c>
      <c r="I51" s="10">
        <f>IF(OR($A51="",$D51&lt;&gt;"READY"),"",IF(AGENT_INPUT!H51&gt;=SUMIFS(BONUS_RULES!$E$5:$E$46,BONUS_RULES!$A$5:$A$46,$C51,BONUS_RULES!$B$5:$B$46,"PCS % (Participation)"),SUMIFS(BONUS_RULES!$D$5:$D$46,BONUS_RULES!$A$5:$A$46,$C51,BONUS_RULES!$B$5:$B$46,"PCS % (Participation)"),IF(AGENT_INPUT!H51&gt;=SUMIFS(BONUS_RULES!$G$5:$G$46,BONUS_RULES!$A$5:$A$46,$C51,BONUS_RULES!$B$5:$B$46,"PCS % (Participation)"),SUMIFS(BONUS_RULES!$F$5:$F$46,BONUS_RULES!$A$5:$A$46,$C51,BONUS_RULES!$B$5:$B$46,"PCS % (Participation)"),0)))</f>
        <v/>
      </c>
      <c r="J51" s="10">
        <f>IF(OR($A51="",$D51&lt;&gt;"READY"),"",IF(AGENT_INPUT!I51&gt;=SUMIFS(BONUS_RULES!$E$5:$E$46,BONUS_RULES!$A$5:$A$46,$C51,BONUS_RULES!$B$5:$B$46,"QM"),SUMIFS(BONUS_RULES!$D$5:$D$46,BONUS_RULES!$A$5:$A$46,$C51,BONUS_RULES!$B$5:$B$46,"QM"),IF(AGENT_INPUT!I51&gt;=SUMIFS(BONUS_RULES!$G$5:$G$46,BONUS_RULES!$A$5:$A$46,$C51,BONUS_RULES!$B$5:$B$46,"QM"),SUMIFS(BONUS_RULES!$F$5:$F$46,BONUS_RULES!$A$5:$A$46,$C51,BONUS_RULES!$B$5:$B$46,"QM"),0)))</f>
        <v/>
      </c>
      <c r="K51" s="10">
        <f>IF(POLICY_APPROVAL!$B$9="Eligibility only",0,IF(OR($A51="",$D51&lt;&gt;"READY"),"",IF(AGENT_INPUT!J51&lt;=SUMIFS(BONUS_RULES!$E$5:$E$46,BONUS_RULES!$A$5:$A$46,$C51,BONUS_RULES!$B$5:$B$46,"Abs%"),SUMIFS(BONUS_RULES!$D$5:$D$46,BONUS_RULES!$A$5:$A$46,$C51,BONUS_RULES!$B$5:$B$46,"Abs%"),IF(AGENT_INPUT!J51&lt;=SUMIFS(BONUS_RULES!$G$5:$G$46,BONUS_RULES!$A$5:$A$46,$C51,BONUS_RULES!$B$5:$B$46,"Abs%"),SUMIFS(BONUS_RULES!$F$5:$F$46,BONUS_RULES!$A$5:$A$46,$C51,BONUS_RULES!$B$5:$B$46,"Abs%"),0))))</f>
        <v/>
      </c>
      <c r="L51" s="10">
        <f>IF(OR($A51="",$D51&lt;&gt;"READY"),"",IF(AGENT_INPUT!G51&gt;=SUMIFS(BONUS_RULES!$E$5:$E$46,BONUS_RULES!$A$5:$A$46,$C51,BONUS_RULES!$B$5:$B$46,"Extra Bonus (PCS Score)"),SUMIFS(BONUS_RULES!$D$5:$D$46,BONUS_RULES!$A$5:$A$46,$C51,BONUS_RULES!$B$5:$B$46,"Extra Bonus (PCS Score)"),IF(AGENT_INPUT!G51&gt;=SUMIFS(BONUS_RULES!$G$5:$G$46,BONUS_RULES!$A$5:$A$46,$C51,BONUS_RULES!$B$5:$B$46,"Extra Bonus (PCS Score)"),SUMIFS(BONUS_RULES!$F$5:$F$46,BONUS_RULES!$A$5:$A$46,$C51,BONUS_RULES!$B$5:$B$46,"Extra Bonus (PCS Score)"),0)))</f>
        <v/>
      </c>
      <c r="M51" s="10">
        <f>IF($A51="","",MIN(IF(POLICY_APPROVAL!$B$6="Replacement",SUM(F51:K51)-H51+MAX(H51,L51),SUM(F51:L51)),POLICY_APPROVAL!$B$10))</f>
        <v>0</v>
      </c>
      <c r="N51" s="10">
        <f>IF($A51="","",IFERROR(INDEX(BONUS_RULES!$J$5:$J$10,MATCH(MIN(MAX(AGENT_INPUT!K51,0),5),BONUS_RULES!$I$5:$I$10,0)),1))</f>
        <v>0</v>
      </c>
      <c r="O51" s="10">
        <f>IF(M51="","",MAX(0,IF(POLICY_APPROVAL!$B$5="Percentage points",M51-N51,M51*(1-N51))))</f>
        <v>0</v>
      </c>
      <c r="P51" s="11">
        <f>IF(D51&lt;&gt;"READY","",IF(AGENT_INPUT!O51&gt;0,AGENT_INPUT!O51,AGENT_INPUT!M51*AGENT_INPUT!N51/IF(POLICY_APPROVAL!$B$7="Annual",12,1)))</f>
        <v/>
      </c>
      <c r="Q51" s="10">
        <f>IF(D51&lt;&gt;"READY","",MIN(1,AGENT_INPUT!P51/AGENT_INPUT!Q51))</f>
        <v/>
      </c>
      <c r="R51" s="11">
        <f>IF(D51&lt;&gt;"READY","",ROUND(P51*Q51*O51,IF(POLICY_APPROVAL!$B$11="Whole MAD",0,2)))</f>
        <v/>
      </c>
      <c r="S51" s="11">
        <f>IF(AND(SETUP!$B$9="READY",T51="READY"),R51,"")</f>
        <v/>
      </c>
      <c r="T51" s="4" t="str">
        <f>IF($A51="","",IF(D51&lt;&gt;"READY","BLOCKED - INPUT",IF(E51&lt;&gt;"ELIGIBLE","BLOCKED - ELIGIBILITY",IF(AGENT_INPUT!S51&lt;&gt;"VALIDATED","BLOCKED - DATA",IF(SETUP!$B$9&lt;&gt;"READY","BLOCKED - POLICY","READY")))))</f>
        <v>BLOCKED - INPUT</v>
      </c>
      <c r="U51" s="4" t="str">
        <f>IF($A51="","",IF(COUNTIFS(AGENT_INPUT!$A$5:$A$254,$A51,AGENT_INPUT!$D$5:$D$254,AGENT_INPUT!D51)&gt;1,"DUPLICATE AGENT + PERIOD",IF(D51&lt;&gt;"READY","INPUT OR CONFIG REVIEW",IF(T51&lt;&gt;"READY",T51,""))))</f>
        <v>Missing, invalid, or unconfigured required input</v>
      </c>
    </row>
    <row r="52" spans="1:21">
      <c r="A52" s="4">
        <f>IF(AGENT_INPUT!A52="","",AGENT_INPUT!A52)</f>
        <v>96523</v>
      </c>
      <c r="B52" s="4" t="str">
        <f>IF($A52="","",AGENT_INPUT!B52)</f>
        <v>EL HARRAK Rachid</v>
      </c>
      <c r="C52" s="4" t="str">
        <f>IF($A52="","",AGENT_INPUT!C52)</f>
        <v>RSA NL</v>
      </c>
      <c r="D52" s="4" t="str">
        <f>IF($A52="","",IF(AND(COUNT(AGENT_INPUT!E52:J52)=6,COUNT(AGENT_INPUT!K52)=1,COUNTIF(BONUS_RULES!$A$5:$A$46,AGENT_INPUT!C52)&gt;0,OR(AGENT_INPUT!O52&gt;0,AND(AGENT_INPUT!M52&gt;0,AGENT_INPUT!N52&gt;0)),AGENT_INPUT!P52&gt;=0,AGENT_INPUT!Q52&gt;0,AGENT_INPUT!P52&lt;=AGENT_INPUT!Q52,AGENT_INPUT!H52&gt;=0,AGENT_INPUT!H52&lt;=1,AGENT_INPUT!I52&gt;=0,AGENT_INPUT!I52&lt;=1,AGENT_INPUT!J52&gt;=0,AGENT_INPUT!J52&lt;=1),"READY","BLOCKED"))</f>
        <v>READY</v>
      </c>
      <c r="E52" s="4" t="str">
        <f>IF($A52="","",IF(AGENT_INPUT!R52&lt;&gt;"Active","REVIEW",IF(OR(POLICY_APPROVAL!$B$9="Eligibility only",POLICY_APPROVAL!$B$9="Both"),IF(AGENT_INPUT!J52&lt;=SUMIFS(BONUS_RULES!$E$5:$E$46,BONUS_RULES!$A$5:$A$46,$C52,BONUS_RULES!$B$5:$B$46,"Abs%"),"ELIGIBLE","INELIGIBLE ABS"),"ELIGIBLE")))</f>
        <v>REVIEW</v>
      </c>
      <c r="F52" s="10">
        <f>IF(OR($A52="",$D52&lt;&gt;"READY"),"",IF(AGENT_INPUT!E52&lt;=SUMIFS(BONUS_RULES!$E$5:$E$46,BONUS_RULES!$A$5:$A$46,$C52,BONUS_RULES!$B$5:$B$46,"AHT"),SUMIFS(BONUS_RULES!$D$5:$D$46,BONUS_RULES!$A$5:$A$46,$C52,BONUS_RULES!$B$5:$B$46,"AHT"),IF(AGENT_INPUT!E52&lt;=SUMIFS(BONUS_RULES!$G$5:$G$46,BONUS_RULES!$A$5:$A$46,$C52,BONUS_RULES!$B$5:$B$46,"AHT"),SUMIFS(BONUS_RULES!$F$5:$F$46,BONUS_RULES!$A$5:$A$46,$C52,BONUS_RULES!$B$5:$B$46,"AHT"),0)))</f>
        <v>0.15</v>
      </c>
      <c r="G52" s="10">
        <f>IF(OR($A52="",$D52&lt;&gt;"READY"),"",IF(AGENT_INPUT!F52&gt;=SUMIFS(BONUS_RULES!$E$5:$E$46,BONUS_RULES!$A$5:$A$46,$C52,BONUS_RULES!$B$5:$B$46,"Productivity"),SUMIFS(BONUS_RULES!$D$5:$D$46,BONUS_RULES!$A$5:$A$46,$C52,BONUS_RULES!$B$5:$B$46,"Productivity"),IF(AGENT_INPUT!F52&gt;=SUMIFS(BONUS_RULES!$G$5:$G$46,BONUS_RULES!$A$5:$A$46,$C52,BONUS_RULES!$B$5:$B$46,"Productivity"),SUMIFS(BONUS_RULES!$F$5:$F$46,BONUS_RULES!$A$5:$A$46,$C52,BONUS_RULES!$B$5:$B$46,"Productivity"),0)))</f>
        <v>0.15</v>
      </c>
      <c r="H52" s="10">
        <f>IF(OR($A52="",$D52&lt;&gt;"READY"),"",IF(AGENT_INPUT!G52&gt;=SUMIFS(BONUS_RULES!$E$5:$E$46,BONUS_RULES!$A$5:$A$46,$C52,BONUS_RULES!$B$5:$B$46,"PCS Score"),SUMIFS(BONUS_RULES!$D$5:$D$46,BONUS_RULES!$A$5:$A$46,$C52,BONUS_RULES!$B$5:$B$46,"PCS Score"),IF(AGENT_INPUT!G52&gt;=SUMIFS(BONUS_RULES!$G$5:$G$46,BONUS_RULES!$A$5:$A$46,$C52,BONUS_RULES!$B$5:$B$46,"PCS Score"),SUMIFS(BONUS_RULES!$F$5:$F$46,BONUS_RULES!$A$5:$A$46,$C52,BONUS_RULES!$B$5:$B$46,"PCS Score"),0)))</f>
        <v>0.0</v>
      </c>
      <c r="I52" s="10">
        <f>IF(OR($A52="",$D52&lt;&gt;"READY"),"",IF(AGENT_INPUT!H52&gt;=SUMIFS(BONUS_RULES!$E$5:$E$46,BONUS_RULES!$A$5:$A$46,$C52,BONUS_RULES!$B$5:$B$46,"PCS % (Participation)"),SUMIFS(BONUS_RULES!$D$5:$D$46,BONUS_RULES!$A$5:$A$46,$C52,BONUS_RULES!$B$5:$B$46,"PCS % (Participation)"),IF(AGENT_INPUT!H52&gt;=SUMIFS(BONUS_RULES!$G$5:$G$46,BONUS_RULES!$A$5:$A$46,$C52,BONUS_RULES!$B$5:$B$46,"PCS % (Participation)"),SUMIFS(BONUS_RULES!$F$5:$F$46,BONUS_RULES!$A$5:$A$46,$C52,BONUS_RULES!$B$5:$B$46,"PCS % (Participation)"),0)))</f>
        <v>0.0</v>
      </c>
      <c r="J52" s="10">
        <f>IF(OR($A52="",$D52&lt;&gt;"READY"),"",IF(AGENT_INPUT!I52&gt;=SUMIFS(BONUS_RULES!$E$5:$E$46,BONUS_RULES!$A$5:$A$46,$C52,BONUS_RULES!$B$5:$B$46,"QM"),SUMIFS(BONUS_RULES!$D$5:$D$46,BONUS_RULES!$A$5:$A$46,$C52,BONUS_RULES!$B$5:$B$46,"QM"),IF(AGENT_INPUT!I52&gt;=SUMIFS(BONUS_RULES!$G$5:$G$46,BONUS_RULES!$A$5:$A$46,$C52,BONUS_RULES!$B$5:$B$46,"QM"),SUMIFS(BONUS_RULES!$F$5:$F$46,BONUS_RULES!$A$5:$A$46,$C52,BONUS_RULES!$B$5:$B$46,"QM"),0)))</f>
        <v>0.0</v>
      </c>
      <c r="K52" s="10">
        <f>IF(POLICY_APPROVAL!$B$9="Eligibility only",0,IF(OR($A52="",$D52&lt;&gt;"READY"),"",IF(AGENT_INPUT!J52&lt;=SUMIFS(BONUS_RULES!$E$5:$E$46,BONUS_RULES!$A$5:$A$46,$C52,BONUS_RULES!$B$5:$B$46,"Abs%"),SUMIFS(BONUS_RULES!$D$5:$D$46,BONUS_RULES!$A$5:$A$46,$C52,BONUS_RULES!$B$5:$B$46,"Abs%"),IF(AGENT_INPUT!J52&lt;=SUMIFS(BONUS_RULES!$G$5:$G$46,BONUS_RULES!$A$5:$A$46,$C52,BONUS_RULES!$B$5:$B$46,"Abs%"),SUMIFS(BONUS_RULES!$F$5:$F$46,BONUS_RULES!$A$5:$A$46,$C52,BONUS_RULES!$B$5:$B$46,"Abs%"),0))))</f>
        <v>0.0</v>
      </c>
      <c r="L52" s="10">
        <f>IF(OR($A52="",$D52&lt;&gt;"READY"),"",IF(AGENT_INPUT!G52&gt;=SUMIFS(BONUS_RULES!$E$5:$E$46,BONUS_RULES!$A$5:$A$46,$C52,BONUS_RULES!$B$5:$B$46,"Extra Bonus (PCS Score)"),SUMIFS(BONUS_RULES!$D$5:$D$46,BONUS_RULES!$A$5:$A$46,$C52,BONUS_RULES!$B$5:$B$46,"Extra Bonus (PCS Score)"),IF(AGENT_INPUT!G52&gt;=SUMIFS(BONUS_RULES!$G$5:$G$46,BONUS_RULES!$A$5:$A$46,$C52,BONUS_RULES!$B$5:$B$46,"Extra Bonus (PCS Score)"),SUMIFS(BONUS_RULES!$F$5:$F$46,BONUS_RULES!$A$5:$A$46,$C52,BONUS_RULES!$B$5:$B$46,"Extra Bonus (PCS Score)"),0)))</f>
        <v>0.0</v>
      </c>
      <c r="M52" s="10">
        <f>IF($A52="","",MIN(IF(POLICY_APPROVAL!$B$6="Replacement",SUM(F52:K52)-H52+MAX(H52,L52),SUM(F52:L52)),POLICY_APPROVAL!$B$10))</f>
        <v>0.3</v>
      </c>
      <c r="N52" s="10">
        <f>IF($A52="","",IFERROR(INDEX(BONUS_RULES!$J$5:$J$10,MATCH(MIN(MAX(AGENT_INPUT!K52,0),5),BONUS_RULES!$I$5:$I$10,0)),1))</f>
        <v>0</v>
      </c>
      <c r="O52" s="10">
        <f>IF(M52="","",MAX(0,IF(POLICY_APPROVAL!$B$5="Percentage points",M52-N52,M52*(1-N52))))</f>
        <v>0.3</v>
      </c>
      <c r="P52" s="11">
        <f>IF(D52&lt;&gt;"READY","",IF(AGENT_INPUT!O52&gt;0,AGENT_INPUT!O52,AGENT_INPUT!M52*AGENT_INPUT!N52/IF(POLICY_APPROVAL!$B$7="Annual",12,1)))</f>
        <v>2000.0</v>
      </c>
      <c r="Q52" s="10">
        <f>IF(D52&lt;&gt;"READY","",MIN(1,AGENT_INPUT!P52/AGENT_INPUT!Q52))</f>
        <v>1.0</v>
      </c>
      <c r="R52" s="11">
        <f>IF(D52&lt;&gt;"READY","",ROUND(P52*Q52*O52,IF(POLICY_APPROVAL!$B$11="Whole MAD",0,2)))</f>
        <v>600.0</v>
      </c>
      <c r="S52" s="11">
        <f>IF(AND(SETUP!$B$9="READY",T52="READY"),R52,"")</f>
        <v/>
      </c>
      <c r="T52" s="4" t="str">
        <f>IF($A52="","",IF(D52&lt;&gt;"READY","BLOCKED - INPUT",IF(E52&lt;&gt;"ELIGIBLE","BLOCKED - ELIGIBILITY",IF(AGENT_INPUT!S52&lt;&gt;"VALIDATED","BLOCKED - DATA",IF(SETUP!$B$9&lt;&gt;"READY","BLOCKED - POLICY","READY")))))</f>
        <v>BLOCKED - ELIGIBILITY</v>
      </c>
      <c r="U52" s="4" t="str">
        <f>IF($A52="","",IF(COUNTIFS(AGENT_INPUT!$A$5:$A$254,$A52,AGENT_INPUT!$D$5:$D$254,AGENT_INPUT!D52)&gt;1,"DUPLICATE AGENT + PERIOD",IF(D52&lt;&gt;"READY","INPUT OR CONFIG REVIEW",IF(T52&lt;&gt;"READY",T52,""))))</f>
        <v>BLOCKED - ELIGIBILITY</v>
      </c>
    </row>
    <row r="53" spans="1:21">
      <c r="A53" s="4">
        <f>IF(AGENT_INPUT!A53="","",AGENT_INPUT!A53)</f>
        <v>203627</v>
      </c>
      <c r="B53" s="4" t="str">
        <f>IF($A53="","",AGENT_INPUT!B53)</f>
        <v>Sy Ousmane</v>
      </c>
      <c r="C53" s="4" t="str">
        <f>IF($A53="","",AGENT_INPUT!C53)</f>
        <v>OEM FR</v>
      </c>
      <c r="D53" s="4" t="str">
        <f>IF($A53="","",IF(AND(COUNT(AGENT_INPUT!E53:J53)=6,COUNT(AGENT_INPUT!K53)=1,COUNTIF(BONUS_RULES!$A$5:$A$46,AGENT_INPUT!C53)&gt;0,OR(AGENT_INPUT!O53&gt;0,AND(AGENT_INPUT!M53&gt;0,AGENT_INPUT!N53&gt;0)),AGENT_INPUT!P53&gt;=0,AGENT_INPUT!Q53&gt;0,AGENT_INPUT!P53&lt;=AGENT_INPUT!Q53,AGENT_INPUT!H53&gt;=0,AGENT_INPUT!H53&lt;=1,AGENT_INPUT!I53&gt;=0,AGENT_INPUT!I53&lt;=1,AGENT_INPUT!J53&gt;=0,AGENT_INPUT!J53&lt;=1),"READY","BLOCKED"))</f>
        <v>READY</v>
      </c>
      <c r="E53" s="4" t="str">
        <f>IF($A53="","",IF(AGENT_INPUT!R53&lt;&gt;"Active","REVIEW",IF(OR(POLICY_APPROVAL!$B$9="Eligibility only",POLICY_APPROVAL!$B$9="Both"),IF(AGENT_INPUT!J53&lt;=SUMIFS(BONUS_RULES!$E$5:$E$46,BONUS_RULES!$A$5:$A$46,$C53,BONUS_RULES!$B$5:$B$46,"Abs%"),"ELIGIBLE","INELIGIBLE ABS"),"ELIGIBLE")))</f>
        <v>REVIEW</v>
      </c>
      <c r="F53" s="10">
        <f>IF(OR($A53="",$D53&lt;&gt;"READY"),"",IF(AGENT_INPUT!E53&lt;=SUMIFS(BONUS_RULES!$E$5:$E$46,BONUS_RULES!$A$5:$A$46,$C53,BONUS_RULES!$B$5:$B$46,"AHT"),SUMIFS(BONUS_RULES!$D$5:$D$46,BONUS_RULES!$A$5:$A$46,$C53,BONUS_RULES!$B$5:$B$46,"AHT"),IF(AGENT_INPUT!E53&lt;=SUMIFS(BONUS_RULES!$G$5:$G$46,BONUS_RULES!$A$5:$A$46,$C53,BONUS_RULES!$B$5:$B$46,"AHT"),SUMIFS(BONUS_RULES!$F$5:$F$46,BONUS_RULES!$A$5:$A$46,$C53,BONUS_RULES!$B$5:$B$46,"AHT"),0)))</f>
        <v>0.0</v>
      </c>
      <c r="G53" s="10">
        <f>IF(OR($A53="",$D53&lt;&gt;"READY"),"",IF(AGENT_INPUT!F53&gt;=SUMIFS(BONUS_RULES!$E$5:$E$46,BONUS_RULES!$A$5:$A$46,$C53,BONUS_RULES!$B$5:$B$46,"Productivity"),SUMIFS(BONUS_RULES!$D$5:$D$46,BONUS_RULES!$A$5:$A$46,$C53,BONUS_RULES!$B$5:$B$46,"Productivity"),IF(AGENT_INPUT!F53&gt;=SUMIFS(BONUS_RULES!$G$5:$G$46,BONUS_RULES!$A$5:$A$46,$C53,BONUS_RULES!$B$5:$B$46,"Productivity"),SUMIFS(BONUS_RULES!$F$5:$F$46,BONUS_RULES!$A$5:$A$46,$C53,BONUS_RULES!$B$5:$B$46,"Productivity"),0)))</f>
        <v>0.0</v>
      </c>
      <c r="H53" s="10">
        <f>IF(OR($A53="",$D53&lt;&gt;"READY"),"",IF(AGENT_INPUT!G53&gt;=SUMIFS(BONUS_RULES!$E$5:$E$46,BONUS_RULES!$A$5:$A$46,$C53,BONUS_RULES!$B$5:$B$46,"PCS Score"),SUMIFS(BONUS_RULES!$D$5:$D$46,BONUS_RULES!$A$5:$A$46,$C53,BONUS_RULES!$B$5:$B$46,"PCS Score"),IF(AGENT_INPUT!G53&gt;=SUMIFS(BONUS_RULES!$G$5:$G$46,BONUS_RULES!$A$5:$A$46,$C53,BONUS_RULES!$B$5:$B$46,"PCS Score"),SUMIFS(BONUS_RULES!$F$5:$F$46,BONUS_RULES!$A$5:$A$46,$C53,BONUS_RULES!$B$5:$B$46,"PCS Score"),0)))</f>
        <v>0.2</v>
      </c>
      <c r="I53" s="10">
        <f>IF(OR($A53="",$D53&lt;&gt;"READY"),"",IF(AGENT_INPUT!H53&gt;=SUMIFS(BONUS_RULES!$E$5:$E$46,BONUS_RULES!$A$5:$A$46,$C53,BONUS_RULES!$B$5:$B$46,"PCS % (Participation)"),SUMIFS(BONUS_RULES!$D$5:$D$46,BONUS_RULES!$A$5:$A$46,$C53,BONUS_RULES!$B$5:$B$46,"PCS % (Participation)"),IF(AGENT_INPUT!H53&gt;=SUMIFS(BONUS_RULES!$G$5:$G$46,BONUS_RULES!$A$5:$A$46,$C53,BONUS_RULES!$B$5:$B$46,"PCS % (Participation)"),SUMIFS(BONUS_RULES!$F$5:$F$46,BONUS_RULES!$A$5:$A$46,$C53,BONUS_RULES!$B$5:$B$46,"PCS % (Participation)"),0)))</f>
        <v>0.0</v>
      </c>
      <c r="J53" s="10">
        <f>IF(OR($A53="",$D53&lt;&gt;"READY"),"",IF(AGENT_INPUT!I53&gt;=SUMIFS(BONUS_RULES!$E$5:$E$46,BONUS_RULES!$A$5:$A$46,$C53,BONUS_RULES!$B$5:$B$46,"QM"),SUMIFS(BONUS_RULES!$D$5:$D$46,BONUS_RULES!$A$5:$A$46,$C53,BONUS_RULES!$B$5:$B$46,"QM"),IF(AGENT_INPUT!I53&gt;=SUMIFS(BONUS_RULES!$G$5:$G$46,BONUS_RULES!$A$5:$A$46,$C53,BONUS_RULES!$B$5:$B$46,"QM"),SUMIFS(BONUS_RULES!$F$5:$F$46,BONUS_RULES!$A$5:$A$46,$C53,BONUS_RULES!$B$5:$B$46,"QM"),0)))</f>
        <v>0.0</v>
      </c>
      <c r="K53" s="10">
        <f>IF(POLICY_APPROVAL!$B$9="Eligibility only",0,IF(OR($A53="",$D53&lt;&gt;"READY"),"",IF(AGENT_INPUT!J53&lt;=SUMIFS(BONUS_RULES!$E$5:$E$46,BONUS_RULES!$A$5:$A$46,$C53,BONUS_RULES!$B$5:$B$46,"Abs%"),SUMIFS(BONUS_RULES!$D$5:$D$46,BONUS_RULES!$A$5:$A$46,$C53,BONUS_RULES!$B$5:$B$46,"Abs%"),IF(AGENT_INPUT!J53&lt;=SUMIFS(BONUS_RULES!$G$5:$G$46,BONUS_RULES!$A$5:$A$46,$C53,BONUS_RULES!$B$5:$B$46,"Abs%"),SUMIFS(BONUS_RULES!$F$5:$F$46,BONUS_RULES!$A$5:$A$46,$C53,BONUS_RULES!$B$5:$B$46,"Abs%"),0))))</f>
        <v>0.15</v>
      </c>
      <c r="L53" s="10">
        <f>IF(OR($A53="",$D53&lt;&gt;"READY"),"",IF(AGENT_INPUT!G53&gt;=SUMIFS(BONUS_RULES!$E$5:$E$46,BONUS_RULES!$A$5:$A$46,$C53,BONUS_RULES!$B$5:$B$46,"Extra Bonus (PCS Score)"),SUMIFS(BONUS_RULES!$D$5:$D$46,BONUS_RULES!$A$5:$A$46,$C53,BONUS_RULES!$B$5:$B$46,"Extra Bonus (PCS Score)"),IF(AGENT_INPUT!G53&gt;=SUMIFS(BONUS_RULES!$G$5:$G$46,BONUS_RULES!$A$5:$A$46,$C53,BONUS_RULES!$B$5:$B$46,"Extra Bonus (PCS Score)"),SUMIFS(BONUS_RULES!$F$5:$F$46,BONUS_RULES!$A$5:$A$46,$C53,BONUS_RULES!$B$5:$B$46,"Extra Bonus (PCS Score)"),0)))</f>
        <v>0.3</v>
      </c>
      <c r="M53" s="10">
        <f>IF($A53="","",MIN(IF(POLICY_APPROVAL!$B$6="Replacement",SUM(F53:K53)-H53+MAX(H53,L53),SUM(F53:L53)),POLICY_APPROVAL!$B$10))</f>
        <v>0.6499999999999999</v>
      </c>
      <c r="N53" s="10">
        <f>IF($A53="","",IFERROR(INDEX(BONUS_RULES!$J$5:$J$10,MATCH(MIN(MAX(AGENT_INPUT!K53,0),5),BONUS_RULES!$I$5:$I$10,0)),1))</f>
        <v>0</v>
      </c>
      <c r="O53" s="10">
        <f>IF(M53="","",MAX(0,IF(POLICY_APPROVAL!$B$5="Percentage points",M53-N53,M53*(1-N53))))</f>
        <v>0.6499999999999999</v>
      </c>
      <c r="P53" s="11">
        <f>IF(D53&lt;&gt;"READY","",IF(AGENT_INPUT!O53&gt;0,AGENT_INPUT!O53,AGENT_INPUT!M53*AGENT_INPUT!N53/IF(POLICY_APPROVAL!$B$7="Annual",12,1)))</f>
        <v>2000.0</v>
      </c>
      <c r="Q53" s="10">
        <f>IF(D53&lt;&gt;"READY","",MIN(1,AGENT_INPUT!P53/AGENT_INPUT!Q53))</f>
        <v>1.0</v>
      </c>
      <c r="R53" s="11">
        <f>IF(D53&lt;&gt;"READY","",ROUND(P53*Q53*O53,IF(POLICY_APPROVAL!$B$11="Whole MAD",0,2)))</f>
        <v>1300.0</v>
      </c>
      <c r="S53" s="11">
        <f>IF(AND(SETUP!$B$9="READY",T53="READY"),R53,"")</f>
        <v/>
      </c>
      <c r="T53" s="4" t="str">
        <f>IF($A53="","",IF(D53&lt;&gt;"READY","BLOCKED - INPUT",IF(E53&lt;&gt;"ELIGIBLE","BLOCKED - ELIGIBILITY",IF(AGENT_INPUT!S53&lt;&gt;"VALIDATED","BLOCKED - DATA",IF(SETUP!$B$9&lt;&gt;"READY","BLOCKED - POLICY","READY")))))</f>
        <v>BLOCKED - ELIGIBILITY</v>
      </c>
      <c r="U53" s="4" t="str">
        <f>IF($A53="","",IF(COUNTIFS(AGENT_INPUT!$A$5:$A$254,$A53,AGENT_INPUT!$D$5:$D$254,AGENT_INPUT!D53)&gt;1,"DUPLICATE AGENT + PERIOD",IF(D53&lt;&gt;"READY","INPUT OR CONFIG REVIEW",IF(T53&lt;&gt;"READY",T53,""))))</f>
        <v>BLOCKED - ELIGIBILITY</v>
      </c>
    </row>
    <row r="54" spans="1:21">
      <c r="A54" s="4">
        <f>IF(AGENT_INPUT!A54="","",AGENT_INPUT!A54)</f>
        <v>249777</v>
      </c>
      <c r="B54" s="4" t="str">
        <f>IF($A54="","",AGENT_INPUT!B54)</f>
        <v>Oumaima LARIANI</v>
      </c>
      <c r="C54" s="4" t="str">
        <f>IF($A54="","",AGENT_INPUT!C54)</f>
        <v>RSA FR</v>
      </c>
      <c r="D54" s="4" t="str">
        <f>IF($A54="","",IF(AND(COUNT(AGENT_INPUT!E54:J54)=6,COUNT(AGENT_INPUT!K54)=1,COUNTIF(BONUS_RULES!$A$5:$A$46,AGENT_INPUT!C54)&gt;0,OR(AGENT_INPUT!O54&gt;0,AND(AGENT_INPUT!M54&gt;0,AGENT_INPUT!N54&gt;0)),AGENT_INPUT!P54&gt;=0,AGENT_INPUT!Q54&gt;0,AGENT_INPUT!P54&lt;=AGENT_INPUT!Q54,AGENT_INPUT!H54&gt;=0,AGENT_INPUT!H54&lt;=1,AGENT_INPUT!I54&gt;=0,AGENT_INPUT!I54&lt;=1,AGENT_INPUT!J54&gt;=0,AGENT_INPUT!J54&lt;=1),"READY","BLOCKED"))</f>
        <v>BLOCKED</v>
      </c>
      <c r="E54" s="4">
        <f>IF($A54="","",IF(AGENT_INPUT!R54&lt;&gt;"Active","REVIEW",IF(OR(POLICY_APPROVAL!$B$9="Eligibility only",POLICY_APPROVAL!$B$9="Both"),IF(AGENT_INPUT!J54&lt;=SUMIFS(BONUS_RULES!$E$5:$E$46,BONUS_RULES!$A$5:$A$46,$C54,BONUS_RULES!$B$5:$B$46,"Abs%"),"ELIGIBLE","INELIGIBLE ABS"),"ELIGIBLE")))</f>
        <v/>
      </c>
      <c r="F54" s="10">
        <f>IF(OR($A54="",$D54&lt;&gt;"READY"),"",IF(AGENT_INPUT!E54&lt;=SUMIFS(BONUS_RULES!$E$5:$E$46,BONUS_RULES!$A$5:$A$46,$C54,BONUS_RULES!$B$5:$B$46,"AHT"),SUMIFS(BONUS_RULES!$D$5:$D$46,BONUS_RULES!$A$5:$A$46,$C54,BONUS_RULES!$B$5:$B$46,"AHT"),IF(AGENT_INPUT!E54&lt;=SUMIFS(BONUS_RULES!$G$5:$G$46,BONUS_RULES!$A$5:$A$46,$C54,BONUS_RULES!$B$5:$B$46,"AHT"),SUMIFS(BONUS_RULES!$F$5:$F$46,BONUS_RULES!$A$5:$A$46,$C54,BONUS_RULES!$B$5:$B$46,"AHT"),0)))</f>
        <v/>
      </c>
      <c r="G54" s="10">
        <f>IF(OR($A54="",$D54&lt;&gt;"READY"),"",IF(AGENT_INPUT!F54&gt;=SUMIFS(BONUS_RULES!$E$5:$E$46,BONUS_RULES!$A$5:$A$46,$C54,BONUS_RULES!$B$5:$B$46,"Productivity"),SUMIFS(BONUS_RULES!$D$5:$D$46,BONUS_RULES!$A$5:$A$46,$C54,BONUS_RULES!$B$5:$B$46,"Productivity"),IF(AGENT_INPUT!F54&gt;=SUMIFS(BONUS_RULES!$G$5:$G$46,BONUS_RULES!$A$5:$A$46,$C54,BONUS_RULES!$B$5:$B$46,"Productivity"),SUMIFS(BONUS_RULES!$F$5:$F$46,BONUS_RULES!$A$5:$A$46,$C54,BONUS_RULES!$B$5:$B$46,"Productivity"),0)))</f>
        <v/>
      </c>
      <c r="H54" s="10">
        <f>IF(OR($A54="",$D54&lt;&gt;"READY"),"",IF(AGENT_INPUT!G54&gt;=SUMIFS(BONUS_RULES!$E$5:$E$46,BONUS_RULES!$A$5:$A$46,$C54,BONUS_RULES!$B$5:$B$46,"PCS Score"),SUMIFS(BONUS_RULES!$D$5:$D$46,BONUS_RULES!$A$5:$A$46,$C54,BONUS_RULES!$B$5:$B$46,"PCS Score"),IF(AGENT_INPUT!G54&gt;=SUMIFS(BONUS_RULES!$G$5:$G$46,BONUS_RULES!$A$5:$A$46,$C54,BONUS_RULES!$B$5:$B$46,"PCS Score"),SUMIFS(BONUS_RULES!$F$5:$F$46,BONUS_RULES!$A$5:$A$46,$C54,BONUS_RULES!$B$5:$B$46,"PCS Score"),0)))</f>
        <v/>
      </c>
      <c r="I54" s="10">
        <f>IF(OR($A54="",$D54&lt;&gt;"READY"),"",IF(AGENT_INPUT!H54&gt;=SUMIFS(BONUS_RULES!$E$5:$E$46,BONUS_RULES!$A$5:$A$46,$C54,BONUS_RULES!$B$5:$B$46,"PCS % (Participation)"),SUMIFS(BONUS_RULES!$D$5:$D$46,BONUS_RULES!$A$5:$A$46,$C54,BONUS_RULES!$B$5:$B$46,"PCS % (Participation)"),IF(AGENT_INPUT!H54&gt;=SUMIFS(BONUS_RULES!$G$5:$G$46,BONUS_RULES!$A$5:$A$46,$C54,BONUS_RULES!$B$5:$B$46,"PCS % (Participation)"),SUMIFS(BONUS_RULES!$F$5:$F$46,BONUS_RULES!$A$5:$A$46,$C54,BONUS_RULES!$B$5:$B$46,"PCS % (Participation)"),0)))</f>
        <v/>
      </c>
      <c r="J54" s="10">
        <f>IF(OR($A54="",$D54&lt;&gt;"READY"),"",IF(AGENT_INPUT!I54&gt;=SUMIFS(BONUS_RULES!$E$5:$E$46,BONUS_RULES!$A$5:$A$46,$C54,BONUS_RULES!$B$5:$B$46,"QM"),SUMIFS(BONUS_RULES!$D$5:$D$46,BONUS_RULES!$A$5:$A$46,$C54,BONUS_RULES!$B$5:$B$46,"QM"),IF(AGENT_INPUT!I54&gt;=SUMIFS(BONUS_RULES!$G$5:$G$46,BONUS_RULES!$A$5:$A$46,$C54,BONUS_RULES!$B$5:$B$46,"QM"),SUMIFS(BONUS_RULES!$F$5:$F$46,BONUS_RULES!$A$5:$A$46,$C54,BONUS_RULES!$B$5:$B$46,"QM"),0)))</f>
        <v/>
      </c>
      <c r="K54" s="10">
        <f>IF(POLICY_APPROVAL!$B$9="Eligibility only",0,IF(OR($A54="",$D54&lt;&gt;"READY"),"",IF(AGENT_INPUT!J54&lt;=SUMIFS(BONUS_RULES!$E$5:$E$46,BONUS_RULES!$A$5:$A$46,$C54,BONUS_RULES!$B$5:$B$46,"Abs%"),SUMIFS(BONUS_RULES!$D$5:$D$46,BONUS_RULES!$A$5:$A$46,$C54,BONUS_RULES!$B$5:$B$46,"Abs%"),IF(AGENT_INPUT!J54&lt;=SUMIFS(BONUS_RULES!$G$5:$G$46,BONUS_RULES!$A$5:$A$46,$C54,BONUS_RULES!$B$5:$B$46,"Abs%"),SUMIFS(BONUS_RULES!$F$5:$F$46,BONUS_RULES!$A$5:$A$46,$C54,BONUS_RULES!$B$5:$B$46,"Abs%"),0))))</f>
        <v/>
      </c>
      <c r="L54" s="10">
        <f>IF(OR($A54="",$D54&lt;&gt;"READY"),"",IF(AGENT_INPUT!G54&gt;=SUMIFS(BONUS_RULES!$E$5:$E$46,BONUS_RULES!$A$5:$A$46,$C54,BONUS_RULES!$B$5:$B$46,"Extra Bonus (PCS Score)"),SUMIFS(BONUS_RULES!$D$5:$D$46,BONUS_RULES!$A$5:$A$46,$C54,BONUS_RULES!$B$5:$B$46,"Extra Bonus (PCS Score)"),IF(AGENT_INPUT!G54&gt;=SUMIFS(BONUS_RULES!$G$5:$G$46,BONUS_RULES!$A$5:$A$46,$C54,BONUS_RULES!$B$5:$B$46,"Extra Bonus (PCS Score)"),SUMIFS(BONUS_RULES!$F$5:$F$46,BONUS_RULES!$A$5:$A$46,$C54,BONUS_RULES!$B$5:$B$46,"Extra Bonus (PCS Score)"),0)))</f>
        <v/>
      </c>
      <c r="M54" s="10">
        <f>IF($A54="","",MIN(IF(POLICY_APPROVAL!$B$6="Replacement",SUM(F54:K54)-H54+MAX(H54,L54),SUM(F54:L54)),POLICY_APPROVAL!$B$10))</f>
        <v>0</v>
      </c>
      <c r="N54" s="10">
        <f>IF($A54="","",IFERROR(INDEX(BONUS_RULES!$J$5:$J$10,MATCH(MIN(MAX(AGENT_INPUT!K54,0),5),BONUS_RULES!$I$5:$I$10,0)),1))</f>
        <v>0</v>
      </c>
      <c r="O54" s="10">
        <f>IF(M54="","",MAX(0,IF(POLICY_APPROVAL!$B$5="Percentage points",M54-N54,M54*(1-N54))))</f>
        <v>0</v>
      </c>
      <c r="P54" s="11">
        <f>IF(D54&lt;&gt;"READY","",IF(AGENT_INPUT!O54&gt;0,AGENT_INPUT!O54,AGENT_INPUT!M54*AGENT_INPUT!N54/IF(POLICY_APPROVAL!$B$7="Annual",12,1)))</f>
        <v/>
      </c>
      <c r="Q54" s="10">
        <f>IF(D54&lt;&gt;"READY","",MIN(1,AGENT_INPUT!P54/AGENT_INPUT!Q54))</f>
        <v/>
      </c>
      <c r="R54" s="11">
        <f>IF(D54&lt;&gt;"READY","",ROUND(P54*Q54*O54,IF(POLICY_APPROVAL!$B$11="Whole MAD",0,2)))</f>
        <v/>
      </c>
      <c r="S54" s="11">
        <f>IF(AND(SETUP!$B$9="READY",T54="READY"),R54,"")</f>
        <v/>
      </c>
      <c r="T54" s="4" t="str">
        <f>IF($A54="","",IF(D54&lt;&gt;"READY","BLOCKED - INPUT",IF(E54&lt;&gt;"ELIGIBLE","BLOCKED - ELIGIBILITY",IF(AGENT_INPUT!S54&lt;&gt;"VALIDATED","BLOCKED - DATA",IF(SETUP!$B$9&lt;&gt;"READY","BLOCKED - POLICY","READY")))))</f>
        <v>BLOCKED - INPUT</v>
      </c>
      <c r="U54" s="4" t="str">
        <f>IF($A54="","",IF(COUNTIFS(AGENT_INPUT!$A$5:$A$254,$A54,AGENT_INPUT!$D$5:$D$254,AGENT_INPUT!D54)&gt;1,"DUPLICATE AGENT + PERIOD",IF(D54&lt;&gt;"READY","INPUT OR CONFIG REVIEW",IF(T54&lt;&gt;"READY",T54,""))))</f>
        <v>Missing, invalid, or unconfigured required input</v>
      </c>
    </row>
    <row r="55" spans="1:21">
      <c r="A55" s="4">
        <f>IF(AGENT_INPUT!A55="","",AGENT_INPUT!A55)</f>
        <v>207051</v>
      </c>
      <c r="B55" s="4" t="str">
        <f>IF($A55="","",AGENT_INPUT!B55)</f>
        <v>Fifadji Orphélia Yvelines</v>
      </c>
      <c r="C55" s="4" t="str">
        <f>IF($A55="","",AGENT_INPUT!C55)</f>
        <v>OEM FR</v>
      </c>
      <c r="D55" s="4" t="str">
        <f>IF($A55="","",IF(AND(COUNT(AGENT_INPUT!E55:J55)=6,COUNT(AGENT_INPUT!K55)=1,COUNTIF(BONUS_RULES!$A$5:$A$46,AGENT_INPUT!C55)&gt;0,OR(AGENT_INPUT!O55&gt;0,AND(AGENT_INPUT!M55&gt;0,AGENT_INPUT!N55&gt;0)),AGENT_INPUT!P55&gt;=0,AGENT_INPUT!Q55&gt;0,AGENT_INPUT!P55&lt;=AGENT_INPUT!Q55,AGENT_INPUT!H55&gt;=0,AGENT_INPUT!H55&lt;=1,AGENT_INPUT!I55&gt;=0,AGENT_INPUT!I55&lt;=1,AGENT_INPUT!J55&gt;=0,AGENT_INPUT!J55&lt;=1),"READY","BLOCKED"))</f>
        <v>READY</v>
      </c>
      <c r="E55" s="4" t="str">
        <f>IF($A55="","",IF(AGENT_INPUT!R55&lt;&gt;"Active","REVIEW",IF(OR(POLICY_APPROVAL!$B$9="Eligibility only",POLICY_APPROVAL!$B$9="Both"),IF(AGENT_INPUT!J55&lt;=SUMIFS(BONUS_RULES!$E$5:$E$46,BONUS_RULES!$A$5:$A$46,$C55,BONUS_RULES!$B$5:$B$46,"Abs%"),"ELIGIBLE","INELIGIBLE ABS"),"ELIGIBLE")))</f>
        <v>REVIEW</v>
      </c>
      <c r="F55" s="10">
        <f>IF(OR($A55="",$D55&lt;&gt;"READY"),"",IF(AGENT_INPUT!E55&lt;=SUMIFS(BONUS_RULES!$E$5:$E$46,BONUS_RULES!$A$5:$A$46,$C55,BONUS_RULES!$B$5:$B$46,"AHT"),SUMIFS(BONUS_RULES!$D$5:$D$46,BONUS_RULES!$A$5:$A$46,$C55,BONUS_RULES!$B$5:$B$46,"AHT"),IF(AGENT_INPUT!E55&lt;=SUMIFS(BONUS_RULES!$G$5:$G$46,BONUS_RULES!$A$5:$A$46,$C55,BONUS_RULES!$B$5:$B$46,"AHT"),SUMIFS(BONUS_RULES!$F$5:$F$46,BONUS_RULES!$A$5:$A$46,$C55,BONUS_RULES!$B$5:$B$46,"AHT"),0)))</f>
        <v>0.0</v>
      </c>
      <c r="G55" s="10">
        <f>IF(OR($A55="",$D55&lt;&gt;"READY"),"",IF(AGENT_INPUT!F55&gt;=SUMIFS(BONUS_RULES!$E$5:$E$46,BONUS_RULES!$A$5:$A$46,$C55,BONUS_RULES!$B$5:$B$46,"Productivity"),SUMIFS(BONUS_RULES!$D$5:$D$46,BONUS_RULES!$A$5:$A$46,$C55,BONUS_RULES!$B$5:$B$46,"Productivity"),IF(AGENT_INPUT!F55&gt;=SUMIFS(BONUS_RULES!$G$5:$G$46,BONUS_RULES!$A$5:$A$46,$C55,BONUS_RULES!$B$5:$B$46,"Productivity"),SUMIFS(BONUS_RULES!$F$5:$F$46,BONUS_RULES!$A$5:$A$46,$C55,BONUS_RULES!$B$5:$B$46,"Productivity"),0)))</f>
        <v>0.0</v>
      </c>
      <c r="H55" s="10">
        <f>IF(OR($A55="",$D55&lt;&gt;"READY"),"",IF(AGENT_INPUT!G55&gt;=SUMIFS(BONUS_RULES!$E$5:$E$46,BONUS_RULES!$A$5:$A$46,$C55,BONUS_RULES!$B$5:$B$46,"PCS Score"),SUMIFS(BONUS_RULES!$D$5:$D$46,BONUS_RULES!$A$5:$A$46,$C55,BONUS_RULES!$B$5:$B$46,"PCS Score"),IF(AGENT_INPUT!G55&gt;=SUMIFS(BONUS_RULES!$G$5:$G$46,BONUS_RULES!$A$5:$A$46,$C55,BONUS_RULES!$B$5:$B$46,"PCS Score"),SUMIFS(BONUS_RULES!$F$5:$F$46,BONUS_RULES!$A$5:$A$46,$C55,BONUS_RULES!$B$5:$B$46,"PCS Score"),0)))</f>
        <v>0.2</v>
      </c>
      <c r="I55" s="10">
        <f>IF(OR($A55="",$D55&lt;&gt;"READY"),"",IF(AGENT_INPUT!H55&gt;=SUMIFS(BONUS_RULES!$E$5:$E$46,BONUS_RULES!$A$5:$A$46,$C55,BONUS_RULES!$B$5:$B$46,"PCS % (Participation)"),SUMIFS(BONUS_RULES!$D$5:$D$46,BONUS_RULES!$A$5:$A$46,$C55,BONUS_RULES!$B$5:$B$46,"PCS % (Participation)"),IF(AGENT_INPUT!H55&gt;=SUMIFS(BONUS_RULES!$G$5:$G$46,BONUS_RULES!$A$5:$A$46,$C55,BONUS_RULES!$B$5:$B$46,"PCS % (Participation)"),SUMIFS(BONUS_RULES!$F$5:$F$46,BONUS_RULES!$A$5:$A$46,$C55,BONUS_RULES!$B$5:$B$46,"PCS % (Participation)"),0)))</f>
        <v>0.0</v>
      </c>
      <c r="J55" s="10">
        <f>IF(OR($A55="",$D55&lt;&gt;"READY"),"",IF(AGENT_INPUT!I55&gt;=SUMIFS(BONUS_RULES!$E$5:$E$46,BONUS_RULES!$A$5:$A$46,$C55,BONUS_RULES!$B$5:$B$46,"QM"),SUMIFS(BONUS_RULES!$D$5:$D$46,BONUS_RULES!$A$5:$A$46,$C55,BONUS_RULES!$B$5:$B$46,"QM"),IF(AGENT_INPUT!I55&gt;=SUMIFS(BONUS_RULES!$G$5:$G$46,BONUS_RULES!$A$5:$A$46,$C55,BONUS_RULES!$B$5:$B$46,"QM"),SUMIFS(BONUS_RULES!$F$5:$F$46,BONUS_RULES!$A$5:$A$46,$C55,BONUS_RULES!$B$5:$B$46,"QM"),0)))</f>
        <v>0.0</v>
      </c>
      <c r="K55" s="10">
        <f>IF(POLICY_APPROVAL!$B$9="Eligibility only",0,IF(OR($A55="",$D55&lt;&gt;"READY"),"",IF(AGENT_INPUT!J55&lt;=SUMIFS(BONUS_RULES!$E$5:$E$46,BONUS_RULES!$A$5:$A$46,$C55,BONUS_RULES!$B$5:$B$46,"Abs%"),SUMIFS(BONUS_RULES!$D$5:$D$46,BONUS_RULES!$A$5:$A$46,$C55,BONUS_RULES!$B$5:$B$46,"Abs%"),IF(AGENT_INPUT!J55&lt;=SUMIFS(BONUS_RULES!$G$5:$G$46,BONUS_RULES!$A$5:$A$46,$C55,BONUS_RULES!$B$5:$B$46,"Abs%"),SUMIFS(BONUS_RULES!$F$5:$F$46,BONUS_RULES!$A$5:$A$46,$C55,BONUS_RULES!$B$5:$B$46,"Abs%"),0))))</f>
        <v>0.15</v>
      </c>
      <c r="L55" s="10">
        <f>IF(OR($A55="",$D55&lt;&gt;"READY"),"",IF(AGENT_INPUT!G55&gt;=SUMIFS(BONUS_RULES!$E$5:$E$46,BONUS_RULES!$A$5:$A$46,$C55,BONUS_RULES!$B$5:$B$46,"Extra Bonus (PCS Score)"),SUMIFS(BONUS_RULES!$D$5:$D$46,BONUS_RULES!$A$5:$A$46,$C55,BONUS_RULES!$B$5:$B$46,"Extra Bonus (PCS Score)"),IF(AGENT_INPUT!G55&gt;=SUMIFS(BONUS_RULES!$G$5:$G$46,BONUS_RULES!$A$5:$A$46,$C55,BONUS_RULES!$B$5:$B$46,"Extra Bonus (PCS Score)"),SUMIFS(BONUS_RULES!$F$5:$F$46,BONUS_RULES!$A$5:$A$46,$C55,BONUS_RULES!$B$5:$B$46,"Extra Bonus (PCS Score)"),0)))</f>
        <v>0.3</v>
      </c>
      <c r="M55" s="10">
        <f>IF($A55="","",MIN(IF(POLICY_APPROVAL!$B$6="Replacement",SUM(F55:K55)-H55+MAX(H55,L55),SUM(F55:L55)),POLICY_APPROVAL!$B$10))</f>
        <v>0.6499999999999999</v>
      </c>
      <c r="N55" s="10">
        <f>IF($A55="","",IFERROR(INDEX(BONUS_RULES!$J$5:$J$10,MATCH(MIN(MAX(AGENT_INPUT!K55,0),5),BONUS_RULES!$I$5:$I$10,0)),1))</f>
        <v>0</v>
      </c>
      <c r="O55" s="10">
        <f>IF(M55="","",MAX(0,IF(POLICY_APPROVAL!$B$5="Percentage points",M55-N55,M55*(1-N55))))</f>
        <v>0.6499999999999999</v>
      </c>
      <c r="P55" s="11">
        <f>IF(D55&lt;&gt;"READY","",IF(AGENT_INPUT!O55&gt;0,AGENT_INPUT!O55,AGENT_INPUT!M55*AGENT_INPUT!N55/IF(POLICY_APPROVAL!$B$7="Annual",12,1)))</f>
        <v>2000.0</v>
      </c>
      <c r="Q55" s="10">
        <f>IF(D55&lt;&gt;"READY","",MIN(1,AGENT_INPUT!P55/AGENT_INPUT!Q55))</f>
        <v>1.0</v>
      </c>
      <c r="R55" s="11">
        <f>IF(D55&lt;&gt;"READY","",ROUND(P55*Q55*O55,IF(POLICY_APPROVAL!$B$11="Whole MAD",0,2)))</f>
        <v>1300.0</v>
      </c>
      <c r="S55" s="11">
        <f>IF(AND(SETUP!$B$9="READY",T55="READY"),R55,"")</f>
        <v/>
      </c>
      <c r="T55" s="4" t="str">
        <f>IF($A55="","",IF(D55&lt;&gt;"READY","BLOCKED - INPUT",IF(E55&lt;&gt;"ELIGIBLE","BLOCKED - ELIGIBILITY",IF(AGENT_INPUT!S55&lt;&gt;"VALIDATED","BLOCKED - DATA",IF(SETUP!$B$9&lt;&gt;"READY","BLOCKED - POLICY","READY")))))</f>
        <v>BLOCKED - ELIGIBILITY</v>
      </c>
      <c r="U55" s="4" t="str">
        <f>IF($A55="","",IF(COUNTIFS(AGENT_INPUT!$A$5:$A$254,$A55,AGENT_INPUT!$D$5:$D$254,AGENT_INPUT!D55)&gt;1,"DUPLICATE AGENT + PERIOD",IF(D55&lt;&gt;"READY","INPUT OR CONFIG REVIEW",IF(T55&lt;&gt;"READY",T55,""))))</f>
        <v>BLOCKED - ELIGIBILITY</v>
      </c>
    </row>
    <row r="56" spans="1:21">
      <c r="A56" s="4">
        <f>IF(AGENT_INPUT!A56="","",AGENT_INPUT!A56)</f>
        <v>144565</v>
      </c>
      <c r="B56" s="4" t="str">
        <f>IF($A56="","",AGENT_INPUT!B56)</f>
        <v>NABAT Nouhaila</v>
      </c>
      <c r="C56" s="4" t="str">
        <f>IF($A56="","",AGENT_INPUT!C56)</f>
        <v>RSA FR</v>
      </c>
      <c r="D56" s="4" t="str">
        <f>IF($A56="","",IF(AND(COUNT(AGENT_INPUT!E56:J56)=6,COUNT(AGENT_INPUT!K56)=1,COUNTIF(BONUS_RULES!$A$5:$A$46,AGENT_INPUT!C56)&gt;0,OR(AGENT_INPUT!O56&gt;0,AND(AGENT_INPUT!M56&gt;0,AGENT_INPUT!N56&gt;0)),AGENT_INPUT!P56&gt;=0,AGENT_INPUT!Q56&gt;0,AGENT_INPUT!P56&lt;=AGENT_INPUT!Q56,AGENT_INPUT!H56&gt;=0,AGENT_INPUT!H56&lt;=1,AGENT_INPUT!I56&gt;=0,AGENT_INPUT!I56&lt;=1,AGENT_INPUT!J56&gt;=0,AGENT_INPUT!J56&lt;=1),"READY","BLOCKED"))</f>
        <v>READY</v>
      </c>
      <c r="E56" s="4" t="str">
        <f>IF($A56="","",IF(AGENT_INPUT!R56&lt;&gt;"Active","REVIEW",IF(OR(POLICY_APPROVAL!$B$9="Eligibility only",POLICY_APPROVAL!$B$9="Both"),IF(AGENT_INPUT!J56&lt;=SUMIFS(BONUS_RULES!$E$5:$E$46,BONUS_RULES!$A$5:$A$46,$C56,BONUS_RULES!$B$5:$B$46,"Abs%"),"ELIGIBLE","INELIGIBLE ABS"),"ELIGIBLE")))</f>
        <v>REVIEW</v>
      </c>
      <c r="F56" s="10">
        <f>IF(OR($A56="",$D56&lt;&gt;"READY"),"",IF(AGENT_INPUT!E56&lt;=SUMIFS(BONUS_RULES!$E$5:$E$46,BONUS_RULES!$A$5:$A$46,$C56,BONUS_RULES!$B$5:$B$46,"AHT"),SUMIFS(BONUS_RULES!$D$5:$D$46,BONUS_RULES!$A$5:$A$46,$C56,BONUS_RULES!$B$5:$B$46,"AHT"),IF(AGENT_INPUT!E56&lt;=SUMIFS(BONUS_RULES!$G$5:$G$46,BONUS_RULES!$A$5:$A$46,$C56,BONUS_RULES!$B$5:$B$46,"AHT"),SUMIFS(BONUS_RULES!$F$5:$F$46,BONUS_RULES!$A$5:$A$46,$C56,BONUS_RULES!$B$5:$B$46,"AHT"),0)))</f>
        <v>0.15</v>
      </c>
      <c r="G56" s="10">
        <f>IF(OR($A56="",$D56&lt;&gt;"READY"),"",IF(AGENT_INPUT!F56&gt;=SUMIFS(BONUS_RULES!$E$5:$E$46,BONUS_RULES!$A$5:$A$46,$C56,BONUS_RULES!$B$5:$B$46,"Productivity"),SUMIFS(BONUS_RULES!$D$5:$D$46,BONUS_RULES!$A$5:$A$46,$C56,BONUS_RULES!$B$5:$B$46,"Productivity"),IF(AGENT_INPUT!F56&gt;=SUMIFS(BONUS_RULES!$G$5:$G$46,BONUS_RULES!$A$5:$A$46,$C56,BONUS_RULES!$B$5:$B$46,"Productivity"),SUMIFS(BONUS_RULES!$F$5:$F$46,BONUS_RULES!$A$5:$A$46,$C56,BONUS_RULES!$B$5:$B$46,"Productivity"),0)))</f>
        <v>0.15</v>
      </c>
      <c r="H56" s="10">
        <f>IF(OR($A56="",$D56&lt;&gt;"READY"),"",IF(AGENT_INPUT!G56&gt;=SUMIFS(BONUS_RULES!$E$5:$E$46,BONUS_RULES!$A$5:$A$46,$C56,BONUS_RULES!$B$5:$B$46,"PCS Score"),SUMIFS(BONUS_RULES!$D$5:$D$46,BONUS_RULES!$A$5:$A$46,$C56,BONUS_RULES!$B$5:$B$46,"PCS Score"),IF(AGENT_INPUT!G56&gt;=SUMIFS(BONUS_RULES!$G$5:$G$46,BONUS_RULES!$A$5:$A$46,$C56,BONUS_RULES!$B$5:$B$46,"PCS Score"),SUMIFS(BONUS_RULES!$F$5:$F$46,BONUS_RULES!$A$5:$A$46,$C56,BONUS_RULES!$B$5:$B$46,"PCS Score"),0)))</f>
        <v>0.0</v>
      </c>
      <c r="I56" s="10">
        <f>IF(OR($A56="",$D56&lt;&gt;"READY"),"",IF(AGENT_INPUT!H56&gt;=SUMIFS(BONUS_RULES!$E$5:$E$46,BONUS_RULES!$A$5:$A$46,$C56,BONUS_RULES!$B$5:$B$46,"PCS % (Participation)"),SUMIFS(BONUS_RULES!$D$5:$D$46,BONUS_RULES!$A$5:$A$46,$C56,BONUS_RULES!$B$5:$B$46,"PCS % (Participation)"),IF(AGENT_INPUT!H56&gt;=SUMIFS(BONUS_RULES!$G$5:$G$46,BONUS_RULES!$A$5:$A$46,$C56,BONUS_RULES!$B$5:$B$46,"PCS % (Participation)"),SUMIFS(BONUS_RULES!$F$5:$F$46,BONUS_RULES!$A$5:$A$46,$C56,BONUS_RULES!$B$5:$B$46,"PCS % (Participation)"),0)))</f>
        <v>0.0</v>
      </c>
      <c r="J56" s="10">
        <f>IF(OR($A56="",$D56&lt;&gt;"READY"),"",IF(AGENT_INPUT!I56&gt;=SUMIFS(BONUS_RULES!$E$5:$E$46,BONUS_RULES!$A$5:$A$46,$C56,BONUS_RULES!$B$5:$B$46,"QM"),SUMIFS(BONUS_RULES!$D$5:$D$46,BONUS_RULES!$A$5:$A$46,$C56,BONUS_RULES!$B$5:$B$46,"QM"),IF(AGENT_INPUT!I56&gt;=SUMIFS(BONUS_RULES!$G$5:$G$46,BONUS_RULES!$A$5:$A$46,$C56,BONUS_RULES!$B$5:$B$46,"QM"),SUMIFS(BONUS_RULES!$F$5:$F$46,BONUS_RULES!$A$5:$A$46,$C56,BONUS_RULES!$B$5:$B$46,"QM"),0)))</f>
        <v>0.2</v>
      </c>
      <c r="K56" s="10">
        <f>IF(POLICY_APPROVAL!$B$9="Eligibility only",0,IF(OR($A56="",$D56&lt;&gt;"READY"),"",IF(AGENT_INPUT!J56&lt;=SUMIFS(BONUS_RULES!$E$5:$E$46,BONUS_RULES!$A$5:$A$46,$C56,BONUS_RULES!$B$5:$B$46,"Abs%"),SUMIFS(BONUS_RULES!$D$5:$D$46,BONUS_RULES!$A$5:$A$46,$C56,BONUS_RULES!$B$5:$B$46,"Abs%"),IF(AGENT_INPUT!J56&lt;=SUMIFS(BONUS_RULES!$G$5:$G$46,BONUS_RULES!$A$5:$A$46,$C56,BONUS_RULES!$B$5:$B$46,"Abs%"),SUMIFS(BONUS_RULES!$F$5:$F$46,BONUS_RULES!$A$5:$A$46,$C56,BONUS_RULES!$B$5:$B$46,"Abs%"),0))))</f>
        <v>0.15</v>
      </c>
      <c r="L56" s="10">
        <f>IF(OR($A56="",$D56&lt;&gt;"READY"),"",IF(AGENT_INPUT!G56&gt;=SUMIFS(BONUS_RULES!$E$5:$E$46,BONUS_RULES!$A$5:$A$46,$C56,BONUS_RULES!$B$5:$B$46,"Extra Bonus (PCS Score)"),SUMIFS(BONUS_RULES!$D$5:$D$46,BONUS_RULES!$A$5:$A$46,$C56,BONUS_RULES!$B$5:$B$46,"Extra Bonus (PCS Score)"),IF(AGENT_INPUT!G56&gt;=SUMIFS(BONUS_RULES!$G$5:$G$46,BONUS_RULES!$A$5:$A$46,$C56,BONUS_RULES!$B$5:$B$46,"Extra Bonus (PCS Score)"),SUMIFS(BONUS_RULES!$F$5:$F$46,BONUS_RULES!$A$5:$A$46,$C56,BONUS_RULES!$B$5:$B$46,"Extra Bonus (PCS Score)"),0)))</f>
        <v>0.0</v>
      </c>
      <c r="M56" s="10">
        <f>IF($A56="","",MIN(IF(POLICY_APPROVAL!$B$6="Replacement",SUM(F56:K56)-H56+MAX(H56,L56),SUM(F56:L56)),POLICY_APPROVAL!$B$10))</f>
        <v>0.65</v>
      </c>
      <c r="N56" s="10">
        <f>IF($A56="","",IFERROR(INDEX(BONUS_RULES!$J$5:$J$10,MATCH(MIN(MAX(AGENT_INPUT!K56,0),5),BONUS_RULES!$I$5:$I$10,0)),1))</f>
        <v>0</v>
      </c>
      <c r="O56" s="10">
        <f>IF(M56="","",MAX(0,IF(POLICY_APPROVAL!$B$5="Percentage points",M56-N56,M56*(1-N56))))</f>
        <v>0.65</v>
      </c>
      <c r="P56" s="11">
        <f>IF(D56&lt;&gt;"READY","",IF(AGENT_INPUT!O56&gt;0,AGENT_INPUT!O56,AGENT_INPUT!M56*AGENT_INPUT!N56/IF(POLICY_APPROVAL!$B$7="Annual",12,1)))</f>
        <v>2000.0</v>
      </c>
      <c r="Q56" s="10">
        <f>IF(D56&lt;&gt;"READY","",MIN(1,AGENT_INPUT!P56/AGENT_INPUT!Q56))</f>
        <v>1.0</v>
      </c>
      <c r="R56" s="11">
        <f>IF(D56&lt;&gt;"READY","",ROUND(P56*Q56*O56,IF(POLICY_APPROVAL!$B$11="Whole MAD",0,2)))</f>
        <v>1300.0</v>
      </c>
      <c r="S56" s="11">
        <f>IF(AND(SETUP!$B$9="READY",T56="READY"),R56,"")</f>
        <v/>
      </c>
      <c r="T56" s="4" t="str">
        <f>IF($A56="","",IF(D56&lt;&gt;"READY","BLOCKED - INPUT",IF(E56&lt;&gt;"ELIGIBLE","BLOCKED - ELIGIBILITY",IF(AGENT_INPUT!S56&lt;&gt;"VALIDATED","BLOCKED - DATA",IF(SETUP!$B$9&lt;&gt;"READY","BLOCKED - POLICY","READY")))))</f>
        <v>BLOCKED - ELIGIBILITY</v>
      </c>
      <c r="U56" s="4" t="str">
        <f>IF($A56="","",IF(COUNTIFS(AGENT_INPUT!$A$5:$A$254,$A56,AGENT_INPUT!$D$5:$D$254,AGENT_INPUT!D56)&gt;1,"DUPLICATE AGENT + PERIOD",IF(D56&lt;&gt;"READY","INPUT OR CONFIG REVIEW",IF(T56&lt;&gt;"READY",T56,""))))</f>
        <v>BLOCKED - ELIGIBILITY</v>
      </c>
    </row>
    <row r="57" spans="1:21">
      <c r="A57" s="4">
        <f>IF(AGENT_INPUT!A57="","",AGENT_INPUT!A57)</f>
        <v>203080</v>
      </c>
      <c r="B57" s="4" t="str">
        <f>IF($A57="","",AGENT_INPUT!B57)</f>
        <v>Lamtibbou Nizar</v>
      </c>
      <c r="C57" s="4" t="str">
        <f>IF($A57="","",AGENT_INPUT!C57)</f>
        <v>RSA FR</v>
      </c>
      <c r="D57" s="4" t="str">
        <f>IF($A57="","",IF(AND(COUNT(AGENT_INPUT!E57:J57)=6,COUNT(AGENT_INPUT!K57)=1,COUNTIF(BONUS_RULES!$A$5:$A$46,AGENT_INPUT!C57)&gt;0,OR(AGENT_INPUT!O57&gt;0,AND(AGENT_INPUT!M57&gt;0,AGENT_INPUT!N57&gt;0)),AGENT_INPUT!P57&gt;=0,AGENT_INPUT!Q57&gt;0,AGENT_INPUT!P57&lt;=AGENT_INPUT!Q57,AGENT_INPUT!H57&gt;=0,AGENT_INPUT!H57&lt;=1,AGENT_INPUT!I57&gt;=0,AGENT_INPUT!I57&lt;=1,AGENT_INPUT!J57&gt;=0,AGENT_INPUT!J57&lt;=1),"READY","BLOCKED"))</f>
        <v>READY</v>
      </c>
      <c r="E57" s="4" t="str">
        <f>IF($A57="","",IF(AGENT_INPUT!R57&lt;&gt;"Active","REVIEW",IF(OR(POLICY_APPROVAL!$B$9="Eligibility only",POLICY_APPROVAL!$B$9="Both"),IF(AGENT_INPUT!J57&lt;=SUMIFS(BONUS_RULES!$E$5:$E$46,BONUS_RULES!$A$5:$A$46,$C57,BONUS_RULES!$B$5:$B$46,"Abs%"),"ELIGIBLE","INELIGIBLE ABS"),"ELIGIBLE")))</f>
        <v>REVIEW</v>
      </c>
      <c r="F57" s="10">
        <f>IF(OR($A57="",$D57&lt;&gt;"READY"),"",IF(AGENT_INPUT!E57&lt;=SUMIFS(BONUS_RULES!$E$5:$E$46,BONUS_RULES!$A$5:$A$46,$C57,BONUS_RULES!$B$5:$B$46,"AHT"),SUMIFS(BONUS_RULES!$D$5:$D$46,BONUS_RULES!$A$5:$A$46,$C57,BONUS_RULES!$B$5:$B$46,"AHT"),IF(AGENT_INPUT!E57&lt;=SUMIFS(BONUS_RULES!$G$5:$G$46,BONUS_RULES!$A$5:$A$46,$C57,BONUS_RULES!$B$5:$B$46,"AHT"),SUMIFS(BONUS_RULES!$F$5:$F$46,BONUS_RULES!$A$5:$A$46,$C57,BONUS_RULES!$B$5:$B$46,"AHT"),0)))</f>
        <v>0.15</v>
      </c>
      <c r="G57" s="10">
        <f>IF(OR($A57="",$D57&lt;&gt;"READY"),"",IF(AGENT_INPUT!F57&gt;=SUMIFS(BONUS_RULES!$E$5:$E$46,BONUS_RULES!$A$5:$A$46,$C57,BONUS_RULES!$B$5:$B$46,"Productivity"),SUMIFS(BONUS_RULES!$D$5:$D$46,BONUS_RULES!$A$5:$A$46,$C57,BONUS_RULES!$B$5:$B$46,"Productivity"),IF(AGENT_INPUT!F57&gt;=SUMIFS(BONUS_RULES!$G$5:$G$46,BONUS_RULES!$A$5:$A$46,$C57,BONUS_RULES!$B$5:$B$46,"Productivity"),SUMIFS(BONUS_RULES!$F$5:$F$46,BONUS_RULES!$A$5:$A$46,$C57,BONUS_RULES!$B$5:$B$46,"Productivity"),0)))</f>
        <v>0.15</v>
      </c>
      <c r="H57" s="10">
        <f>IF(OR($A57="",$D57&lt;&gt;"READY"),"",IF(AGENT_INPUT!G57&gt;=SUMIFS(BONUS_RULES!$E$5:$E$46,BONUS_RULES!$A$5:$A$46,$C57,BONUS_RULES!$B$5:$B$46,"PCS Score"),SUMIFS(BONUS_RULES!$D$5:$D$46,BONUS_RULES!$A$5:$A$46,$C57,BONUS_RULES!$B$5:$B$46,"PCS Score"),IF(AGENT_INPUT!G57&gt;=SUMIFS(BONUS_RULES!$G$5:$G$46,BONUS_RULES!$A$5:$A$46,$C57,BONUS_RULES!$B$5:$B$46,"PCS Score"),SUMIFS(BONUS_RULES!$F$5:$F$46,BONUS_RULES!$A$5:$A$46,$C57,BONUS_RULES!$B$5:$B$46,"PCS Score"),0)))</f>
        <v>0.0</v>
      </c>
      <c r="I57" s="10">
        <f>IF(OR($A57="",$D57&lt;&gt;"READY"),"",IF(AGENT_INPUT!H57&gt;=SUMIFS(BONUS_RULES!$E$5:$E$46,BONUS_RULES!$A$5:$A$46,$C57,BONUS_RULES!$B$5:$B$46,"PCS % (Participation)"),SUMIFS(BONUS_RULES!$D$5:$D$46,BONUS_RULES!$A$5:$A$46,$C57,BONUS_RULES!$B$5:$B$46,"PCS % (Participation)"),IF(AGENT_INPUT!H57&gt;=SUMIFS(BONUS_RULES!$G$5:$G$46,BONUS_RULES!$A$5:$A$46,$C57,BONUS_RULES!$B$5:$B$46,"PCS % (Participation)"),SUMIFS(BONUS_RULES!$F$5:$F$46,BONUS_RULES!$A$5:$A$46,$C57,BONUS_RULES!$B$5:$B$46,"PCS % (Participation)"),0)))</f>
        <v>0.0</v>
      </c>
      <c r="J57" s="10">
        <f>IF(OR($A57="",$D57&lt;&gt;"READY"),"",IF(AGENT_INPUT!I57&gt;=SUMIFS(BONUS_RULES!$E$5:$E$46,BONUS_RULES!$A$5:$A$46,$C57,BONUS_RULES!$B$5:$B$46,"QM"),SUMIFS(BONUS_RULES!$D$5:$D$46,BONUS_RULES!$A$5:$A$46,$C57,BONUS_RULES!$B$5:$B$46,"QM"),IF(AGENT_INPUT!I57&gt;=SUMIFS(BONUS_RULES!$G$5:$G$46,BONUS_RULES!$A$5:$A$46,$C57,BONUS_RULES!$B$5:$B$46,"QM"),SUMIFS(BONUS_RULES!$F$5:$F$46,BONUS_RULES!$A$5:$A$46,$C57,BONUS_RULES!$B$5:$B$46,"QM"),0)))</f>
        <v>0.0</v>
      </c>
      <c r="K57" s="10">
        <f>IF(POLICY_APPROVAL!$B$9="Eligibility only",0,IF(OR($A57="",$D57&lt;&gt;"READY"),"",IF(AGENT_INPUT!J57&lt;=SUMIFS(BONUS_RULES!$E$5:$E$46,BONUS_RULES!$A$5:$A$46,$C57,BONUS_RULES!$B$5:$B$46,"Abs%"),SUMIFS(BONUS_RULES!$D$5:$D$46,BONUS_RULES!$A$5:$A$46,$C57,BONUS_RULES!$B$5:$B$46,"Abs%"),IF(AGENT_INPUT!J57&lt;=SUMIFS(BONUS_RULES!$G$5:$G$46,BONUS_RULES!$A$5:$A$46,$C57,BONUS_RULES!$B$5:$B$46,"Abs%"),SUMIFS(BONUS_RULES!$F$5:$F$46,BONUS_RULES!$A$5:$A$46,$C57,BONUS_RULES!$B$5:$B$46,"Abs%"),0))))</f>
        <v>0.0</v>
      </c>
      <c r="L57" s="10">
        <f>IF(OR($A57="",$D57&lt;&gt;"READY"),"",IF(AGENT_INPUT!G57&gt;=SUMIFS(BONUS_RULES!$E$5:$E$46,BONUS_RULES!$A$5:$A$46,$C57,BONUS_RULES!$B$5:$B$46,"Extra Bonus (PCS Score)"),SUMIFS(BONUS_RULES!$D$5:$D$46,BONUS_RULES!$A$5:$A$46,$C57,BONUS_RULES!$B$5:$B$46,"Extra Bonus (PCS Score)"),IF(AGENT_INPUT!G57&gt;=SUMIFS(BONUS_RULES!$G$5:$G$46,BONUS_RULES!$A$5:$A$46,$C57,BONUS_RULES!$B$5:$B$46,"Extra Bonus (PCS Score)"),SUMIFS(BONUS_RULES!$F$5:$F$46,BONUS_RULES!$A$5:$A$46,$C57,BONUS_RULES!$B$5:$B$46,"Extra Bonus (PCS Score)"),0)))</f>
        <v>0.0</v>
      </c>
      <c r="M57" s="10">
        <f>IF($A57="","",MIN(IF(POLICY_APPROVAL!$B$6="Replacement",SUM(F57:K57)-H57+MAX(H57,L57),SUM(F57:L57)),POLICY_APPROVAL!$B$10))</f>
        <v>0.3</v>
      </c>
      <c r="N57" s="10">
        <f>IF($A57="","",IFERROR(INDEX(BONUS_RULES!$J$5:$J$10,MATCH(MIN(MAX(AGENT_INPUT!K57,0),5),BONUS_RULES!$I$5:$I$10,0)),1))</f>
        <v>0</v>
      </c>
      <c r="O57" s="10">
        <f>IF(M57="","",MAX(0,IF(POLICY_APPROVAL!$B$5="Percentage points",M57-N57,M57*(1-N57))))</f>
        <v>0.3</v>
      </c>
      <c r="P57" s="11">
        <f>IF(D57&lt;&gt;"READY","",IF(AGENT_INPUT!O57&gt;0,AGENT_INPUT!O57,AGENT_INPUT!M57*AGENT_INPUT!N57/IF(POLICY_APPROVAL!$B$7="Annual",12,1)))</f>
        <v>2000.0</v>
      </c>
      <c r="Q57" s="10">
        <f>IF(D57&lt;&gt;"READY","",MIN(1,AGENT_INPUT!P57/AGENT_INPUT!Q57))</f>
        <v>1.0</v>
      </c>
      <c r="R57" s="11">
        <f>IF(D57&lt;&gt;"READY","",ROUND(P57*Q57*O57,IF(POLICY_APPROVAL!$B$11="Whole MAD",0,2)))</f>
        <v>600.0</v>
      </c>
      <c r="S57" s="11">
        <f>IF(AND(SETUP!$B$9="READY",T57="READY"),R57,"")</f>
        <v/>
      </c>
      <c r="T57" s="4" t="str">
        <f>IF($A57="","",IF(D57&lt;&gt;"READY","BLOCKED - INPUT",IF(E57&lt;&gt;"ELIGIBLE","BLOCKED - ELIGIBILITY",IF(AGENT_INPUT!S57&lt;&gt;"VALIDATED","BLOCKED - DATA",IF(SETUP!$B$9&lt;&gt;"READY","BLOCKED - POLICY","READY")))))</f>
        <v>BLOCKED - ELIGIBILITY</v>
      </c>
      <c r="U57" s="4" t="str">
        <f>IF($A57="","",IF(COUNTIFS(AGENT_INPUT!$A$5:$A$254,$A57,AGENT_INPUT!$D$5:$D$254,AGENT_INPUT!D57)&gt;1,"DUPLICATE AGENT + PERIOD",IF(D57&lt;&gt;"READY","INPUT OR CONFIG REVIEW",IF(T57&lt;&gt;"READY",T57,""))))</f>
        <v>BLOCKED - ELIGIBILITY</v>
      </c>
    </row>
    <row r="58" spans="1:21">
      <c r="A58" s="4">
        <f>IF(AGENT_INPUT!A58="","",AGENT_INPUT!A58)</f>
        <v>223882</v>
      </c>
      <c r="B58" s="4" t="str">
        <f>IF($A58="","",AGENT_INPUT!B58)</f>
        <v>Nassim Abdelrzak STITOU</v>
      </c>
      <c r="C58" s="4" t="str">
        <f>IF($A58="","",AGENT_INPUT!C58)</f>
        <v>RSA VL</v>
      </c>
      <c r="D58" s="4" t="str">
        <f>IF($A58="","",IF(AND(COUNT(AGENT_INPUT!E58:J58)=6,COUNT(AGENT_INPUT!K58)=1,COUNTIF(BONUS_RULES!$A$5:$A$46,AGENT_INPUT!C58)&gt;0,OR(AGENT_INPUT!O58&gt;0,AND(AGENT_INPUT!M58&gt;0,AGENT_INPUT!N58&gt;0)),AGENT_INPUT!P58&gt;=0,AGENT_INPUT!Q58&gt;0,AGENT_INPUT!P58&lt;=AGENT_INPUT!Q58,AGENT_INPUT!H58&gt;=0,AGENT_INPUT!H58&lt;=1,AGENT_INPUT!I58&gt;=0,AGENT_INPUT!I58&lt;=1,AGENT_INPUT!J58&gt;=0,AGENT_INPUT!J58&lt;=1),"READY","BLOCKED"))</f>
        <v>READY</v>
      </c>
      <c r="E58" s="4" t="str">
        <f>IF($A58="","",IF(AGENT_INPUT!R58&lt;&gt;"Active","REVIEW",IF(OR(POLICY_APPROVAL!$B$9="Eligibility only",POLICY_APPROVAL!$B$9="Both"),IF(AGENT_INPUT!J58&lt;=SUMIFS(BONUS_RULES!$E$5:$E$46,BONUS_RULES!$A$5:$A$46,$C58,BONUS_RULES!$B$5:$B$46,"Abs%"),"ELIGIBLE","INELIGIBLE ABS"),"ELIGIBLE")))</f>
        <v>REVIEW</v>
      </c>
      <c r="F58" s="10">
        <f>IF(OR($A58="",$D58&lt;&gt;"READY"),"",IF(AGENT_INPUT!E58&lt;=SUMIFS(BONUS_RULES!$E$5:$E$46,BONUS_RULES!$A$5:$A$46,$C58,BONUS_RULES!$B$5:$B$46,"AHT"),SUMIFS(BONUS_RULES!$D$5:$D$46,BONUS_RULES!$A$5:$A$46,$C58,BONUS_RULES!$B$5:$B$46,"AHT"),IF(AGENT_INPUT!E58&lt;=SUMIFS(BONUS_RULES!$G$5:$G$46,BONUS_RULES!$A$5:$A$46,$C58,BONUS_RULES!$B$5:$B$46,"AHT"),SUMIFS(BONUS_RULES!$F$5:$F$46,BONUS_RULES!$A$5:$A$46,$C58,BONUS_RULES!$B$5:$B$46,"AHT"),0)))</f>
        <v>0.15</v>
      </c>
      <c r="G58" s="10">
        <f>IF(OR($A58="",$D58&lt;&gt;"READY"),"",IF(AGENT_INPUT!F58&gt;=SUMIFS(BONUS_RULES!$E$5:$E$46,BONUS_RULES!$A$5:$A$46,$C58,BONUS_RULES!$B$5:$B$46,"Productivity"),SUMIFS(BONUS_RULES!$D$5:$D$46,BONUS_RULES!$A$5:$A$46,$C58,BONUS_RULES!$B$5:$B$46,"Productivity"),IF(AGENT_INPUT!F58&gt;=SUMIFS(BONUS_RULES!$G$5:$G$46,BONUS_RULES!$A$5:$A$46,$C58,BONUS_RULES!$B$5:$B$46,"Productivity"),SUMIFS(BONUS_RULES!$F$5:$F$46,BONUS_RULES!$A$5:$A$46,$C58,BONUS_RULES!$B$5:$B$46,"Productivity"),0)))</f>
        <v>0.15</v>
      </c>
      <c r="H58" s="10">
        <f>IF(OR($A58="",$D58&lt;&gt;"READY"),"",IF(AGENT_INPUT!G58&gt;=SUMIFS(BONUS_RULES!$E$5:$E$46,BONUS_RULES!$A$5:$A$46,$C58,BONUS_RULES!$B$5:$B$46,"PCS Score"),SUMIFS(BONUS_RULES!$D$5:$D$46,BONUS_RULES!$A$5:$A$46,$C58,BONUS_RULES!$B$5:$B$46,"PCS Score"),IF(AGENT_INPUT!G58&gt;=SUMIFS(BONUS_RULES!$G$5:$G$46,BONUS_RULES!$A$5:$A$46,$C58,BONUS_RULES!$B$5:$B$46,"PCS Score"),SUMIFS(BONUS_RULES!$F$5:$F$46,BONUS_RULES!$A$5:$A$46,$C58,BONUS_RULES!$B$5:$B$46,"PCS Score"),0)))</f>
        <v>0.0</v>
      </c>
      <c r="I58" s="10">
        <f>IF(OR($A58="",$D58&lt;&gt;"READY"),"",IF(AGENT_INPUT!H58&gt;=SUMIFS(BONUS_RULES!$E$5:$E$46,BONUS_RULES!$A$5:$A$46,$C58,BONUS_RULES!$B$5:$B$46,"PCS % (Participation)"),SUMIFS(BONUS_RULES!$D$5:$D$46,BONUS_RULES!$A$5:$A$46,$C58,BONUS_RULES!$B$5:$B$46,"PCS % (Participation)"),IF(AGENT_INPUT!H58&gt;=SUMIFS(BONUS_RULES!$G$5:$G$46,BONUS_RULES!$A$5:$A$46,$C58,BONUS_RULES!$B$5:$B$46,"PCS % (Participation)"),SUMIFS(BONUS_RULES!$F$5:$F$46,BONUS_RULES!$A$5:$A$46,$C58,BONUS_RULES!$B$5:$B$46,"PCS % (Participation)"),0)))</f>
        <v>0.0</v>
      </c>
      <c r="J58" s="10">
        <f>IF(OR($A58="",$D58&lt;&gt;"READY"),"",IF(AGENT_INPUT!I58&gt;=SUMIFS(BONUS_RULES!$E$5:$E$46,BONUS_RULES!$A$5:$A$46,$C58,BONUS_RULES!$B$5:$B$46,"QM"),SUMIFS(BONUS_RULES!$D$5:$D$46,BONUS_RULES!$A$5:$A$46,$C58,BONUS_RULES!$B$5:$B$46,"QM"),IF(AGENT_INPUT!I58&gt;=SUMIFS(BONUS_RULES!$G$5:$G$46,BONUS_RULES!$A$5:$A$46,$C58,BONUS_RULES!$B$5:$B$46,"QM"),SUMIFS(BONUS_RULES!$F$5:$F$46,BONUS_RULES!$A$5:$A$46,$C58,BONUS_RULES!$B$5:$B$46,"QM"),0)))</f>
        <v>0.0</v>
      </c>
      <c r="K58" s="10">
        <f>IF(POLICY_APPROVAL!$B$9="Eligibility only",0,IF(OR($A58="",$D58&lt;&gt;"READY"),"",IF(AGENT_INPUT!J58&lt;=SUMIFS(BONUS_RULES!$E$5:$E$46,BONUS_RULES!$A$5:$A$46,$C58,BONUS_RULES!$B$5:$B$46,"Abs%"),SUMIFS(BONUS_RULES!$D$5:$D$46,BONUS_RULES!$A$5:$A$46,$C58,BONUS_RULES!$B$5:$B$46,"Abs%"),IF(AGENT_INPUT!J58&lt;=SUMIFS(BONUS_RULES!$G$5:$G$46,BONUS_RULES!$A$5:$A$46,$C58,BONUS_RULES!$B$5:$B$46,"Abs%"),SUMIFS(BONUS_RULES!$F$5:$F$46,BONUS_RULES!$A$5:$A$46,$C58,BONUS_RULES!$B$5:$B$46,"Abs%"),0))))</f>
        <v>0.0</v>
      </c>
      <c r="L58" s="10">
        <f>IF(OR($A58="",$D58&lt;&gt;"READY"),"",IF(AGENT_INPUT!G58&gt;=SUMIFS(BONUS_RULES!$E$5:$E$46,BONUS_RULES!$A$5:$A$46,$C58,BONUS_RULES!$B$5:$B$46,"Extra Bonus (PCS Score)"),SUMIFS(BONUS_RULES!$D$5:$D$46,BONUS_RULES!$A$5:$A$46,$C58,BONUS_RULES!$B$5:$B$46,"Extra Bonus (PCS Score)"),IF(AGENT_INPUT!G58&gt;=SUMIFS(BONUS_RULES!$G$5:$G$46,BONUS_RULES!$A$5:$A$46,$C58,BONUS_RULES!$B$5:$B$46,"Extra Bonus (PCS Score)"),SUMIFS(BONUS_RULES!$F$5:$F$46,BONUS_RULES!$A$5:$A$46,$C58,BONUS_RULES!$B$5:$B$46,"Extra Bonus (PCS Score)"),0)))</f>
        <v>0.0</v>
      </c>
      <c r="M58" s="10">
        <f>IF($A58="","",MIN(IF(POLICY_APPROVAL!$B$6="Replacement",SUM(F58:K58)-H58+MAX(H58,L58),SUM(F58:L58)),POLICY_APPROVAL!$B$10))</f>
        <v>0.3</v>
      </c>
      <c r="N58" s="10">
        <f>IF($A58="","",IFERROR(INDEX(BONUS_RULES!$J$5:$J$10,MATCH(MIN(MAX(AGENT_INPUT!K58,0),5),BONUS_RULES!$I$5:$I$10,0)),1))</f>
        <v>0</v>
      </c>
      <c r="O58" s="10">
        <f>IF(M58="","",MAX(0,IF(POLICY_APPROVAL!$B$5="Percentage points",M58-N58,M58*(1-N58))))</f>
        <v>0.3</v>
      </c>
      <c r="P58" s="11">
        <f>IF(D58&lt;&gt;"READY","",IF(AGENT_INPUT!O58&gt;0,AGENT_INPUT!O58,AGENT_INPUT!M58*AGENT_INPUT!N58/IF(POLICY_APPROVAL!$B$7="Annual",12,1)))</f>
        <v>2000.0</v>
      </c>
      <c r="Q58" s="10">
        <f>IF(D58&lt;&gt;"READY","",MIN(1,AGENT_INPUT!P58/AGENT_INPUT!Q58))</f>
        <v>1.0</v>
      </c>
      <c r="R58" s="11">
        <f>IF(D58&lt;&gt;"READY","",ROUND(P58*Q58*O58,IF(POLICY_APPROVAL!$B$11="Whole MAD",0,2)))</f>
        <v>600.0</v>
      </c>
      <c r="S58" s="11">
        <f>IF(AND(SETUP!$B$9="READY",T58="READY"),R58,"")</f>
        <v/>
      </c>
      <c r="T58" s="4" t="str">
        <f>IF($A58="","",IF(D58&lt;&gt;"READY","BLOCKED - INPUT",IF(E58&lt;&gt;"ELIGIBLE","BLOCKED - ELIGIBILITY",IF(AGENT_INPUT!S58&lt;&gt;"VALIDATED","BLOCKED - DATA",IF(SETUP!$B$9&lt;&gt;"READY","BLOCKED - POLICY","READY")))))</f>
        <v>BLOCKED - ELIGIBILITY</v>
      </c>
      <c r="U58" s="4" t="str">
        <f>IF($A58="","",IF(COUNTIFS(AGENT_INPUT!$A$5:$A$254,$A58,AGENT_INPUT!$D$5:$D$254,AGENT_INPUT!D58)&gt;1,"DUPLICATE AGENT + PERIOD",IF(D58&lt;&gt;"READY","INPUT OR CONFIG REVIEW",IF(T58&lt;&gt;"READY",T58,""))))</f>
        <v>BLOCKED - ELIGIBILITY</v>
      </c>
    </row>
    <row r="59" spans="1:21">
      <c r="A59" s="4">
        <f>IF(AGENT_INPUT!A59="","",AGENT_INPUT!A59)</f>
        <v>123229</v>
      </c>
      <c r="B59" s="4" t="str">
        <f>IF($A59="","",AGENT_INPUT!B59)</f>
        <v>EL ARKOUBI Nasseri</v>
      </c>
      <c r="C59" s="4" t="str">
        <f>IF($A59="","",AGENT_INPUT!C59)</f>
        <v>RSA NL</v>
      </c>
      <c r="D59" s="4" t="str">
        <f>IF($A59="","",IF(AND(COUNT(AGENT_INPUT!E59:J59)=6,COUNT(AGENT_INPUT!K59)=1,COUNTIF(BONUS_RULES!$A$5:$A$46,AGENT_INPUT!C59)&gt;0,OR(AGENT_INPUT!O59&gt;0,AND(AGENT_INPUT!M59&gt;0,AGENT_INPUT!N59&gt;0)),AGENT_INPUT!P59&gt;=0,AGENT_INPUT!Q59&gt;0,AGENT_INPUT!P59&lt;=AGENT_INPUT!Q59,AGENT_INPUT!H59&gt;=0,AGENT_INPUT!H59&lt;=1,AGENT_INPUT!I59&gt;=0,AGENT_INPUT!I59&lt;=1,AGENT_INPUT!J59&gt;=0,AGENT_INPUT!J59&lt;=1),"READY","BLOCKED"))</f>
        <v>READY</v>
      </c>
      <c r="E59" s="4" t="str">
        <f>IF($A59="","",IF(AGENT_INPUT!R59&lt;&gt;"Active","REVIEW",IF(OR(POLICY_APPROVAL!$B$9="Eligibility only",POLICY_APPROVAL!$B$9="Both"),IF(AGENT_INPUT!J59&lt;=SUMIFS(BONUS_RULES!$E$5:$E$46,BONUS_RULES!$A$5:$A$46,$C59,BONUS_RULES!$B$5:$B$46,"Abs%"),"ELIGIBLE","INELIGIBLE ABS"),"ELIGIBLE")))</f>
        <v>REVIEW</v>
      </c>
      <c r="F59" s="10">
        <f>IF(OR($A59="",$D59&lt;&gt;"READY"),"",IF(AGENT_INPUT!E59&lt;=SUMIFS(BONUS_RULES!$E$5:$E$46,BONUS_RULES!$A$5:$A$46,$C59,BONUS_RULES!$B$5:$B$46,"AHT"),SUMIFS(BONUS_RULES!$D$5:$D$46,BONUS_RULES!$A$5:$A$46,$C59,BONUS_RULES!$B$5:$B$46,"AHT"),IF(AGENT_INPUT!E59&lt;=SUMIFS(BONUS_RULES!$G$5:$G$46,BONUS_RULES!$A$5:$A$46,$C59,BONUS_RULES!$B$5:$B$46,"AHT"),SUMIFS(BONUS_RULES!$F$5:$F$46,BONUS_RULES!$A$5:$A$46,$C59,BONUS_RULES!$B$5:$B$46,"AHT"),0)))</f>
        <v>0.15</v>
      </c>
      <c r="G59" s="10">
        <f>IF(OR($A59="",$D59&lt;&gt;"READY"),"",IF(AGENT_INPUT!F59&gt;=SUMIFS(BONUS_RULES!$E$5:$E$46,BONUS_RULES!$A$5:$A$46,$C59,BONUS_RULES!$B$5:$B$46,"Productivity"),SUMIFS(BONUS_RULES!$D$5:$D$46,BONUS_RULES!$A$5:$A$46,$C59,BONUS_RULES!$B$5:$B$46,"Productivity"),IF(AGENT_INPUT!F59&gt;=SUMIFS(BONUS_RULES!$G$5:$G$46,BONUS_RULES!$A$5:$A$46,$C59,BONUS_RULES!$B$5:$B$46,"Productivity"),SUMIFS(BONUS_RULES!$F$5:$F$46,BONUS_RULES!$A$5:$A$46,$C59,BONUS_RULES!$B$5:$B$46,"Productivity"),0)))</f>
        <v>0.15</v>
      </c>
      <c r="H59" s="10">
        <f>IF(OR($A59="",$D59&lt;&gt;"READY"),"",IF(AGENT_INPUT!G59&gt;=SUMIFS(BONUS_RULES!$E$5:$E$46,BONUS_RULES!$A$5:$A$46,$C59,BONUS_RULES!$B$5:$B$46,"PCS Score"),SUMIFS(BONUS_RULES!$D$5:$D$46,BONUS_RULES!$A$5:$A$46,$C59,BONUS_RULES!$B$5:$B$46,"PCS Score"),IF(AGENT_INPUT!G59&gt;=SUMIFS(BONUS_RULES!$G$5:$G$46,BONUS_RULES!$A$5:$A$46,$C59,BONUS_RULES!$B$5:$B$46,"PCS Score"),SUMIFS(BONUS_RULES!$F$5:$F$46,BONUS_RULES!$A$5:$A$46,$C59,BONUS_RULES!$B$5:$B$46,"PCS Score"),0)))</f>
        <v>0.2</v>
      </c>
      <c r="I59" s="10">
        <f>IF(OR($A59="",$D59&lt;&gt;"READY"),"",IF(AGENT_INPUT!H59&gt;=SUMIFS(BONUS_RULES!$E$5:$E$46,BONUS_RULES!$A$5:$A$46,$C59,BONUS_RULES!$B$5:$B$46,"PCS % (Participation)"),SUMIFS(BONUS_RULES!$D$5:$D$46,BONUS_RULES!$A$5:$A$46,$C59,BONUS_RULES!$B$5:$B$46,"PCS % (Participation)"),IF(AGENT_INPUT!H59&gt;=SUMIFS(BONUS_RULES!$G$5:$G$46,BONUS_RULES!$A$5:$A$46,$C59,BONUS_RULES!$B$5:$B$46,"PCS % (Participation)"),SUMIFS(BONUS_RULES!$F$5:$F$46,BONUS_RULES!$A$5:$A$46,$C59,BONUS_RULES!$B$5:$B$46,"PCS % (Participation)"),0)))</f>
        <v>0.0</v>
      </c>
      <c r="J59" s="10">
        <f>IF(OR($A59="",$D59&lt;&gt;"READY"),"",IF(AGENT_INPUT!I59&gt;=SUMIFS(BONUS_RULES!$E$5:$E$46,BONUS_RULES!$A$5:$A$46,$C59,BONUS_RULES!$B$5:$B$46,"QM"),SUMIFS(BONUS_RULES!$D$5:$D$46,BONUS_RULES!$A$5:$A$46,$C59,BONUS_RULES!$B$5:$B$46,"QM"),IF(AGENT_INPUT!I59&gt;=SUMIFS(BONUS_RULES!$G$5:$G$46,BONUS_RULES!$A$5:$A$46,$C59,BONUS_RULES!$B$5:$B$46,"QM"),SUMIFS(BONUS_RULES!$F$5:$F$46,BONUS_RULES!$A$5:$A$46,$C59,BONUS_RULES!$B$5:$B$46,"QM"),0)))</f>
        <v>0.2</v>
      </c>
      <c r="K59" s="10">
        <f>IF(POLICY_APPROVAL!$B$9="Eligibility only",0,IF(OR($A59="",$D59&lt;&gt;"READY"),"",IF(AGENT_INPUT!J59&lt;=SUMIFS(BONUS_RULES!$E$5:$E$46,BONUS_RULES!$A$5:$A$46,$C59,BONUS_RULES!$B$5:$B$46,"Abs%"),SUMIFS(BONUS_RULES!$D$5:$D$46,BONUS_RULES!$A$5:$A$46,$C59,BONUS_RULES!$B$5:$B$46,"Abs%"),IF(AGENT_INPUT!J59&lt;=SUMIFS(BONUS_RULES!$G$5:$G$46,BONUS_RULES!$A$5:$A$46,$C59,BONUS_RULES!$B$5:$B$46,"Abs%"),SUMIFS(BONUS_RULES!$F$5:$F$46,BONUS_RULES!$A$5:$A$46,$C59,BONUS_RULES!$B$5:$B$46,"Abs%"),0))))</f>
        <v>0.15</v>
      </c>
      <c r="L59" s="10">
        <f>IF(OR($A59="",$D59&lt;&gt;"READY"),"",IF(AGENT_INPUT!G59&gt;=SUMIFS(BONUS_RULES!$E$5:$E$46,BONUS_RULES!$A$5:$A$46,$C59,BONUS_RULES!$B$5:$B$46,"Extra Bonus (PCS Score)"),SUMIFS(BONUS_RULES!$D$5:$D$46,BONUS_RULES!$A$5:$A$46,$C59,BONUS_RULES!$B$5:$B$46,"Extra Bonus (PCS Score)"),IF(AGENT_INPUT!G59&gt;=SUMIFS(BONUS_RULES!$G$5:$G$46,BONUS_RULES!$A$5:$A$46,$C59,BONUS_RULES!$B$5:$B$46,"Extra Bonus (PCS Score)"),SUMIFS(BONUS_RULES!$F$5:$F$46,BONUS_RULES!$A$5:$A$46,$C59,BONUS_RULES!$B$5:$B$46,"Extra Bonus (PCS Score)"),0)))</f>
        <v>0.2</v>
      </c>
      <c r="M59" s="10">
        <f>IF($A59="","",MIN(IF(POLICY_APPROVAL!$B$6="Replacement",SUM(F59:K59)-H59+MAX(H59,L59),SUM(F59:L59)),POLICY_APPROVAL!$B$10))</f>
        <v>1.05</v>
      </c>
      <c r="N59" s="10">
        <f>IF($A59="","",IFERROR(INDEX(BONUS_RULES!$J$5:$J$10,MATCH(MIN(MAX(AGENT_INPUT!K59,0),5),BONUS_RULES!$I$5:$I$10,0)),1))</f>
        <v>0</v>
      </c>
      <c r="O59" s="10">
        <f>IF(M59="","",MAX(0,IF(POLICY_APPROVAL!$B$5="Percentage points",M59-N59,M59*(1-N59))))</f>
        <v>1.05</v>
      </c>
      <c r="P59" s="11">
        <f>IF(D59&lt;&gt;"READY","",IF(AGENT_INPUT!O59&gt;0,AGENT_INPUT!O59,AGENT_INPUT!M59*AGENT_INPUT!N59/IF(POLICY_APPROVAL!$B$7="Annual",12,1)))</f>
        <v>2000.0</v>
      </c>
      <c r="Q59" s="10">
        <f>IF(D59&lt;&gt;"READY","",MIN(1,AGENT_INPUT!P59/AGENT_INPUT!Q59))</f>
        <v>1.0</v>
      </c>
      <c r="R59" s="11">
        <f>IF(D59&lt;&gt;"READY","",ROUND(P59*Q59*O59,IF(POLICY_APPROVAL!$B$11="Whole MAD",0,2)))</f>
        <v>2100.0</v>
      </c>
      <c r="S59" s="11">
        <f>IF(AND(SETUP!$B$9="READY",T59="READY"),R59,"")</f>
        <v/>
      </c>
      <c r="T59" s="4" t="str">
        <f>IF($A59="","",IF(D59&lt;&gt;"READY","BLOCKED - INPUT",IF(E59&lt;&gt;"ELIGIBLE","BLOCKED - ELIGIBILITY",IF(AGENT_INPUT!S59&lt;&gt;"VALIDATED","BLOCKED - DATA",IF(SETUP!$B$9&lt;&gt;"READY","BLOCKED - POLICY","READY")))))</f>
        <v>BLOCKED - ELIGIBILITY</v>
      </c>
      <c r="U59" s="4" t="str">
        <f>IF($A59="","",IF(COUNTIFS(AGENT_INPUT!$A$5:$A$254,$A59,AGENT_INPUT!$D$5:$D$254,AGENT_INPUT!D59)&gt;1,"DUPLICATE AGENT + PERIOD",IF(D59&lt;&gt;"READY","INPUT OR CONFIG REVIEW",IF(T59&lt;&gt;"READY",T59,""))))</f>
        <v>BLOCKED - ELIGIBILITY</v>
      </c>
    </row>
    <row r="60" spans="1:21">
      <c r="A60" s="4">
        <f>IF(AGENT_INPUT!A60="","",AGENT_INPUT!A60)</f>
        <v>228668</v>
      </c>
      <c r="B60" s="4" t="str">
        <f>IF($A60="","",AGENT_INPUT!B60)</f>
        <v>Najib  Abdelhadi</v>
      </c>
      <c r="C60" s="4" t="str">
        <f>IF($A60="","",AGENT_INPUT!C60)</f>
        <v>OEM FR</v>
      </c>
      <c r="D60" s="4" t="str">
        <f>IF($A60="","",IF(AND(COUNT(AGENT_INPUT!E60:J60)=6,COUNT(AGENT_INPUT!K60)=1,COUNTIF(BONUS_RULES!$A$5:$A$46,AGENT_INPUT!C60)&gt;0,OR(AGENT_INPUT!O60&gt;0,AND(AGENT_INPUT!M60&gt;0,AGENT_INPUT!N60&gt;0)),AGENT_INPUT!P60&gt;=0,AGENT_INPUT!Q60&gt;0,AGENT_INPUT!P60&lt;=AGENT_INPUT!Q60,AGENT_INPUT!H60&gt;=0,AGENT_INPUT!H60&lt;=1,AGENT_INPUT!I60&gt;=0,AGENT_INPUT!I60&lt;=1,AGENT_INPUT!J60&gt;=0,AGENT_INPUT!J60&lt;=1),"READY","BLOCKED"))</f>
        <v>READY</v>
      </c>
      <c r="E60" s="4" t="str">
        <f>IF($A60="","",IF(AGENT_INPUT!R60&lt;&gt;"Active","REVIEW",IF(OR(POLICY_APPROVAL!$B$9="Eligibility only",POLICY_APPROVAL!$B$9="Both"),IF(AGENT_INPUT!J60&lt;=SUMIFS(BONUS_RULES!$E$5:$E$46,BONUS_RULES!$A$5:$A$46,$C60,BONUS_RULES!$B$5:$B$46,"Abs%"),"ELIGIBLE","INELIGIBLE ABS"),"ELIGIBLE")))</f>
        <v>REVIEW</v>
      </c>
      <c r="F60" s="10">
        <f>IF(OR($A60="",$D60&lt;&gt;"READY"),"",IF(AGENT_INPUT!E60&lt;=SUMIFS(BONUS_RULES!$E$5:$E$46,BONUS_RULES!$A$5:$A$46,$C60,BONUS_RULES!$B$5:$B$46,"AHT"),SUMIFS(BONUS_RULES!$D$5:$D$46,BONUS_RULES!$A$5:$A$46,$C60,BONUS_RULES!$B$5:$B$46,"AHT"),IF(AGENT_INPUT!E60&lt;=SUMIFS(BONUS_RULES!$G$5:$G$46,BONUS_RULES!$A$5:$A$46,$C60,BONUS_RULES!$B$5:$B$46,"AHT"),SUMIFS(BONUS_RULES!$F$5:$F$46,BONUS_RULES!$A$5:$A$46,$C60,BONUS_RULES!$B$5:$B$46,"AHT"),0)))</f>
        <v>0.0</v>
      </c>
      <c r="G60" s="10">
        <f>IF(OR($A60="",$D60&lt;&gt;"READY"),"",IF(AGENT_INPUT!F60&gt;=SUMIFS(BONUS_RULES!$E$5:$E$46,BONUS_RULES!$A$5:$A$46,$C60,BONUS_RULES!$B$5:$B$46,"Productivity"),SUMIFS(BONUS_RULES!$D$5:$D$46,BONUS_RULES!$A$5:$A$46,$C60,BONUS_RULES!$B$5:$B$46,"Productivity"),IF(AGENT_INPUT!F60&gt;=SUMIFS(BONUS_RULES!$G$5:$G$46,BONUS_RULES!$A$5:$A$46,$C60,BONUS_RULES!$B$5:$B$46,"Productivity"),SUMIFS(BONUS_RULES!$F$5:$F$46,BONUS_RULES!$A$5:$A$46,$C60,BONUS_RULES!$B$5:$B$46,"Productivity"),0)))</f>
        <v>0.0</v>
      </c>
      <c r="H60" s="10">
        <f>IF(OR($A60="",$D60&lt;&gt;"READY"),"",IF(AGENT_INPUT!G60&gt;=SUMIFS(BONUS_RULES!$E$5:$E$46,BONUS_RULES!$A$5:$A$46,$C60,BONUS_RULES!$B$5:$B$46,"PCS Score"),SUMIFS(BONUS_RULES!$D$5:$D$46,BONUS_RULES!$A$5:$A$46,$C60,BONUS_RULES!$B$5:$B$46,"PCS Score"),IF(AGENT_INPUT!G60&gt;=SUMIFS(BONUS_RULES!$G$5:$G$46,BONUS_RULES!$A$5:$A$46,$C60,BONUS_RULES!$B$5:$B$46,"PCS Score"),SUMIFS(BONUS_RULES!$F$5:$F$46,BONUS_RULES!$A$5:$A$46,$C60,BONUS_RULES!$B$5:$B$46,"PCS Score"),0)))</f>
        <v>0.2</v>
      </c>
      <c r="I60" s="10">
        <f>IF(OR($A60="",$D60&lt;&gt;"READY"),"",IF(AGENT_INPUT!H60&gt;=SUMIFS(BONUS_RULES!$E$5:$E$46,BONUS_RULES!$A$5:$A$46,$C60,BONUS_RULES!$B$5:$B$46,"PCS % (Participation)"),SUMIFS(BONUS_RULES!$D$5:$D$46,BONUS_RULES!$A$5:$A$46,$C60,BONUS_RULES!$B$5:$B$46,"PCS % (Participation)"),IF(AGENT_INPUT!H60&gt;=SUMIFS(BONUS_RULES!$G$5:$G$46,BONUS_RULES!$A$5:$A$46,$C60,BONUS_RULES!$B$5:$B$46,"PCS % (Participation)"),SUMIFS(BONUS_RULES!$F$5:$F$46,BONUS_RULES!$A$5:$A$46,$C60,BONUS_RULES!$B$5:$B$46,"PCS % (Participation)"),0)))</f>
        <v>0.0</v>
      </c>
      <c r="J60" s="10">
        <f>IF(OR($A60="",$D60&lt;&gt;"READY"),"",IF(AGENT_INPUT!I60&gt;=SUMIFS(BONUS_RULES!$E$5:$E$46,BONUS_RULES!$A$5:$A$46,$C60,BONUS_RULES!$B$5:$B$46,"QM"),SUMIFS(BONUS_RULES!$D$5:$D$46,BONUS_RULES!$A$5:$A$46,$C60,BONUS_RULES!$B$5:$B$46,"QM"),IF(AGENT_INPUT!I60&gt;=SUMIFS(BONUS_RULES!$G$5:$G$46,BONUS_RULES!$A$5:$A$46,$C60,BONUS_RULES!$B$5:$B$46,"QM"),SUMIFS(BONUS_RULES!$F$5:$F$46,BONUS_RULES!$A$5:$A$46,$C60,BONUS_RULES!$B$5:$B$46,"QM"),0)))</f>
        <v>0.0</v>
      </c>
      <c r="K60" s="10">
        <f>IF(POLICY_APPROVAL!$B$9="Eligibility only",0,IF(OR($A60="",$D60&lt;&gt;"READY"),"",IF(AGENT_INPUT!J60&lt;=SUMIFS(BONUS_RULES!$E$5:$E$46,BONUS_RULES!$A$5:$A$46,$C60,BONUS_RULES!$B$5:$B$46,"Abs%"),SUMIFS(BONUS_RULES!$D$5:$D$46,BONUS_RULES!$A$5:$A$46,$C60,BONUS_RULES!$B$5:$B$46,"Abs%"),IF(AGENT_INPUT!J60&lt;=SUMIFS(BONUS_RULES!$G$5:$G$46,BONUS_RULES!$A$5:$A$46,$C60,BONUS_RULES!$B$5:$B$46,"Abs%"),SUMIFS(BONUS_RULES!$F$5:$F$46,BONUS_RULES!$A$5:$A$46,$C60,BONUS_RULES!$B$5:$B$46,"Abs%"),0))))</f>
        <v>0.15</v>
      </c>
      <c r="L60" s="10">
        <f>IF(OR($A60="",$D60&lt;&gt;"READY"),"",IF(AGENT_INPUT!G60&gt;=SUMIFS(BONUS_RULES!$E$5:$E$46,BONUS_RULES!$A$5:$A$46,$C60,BONUS_RULES!$B$5:$B$46,"Extra Bonus (PCS Score)"),SUMIFS(BONUS_RULES!$D$5:$D$46,BONUS_RULES!$A$5:$A$46,$C60,BONUS_RULES!$B$5:$B$46,"Extra Bonus (PCS Score)"),IF(AGENT_INPUT!G60&gt;=SUMIFS(BONUS_RULES!$G$5:$G$46,BONUS_RULES!$A$5:$A$46,$C60,BONUS_RULES!$B$5:$B$46,"Extra Bonus (PCS Score)"),SUMIFS(BONUS_RULES!$F$5:$F$46,BONUS_RULES!$A$5:$A$46,$C60,BONUS_RULES!$B$5:$B$46,"Extra Bonus (PCS Score)"),0)))</f>
        <v>0.2</v>
      </c>
      <c r="M60" s="10">
        <f>IF($A60="","",MIN(IF(POLICY_APPROVAL!$B$6="Replacement",SUM(F60:K60)-H60+MAX(H60,L60),SUM(F60:L60)),POLICY_APPROVAL!$B$10))</f>
        <v>0.55</v>
      </c>
      <c r="N60" s="10">
        <f>IF($A60="","",IFERROR(INDEX(BONUS_RULES!$J$5:$J$10,MATCH(MIN(MAX(AGENT_INPUT!K60,0),5),BONUS_RULES!$I$5:$I$10,0)),1))</f>
        <v>0</v>
      </c>
      <c r="O60" s="10">
        <f>IF(M60="","",MAX(0,IF(POLICY_APPROVAL!$B$5="Percentage points",M60-N60,M60*(1-N60))))</f>
        <v>0.55</v>
      </c>
      <c r="P60" s="11">
        <f>IF(D60&lt;&gt;"READY","",IF(AGENT_INPUT!O60&gt;0,AGENT_INPUT!O60,AGENT_INPUT!M60*AGENT_INPUT!N60/IF(POLICY_APPROVAL!$B$7="Annual",12,1)))</f>
        <v>2000.0</v>
      </c>
      <c r="Q60" s="10">
        <f>IF(D60&lt;&gt;"READY","",MIN(1,AGENT_INPUT!P60/AGENT_INPUT!Q60))</f>
        <v>1.0</v>
      </c>
      <c r="R60" s="11">
        <f>IF(D60&lt;&gt;"READY","",ROUND(P60*Q60*O60,IF(POLICY_APPROVAL!$B$11="Whole MAD",0,2)))</f>
        <v>1100.0</v>
      </c>
      <c r="S60" s="11">
        <f>IF(AND(SETUP!$B$9="READY",T60="READY"),R60,"")</f>
        <v/>
      </c>
      <c r="T60" s="4" t="str">
        <f>IF($A60="","",IF(D60&lt;&gt;"READY","BLOCKED - INPUT",IF(E60&lt;&gt;"ELIGIBLE","BLOCKED - ELIGIBILITY",IF(AGENT_INPUT!S60&lt;&gt;"VALIDATED","BLOCKED - DATA",IF(SETUP!$B$9&lt;&gt;"READY","BLOCKED - POLICY","READY")))))</f>
        <v>BLOCKED - ELIGIBILITY</v>
      </c>
      <c r="U60" s="4" t="str">
        <f>IF($A60="","",IF(COUNTIFS(AGENT_INPUT!$A$5:$A$254,$A60,AGENT_INPUT!$D$5:$D$254,AGENT_INPUT!D60)&gt;1,"DUPLICATE AGENT + PERIOD",IF(D60&lt;&gt;"READY","INPUT OR CONFIG REVIEW",IF(T60&lt;&gt;"READY",T60,""))))</f>
        <v>BLOCKED - ELIGIBILITY</v>
      </c>
    </row>
    <row r="61" spans="1:21">
      <c r="A61" s="4">
        <f>IF(AGENT_INPUT!A61="","",AGENT_INPUT!A61)</f>
        <v>96164</v>
      </c>
      <c r="B61" s="4" t="str">
        <f>IF($A61="","",AGENT_INPUT!B61)</f>
        <v>ERRAIT Najia</v>
      </c>
      <c r="C61" s="4" t="str">
        <f>IF($A61="","",AGENT_INPUT!C61)</f>
        <v>RSA VL</v>
      </c>
      <c r="D61" s="4" t="str">
        <f>IF($A61="","",IF(AND(COUNT(AGENT_INPUT!E61:J61)=6,COUNT(AGENT_INPUT!K61)=1,COUNTIF(BONUS_RULES!$A$5:$A$46,AGENT_INPUT!C61)&gt;0,OR(AGENT_INPUT!O61&gt;0,AND(AGENT_INPUT!M61&gt;0,AGENT_INPUT!N61&gt;0)),AGENT_INPUT!P61&gt;=0,AGENT_INPUT!Q61&gt;0,AGENT_INPUT!P61&lt;=AGENT_INPUT!Q61,AGENT_INPUT!H61&gt;=0,AGENT_INPUT!H61&lt;=1,AGENT_INPUT!I61&gt;=0,AGENT_INPUT!I61&lt;=1,AGENT_INPUT!J61&gt;=0,AGENT_INPUT!J61&lt;=1),"READY","BLOCKED"))</f>
        <v>READY</v>
      </c>
      <c r="E61" s="4" t="str">
        <f>IF($A61="","",IF(AGENT_INPUT!R61&lt;&gt;"Active","REVIEW",IF(OR(POLICY_APPROVAL!$B$9="Eligibility only",POLICY_APPROVAL!$B$9="Both"),IF(AGENT_INPUT!J61&lt;=SUMIFS(BONUS_RULES!$E$5:$E$46,BONUS_RULES!$A$5:$A$46,$C61,BONUS_RULES!$B$5:$B$46,"Abs%"),"ELIGIBLE","INELIGIBLE ABS"),"ELIGIBLE")))</f>
        <v>REVIEW</v>
      </c>
      <c r="F61" s="10">
        <f>IF(OR($A61="",$D61&lt;&gt;"READY"),"",IF(AGENT_INPUT!E61&lt;=SUMIFS(BONUS_RULES!$E$5:$E$46,BONUS_RULES!$A$5:$A$46,$C61,BONUS_RULES!$B$5:$B$46,"AHT"),SUMIFS(BONUS_RULES!$D$5:$D$46,BONUS_RULES!$A$5:$A$46,$C61,BONUS_RULES!$B$5:$B$46,"AHT"),IF(AGENT_INPUT!E61&lt;=SUMIFS(BONUS_RULES!$G$5:$G$46,BONUS_RULES!$A$5:$A$46,$C61,BONUS_RULES!$B$5:$B$46,"AHT"),SUMIFS(BONUS_RULES!$F$5:$F$46,BONUS_RULES!$A$5:$A$46,$C61,BONUS_RULES!$B$5:$B$46,"AHT"),0)))</f>
        <v>0.0</v>
      </c>
      <c r="G61" s="10">
        <f>IF(OR($A61="",$D61&lt;&gt;"READY"),"",IF(AGENT_INPUT!F61&gt;=SUMIFS(BONUS_RULES!$E$5:$E$46,BONUS_RULES!$A$5:$A$46,$C61,BONUS_RULES!$B$5:$B$46,"Productivity"),SUMIFS(BONUS_RULES!$D$5:$D$46,BONUS_RULES!$A$5:$A$46,$C61,BONUS_RULES!$B$5:$B$46,"Productivity"),IF(AGENT_INPUT!F61&gt;=SUMIFS(BONUS_RULES!$G$5:$G$46,BONUS_RULES!$A$5:$A$46,$C61,BONUS_RULES!$B$5:$B$46,"Productivity"),SUMIFS(BONUS_RULES!$F$5:$F$46,BONUS_RULES!$A$5:$A$46,$C61,BONUS_RULES!$B$5:$B$46,"Productivity"),0)))</f>
        <v>0.0</v>
      </c>
      <c r="H61" s="10">
        <f>IF(OR($A61="",$D61&lt;&gt;"READY"),"",IF(AGENT_INPUT!G61&gt;=SUMIFS(BONUS_RULES!$E$5:$E$46,BONUS_RULES!$A$5:$A$46,$C61,BONUS_RULES!$B$5:$B$46,"PCS Score"),SUMIFS(BONUS_RULES!$D$5:$D$46,BONUS_RULES!$A$5:$A$46,$C61,BONUS_RULES!$B$5:$B$46,"PCS Score"),IF(AGENT_INPUT!G61&gt;=SUMIFS(BONUS_RULES!$G$5:$G$46,BONUS_RULES!$A$5:$A$46,$C61,BONUS_RULES!$B$5:$B$46,"PCS Score"),SUMIFS(BONUS_RULES!$F$5:$F$46,BONUS_RULES!$A$5:$A$46,$C61,BONUS_RULES!$B$5:$B$46,"PCS Score"),0)))</f>
        <v>0.15</v>
      </c>
      <c r="I61" s="10">
        <f>IF(OR($A61="",$D61&lt;&gt;"READY"),"",IF(AGENT_INPUT!H61&gt;=SUMIFS(BONUS_RULES!$E$5:$E$46,BONUS_RULES!$A$5:$A$46,$C61,BONUS_RULES!$B$5:$B$46,"PCS % (Participation)"),SUMIFS(BONUS_RULES!$D$5:$D$46,BONUS_RULES!$A$5:$A$46,$C61,BONUS_RULES!$B$5:$B$46,"PCS % (Participation)"),IF(AGENT_INPUT!H61&gt;=SUMIFS(BONUS_RULES!$G$5:$G$46,BONUS_RULES!$A$5:$A$46,$C61,BONUS_RULES!$B$5:$B$46,"PCS % (Participation)"),SUMIFS(BONUS_RULES!$F$5:$F$46,BONUS_RULES!$A$5:$A$46,$C61,BONUS_RULES!$B$5:$B$46,"PCS % (Participation)"),0)))</f>
        <v>0.0</v>
      </c>
      <c r="J61" s="10">
        <f>IF(OR($A61="",$D61&lt;&gt;"READY"),"",IF(AGENT_INPUT!I61&gt;=SUMIFS(BONUS_RULES!$E$5:$E$46,BONUS_RULES!$A$5:$A$46,$C61,BONUS_RULES!$B$5:$B$46,"QM"),SUMIFS(BONUS_RULES!$D$5:$D$46,BONUS_RULES!$A$5:$A$46,$C61,BONUS_RULES!$B$5:$B$46,"QM"),IF(AGENT_INPUT!I61&gt;=SUMIFS(BONUS_RULES!$G$5:$G$46,BONUS_RULES!$A$5:$A$46,$C61,BONUS_RULES!$B$5:$B$46,"QM"),SUMIFS(BONUS_RULES!$F$5:$F$46,BONUS_RULES!$A$5:$A$46,$C61,BONUS_RULES!$B$5:$B$46,"QM"),0)))</f>
        <v>0.0</v>
      </c>
      <c r="K61" s="10">
        <f>IF(POLICY_APPROVAL!$B$9="Eligibility only",0,IF(OR($A61="",$D61&lt;&gt;"READY"),"",IF(AGENT_INPUT!J61&lt;=SUMIFS(BONUS_RULES!$E$5:$E$46,BONUS_RULES!$A$5:$A$46,$C61,BONUS_RULES!$B$5:$B$46,"Abs%"),SUMIFS(BONUS_RULES!$D$5:$D$46,BONUS_RULES!$A$5:$A$46,$C61,BONUS_RULES!$B$5:$B$46,"Abs%"),IF(AGENT_INPUT!J61&lt;=SUMIFS(BONUS_RULES!$G$5:$G$46,BONUS_RULES!$A$5:$A$46,$C61,BONUS_RULES!$B$5:$B$46,"Abs%"),SUMIFS(BONUS_RULES!$F$5:$F$46,BONUS_RULES!$A$5:$A$46,$C61,BONUS_RULES!$B$5:$B$46,"Abs%"),0))))</f>
        <v>0.15</v>
      </c>
      <c r="L61" s="10">
        <f>IF(OR($A61="",$D61&lt;&gt;"READY"),"",IF(AGENT_INPUT!G61&gt;=SUMIFS(BONUS_RULES!$E$5:$E$46,BONUS_RULES!$A$5:$A$46,$C61,BONUS_RULES!$B$5:$B$46,"Extra Bonus (PCS Score)"),SUMIFS(BONUS_RULES!$D$5:$D$46,BONUS_RULES!$A$5:$A$46,$C61,BONUS_RULES!$B$5:$B$46,"Extra Bonus (PCS Score)"),IF(AGENT_INPUT!G61&gt;=SUMIFS(BONUS_RULES!$G$5:$G$46,BONUS_RULES!$A$5:$A$46,$C61,BONUS_RULES!$B$5:$B$46,"Extra Bonus (PCS Score)"),SUMIFS(BONUS_RULES!$F$5:$F$46,BONUS_RULES!$A$5:$A$46,$C61,BONUS_RULES!$B$5:$B$46,"Extra Bonus (PCS Score)"),0)))</f>
        <v>0.0</v>
      </c>
      <c r="M61" s="10">
        <f>IF($A61="","",MIN(IF(POLICY_APPROVAL!$B$6="Replacement",SUM(F61:K61)-H61+MAX(H61,L61),SUM(F61:L61)),POLICY_APPROVAL!$B$10))</f>
        <v>0.3</v>
      </c>
      <c r="N61" s="10">
        <f>IF($A61="","",IFERROR(INDEX(BONUS_RULES!$J$5:$J$10,MATCH(MIN(MAX(AGENT_INPUT!K61,0),5),BONUS_RULES!$I$5:$I$10,0)),1))</f>
        <v>0</v>
      </c>
      <c r="O61" s="10">
        <f>IF(M61="","",MAX(0,IF(POLICY_APPROVAL!$B$5="Percentage points",M61-N61,M61*(1-N61))))</f>
        <v>0.3</v>
      </c>
      <c r="P61" s="11">
        <f>IF(D61&lt;&gt;"READY","",IF(AGENT_INPUT!O61&gt;0,AGENT_INPUT!O61,AGENT_INPUT!M61*AGENT_INPUT!N61/IF(POLICY_APPROVAL!$B$7="Annual",12,1)))</f>
        <v>2000.0</v>
      </c>
      <c r="Q61" s="10">
        <f>IF(D61&lt;&gt;"READY","",MIN(1,AGENT_INPUT!P61/AGENT_INPUT!Q61))</f>
        <v>1.0</v>
      </c>
      <c r="R61" s="11">
        <f>IF(D61&lt;&gt;"READY","",ROUND(P61*Q61*O61,IF(POLICY_APPROVAL!$B$11="Whole MAD",0,2)))</f>
        <v>600.0</v>
      </c>
      <c r="S61" s="11">
        <f>IF(AND(SETUP!$B$9="READY",T61="READY"),R61,"")</f>
        <v/>
      </c>
      <c r="T61" s="4" t="str">
        <f>IF($A61="","",IF(D61&lt;&gt;"READY","BLOCKED - INPUT",IF(E61&lt;&gt;"ELIGIBLE","BLOCKED - ELIGIBILITY",IF(AGENT_INPUT!S61&lt;&gt;"VALIDATED","BLOCKED - DATA",IF(SETUP!$B$9&lt;&gt;"READY","BLOCKED - POLICY","READY")))))</f>
        <v>BLOCKED - ELIGIBILITY</v>
      </c>
      <c r="U61" s="4" t="str">
        <f>IF($A61="","",IF(COUNTIFS(AGENT_INPUT!$A$5:$A$254,$A61,AGENT_INPUT!$D$5:$D$254,AGENT_INPUT!D61)&gt;1,"DUPLICATE AGENT + PERIOD",IF(D61&lt;&gt;"READY","INPUT OR CONFIG REVIEW",IF(T61&lt;&gt;"READY",T61,""))))</f>
        <v>BLOCKED - ELIGIBILITY</v>
      </c>
    </row>
    <row r="62" spans="1:21">
      <c r="A62" s="4">
        <f>IF(AGENT_INPUT!A62="","",AGENT_INPUT!A62)</f>
        <v>203606</v>
      </c>
      <c r="B62" s="4" t="str">
        <f>IF($A62="","",AGENT_INPUT!B62)</f>
        <v>Ennajari Naima</v>
      </c>
      <c r="C62" s="4" t="str">
        <f>IF($A62="","",AGENT_INPUT!C62)</f>
        <v>OEM FR</v>
      </c>
      <c r="D62" s="4" t="str">
        <f>IF($A62="","",IF(AND(COUNT(AGENT_INPUT!E62:J62)=6,COUNT(AGENT_INPUT!K62)=1,COUNTIF(BONUS_RULES!$A$5:$A$46,AGENT_INPUT!C62)&gt;0,OR(AGENT_INPUT!O62&gt;0,AND(AGENT_INPUT!M62&gt;0,AGENT_INPUT!N62&gt;0)),AGENT_INPUT!P62&gt;=0,AGENT_INPUT!Q62&gt;0,AGENT_INPUT!P62&lt;=AGENT_INPUT!Q62,AGENT_INPUT!H62&gt;=0,AGENT_INPUT!H62&lt;=1,AGENT_INPUT!I62&gt;=0,AGENT_INPUT!I62&lt;=1,AGENT_INPUT!J62&gt;=0,AGENT_INPUT!J62&lt;=1),"READY","BLOCKED"))</f>
        <v>READY</v>
      </c>
      <c r="E62" s="4" t="str">
        <f>IF($A62="","",IF(AGENT_INPUT!R62&lt;&gt;"Active","REVIEW",IF(OR(POLICY_APPROVAL!$B$9="Eligibility only",POLICY_APPROVAL!$B$9="Both"),IF(AGENT_INPUT!J62&lt;=SUMIFS(BONUS_RULES!$E$5:$E$46,BONUS_RULES!$A$5:$A$46,$C62,BONUS_RULES!$B$5:$B$46,"Abs%"),"ELIGIBLE","INELIGIBLE ABS"),"ELIGIBLE")))</f>
        <v>REVIEW</v>
      </c>
      <c r="F62" s="10">
        <f>IF(OR($A62="",$D62&lt;&gt;"READY"),"",IF(AGENT_INPUT!E62&lt;=SUMIFS(BONUS_RULES!$E$5:$E$46,BONUS_RULES!$A$5:$A$46,$C62,BONUS_RULES!$B$5:$B$46,"AHT"),SUMIFS(BONUS_RULES!$D$5:$D$46,BONUS_RULES!$A$5:$A$46,$C62,BONUS_RULES!$B$5:$B$46,"AHT"),IF(AGENT_INPUT!E62&lt;=SUMIFS(BONUS_RULES!$G$5:$G$46,BONUS_RULES!$A$5:$A$46,$C62,BONUS_RULES!$B$5:$B$46,"AHT"),SUMIFS(BONUS_RULES!$F$5:$F$46,BONUS_RULES!$A$5:$A$46,$C62,BONUS_RULES!$B$5:$B$46,"AHT"),0)))</f>
        <v>0.15</v>
      </c>
      <c r="G62" s="10">
        <f>IF(OR($A62="",$D62&lt;&gt;"READY"),"",IF(AGENT_INPUT!F62&gt;=SUMIFS(BONUS_RULES!$E$5:$E$46,BONUS_RULES!$A$5:$A$46,$C62,BONUS_RULES!$B$5:$B$46,"Productivity"),SUMIFS(BONUS_RULES!$D$5:$D$46,BONUS_RULES!$A$5:$A$46,$C62,BONUS_RULES!$B$5:$B$46,"Productivity"),IF(AGENT_INPUT!F62&gt;=SUMIFS(BONUS_RULES!$G$5:$G$46,BONUS_RULES!$A$5:$A$46,$C62,BONUS_RULES!$B$5:$B$46,"Productivity"),SUMIFS(BONUS_RULES!$F$5:$F$46,BONUS_RULES!$A$5:$A$46,$C62,BONUS_RULES!$B$5:$B$46,"Productivity"),0)))</f>
        <v>0.15</v>
      </c>
      <c r="H62" s="10">
        <f>IF(OR($A62="",$D62&lt;&gt;"READY"),"",IF(AGENT_INPUT!G62&gt;=SUMIFS(BONUS_RULES!$E$5:$E$46,BONUS_RULES!$A$5:$A$46,$C62,BONUS_RULES!$B$5:$B$46,"PCS Score"),SUMIFS(BONUS_RULES!$D$5:$D$46,BONUS_RULES!$A$5:$A$46,$C62,BONUS_RULES!$B$5:$B$46,"PCS Score"),IF(AGENT_INPUT!G62&gt;=SUMIFS(BONUS_RULES!$G$5:$G$46,BONUS_RULES!$A$5:$A$46,$C62,BONUS_RULES!$B$5:$B$46,"PCS Score"),SUMIFS(BONUS_RULES!$F$5:$F$46,BONUS_RULES!$A$5:$A$46,$C62,BONUS_RULES!$B$5:$B$46,"PCS Score"),0)))</f>
        <v>0.2</v>
      </c>
      <c r="I62" s="10">
        <f>IF(OR($A62="",$D62&lt;&gt;"READY"),"",IF(AGENT_INPUT!H62&gt;=SUMIFS(BONUS_RULES!$E$5:$E$46,BONUS_RULES!$A$5:$A$46,$C62,BONUS_RULES!$B$5:$B$46,"PCS % (Participation)"),SUMIFS(BONUS_RULES!$D$5:$D$46,BONUS_RULES!$A$5:$A$46,$C62,BONUS_RULES!$B$5:$B$46,"PCS % (Participation)"),IF(AGENT_INPUT!H62&gt;=SUMIFS(BONUS_RULES!$G$5:$G$46,BONUS_RULES!$A$5:$A$46,$C62,BONUS_RULES!$B$5:$B$46,"PCS % (Participation)"),SUMIFS(BONUS_RULES!$F$5:$F$46,BONUS_RULES!$A$5:$A$46,$C62,BONUS_RULES!$B$5:$B$46,"PCS % (Participation)"),0)))</f>
        <v>0.0</v>
      </c>
      <c r="J62" s="10">
        <f>IF(OR($A62="",$D62&lt;&gt;"READY"),"",IF(AGENT_INPUT!I62&gt;=SUMIFS(BONUS_RULES!$E$5:$E$46,BONUS_RULES!$A$5:$A$46,$C62,BONUS_RULES!$B$5:$B$46,"QM"),SUMIFS(BONUS_RULES!$D$5:$D$46,BONUS_RULES!$A$5:$A$46,$C62,BONUS_RULES!$B$5:$B$46,"QM"),IF(AGENT_INPUT!I62&gt;=SUMIFS(BONUS_RULES!$G$5:$G$46,BONUS_RULES!$A$5:$A$46,$C62,BONUS_RULES!$B$5:$B$46,"QM"),SUMIFS(BONUS_RULES!$F$5:$F$46,BONUS_RULES!$A$5:$A$46,$C62,BONUS_RULES!$B$5:$B$46,"QM"),0)))</f>
        <v>0.0</v>
      </c>
      <c r="K62" s="10">
        <f>IF(POLICY_APPROVAL!$B$9="Eligibility only",0,IF(OR($A62="",$D62&lt;&gt;"READY"),"",IF(AGENT_INPUT!J62&lt;=SUMIFS(BONUS_RULES!$E$5:$E$46,BONUS_RULES!$A$5:$A$46,$C62,BONUS_RULES!$B$5:$B$46,"Abs%"),SUMIFS(BONUS_RULES!$D$5:$D$46,BONUS_RULES!$A$5:$A$46,$C62,BONUS_RULES!$B$5:$B$46,"Abs%"),IF(AGENT_INPUT!J62&lt;=SUMIFS(BONUS_RULES!$G$5:$G$46,BONUS_RULES!$A$5:$A$46,$C62,BONUS_RULES!$B$5:$B$46,"Abs%"),SUMIFS(BONUS_RULES!$F$5:$F$46,BONUS_RULES!$A$5:$A$46,$C62,BONUS_RULES!$B$5:$B$46,"Abs%"),0))))</f>
        <v>0.15</v>
      </c>
      <c r="L62" s="10">
        <f>IF(OR($A62="",$D62&lt;&gt;"READY"),"",IF(AGENT_INPUT!G62&gt;=SUMIFS(BONUS_RULES!$E$5:$E$46,BONUS_RULES!$A$5:$A$46,$C62,BONUS_RULES!$B$5:$B$46,"Extra Bonus (PCS Score)"),SUMIFS(BONUS_RULES!$D$5:$D$46,BONUS_RULES!$A$5:$A$46,$C62,BONUS_RULES!$B$5:$B$46,"Extra Bonus (PCS Score)"),IF(AGENT_INPUT!G62&gt;=SUMIFS(BONUS_RULES!$G$5:$G$46,BONUS_RULES!$A$5:$A$46,$C62,BONUS_RULES!$B$5:$B$46,"Extra Bonus (PCS Score)"),SUMIFS(BONUS_RULES!$F$5:$F$46,BONUS_RULES!$A$5:$A$46,$C62,BONUS_RULES!$B$5:$B$46,"Extra Bonus (PCS Score)"),0)))</f>
        <v>0.3</v>
      </c>
      <c r="M62" s="10">
        <f>IF($A62="","",MIN(IF(POLICY_APPROVAL!$B$6="Replacement",SUM(F62:K62)-H62+MAX(H62,L62),SUM(F62:L62)),POLICY_APPROVAL!$B$10))</f>
        <v>0.95</v>
      </c>
      <c r="N62" s="10">
        <f>IF($A62="","",IFERROR(INDEX(BONUS_RULES!$J$5:$J$10,MATCH(MIN(MAX(AGENT_INPUT!K62,0),5),BONUS_RULES!$I$5:$I$10,0)),1))</f>
        <v>0</v>
      </c>
      <c r="O62" s="10">
        <f>IF(M62="","",MAX(0,IF(POLICY_APPROVAL!$B$5="Percentage points",M62-N62,M62*(1-N62))))</f>
        <v>0.95</v>
      </c>
      <c r="P62" s="11">
        <f>IF(D62&lt;&gt;"READY","",IF(AGENT_INPUT!O62&gt;0,AGENT_INPUT!O62,AGENT_INPUT!M62*AGENT_INPUT!N62/IF(POLICY_APPROVAL!$B$7="Annual",12,1)))</f>
        <v>2000.0</v>
      </c>
      <c r="Q62" s="10">
        <f>IF(D62&lt;&gt;"READY","",MIN(1,AGENT_INPUT!P62/AGENT_INPUT!Q62))</f>
        <v>1.0</v>
      </c>
      <c r="R62" s="11">
        <f>IF(D62&lt;&gt;"READY","",ROUND(P62*Q62*O62,IF(POLICY_APPROVAL!$B$11="Whole MAD",0,2)))</f>
        <v>1900.0</v>
      </c>
      <c r="S62" s="11">
        <f>IF(AND(SETUP!$B$9="READY",T62="READY"),R62,"")</f>
        <v/>
      </c>
      <c r="T62" s="4" t="str">
        <f>IF($A62="","",IF(D62&lt;&gt;"READY","BLOCKED - INPUT",IF(E62&lt;&gt;"ELIGIBLE","BLOCKED - ELIGIBILITY",IF(AGENT_INPUT!S62&lt;&gt;"VALIDATED","BLOCKED - DATA",IF(SETUP!$B$9&lt;&gt;"READY","BLOCKED - POLICY","READY")))))</f>
        <v>BLOCKED - ELIGIBILITY</v>
      </c>
      <c r="U62" s="4" t="str">
        <f>IF($A62="","",IF(COUNTIFS(AGENT_INPUT!$A$5:$A$254,$A62,AGENT_INPUT!$D$5:$D$254,AGENT_INPUT!D62)&gt;1,"DUPLICATE AGENT + PERIOD",IF(D62&lt;&gt;"READY","INPUT OR CONFIG REVIEW",IF(T62&lt;&gt;"READY",T62,""))))</f>
        <v>BLOCKED - ELIGIBILITY</v>
      </c>
    </row>
    <row r="63" spans="1:21">
      <c r="A63" s="4">
        <f>IF(AGENT_INPUT!A63="","",AGENT_INPUT!A63)</f>
        <v>224096</v>
      </c>
      <c r="B63" s="4" t="str">
        <f>IF($A63="","",AGENT_INPUT!B63)</f>
        <v>Nahid TALLIH</v>
      </c>
      <c r="C63" s="4" t="str">
        <f>IF($A63="","",AGENT_INPUT!C63)</f>
        <v>RSA NL</v>
      </c>
      <c r="D63" s="4" t="str">
        <f>IF($A63="","",IF(AND(COUNT(AGENT_INPUT!E63:J63)=6,COUNT(AGENT_INPUT!K63)=1,COUNTIF(BONUS_RULES!$A$5:$A$46,AGENT_INPUT!C63)&gt;0,OR(AGENT_INPUT!O63&gt;0,AND(AGENT_INPUT!M63&gt;0,AGENT_INPUT!N63&gt;0)),AGENT_INPUT!P63&gt;=0,AGENT_INPUT!Q63&gt;0,AGENT_INPUT!P63&lt;=AGENT_INPUT!Q63,AGENT_INPUT!H63&gt;=0,AGENT_INPUT!H63&lt;=1,AGENT_INPUT!I63&gt;=0,AGENT_INPUT!I63&lt;=1,AGENT_INPUT!J63&gt;=0,AGENT_INPUT!J63&lt;=1),"READY","BLOCKED"))</f>
        <v>READY</v>
      </c>
      <c r="E63" s="4" t="str">
        <f>IF($A63="","",IF(AGENT_INPUT!R63&lt;&gt;"Active","REVIEW",IF(OR(POLICY_APPROVAL!$B$9="Eligibility only",POLICY_APPROVAL!$B$9="Both"),IF(AGENT_INPUT!J63&lt;=SUMIFS(BONUS_RULES!$E$5:$E$46,BONUS_RULES!$A$5:$A$46,$C63,BONUS_RULES!$B$5:$B$46,"Abs%"),"ELIGIBLE","INELIGIBLE ABS"),"ELIGIBLE")))</f>
        <v>REVIEW</v>
      </c>
      <c r="F63" s="10">
        <f>IF(OR($A63="",$D63&lt;&gt;"READY"),"",IF(AGENT_INPUT!E63&lt;=SUMIFS(BONUS_RULES!$E$5:$E$46,BONUS_RULES!$A$5:$A$46,$C63,BONUS_RULES!$B$5:$B$46,"AHT"),SUMIFS(BONUS_RULES!$D$5:$D$46,BONUS_RULES!$A$5:$A$46,$C63,BONUS_RULES!$B$5:$B$46,"AHT"),IF(AGENT_INPUT!E63&lt;=SUMIFS(BONUS_RULES!$G$5:$G$46,BONUS_RULES!$A$5:$A$46,$C63,BONUS_RULES!$B$5:$B$46,"AHT"),SUMIFS(BONUS_RULES!$F$5:$F$46,BONUS_RULES!$A$5:$A$46,$C63,BONUS_RULES!$B$5:$B$46,"AHT"),0)))</f>
        <v>0.15</v>
      </c>
      <c r="G63" s="10">
        <f>IF(OR($A63="",$D63&lt;&gt;"READY"),"",IF(AGENT_INPUT!F63&gt;=SUMIFS(BONUS_RULES!$E$5:$E$46,BONUS_RULES!$A$5:$A$46,$C63,BONUS_RULES!$B$5:$B$46,"Productivity"),SUMIFS(BONUS_RULES!$D$5:$D$46,BONUS_RULES!$A$5:$A$46,$C63,BONUS_RULES!$B$5:$B$46,"Productivity"),IF(AGENT_INPUT!F63&gt;=SUMIFS(BONUS_RULES!$G$5:$G$46,BONUS_RULES!$A$5:$A$46,$C63,BONUS_RULES!$B$5:$B$46,"Productivity"),SUMIFS(BONUS_RULES!$F$5:$F$46,BONUS_RULES!$A$5:$A$46,$C63,BONUS_RULES!$B$5:$B$46,"Productivity"),0)))</f>
        <v>0.15</v>
      </c>
      <c r="H63" s="10">
        <f>IF(OR($A63="",$D63&lt;&gt;"READY"),"",IF(AGENT_INPUT!G63&gt;=SUMIFS(BONUS_RULES!$E$5:$E$46,BONUS_RULES!$A$5:$A$46,$C63,BONUS_RULES!$B$5:$B$46,"PCS Score"),SUMIFS(BONUS_RULES!$D$5:$D$46,BONUS_RULES!$A$5:$A$46,$C63,BONUS_RULES!$B$5:$B$46,"PCS Score"),IF(AGENT_INPUT!G63&gt;=SUMIFS(BONUS_RULES!$G$5:$G$46,BONUS_RULES!$A$5:$A$46,$C63,BONUS_RULES!$B$5:$B$46,"PCS Score"),SUMIFS(BONUS_RULES!$F$5:$F$46,BONUS_RULES!$A$5:$A$46,$C63,BONUS_RULES!$B$5:$B$46,"PCS Score"),0)))</f>
        <v>0.0</v>
      </c>
      <c r="I63" s="10">
        <f>IF(OR($A63="",$D63&lt;&gt;"READY"),"",IF(AGENT_INPUT!H63&gt;=SUMIFS(BONUS_RULES!$E$5:$E$46,BONUS_RULES!$A$5:$A$46,$C63,BONUS_RULES!$B$5:$B$46,"PCS % (Participation)"),SUMIFS(BONUS_RULES!$D$5:$D$46,BONUS_RULES!$A$5:$A$46,$C63,BONUS_RULES!$B$5:$B$46,"PCS % (Participation)"),IF(AGENT_INPUT!H63&gt;=SUMIFS(BONUS_RULES!$G$5:$G$46,BONUS_RULES!$A$5:$A$46,$C63,BONUS_RULES!$B$5:$B$46,"PCS % (Participation)"),SUMIFS(BONUS_RULES!$F$5:$F$46,BONUS_RULES!$A$5:$A$46,$C63,BONUS_RULES!$B$5:$B$46,"PCS % (Participation)"),0)))</f>
        <v>0.0</v>
      </c>
      <c r="J63" s="10">
        <f>IF(OR($A63="",$D63&lt;&gt;"READY"),"",IF(AGENT_INPUT!I63&gt;=SUMIFS(BONUS_RULES!$E$5:$E$46,BONUS_RULES!$A$5:$A$46,$C63,BONUS_RULES!$B$5:$B$46,"QM"),SUMIFS(BONUS_RULES!$D$5:$D$46,BONUS_RULES!$A$5:$A$46,$C63,BONUS_RULES!$B$5:$B$46,"QM"),IF(AGENT_INPUT!I63&gt;=SUMIFS(BONUS_RULES!$G$5:$G$46,BONUS_RULES!$A$5:$A$46,$C63,BONUS_RULES!$B$5:$B$46,"QM"),SUMIFS(BONUS_RULES!$F$5:$F$46,BONUS_RULES!$A$5:$A$46,$C63,BONUS_RULES!$B$5:$B$46,"QM"),0)))</f>
        <v>0.0</v>
      </c>
      <c r="K63" s="10">
        <f>IF(POLICY_APPROVAL!$B$9="Eligibility only",0,IF(OR($A63="",$D63&lt;&gt;"READY"),"",IF(AGENT_INPUT!J63&lt;=SUMIFS(BONUS_RULES!$E$5:$E$46,BONUS_RULES!$A$5:$A$46,$C63,BONUS_RULES!$B$5:$B$46,"Abs%"),SUMIFS(BONUS_RULES!$D$5:$D$46,BONUS_RULES!$A$5:$A$46,$C63,BONUS_RULES!$B$5:$B$46,"Abs%"),IF(AGENT_INPUT!J63&lt;=SUMIFS(BONUS_RULES!$G$5:$G$46,BONUS_RULES!$A$5:$A$46,$C63,BONUS_RULES!$B$5:$B$46,"Abs%"),SUMIFS(BONUS_RULES!$F$5:$F$46,BONUS_RULES!$A$5:$A$46,$C63,BONUS_RULES!$B$5:$B$46,"Abs%"),0))))</f>
        <v>0.15</v>
      </c>
      <c r="L63" s="10">
        <f>IF(OR($A63="",$D63&lt;&gt;"READY"),"",IF(AGENT_INPUT!G63&gt;=SUMIFS(BONUS_RULES!$E$5:$E$46,BONUS_RULES!$A$5:$A$46,$C63,BONUS_RULES!$B$5:$B$46,"Extra Bonus (PCS Score)"),SUMIFS(BONUS_RULES!$D$5:$D$46,BONUS_RULES!$A$5:$A$46,$C63,BONUS_RULES!$B$5:$B$46,"Extra Bonus (PCS Score)"),IF(AGENT_INPUT!G63&gt;=SUMIFS(BONUS_RULES!$G$5:$G$46,BONUS_RULES!$A$5:$A$46,$C63,BONUS_RULES!$B$5:$B$46,"Extra Bonus (PCS Score)"),SUMIFS(BONUS_RULES!$F$5:$F$46,BONUS_RULES!$A$5:$A$46,$C63,BONUS_RULES!$B$5:$B$46,"Extra Bonus (PCS Score)"),0)))</f>
        <v>0.0</v>
      </c>
      <c r="M63" s="10">
        <f>IF($A63="","",MIN(IF(POLICY_APPROVAL!$B$6="Replacement",SUM(F63:K63)-H63+MAX(H63,L63),SUM(F63:L63)),POLICY_APPROVAL!$B$10))</f>
        <v>0.44999999999999996</v>
      </c>
      <c r="N63" s="10">
        <f>IF($A63="","",IFERROR(INDEX(BONUS_RULES!$J$5:$J$10,MATCH(MIN(MAX(AGENT_INPUT!K63,0),5),BONUS_RULES!$I$5:$I$10,0)),1))</f>
        <v>0</v>
      </c>
      <c r="O63" s="10">
        <f>IF(M63="","",MAX(0,IF(POLICY_APPROVAL!$B$5="Percentage points",M63-N63,M63*(1-N63))))</f>
        <v>0.44999999999999996</v>
      </c>
      <c r="P63" s="11">
        <f>IF(D63&lt;&gt;"READY","",IF(AGENT_INPUT!O63&gt;0,AGENT_INPUT!O63,AGENT_INPUT!M63*AGENT_INPUT!N63/IF(POLICY_APPROVAL!$B$7="Annual",12,1)))</f>
        <v>2000.0</v>
      </c>
      <c r="Q63" s="10">
        <f>IF(D63&lt;&gt;"READY","",MIN(1,AGENT_INPUT!P63/AGENT_INPUT!Q63))</f>
        <v>1.0</v>
      </c>
      <c r="R63" s="11">
        <f>IF(D63&lt;&gt;"READY","",ROUND(P63*Q63*O63,IF(POLICY_APPROVAL!$B$11="Whole MAD",0,2)))</f>
        <v>900.0</v>
      </c>
      <c r="S63" s="11">
        <f>IF(AND(SETUP!$B$9="READY",T63="READY"),R63,"")</f>
        <v/>
      </c>
      <c r="T63" s="4" t="str">
        <f>IF($A63="","",IF(D63&lt;&gt;"READY","BLOCKED - INPUT",IF(E63&lt;&gt;"ELIGIBLE","BLOCKED - ELIGIBILITY",IF(AGENT_INPUT!S63&lt;&gt;"VALIDATED","BLOCKED - DATA",IF(SETUP!$B$9&lt;&gt;"READY","BLOCKED - POLICY","READY")))))</f>
        <v>BLOCKED - ELIGIBILITY</v>
      </c>
      <c r="U63" s="4" t="str">
        <f>IF($A63="","",IF(COUNTIFS(AGENT_INPUT!$A$5:$A$254,$A63,AGENT_INPUT!$D$5:$D$254,AGENT_INPUT!D63)&gt;1,"DUPLICATE AGENT + PERIOD",IF(D63&lt;&gt;"READY","INPUT OR CONFIG REVIEW",IF(T63&lt;&gt;"READY",T63,""))))</f>
        <v>BLOCKED - ELIGIBILITY</v>
      </c>
    </row>
    <row r="64" spans="1:21">
      <c r="A64" s="4">
        <f>IF(AGENT_INPUT!A64="","",AGENT_INPUT!A64)</f>
        <v>203591</v>
      </c>
      <c r="B64" s="4" t="str">
        <f>IF($A64="","",AGENT_INPUT!B64)</f>
        <v>El Mornaki Mustapha</v>
      </c>
      <c r="C64" s="4" t="str">
        <f>IF($A64="","",AGENT_INPUT!C64)</f>
        <v>OEM FR</v>
      </c>
      <c r="D64" s="4" t="str">
        <f>IF($A64="","",IF(AND(COUNT(AGENT_INPUT!E64:J64)=6,COUNT(AGENT_INPUT!K64)=1,COUNTIF(BONUS_RULES!$A$5:$A$46,AGENT_INPUT!C64)&gt;0,OR(AGENT_INPUT!O64&gt;0,AND(AGENT_INPUT!M64&gt;0,AGENT_INPUT!N64&gt;0)),AGENT_INPUT!P64&gt;=0,AGENT_INPUT!Q64&gt;0,AGENT_INPUT!P64&lt;=AGENT_INPUT!Q64,AGENT_INPUT!H64&gt;=0,AGENT_INPUT!H64&lt;=1,AGENT_INPUT!I64&gt;=0,AGENT_INPUT!I64&lt;=1,AGENT_INPUT!J64&gt;=0,AGENT_INPUT!J64&lt;=1),"READY","BLOCKED"))</f>
        <v>READY</v>
      </c>
      <c r="E64" s="4" t="str">
        <f>IF($A64="","",IF(AGENT_INPUT!R64&lt;&gt;"Active","REVIEW",IF(OR(POLICY_APPROVAL!$B$9="Eligibility only",POLICY_APPROVAL!$B$9="Both"),IF(AGENT_INPUT!J64&lt;=SUMIFS(BONUS_RULES!$E$5:$E$46,BONUS_RULES!$A$5:$A$46,$C64,BONUS_RULES!$B$5:$B$46,"Abs%"),"ELIGIBLE","INELIGIBLE ABS"),"ELIGIBLE")))</f>
        <v>REVIEW</v>
      </c>
      <c r="F64" s="10">
        <f>IF(OR($A64="",$D64&lt;&gt;"READY"),"",IF(AGENT_INPUT!E64&lt;=SUMIFS(BONUS_RULES!$E$5:$E$46,BONUS_RULES!$A$5:$A$46,$C64,BONUS_RULES!$B$5:$B$46,"AHT"),SUMIFS(BONUS_RULES!$D$5:$D$46,BONUS_RULES!$A$5:$A$46,$C64,BONUS_RULES!$B$5:$B$46,"AHT"),IF(AGENT_INPUT!E64&lt;=SUMIFS(BONUS_RULES!$G$5:$G$46,BONUS_RULES!$A$5:$A$46,$C64,BONUS_RULES!$B$5:$B$46,"AHT"),SUMIFS(BONUS_RULES!$F$5:$F$46,BONUS_RULES!$A$5:$A$46,$C64,BONUS_RULES!$B$5:$B$46,"AHT"),0)))</f>
        <v>0.0</v>
      </c>
      <c r="G64" s="10">
        <f>IF(OR($A64="",$D64&lt;&gt;"READY"),"",IF(AGENT_INPUT!F64&gt;=SUMIFS(BONUS_RULES!$E$5:$E$46,BONUS_RULES!$A$5:$A$46,$C64,BONUS_RULES!$B$5:$B$46,"Productivity"),SUMIFS(BONUS_RULES!$D$5:$D$46,BONUS_RULES!$A$5:$A$46,$C64,BONUS_RULES!$B$5:$B$46,"Productivity"),IF(AGENT_INPUT!F64&gt;=SUMIFS(BONUS_RULES!$G$5:$G$46,BONUS_RULES!$A$5:$A$46,$C64,BONUS_RULES!$B$5:$B$46,"Productivity"),SUMIFS(BONUS_RULES!$F$5:$F$46,BONUS_RULES!$A$5:$A$46,$C64,BONUS_RULES!$B$5:$B$46,"Productivity"),0)))</f>
        <v>0.0</v>
      </c>
      <c r="H64" s="10">
        <f>IF(OR($A64="",$D64&lt;&gt;"READY"),"",IF(AGENT_INPUT!G64&gt;=SUMIFS(BONUS_RULES!$E$5:$E$46,BONUS_RULES!$A$5:$A$46,$C64,BONUS_RULES!$B$5:$B$46,"PCS Score"),SUMIFS(BONUS_RULES!$D$5:$D$46,BONUS_RULES!$A$5:$A$46,$C64,BONUS_RULES!$B$5:$B$46,"PCS Score"),IF(AGENT_INPUT!G64&gt;=SUMIFS(BONUS_RULES!$G$5:$G$46,BONUS_RULES!$A$5:$A$46,$C64,BONUS_RULES!$B$5:$B$46,"PCS Score"),SUMIFS(BONUS_RULES!$F$5:$F$46,BONUS_RULES!$A$5:$A$46,$C64,BONUS_RULES!$B$5:$B$46,"PCS Score"),0)))</f>
        <v>0.0</v>
      </c>
      <c r="I64" s="10">
        <f>IF(OR($A64="",$D64&lt;&gt;"READY"),"",IF(AGENT_INPUT!H64&gt;=SUMIFS(BONUS_RULES!$E$5:$E$46,BONUS_RULES!$A$5:$A$46,$C64,BONUS_RULES!$B$5:$B$46,"PCS % (Participation)"),SUMIFS(BONUS_RULES!$D$5:$D$46,BONUS_RULES!$A$5:$A$46,$C64,BONUS_RULES!$B$5:$B$46,"PCS % (Participation)"),IF(AGENT_INPUT!H64&gt;=SUMIFS(BONUS_RULES!$G$5:$G$46,BONUS_RULES!$A$5:$A$46,$C64,BONUS_RULES!$B$5:$B$46,"PCS % (Participation)"),SUMIFS(BONUS_RULES!$F$5:$F$46,BONUS_RULES!$A$5:$A$46,$C64,BONUS_RULES!$B$5:$B$46,"PCS % (Participation)"),0)))</f>
        <v>0.0</v>
      </c>
      <c r="J64" s="10">
        <f>IF(OR($A64="",$D64&lt;&gt;"READY"),"",IF(AGENT_INPUT!I64&gt;=SUMIFS(BONUS_RULES!$E$5:$E$46,BONUS_RULES!$A$5:$A$46,$C64,BONUS_RULES!$B$5:$B$46,"QM"),SUMIFS(BONUS_RULES!$D$5:$D$46,BONUS_RULES!$A$5:$A$46,$C64,BONUS_RULES!$B$5:$B$46,"QM"),IF(AGENT_INPUT!I64&gt;=SUMIFS(BONUS_RULES!$G$5:$G$46,BONUS_RULES!$A$5:$A$46,$C64,BONUS_RULES!$B$5:$B$46,"QM"),SUMIFS(BONUS_RULES!$F$5:$F$46,BONUS_RULES!$A$5:$A$46,$C64,BONUS_RULES!$B$5:$B$46,"QM"),0)))</f>
        <v>0.0</v>
      </c>
      <c r="K64" s="10">
        <f>IF(POLICY_APPROVAL!$B$9="Eligibility only",0,IF(OR($A64="",$D64&lt;&gt;"READY"),"",IF(AGENT_INPUT!J64&lt;=SUMIFS(BONUS_RULES!$E$5:$E$46,BONUS_RULES!$A$5:$A$46,$C64,BONUS_RULES!$B$5:$B$46,"Abs%"),SUMIFS(BONUS_RULES!$D$5:$D$46,BONUS_RULES!$A$5:$A$46,$C64,BONUS_RULES!$B$5:$B$46,"Abs%"),IF(AGENT_INPUT!J64&lt;=SUMIFS(BONUS_RULES!$G$5:$G$46,BONUS_RULES!$A$5:$A$46,$C64,BONUS_RULES!$B$5:$B$46,"Abs%"),SUMIFS(BONUS_RULES!$F$5:$F$46,BONUS_RULES!$A$5:$A$46,$C64,BONUS_RULES!$B$5:$B$46,"Abs%"),0))))</f>
        <v>0.15</v>
      </c>
      <c r="L64" s="10">
        <f>IF(OR($A64="",$D64&lt;&gt;"READY"),"",IF(AGENT_INPUT!G64&gt;=SUMIFS(BONUS_RULES!$E$5:$E$46,BONUS_RULES!$A$5:$A$46,$C64,BONUS_RULES!$B$5:$B$46,"Extra Bonus (PCS Score)"),SUMIFS(BONUS_RULES!$D$5:$D$46,BONUS_RULES!$A$5:$A$46,$C64,BONUS_RULES!$B$5:$B$46,"Extra Bonus (PCS Score)"),IF(AGENT_INPUT!G64&gt;=SUMIFS(BONUS_RULES!$G$5:$G$46,BONUS_RULES!$A$5:$A$46,$C64,BONUS_RULES!$B$5:$B$46,"Extra Bonus (PCS Score)"),SUMIFS(BONUS_RULES!$F$5:$F$46,BONUS_RULES!$A$5:$A$46,$C64,BONUS_RULES!$B$5:$B$46,"Extra Bonus (PCS Score)"),0)))</f>
        <v>0.0</v>
      </c>
      <c r="M64" s="10">
        <f>IF($A64="","",MIN(IF(POLICY_APPROVAL!$B$6="Replacement",SUM(F64:K64)-H64+MAX(H64,L64),SUM(F64:L64)),POLICY_APPROVAL!$B$10))</f>
        <v>0.15</v>
      </c>
      <c r="N64" s="10">
        <f>IF($A64="","",IFERROR(INDEX(BONUS_RULES!$J$5:$J$10,MATCH(MIN(MAX(AGENT_INPUT!K64,0),5),BONUS_RULES!$I$5:$I$10,0)),1))</f>
        <v>0</v>
      </c>
      <c r="O64" s="10">
        <f>IF(M64="","",MAX(0,IF(POLICY_APPROVAL!$B$5="Percentage points",M64-N64,M64*(1-N64))))</f>
        <v>0.15</v>
      </c>
      <c r="P64" s="11">
        <f>IF(D64&lt;&gt;"READY","",IF(AGENT_INPUT!O64&gt;0,AGENT_INPUT!O64,AGENT_INPUT!M64*AGENT_INPUT!N64/IF(POLICY_APPROVAL!$B$7="Annual",12,1)))</f>
        <v>2000.0</v>
      </c>
      <c r="Q64" s="10">
        <f>IF(D64&lt;&gt;"READY","",MIN(1,AGENT_INPUT!P64/AGENT_INPUT!Q64))</f>
        <v>1.0</v>
      </c>
      <c r="R64" s="11">
        <f>IF(D64&lt;&gt;"READY","",ROUND(P64*Q64*O64,IF(POLICY_APPROVAL!$B$11="Whole MAD",0,2)))</f>
        <v>300.0</v>
      </c>
      <c r="S64" s="11">
        <f>IF(AND(SETUP!$B$9="READY",T64="READY"),R64,"")</f>
        <v/>
      </c>
      <c r="T64" s="4" t="str">
        <f>IF($A64="","",IF(D64&lt;&gt;"READY","BLOCKED - INPUT",IF(E64&lt;&gt;"ELIGIBLE","BLOCKED - ELIGIBILITY",IF(AGENT_INPUT!S64&lt;&gt;"VALIDATED","BLOCKED - DATA",IF(SETUP!$B$9&lt;&gt;"READY","BLOCKED - POLICY","READY")))))</f>
        <v>BLOCKED - ELIGIBILITY</v>
      </c>
      <c r="U64" s="4" t="str">
        <f>IF($A64="","",IF(COUNTIFS(AGENT_INPUT!$A$5:$A$254,$A64,AGENT_INPUT!$D$5:$D$254,AGENT_INPUT!D64)&gt;1,"DUPLICATE AGENT + PERIOD",IF(D64&lt;&gt;"READY","INPUT OR CONFIG REVIEW",IF(T64&lt;&gt;"READY",T64,""))))</f>
        <v>BLOCKED - ELIGIBILITY</v>
      </c>
    </row>
    <row r="65" spans="1:21">
      <c r="A65" s="4">
        <f>IF(AGENT_INPUT!A65="","",AGENT_INPUT!A65)</f>
        <v>203575</v>
      </c>
      <c r="B65" s="4" t="str">
        <f>IF($A65="","",AGENT_INPUT!B65)</f>
        <v>Diallo Mustapha Salam</v>
      </c>
      <c r="C65" s="4" t="str">
        <f>IF($A65="","",AGENT_INPUT!C65)</f>
        <v>OEM FR</v>
      </c>
      <c r="D65" s="4" t="str">
        <f>IF($A65="","",IF(AND(COUNT(AGENT_INPUT!E65:J65)=6,COUNT(AGENT_INPUT!K65)=1,COUNTIF(BONUS_RULES!$A$5:$A$46,AGENT_INPUT!C65)&gt;0,OR(AGENT_INPUT!O65&gt;0,AND(AGENT_INPUT!M65&gt;0,AGENT_INPUT!N65&gt;0)),AGENT_INPUT!P65&gt;=0,AGENT_INPUT!Q65&gt;0,AGENT_INPUT!P65&lt;=AGENT_INPUT!Q65,AGENT_INPUT!H65&gt;=0,AGENT_INPUT!H65&lt;=1,AGENT_INPUT!I65&gt;=0,AGENT_INPUT!I65&lt;=1,AGENT_INPUT!J65&gt;=0,AGENT_INPUT!J65&lt;=1),"READY","BLOCKED"))</f>
        <v>READY</v>
      </c>
      <c r="E65" s="4" t="str">
        <f>IF($A65="","",IF(AGENT_INPUT!R65&lt;&gt;"Active","REVIEW",IF(OR(POLICY_APPROVAL!$B$9="Eligibility only",POLICY_APPROVAL!$B$9="Both"),IF(AGENT_INPUT!J65&lt;=SUMIFS(BONUS_RULES!$E$5:$E$46,BONUS_RULES!$A$5:$A$46,$C65,BONUS_RULES!$B$5:$B$46,"Abs%"),"ELIGIBLE","INELIGIBLE ABS"),"ELIGIBLE")))</f>
        <v>REVIEW</v>
      </c>
      <c r="F65" s="10">
        <f>IF(OR($A65="",$D65&lt;&gt;"READY"),"",IF(AGENT_INPUT!E65&lt;=SUMIFS(BONUS_RULES!$E$5:$E$46,BONUS_RULES!$A$5:$A$46,$C65,BONUS_RULES!$B$5:$B$46,"AHT"),SUMIFS(BONUS_RULES!$D$5:$D$46,BONUS_RULES!$A$5:$A$46,$C65,BONUS_RULES!$B$5:$B$46,"AHT"),IF(AGENT_INPUT!E65&lt;=SUMIFS(BONUS_RULES!$G$5:$G$46,BONUS_RULES!$A$5:$A$46,$C65,BONUS_RULES!$B$5:$B$46,"AHT"),SUMIFS(BONUS_RULES!$F$5:$F$46,BONUS_RULES!$A$5:$A$46,$C65,BONUS_RULES!$B$5:$B$46,"AHT"),0)))</f>
        <v>0.0</v>
      </c>
      <c r="G65" s="10">
        <f>IF(OR($A65="",$D65&lt;&gt;"READY"),"",IF(AGENT_INPUT!F65&gt;=SUMIFS(BONUS_RULES!$E$5:$E$46,BONUS_RULES!$A$5:$A$46,$C65,BONUS_RULES!$B$5:$B$46,"Productivity"),SUMIFS(BONUS_RULES!$D$5:$D$46,BONUS_RULES!$A$5:$A$46,$C65,BONUS_RULES!$B$5:$B$46,"Productivity"),IF(AGENT_INPUT!F65&gt;=SUMIFS(BONUS_RULES!$G$5:$G$46,BONUS_RULES!$A$5:$A$46,$C65,BONUS_RULES!$B$5:$B$46,"Productivity"),SUMIFS(BONUS_RULES!$F$5:$F$46,BONUS_RULES!$A$5:$A$46,$C65,BONUS_RULES!$B$5:$B$46,"Productivity"),0)))</f>
        <v>0.0</v>
      </c>
      <c r="H65" s="10">
        <f>IF(OR($A65="",$D65&lt;&gt;"READY"),"",IF(AGENT_INPUT!G65&gt;=SUMIFS(BONUS_RULES!$E$5:$E$46,BONUS_RULES!$A$5:$A$46,$C65,BONUS_RULES!$B$5:$B$46,"PCS Score"),SUMIFS(BONUS_RULES!$D$5:$D$46,BONUS_RULES!$A$5:$A$46,$C65,BONUS_RULES!$B$5:$B$46,"PCS Score"),IF(AGENT_INPUT!G65&gt;=SUMIFS(BONUS_RULES!$G$5:$G$46,BONUS_RULES!$A$5:$A$46,$C65,BONUS_RULES!$B$5:$B$46,"PCS Score"),SUMIFS(BONUS_RULES!$F$5:$F$46,BONUS_RULES!$A$5:$A$46,$C65,BONUS_RULES!$B$5:$B$46,"PCS Score"),0)))</f>
        <v>0.0</v>
      </c>
      <c r="I65" s="10">
        <f>IF(OR($A65="",$D65&lt;&gt;"READY"),"",IF(AGENT_INPUT!H65&gt;=SUMIFS(BONUS_RULES!$E$5:$E$46,BONUS_RULES!$A$5:$A$46,$C65,BONUS_RULES!$B$5:$B$46,"PCS % (Participation)"),SUMIFS(BONUS_RULES!$D$5:$D$46,BONUS_RULES!$A$5:$A$46,$C65,BONUS_RULES!$B$5:$B$46,"PCS % (Participation)"),IF(AGENT_INPUT!H65&gt;=SUMIFS(BONUS_RULES!$G$5:$G$46,BONUS_RULES!$A$5:$A$46,$C65,BONUS_RULES!$B$5:$B$46,"PCS % (Participation)"),SUMIFS(BONUS_RULES!$F$5:$F$46,BONUS_RULES!$A$5:$A$46,$C65,BONUS_RULES!$B$5:$B$46,"PCS % (Participation)"),0)))</f>
        <v>0.0</v>
      </c>
      <c r="J65" s="10">
        <f>IF(OR($A65="",$D65&lt;&gt;"READY"),"",IF(AGENT_INPUT!I65&gt;=SUMIFS(BONUS_RULES!$E$5:$E$46,BONUS_RULES!$A$5:$A$46,$C65,BONUS_RULES!$B$5:$B$46,"QM"),SUMIFS(BONUS_RULES!$D$5:$D$46,BONUS_RULES!$A$5:$A$46,$C65,BONUS_RULES!$B$5:$B$46,"QM"),IF(AGENT_INPUT!I65&gt;=SUMIFS(BONUS_RULES!$G$5:$G$46,BONUS_RULES!$A$5:$A$46,$C65,BONUS_RULES!$B$5:$B$46,"QM"),SUMIFS(BONUS_RULES!$F$5:$F$46,BONUS_RULES!$A$5:$A$46,$C65,BONUS_RULES!$B$5:$B$46,"QM"),0)))</f>
        <v>0.15</v>
      </c>
      <c r="K65" s="10">
        <f>IF(POLICY_APPROVAL!$B$9="Eligibility only",0,IF(OR($A65="",$D65&lt;&gt;"READY"),"",IF(AGENT_INPUT!J65&lt;=SUMIFS(BONUS_RULES!$E$5:$E$46,BONUS_RULES!$A$5:$A$46,$C65,BONUS_RULES!$B$5:$B$46,"Abs%"),SUMIFS(BONUS_RULES!$D$5:$D$46,BONUS_RULES!$A$5:$A$46,$C65,BONUS_RULES!$B$5:$B$46,"Abs%"),IF(AGENT_INPUT!J65&lt;=SUMIFS(BONUS_RULES!$G$5:$G$46,BONUS_RULES!$A$5:$A$46,$C65,BONUS_RULES!$B$5:$B$46,"Abs%"),SUMIFS(BONUS_RULES!$F$5:$F$46,BONUS_RULES!$A$5:$A$46,$C65,BONUS_RULES!$B$5:$B$46,"Abs%"),0))))</f>
        <v>0.15</v>
      </c>
      <c r="L65" s="10">
        <f>IF(OR($A65="",$D65&lt;&gt;"READY"),"",IF(AGENT_INPUT!G65&gt;=SUMIFS(BONUS_RULES!$E$5:$E$46,BONUS_RULES!$A$5:$A$46,$C65,BONUS_RULES!$B$5:$B$46,"Extra Bonus (PCS Score)"),SUMIFS(BONUS_RULES!$D$5:$D$46,BONUS_RULES!$A$5:$A$46,$C65,BONUS_RULES!$B$5:$B$46,"Extra Bonus (PCS Score)"),IF(AGENT_INPUT!G65&gt;=SUMIFS(BONUS_RULES!$G$5:$G$46,BONUS_RULES!$A$5:$A$46,$C65,BONUS_RULES!$B$5:$B$46,"Extra Bonus (PCS Score)"),SUMIFS(BONUS_RULES!$F$5:$F$46,BONUS_RULES!$A$5:$A$46,$C65,BONUS_RULES!$B$5:$B$46,"Extra Bonus (PCS Score)"),0)))</f>
        <v>0.0</v>
      </c>
      <c r="M65" s="10">
        <f>IF($A65="","",MIN(IF(POLICY_APPROVAL!$B$6="Replacement",SUM(F65:K65)-H65+MAX(H65,L65),SUM(F65:L65)),POLICY_APPROVAL!$B$10))</f>
        <v>0.3</v>
      </c>
      <c r="N65" s="10">
        <f>IF($A65="","",IFERROR(INDEX(BONUS_RULES!$J$5:$J$10,MATCH(MIN(MAX(AGENT_INPUT!K65,0),5),BONUS_RULES!$I$5:$I$10,0)),1))</f>
        <v>0</v>
      </c>
      <c r="O65" s="10">
        <f>IF(M65="","",MAX(0,IF(POLICY_APPROVAL!$B$5="Percentage points",M65-N65,M65*(1-N65))))</f>
        <v>0.3</v>
      </c>
      <c r="P65" s="11">
        <f>IF(D65&lt;&gt;"READY","",IF(AGENT_INPUT!O65&gt;0,AGENT_INPUT!O65,AGENT_INPUT!M65*AGENT_INPUT!N65/IF(POLICY_APPROVAL!$B$7="Annual",12,1)))</f>
        <v>2000.0</v>
      </c>
      <c r="Q65" s="10">
        <f>IF(D65&lt;&gt;"READY","",MIN(1,AGENT_INPUT!P65/AGENT_INPUT!Q65))</f>
        <v>1.0</v>
      </c>
      <c r="R65" s="11">
        <f>IF(D65&lt;&gt;"READY","",ROUND(P65*Q65*O65,IF(POLICY_APPROVAL!$B$11="Whole MAD",0,2)))</f>
        <v>600.0</v>
      </c>
      <c r="S65" s="11">
        <f>IF(AND(SETUP!$B$9="READY",T65="READY"),R65,"")</f>
        <v/>
      </c>
      <c r="T65" s="4" t="str">
        <f>IF($A65="","",IF(D65&lt;&gt;"READY","BLOCKED - INPUT",IF(E65&lt;&gt;"ELIGIBLE","BLOCKED - ELIGIBILITY",IF(AGENT_INPUT!S65&lt;&gt;"VALIDATED","BLOCKED - DATA",IF(SETUP!$B$9&lt;&gt;"READY","BLOCKED - POLICY","READY")))))</f>
        <v>BLOCKED - ELIGIBILITY</v>
      </c>
      <c r="U65" s="4" t="str">
        <f>IF($A65="","",IF(COUNTIFS(AGENT_INPUT!$A$5:$A$254,$A65,AGENT_INPUT!$D$5:$D$254,AGENT_INPUT!D65)&gt;1,"DUPLICATE AGENT + PERIOD",IF(D65&lt;&gt;"READY","INPUT OR CONFIG REVIEW",IF(T65&lt;&gt;"READY",T65,""))))</f>
        <v>BLOCKED - ELIGIBILITY</v>
      </c>
    </row>
    <row r="66" spans="1:21">
      <c r="A66" s="4">
        <f>IF(AGENT_INPUT!A66="","",AGENT_INPUT!A66)</f>
        <v>250747</v>
      </c>
      <c r="B66" s="4" t="str">
        <f>IF($A66="","",AGENT_INPUT!B66)</f>
        <v>Mouna  SAHIL</v>
      </c>
      <c r="C66" s="4" t="str">
        <f>IF($A66="","",AGENT_INPUT!C66)</f>
        <v>OEM FR</v>
      </c>
      <c r="D66" s="4" t="str">
        <f>IF($A66="","",IF(AND(COUNT(AGENT_INPUT!E66:J66)=6,COUNT(AGENT_INPUT!K66)=1,COUNTIF(BONUS_RULES!$A$5:$A$46,AGENT_INPUT!C66)&gt;0,OR(AGENT_INPUT!O66&gt;0,AND(AGENT_INPUT!M66&gt;0,AGENT_INPUT!N66&gt;0)),AGENT_INPUT!P66&gt;=0,AGENT_INPUT!Q66&gt;0,AGENT_INPUT!P66&lt;=AGENT_INPUT!Q66,AGENT_INPUT!H66&gt;=0,AGENT_INPUT!H66&lt;=1,AGENT_INPUT!I66&gt;=0,AGENT_INPUT!I66&lt;=1,AGENT_INPUT!J66&gt;=0,AGENT_INPUT!J66&lt;=1),"READY","BLOCKED"))</f>
        <v>BLOCKED</v>
      </c>
      <c r="E66" s="4">
        <f>IF($A66="","",IF(AGENT_INPUT!R66&lt;&gt;"Active","REVIEW",IF(OR(POLICY_APPROVAL!$B$9="Eligibility only",POLICY_APPROVAL!$B$9="Both"),IF(AGENT_INPUT!J66&lt;=SUMIFS(BONUS_RULES!$E$5:$E$46,BONUS_RULES!$A$5:$A$46,$C66,BONUS_RULES!$B$5:$B$46,"Abs%"),"ELIGIBLE","INELIGIBLE ABS"),"ELIGIBLE")))</f>
        <v/>
      </c>
      <c r="F66" s="10">
        <f>IF(OR($A66="",$D66&lt;&gt;"READY"),"",IF(AGENT_INPUT!E66&lt;=SUMIFS(BONUS_RULES!$E$5:$E$46,BONUS_RULES!$A$5:$A$46,$C66,BONUS_RULES!$B$5:$B$46,"AHT"),SUMIFS(BONUS_RULES!$D$5:$D$46,BONUS_RULES!$A$5:$A$46,$C66,BONUS_RULES!$B$5:$B$46,"AHT"),IF(AGENT_INPUT!E66&lt;=SUMIFS(BONUS_RULES!$G$5:$G$46,BONUS_RULES!$A$5:$A$46,$C66,BONUS_RULES!$B$5:$B$46,"AHT"),SUMIFS(BONUS_RULES!$F$5:$F$46,BONUS_RULES!$A$5:$A$46,$C66,BONUS_RULES!$B$5:$B$46,"AHT"),0)))</f>
        <v/>
      </c>
      <c r="G66" s="10">
        <f>IF(OR($A66="",$D66&lt;&gt;"READY"),"",IF(AGENT_INPUT!F66&gt;=SUMIFS(BONUS_RULES!$E$5:$E$46,BONUS_RULES!$A$5:$A$46,$C66,BONUS_RULES!$B$5:$B$46,"Productivity"),SUMIFS(BONUS_RULES!$D$5:$D$46,BONUS_RULES!$A$5:$A$46,$C66,BONUS_RULES!$B$5:$B$46,"Productivity"),IF(AGENT_INPUT!F66&gt;=SUMIFS(BONUS_RULES!$G$5:$G$46,BONUS_RULES!$A$5:$A$46,$C66,BONUS_RULES!$B$5:$B$46,"Productivity"),SUMIFS(BONUS_RULES!$F$5:$F$46,BONUS_RULES!$A$5:$A$46,$C66,BONUS_RULES!$B$5:$B$46,"Productivity"),0)))</f>
        <v/>
      </c>
      <c r="H66" s="10">
        <f>IF(OR($A66="",$D66&lt;&gt;"READY"),"",IF(AGENT_INPUT!G66&gt;=SUMIFS(BONUS_RULES!$E$5:$E$46,BONUS_RULES!$A$5:$A$46,$C66,BONUS_RULES!$B$5:$B$46,"PCS Score"),SUMIFS(BONUS_RULES!$D$5:$D$46,BONUS_RULES!$A$5:$A$46,$C66,BONUS_RULES!$B$5:$B$46,"PCS Score"),IF(AGENT_INPUT!G66&gt;=SUMIFS(BONUS_RULES!$G$5:$G$46,BONUS_RULES!$A$5:$A$46,$C66,BONUS_RULES!$B$5:$B$46,"PCS Score"),SUMIFS(BONUS_RULES!$F$5:$F$46,BONUS_RULES!$A$5:$A$46,$C66,BONUS_RULES!$B$5:$B$46,"PCS Score"),0)))</f>
        <v/>
      </c>
      <c r="I66" s="10">
        <f>IF(OR($A66="",$D66&lt;&gt;"READY"),"",IF(AGENT_INPUT!H66&gt;=SUMIFS(BONUS_RULES!$E$5:$E$46,BONUS_RULES!$A$5:$A$46,$C66,BONUS_RULES!$B$5:$B$46,"PCS % (Participation)"),SUMIFS(BONUS_RULES!$D$5:$D$46,BONUS_RULES!$A$5:$A$46,$C66,BONUS_RULES!$B$5:$B$46,"PCS % (Participation)"),IF(AGENT_INPUT!H66&gt;=SUMIFS(BONUS_RULES!$G$5:$G$46,BONUS_RULES!$A$5:$A$46,$C66,BONUS_RULES!$B$5:$B$46,"PCS % (Participation)"),SUMIFS(BONUS_RULES!$F$5:$F$46,BONUS_RULES!$A$5:$A$46,$C66,BONUS_RULES!$B$5:$B$46,"PCS % (Participation)"),0)))</f>
        <v/>
      </c>
      <c r="J66" s="10">
        <f>IF(OR($A66="",$D66&lt;&gt;"READY"),"",IF(AGENT_INPUT!I66&gt;=SUMIFS(BONUS_RULES!$E$5:$E$46,BONUS_RULES!$A$5:$A$46,$C66,BONUS_RULES!$B$5:$B$46,"QM"),SUMIFS(BONUS_RULES!$D$5:$D$46,BONUS_RULES!$A$5:$A$46,$C66,BONUS_RULES!$B$5:$B$46,"QM"),IF(AGENT_INPUT!I66&gt;=SUMIFS(BONUS_RULES!$G$5:$G$46,BONUS_RULES!$A$5:$A$46,$C66,BONUS_RULES!$B$5:$B$46,"QM"),SUMIFS(BONUS_RULES!$F$5:$F$46,BONUS_RULES!$A$5:$A$46,$C66,BONUS_RULES!$B$5:$B$46,"QM"),0)))</f>
        <v/>
      </c>
      <c r="K66" s="10">
        <f>IF(POLICY_APPROVAL!$B$9="Eligibility only",0,IF(OR($A66="",$D66&lt;&gt;"READY"),"",IF(AGENT_INPUT!J66&lt;=SUMIFS(BONUS_RULES!$E$5:$E$46,BONUS_RULES!$A$5:$A$46,$C66,BONUS_RULES!$B$5:$B$46,"Abs%"),SUMIFS(BONUS_RULES!$D$5:$D$46,BONUS_RULES!$A$5:$A$46,$C66,BONUS_RULES!$B$5:$B$46,"Abs%"),IF(AGENT_INPUT!J66&lt;=SUMIFS(BONUS_RULES!$G$5:$G$46,BONUS_RULES!$A$5:$A$46,$C66,BONUS_RULES!$B$5:$B$46,"Abs%"),SUMIFS(BONUS_RULES!$F$5:$F$46,BONUS_RULES!$A$5:$A$46,$C66,BONUS_RULES!$B$5:$B$46,"Abs%"),0))))</f>
        <v/>
      </c>
      <c r="L66" s="10">
        <f>IF(OR($A66="",$D66&lt;&gt;"READY"),"",IF(AGENT_INPUT!G66&gt;=SUMIFS(BONUS_RULES!$E$5:$E$46,BONUS_RULES!$A$5:$A$46,$C66,BONUS_RULES!$B$5:$B$46,"Extra Bonus (PCS Score)"),SUMIFS(BONUS_RULES!$D$5:$D$46,BONUS_RULES!$A$5:$A$46,$C66,BONUS_RULES!$B$5:$B$46,"Extra Bonus (PCS Score)"),IF(AGENT_INPUT!G66&gt;=SUMIFS(BONUS_RULES!$G$5:$G$46,BONUS_RULES!$A$5:$A$46,$C66,BONUS_RULES!$B$5:$B$46,"Extra Bonus (PCS Score)"),SUMIFS(BONUS_RULES!$F$5:$F$46,BONUS_RULES!$A$5:$A$46,$C66,BONUS_RULES!$B$5:$B$46,"Extra Bonus (PCS Score)"),0)))</f>
        <v/>
      </c>
      <c r="M66" s="10">
        <f>IF($A66="","",MIN(IF(POLICY_APPROVAL!$B$6="Replacement",SUM(F66:K66)-H66+MAX(H66,L66),SUM(F66:L66)),POLICY_APPROVAL!$B$10))</f>
        <v>0</v>
      </c>
      <c r="N66" s="10">
        <f>IF($A66="","",IFERROR(INDEX(BONUS_RULES!$J$5:$J$10,MATCH(MIN(MAX(AGENT_INPUT!K66,0),5),BONUS_RULES!$I$5:$I$10,0)),1))</f>
        <v>0</v>
      </c>
      <c r="O66" s="10">
        <f>IF(M66="","",MAX(0,IF(POLICY_APPROVAL!$B$5="Percentage points",M66-N66,M66*(1-N66))))</f>
        <v>0</v>
      </c>
      <c r="P66" s="11">
        <f>IF(D66&lt;&gt;"READY","",IF(AGENT_INPUT!O66&gt;0,AGENT_INPUT!O66,AGENT_INPUT!M66*AGENT_INPUT!N66/IF(POLICY_APPROVAL!$B$7="Annual",12,1)))</f>
        <v/>
      </c>
      <c r="Q66" s="10">
        <f>IF(D66&lt;&gt;"READY","",MIN(1,AGENT_INPUT!P66/AGENT_INPUT!Q66))</f>
        <v/>
      </c>
      <c r="R66" s="11">
        <f>IF(D66&lt;&gt;"READY","",ROUND(P66*Q66*O66,IF(POLICY_APPROVAL!$B$11="Whole MAD",0,2)))</f>
        <v/>
      </c>
      <c r="S66" s="11">
        <f>IF(AND(SETUP!$B$9="READY",T66="READY"),R66,"")</f>
        <v/>
      </c>
      <c r="T66" s="4" t="str">
        <f>IF($A66="","",IF(D66&lt;&gt;"READY","BLOCKED - INPUT",IF(E66&lt;&gt;"ELIGIBLE","BLOCKED - ELIGIBILITY",IF(AGENT_INPUT!S66&lt;&gt;"VALIDATED","BLOCKED - DATA",IF(SETUP!$B$9&lt;&gt;"READY","BLOCKED - POLICY","READY")))))</f>
        <v>BLOCKED - INPUT</v>
      </c>
      <c r="U66" s="4" t="str">
        <f>IF($A66="","",IF(COUNTIFS(AGENT_INPUT!$A$5:$A$254,$A66,AGENT_INPUT!$D$5:$D$254,AGENT_INPUT!D66)&gt;1,"DUPLICATE AGENT + PERIOD",IF(D66&lt;&gt;"READY","INPUT OR CONFIG REVIEW",IF(T66&lt;&gt;"READY",T66,""))))</f>
        <v>Missing, invalid, or unconfigured required input</v>
      </c>
    </row>
    <row r="67" spans="1:21">
      <c r="A67" s="4">
        <f>IF(AGENT_INPUT!A67="","",AGENT_INPUT!A67)</f>
        <v>203607</v>
      </c>
      <c r="B67" s="4" t="str">
        <f>IF($A67="","",AGENT_INPUT!B67)</f>
        <v>Nissaoui Morad</v>
      </c>
      <c r="C67" s="4" t="str">
        <f>IF($A67="","",AGENT_INPUT!C67)</f>
        <v>OEM FR</v>
      </c>
      <c r="D67" s="4" t="str">
        <f>IF($A67="","",IF(AND(COUNT(AGENT_INPUT!E67:J67)=6,COUNT(AGENT_INPUT!K67)=1,COUNTIF(BONUS_RULES!$A$5:$A$46,AGENT_INPUT!C67)&gt;0,OR(AGENT_INPUT!O67&gt;0,AND(AGENT_INPUT!M67&gt;0,AGENT_INPUT!N67&gt;0)),AGENT_INPUT!P67&gt;=0,AGENT_INPUT!Q67&gt;0,AGENT_INPUT!P67&lt;=AGENT_INPUT!Q67,AGENT_INPUT!H67&gt;=0,AGENT_INPUT!H67&lt;=1,AGENT_INPUT!I67&gt;=0,AGENT_INPUT!I67&lt;=1,AGENT_INPUT!J67&gt;=0,AGENT_INPUT!J67&lt;=1),"READY","BLOCKED"))</f>
        <v>READY</v>
      </c>
      <c r="E67" s="4" t="str">
        <f>IF($A67="","",IF(AGENT_INPUT!R67&lt;&gt;"Active","REVIEW",IF(OR(POLICY_APPROVAL!$B$9="Eligibility only",POLICY_APPROVAL!$B$9="Both"),IF(AGENT_INPUT!J67&lt;=SUMIFS(BONUS_RULES!$E$5:$E$46,BONUS_RULES!$A$5:$A$46,$C67,BONUS_RULES!$B$5:$B$46,"Abs%"),"ELIGIBLE","INELIGIBLE ABS"),"ELIGIBLE")))</f>
        <v>REVIEW</v>
      </c>
      <c r="F67" s="10">
        <f>IF(OR($A67="",$D67&lt;&gt;"READY"),"",IF(AGENT_INPUT!E67&lt;=SUMIFS(BONUS_RULES!$E$5:$E$46,BONUS_RULES!$A$5:$A$46,$C67,BONUS_RULES!$B$5:$B$46,"AHT"),SUMIFS(BONUS_RULES!$D$5:$D$46,BONUS_RULES!$A$5:$A$46,$C67,BONUS_RULES!$B$5:$B$46,"AHT"),IF(AGENT_INPUT!E67&lt;=SUMIFS(BONUS_RULES!$G$5:$G$46,BONUS_RULES!$A$5:$A$46,$C67,BONUS_RULES!$B$5:$B$46,"AHT"),SUMIFS(BONUS_RULES!$F$5:$F$46,BONUS_RULES!$A$5:$A$46,$C67,BONUS_RULES!$B$5:$B$46,"AHT"),0)))</f>
        <v>0.0</v>
      </c>
      <c r="G67" s="10">
        <f>IF(OR($A67="",$D67&lt;&gt;"READY"),"",IF(AGENT_INPUT!F67&gt;=SUMIFS(BONUS_RULES!$E$5:$E$46,BONUS_RULES!$A$5:$A$46,$C67,BONUS_RULES!$B$5:$B$46,"Productivity"),SUMIFS(BONUS_RULES!$D$5:$D$46,BONUS_RULES!$A$5:$A$46,$C67,BONUS_RULES!$B$5:$B$46,"Productivity"),IF(AGENT_INPUT!F67&gt;=SUMIFS(BONUS_RULES!$G$5:$G$46,BONUS_RULES!$A$5:$A$46,$C67,BONUS_RULES!$B$5:$B$46,"Productivity"),SUMIFS(BONUS_RULES!$F$5:$F$46,BONUS_RULES!$A$5:$A$46,$C67,BONUS_RULES!$B$5:$B$46,"Productivity"),0)))</f>
        <v>0.15</v>
      </c>
      <c r="H67" s="10">
        <f>IF(OR($A67="",$D67&lt;&gt;"READY"),"",IF(AGENT_INPUT!G67&gt;=SUMIFS(BONUS_RULES!$E$5:$E$46,BONUS_RULES!$A$5:$A$46,$C67,BONUS_RULES!$B$5:$B$46,"PCS Score"),SUMIFS(BONUS_RULES!$D$5:$D$46,BONUS_RULES!$A$5:$A$46,$C67,BONUS_RULES!$B$5:$B$46,"PCS Score"),IF(AGENT_INPUT!G67&gt;=SUMIFS(BONUS_RULES!$G$5:$G$46,BONUS_RULES!$A$5:$A$46,$C67,BONUS_RULES!$B$5:$B$46,"PCS Score"),SUMIFS(BONUS_RULES!$F$5:$F$46,BONUS_RULES!$A$5:$A$46,$C67,BONUS_RULES!$B$5:$B$46,"PCS Score"),0)))</f>
        <v>0.2</v>
      </c>
      <c r="I67" s="10">
        <f>IF(OR($A67="",$D67&lt;&gt;"READY"),"",IF(AGENT_INPUT!H67&gt;=SUMIFS(BONUS_RULES!$E$5:$E$46,BONUS_RULES!$A$5:$A$46,$C67,BONUS_RULES!$B$5:$B$46,"PCS % (Participation)"),SUMIFS(BONUS_RULES!$D$5:$D$46,BONUS_RULES!$A$5:$A$46,$C67,BONUS_RULES!$B$5:$B$46,"PCS % (Participation)"),IF(AGENT_INPUT!H67&gt;=SUMIFS(BONUS_RULES!$G$5:$G$46,BONUS_RULES!$A$5:$A$46,$C67,BONUS_RULES!$B$5:$B$46,"PCS % (Participation)"),SUMIFS(BONUS_RULES!$F$5:$F$46,BONUS_RULES!$A$5:$A$46,$C67,BONUS_RULES!$B$5:$B$46,"PCS % (Participation)"),0)))</f>
        <v>0.0</v>
      </c>
      <c r="J67" s="10">
        <f>IF(OR($A67="",$D67&lt;&gt;"READY"),"",IF(AGENT_INPUT!I67&gt;=SUMIFS(BONUS_RULES!$E$5:$E$46,BONUS_RULES!$A$5:$A$46,$C67,BONUS_RULES!$B$5:$B$46,"QM"),SUMIFS(BONUS_RULES!$D$5:$D$46,BONUS_RULES!$A$5:$A$46,$C67,BONUS_RULES!$B$5:$B$46,"QM"),IF(AGENT_INPUT!I67&gt;=SUMIFS(BONUS_RULES!$G$5:$G$46,BONUS_RULES!$A$5:$A$46,$C67,BONUS_RULES!$B$5:$B$46,"QM"),SUMIFS(BONUS_RULES!$F$5:$F$46,BONUS_RULES!$A$5:$A$46,$C67,BONUS_RULES!$B$5:$B$46,"QM"),0)))</f>
        <v>0.0</v>
      </c>
      <c r="K67" s="10">
        <f>IF(POLICY_APPROVAL!$B$9="Eligibility only",0,IF(OR($A67="",$D67&lt;&gt;"READY"),"",IF(AGENT_INPUT!J67&lt;=SUMIFS(BONUS_RULES!$E$5:$E$46,BONUS_RULES!$A$5:$A$46,$C67,BONUS_RULES!$B$5:$B$46,"Abs%"),SUMIFS(BONUS_RULES!$D$5:$D$46,BONUS_RULES!$A$5:$A$46,$C67,BONUS_RULES!$B$5:$B$46,"Abs%"),IF(AGENT_INPUT!J67&lt;=SUMIFS(BONUS_RULES!$G$5:$G$46,BONUS_RULES!$A$5:$A$46,$C67,BONUS_RULES!$B$5:$B$46,"Abs%"),SUMIFS(BONUS_RULES!$F$5:$F$46,BONUS_RULES!$A$5:$A$46,$C67,BONUS_RULES!$B$5:$B$46,"Abs%"),0))))</f>
        <v>0.15</v>
      </c>
      <c r="L67" s="10">
        <f>IF(OR($A67="",$D67&lt;&gt;"READY"),"",IF(AGENT_INPUT!G67&gt;=SUMIFS(BONUS_RULES!$E$5:$E$46,BONUS_RULES!$A$5:$A$46,$C67,BONUS_RULES!$B$5:$B$46,"Extra Bonus (PCS Score)"),SUMIFS(BONUS_RULES!$D$5:$D$46,BONUS_RULES!$A$5:$A$46,$C67,BONUS_RULES!$B$5:$B$46,"Extra Bonus (PCS Score)"),IF(AGENT_INPUT!G67&gt;=SUMIFS(BONUS_RULES!$G$5:$G$46,BONUS_RULES!$A$5:$A$46,$C67,BONUS_RULES!$B$5:$B$46,"Extra Bonus (PCS Score)"),SUMIFS(BONUS_RULES!$F$5:$F$46,BONUS_RULES!$A$5:$A$46,$C67,BONUS_RULES!$B$5:$B$46,"Extra Bonus (PCS Score)"),0)))</f>
        <v>0.3</v>
      </c>
      <c r="M67" s="10">
        <f>IF($A67="","",MIN(IF(POLICY_APPROVAL!$B$6="Replacement",SUM(F67:K67)-H67+MAX(H67,L67),SUM(F67:L67)),POLICY_APPROVAL!$B$10))</f>
        <v>0.8</v>
      </c>
      <c r="N67" s="10">
        <f>IF($A67="","",IFERROR(INDEX(BONUS_RULES!$J$5:$J$10,MATCH(MIN(MAX(AGENT_INPUT!K67,0),5),BONUS_RULES!$I$5:$I$10,0)),1))</f>
        <v>0</v>
      </c>
      <c r="O67" s="10">
        <f>IF(M67="","",MAX(0,IF(POLICY_APPROVAL!$B$5="Percentage points",M67-N67,M67*(1-N67))))</f>
        <v>0.8</v>
      </c>
      <c r="P67" s="11">
        <f>IF(D67&lt;&gt;"READY","",IF(AGENT_INPUT!O67&gt;0,AGENT_INPUT!O67,AGENT_INPUT!M67*AGENT_INPUT!N67/IF(POLICY_APPROVAL!$B$7="Annual",12,1)))</f>
        <v>2000.0</v>
      </c>
      <c r="Q67" s="10">
        <f>IF(D67&lt;&gt;"READY","",MIN(1,AGENT_INPUT!P67/AGENT_INPUT!Q67))</f>
        <v>1.0</v>
      </c>
      <c r="R67" s="11">
        <f>IF(D67&lt;&gt;"READY","",ROUND(P67*Q67*O67,IF(POLICY_APPROVAL!$B$11="Whole MAD",0,2)))</f>
        <v>1600.0</v>
      </c>
      <c r="S67" s="11">
        <f>IF(AND(SETUP!$B$9="READY",T67="READY"),R67,"")</f>
        <v/>
      </c>
      <c r="T67" s="4" t="str">
        <f>IF($A67="","",IF(D67&lt;&gt;"READY","BLOCKED - INPUT",IF(E67&lt;&gt;"ELIGIBLE","BLOCKED - ELIGIBILITY",IF(AGENT_INPUT!S67&lt;&gt;"VALIDATED","BLOCKED - DATA",IF(SETUP!$B$9&lt;&gt;"READY","BLOCKED - POLICY","READY")))))</f>
        <v>BLOCKED - ELIGIBILITY</v>
      </c>
      <c r="U67" s="4" t="str">
        <f>IF($A67="","",IF(COUNTIFS(AGENT_INPUT!$A$5:$A$254,$A67,AGENT_INPUT!$D$5:$D$254,AGENT_INPUT!D67)&gt;1,"DUPLICATE AGENT + PERIOD",IF(D67&lt;&gt;"READY","INPUT OR CONFIG REVIEW",IF(T67&lt;&gt;"READY",T67,""))))</f>
        <v>BLOCKED - ELIGIBILITY</v>
      </c>
    </row>
    <row r="68" spans="1:21">
      <c r="A68" s="4">
        <f>IF(AGENT_INPUT!A68="","",AGENT_INPUT!A68)</f>
        <v>224101</v>
      </c>
      <c r="B68" s="4" t="str">
        <f>IF($A68="","",AGENT_INPUT!B68)</f>
        <v>Monir Chouhaibi</v>
      </c>
      <c r="C68" s="4" t="str">
        <f>IF($A68="","",AGENT_INPUT!C68)</f>
        <v>RSA NL</v>
      </c>
      <c r="D68" s="4" t="str">
        <f>IF($A68="","",IF(AND(COUNT(AGENT_INPUT!E68:J68)=6,COUNT(AGENT_INPUT!K68)=1,COUNTIF(BONUS_RULES!$A$5:$A$46,AGENT_INPUT!C68)&gt;0,OR(AGENT_INPUT!O68&gt;0,AND(AGENT_INPUT!M68&gt;0,AGENT_INPUT!N68&gt;0)),AGENT_INPUT!P68&gt;=0,AGENT_INPUT!Q68&gt;0,AGENT_INPUT!P68&lt;=AGENT_INPUT!Q68,AGENT_INPUT!H68&gt;=0,AGENT_INPUT!H68&lt;=1,AGENT_INPUT!I68&gt;=0,AGENT_INPUT!I68&lt;=1,AGENT_INPUT!J68&gt;=0,AGENT_INPUT!J68&lt;=1),"READY","BLOCKED"))</f>
        <v>READY</v>
      </c>
      <c r="E68" s="4" t="str">
        <f>IF($A68="","",IF(AGENT_INPUT!R68&lt;&gt;"Active","REVIEW",IF(OR(POLICY_APPROVAL!$B$9="Eligibility only",POLICY_APPROVAL!$B$9="Both"),IF(AGENT_INPUT!J68&lt;=SUMIFS(BONUS_RULES!$E$5:$E$46,BONUS_RULES!$A$5:$A$46,$C68,BONUS_RULES!$B$5:$B$46,"Abs%"),"ELIGIBLE","INELIGIBLE ABS"),"ELIGIBLE")))</f>
        <v>REVIEW</v>
      </c>
      <c r="F68" s="10">
        <f>IF(OR($A68="",$D68&lt;&gt;"READY"),"",IF(AGENT_INPUT!E68&lt;=SUMIFS(BONUS_RULES!$E$5:$E$46,BONUS_RULES!$A$5:$A$46,$C68,BONUS_RULES!$B$5:$B$46,"AHT"),SUMIFS(BONUS_RULES!$D$5:$D$46,BONUS_RULES!$A$5:$A$46,$C68,BONUS_RULES!$B$5:$B$46,"AHT"),IF(AGENT_INPUT!E68&lt;=SUMIFS(BONUS_RULES!$G$5:$G$46,BONUS_RULES!$A$5:$A$46,$C68,BONUS_RULES!$B$5:$B$46,"AHT"),SUMIFS(BONUS_RULES!$F$5:$F$46,BONUS_RULES!$A$5:$A$46,$C68,BONUS_RULES!$B$5:$B$46,"AHT"),0)))</f>
        <v>0.15</v>
      </c>
      <c r="G68" s="10">
        <f>IF(OR($A68="",$D68&lt;&gt;"READY"),"",IF(AGENT_INPUT!F68&gt;=SUMIFS(BONUS_RULES!$E$5:$E$46,BONUS_RULES!$A$5:$A$46,$C68,BONUS_RULES!$B$5:$B$46,"Productivity"),SUMIFS(BONUS_RULES!$D$5:$D$46,BONUS_RULES!$A$5:$A$46,$C68,BONUS_RULES!$B$5:$B$46,"Productivity"),IF(AGENT_INPUT!F68&gt;=SUMIFS(BONUS_RULES!$G$5:$G$46,BONUS_RULES!$A$5:$A$46,$C68,BONUS_RULES!$B$5:$B$46,"Productivity"),SUMIFS(BONUS_RULES!$F$5:$F$46,BONUS_RULES!$A$5:$A$46,$C68,BONUS_RULES!$B$5:$B$46,"Productivity"),0)))</f>
        <v>0.15</v>
      </c>
      <c r="H68" s="10">
        <f>IF(OR($A68="",$D68&lt;&gt;"READY"),"",IF(AGENT_INPUT!G68&gt;=SUMIFS(BONUS_RULES!$E$5:$E$46,BONUS_RULES!$A$5:$A$46,$C68,BONUS_RULES!$B$5:$B$46,"PCS Score"),SUMIFS(BONUS_RULES!$D$5:$D$46,BONUS_RULES!$A$5:$A$46,$C68,BONUS_RULES!$B$5:$B$46,"PCS Score"),IF(AGENT_INPUT!G68&gt;=SUMIFS(BONUS_RULES!$G$5:$G$46,BONUS_RULES!$A$5:$A$46,$C68,BONUS_RULES!$B$5:$B$46,"PCS Score"),SUMIFS(BONUS_RULES!$F$5:$F$46,BONUS_RULES!$A$5:$A$46,$C68,BONUS_RULES!$B$5:$B$46,"PCS Score"),0)))</f>
        <v>0.0</v>
      </c>
      <c r="I68" s="10">
        <f>IF(OR($A68="",$D68&lt;&gt;"READY"),"",IF(AGENT_INPUT!H68&gt;=SUMIFS(BONUS_RULES!$E$5:$E$46,BONUS_RULES!$A$5:$A$46,$C68,BONUS_RULES!$B$5:$B$46,"PCS % (Participation)"),SUMIFS(BONUS_RULES!$D$5:$D$46,BONUS_RULES!$A$5:$A$46,$C68,BONUS_RULES!$B$5:$B$46,"PCS % (Participation)"),IF(AGENT_INPUT!H68&gt;=SUMIFS(BONUS_RULES!$G$5:$G$46,BONUS_RULES!$A$5:$A$46,$C68,BONUS_RULES!$B$5:$B$46,"PCS % (Participation)"),SUMIFS(BONUS_RULES!$F$5:$F$46,BONUS_RULES!$A$5:$A$46,$C68,BONUS_RULES!$B$5:$B$46,"PCS % (Participation)"),0)))</f>
        <v>0.0</v>
      </c>
      <c r="J68" s="10">
        <f>IF(OR($A68="",$D68&lt;&gt;"READY"),"",IF(AGENT_INPUT!I68&gt;=SUMIFS(BONUS_RULES!$E$5:$E$46,BONUS_RULES!$A$5:$A$46,$C68,BONUS_RULES!$B$5:$B$46,"QM"),SUMIFS(BONUS_RULES!$D$5:$D$46,BONUS_RULES!$A$5:$A$46,$C68,BONUS_RULES!$B$5:$B$46,"QM"),IF(AGENT_INPUT!I68&gt;=SUMIFS(BONUS_RULES!$G$5:$G$46,BONUS_RULES!$A$5:$A$46,$C68,BONUS_RULES!$B$5:$B$46,"QM"),SUMIFS(BONUS_RULES!$F$5:$F$46,BONUS_RULES!$A$5:$A$46,$C68,BONUS_RULES!$B$5:$B$46,"QM"),0)))</f>
        <v>0.0</v>
      </c>
      <c r="K68" s="10">
        <f>IF(POLICY_APPROVAL!$B$9="Eligibility only",0,IF(OR($A68="",$D68&lt;&gt;"READY"),"",IF(AGENT_INPUT!J68&lt;=SUMIFS(BONUS_RULES!$E$5:$E$46,BONUS_RULES!$A$5:$A$46,$C68,BONUS_RULES!$B$5:$B$46,"Abs%"),SUMIFS(BONUS_RULES!$D$5:$D$46,BONUS_RULES!$A$5:$A$46,$C68,BONUS_RULES!$B$5:$B$46,"Abs%"),IF(AGENT_INPUT!J68&lt;=SUMIFS(BONUS_RULES!$G$5:$G$46,BONUS_RULES!$A$5:$A$46,$C68,BONUS_RULES!$B$5:$B$46,"Abs%"),SUMIFS(BONUS_RULES!$F$5:$F$46,BONUS_RULES!$A$5:$A$46,$C68,BONUS_RULES!$B$5:$B$46,"Abs%"),0))))</f>
        <v>0.0</v>
      </c>
      <c r="L68" s="10">
        <f>IF(OR($A68="",$D68&lt;&gt;"READY"),"",IF(AGENT_INPUT!G68&gt;=SUMIFS(BONUS_RULES!$E$5:$E$46,BONUS_RULES!$A$5:$A$46,$C68,BONUS_RULES!$B$5:$B$46,"Extra Bonus (PCS Score)"),SUMIFS(BONUS_RULES!$D$5:$D$46,BONUS_RULES!$A$5:$A$46,$C68,BONUS_RULES!$B$5:$B$46,"Extra Bonus (PCS Score)"),IF(AGENT_INPUT!G68&gt;=SUMIFS(BONUS_RULES!$G$5:$G$46,BONUS_RULES!$A$5:$A$46,$C68,BONUS_RULES!$B$5:$B$46,"Extra Bonus (PCS Score)"),SUMIFS(BONUS_RULES!$F$5:$F$46,BONUS_RULES!$A$5:$A$46,$C68,BONUS_RULES!$B$5:$B$46,"Extra Bonus (PCS Score)"),0)))</f>
        <v>0.0</v>
      </c>
      <c r="M68" s="10">
        <f>IF($A68="","",MIN(IF(POLICY_APPROVAL!$B$6="Replacement",SUM(F68:K68)-H68+MAX(H68,L68),SUM(F68:L68)),POLICY_APPROVAL!$B$10))</f>
        <v>0.3</v>
      </c>
      <c r="N68" s="10">
        <f>IF($A68="","",IFERROR(INDEX(BONUS_RULES!$J$5:$J$10,MATCH(MIN(MAX(AGENT_INPUT!K68,0),5),BONUS_RULES!$I$5:$I$10,0)),1))</f>
        <v>0</v>
      </c>
      <c r="O68" s="10">
        <f>IF(M68="","",MAX(0,IF(POLICY_APPROVAL!$B$5="Percentage points",M68-N68,M68*(1-N68))))</f>
        <v>0.3</v>
      </c>
      <c r="P68" s="11">
        <f>IF(D68&lt;&gt;"READY","",IF(AGENT_INPUT!O68&gt;0,AGENT_INPUT!O68,AGENT_INPUT!M68*AGENT_INPUT!N68/IF(POLICY_APPROVAL!$B$7="Annual",12,1)))</f>
        <v>2000.0</v>
      </c>
      <c r="Q68" s="10">
        <f>IF(D68&lt;&gt;"READY","",MIN(1,AGENT_INPUT!P68/AGENT_INPUT!Q68))</f>
        <v>1.0</v>
      </c>
      <c r="R68" s="11">
        <f>IF(D68&lt;&gt;"READY","",ROUND(P68*Q68*O68,IF(POLICY_APPROVAL!$B$11="Whole MAD",0,2)))</f>
        <v>600.0</v>
      </c>
      <c r="S68" s="11">
        <f>IF(AND(SETUP!$B$9="READY",T68="READY"),R68,"")</f>
        <v/>
      </c>
      <c r="T68" s="4" t="str">
        <f>IF($A68="","",IF(D68&lt;&gt;"READY","BLOCKED - INPUT",IF(E68&lt;&gt;"ELIGIBLE","BLOCKED - ELIGIBILITY",IF(AGENT_INPUT!S68&lt;&gt;"VALIDATED","BLOCKED - DATA",IF(SETUP!$B$9&lt;&gt;"READY","BLOCKED - POLICY","READY")))))</f>
        <v>BLOCKED - ELIGIBILITY</v>
      </c>
      <c r="U68" s="4" t="str">
        <f>IF($A68="","",IF(COUNTIFS(AGENT_INPUT!$A$5:$A$254,$A68,AGENT_INPUT!$D$5:$D$254,AGENT_INPUT!D68)&gt;1,"DUPLICATE AGENT + PERIOD",IF(D68&lt;&gt;"READY","INPUT OR CONFIG REVIEW",IF(T68&lt;&gt;"READY",T68,""))))</f>
        <v>BLOCKED - ELIGIBILITY</v>
      </c>
    </row>
    <row r="69" spans="1:21">
      <c r="A69" s="4">
        <f>IF(AGENT_INPUT!A69="","",AGENT_INPUT!A69)</f>
        <v>96499</v>
      </c>
      <c r="B69" s="4" t="str">
        <f>IF($A69="","",AGENT_INPUT!B69)</f>
        <v>VERMEIRE Monique</v>
      </c>
      <c r="C69" s="4" t="str">
        <f>IF($A69="","",AGENT_INPUT!C69)</f>
        <v>RSA NL</v>
      </c>
      <c r="D69" s="4" t="str">
        <f>IF($A69="","",IF(AND(COUNT(AGENT_INPUT!E69:J69)=6,COUNT(AGENT_INPUT!K69)=1,COUNTIF(BONUS_RULES!$A$5:$A$46,AGENT_INPUT!C69)&gt;0,OR(AGENT_INPUT!O69&gt;0,AND(AGENT_INPUT!M69&gt;0,AGENT_INPUT!N69&gt;0)),AGENT_INPUT!P69&gt;=0,AGENT_INPUT!Q69&gt;0,AGENT_INPUT!P69&lt;=AGENT_INPUT!Q69,AGENT_INPUT!H69&gt;=0,AGENT_INPUT!H69&lt;=1,AGENT_INPUT!I69&gt;=0,AGENT_INPUT!I69&lt;=1,AGENT_INPUT!J69&gt;=0,AGENT_INPUT!J69&lt;=1),"READY","BLOCKED"))</f>
        <v>READY</v>
      </c>
      <c r="E69" s="4" t="str">
        <f>IF($A69="","",IF(AGENT_INPUT!R69&lt;&gt;"Active","REVIEW",IF(OR(POLICY_APPROVAL!$B$9="Eligibility only",POLICY_APPROVAL!$B$9="Both"),IF(AGENT_INPUT!J69&lt;=SUMIFS(BONUS_RULES!$E$5:$E$46,BONUS_RULES!$A$5:$A$46,$C69,BONUS_RULES!$B$5:$B$46,"Abs%"),"ELIGIBLE","INELIGIBLE ABS"),"ELIGIBLE")))</f>
        <v>REVIEW</v>
      </c>
      <c r="F69" s="10">
        <f>IF(OR($A69="",$D69&lt;&gt;"READY"),"",IF(AGENT_INPUT!E69&lt;=SUMIFS(BONUS_RULES!$E$5:$E$46,BONUS_RULES!$A$5:$A$46,$C69,BONUS_RULES!$B$5:$B$46,"AHT"),SUMIFS(BONUS_RULES!$D$5:$D$46,BONUS_RULES!$A$5:$A$46,$C69,BONUS_RULES!$B$5:$B$46,"AHT"),IF(AGENT_INPUT!E69&lt;=SUMIFS(BONUS_RULES!$G$5:$G$46,BONUS_RULES!$A$5:$A$46,$C69,BONUS_RULES!$B$5:$B$46,"AHT"),SUMIFS(BONUS_RULES!$F$5:$F$46,BONUS_RULES!$A$5:$A$46,$C69,BONUS_RULES!$B$5:$B$46,"AHT"),0)))</f>
        <v>0.15</v>
      </c>
      <c r="G69" s="10">
        <f>IF(OR($A69="",$D69&lt;&gt;"READY"),"",IF(AGENT_INPUT!F69&gt;=SUMIFS(BONUS_RULES!$E$5:$E$46,BONUS_RULES!$A$5:$A$46,$C69,BONUS_RULES!$B$5:$B$46,"Productivity"),SUMIFS(BONUS_RULES!$D$5:$D$46,BONUS_RULES!$A$5:$A$46,$C69,BONUS_RULES!$B$5:$B$46,"Productivity"),IF(AGENT_INPUT!F69&gt;=SUMIFS(BONUS_RULES!$G$5:$G$46,BONUS_RULES!$A$5:$A$46,$C69,BONUS_RULES!$B$5:$B$46,"Productivity"),SUMIFS(BONUS_RULES!$F$5:$F$46,BONUS_RULES!$A$5:$A$46,$C69,BONUS_RULES!$B$5:$B$46,"Productivity"),0)))</f>
        <v>0.15</v>
      </c>
      <c r="H69" s="10">
        <f>IF(OR($A69="",$D69&lt;&gt;"READY"),"",IF(AGENT_INPUT!G69&gt;=SUMIFS(BONUS_RULES!$E$5:$E$46,BONUS_RULES!$A$5:$A$46,$C69,BONUS_RULES!$B$5:$B$46,"PCS Score"),SUMIFS(BONUS_RULES!$D$5:$D$46,BONUS_RULES!$A$5:$A$46,$C69,BONUS_RULES!$B$5:$B$46,"PCS Score"),IF(AGENT_INPUT!G69&gt;=SUMIFS(BONUS_RULES!$G$5:$G$46,BONUS_RULES!$A$5:$A$46,$C69,BONUS_RULES!$B$5:$B$46,"PCS Score"),SUMIFS(BONUS_RULES!$F$5:$F$46,BONUS_RULES!$A$5:$A$46,$C69,BONUS_RULES!$B$5:$B$46,"PCS Score"),0)))</f>
        <v>0.0</v>
      </c>
      <c r="I69" s="10">
        <f>IF(OR($A69="",$D69&lt;&gt;"READY"),"",IF(AGENT_INPUT!H69&gt;=SUMIFS(BONUS_RULES!$E$5:$E$46,BONUS_RULES!$A$5:$A$46,$C69,BONUS_RULES!$B$5:$B$46,"PCS % (Participation)"),SUMIFS(BONUS_RULES!$D$5:$D$46,BONUS_RULES!$A$5:$A$46,$C69,BONUS_RULES!$B$5:$B$46,"PCS % (Participation)"),IF(AGENT_INPUT!H69&gt;=SUMIFS(BONUS_RULES!$G$5:$G$46,BONUS_RULES!$A$5:$A$46,$C69,BONUS_RULES!$B$5:$B$46,"PCS % (Participation)"),SUMIFS(BONUS_RULES!$F$5:$F$46,BONUS_RULES!$A$5:$A$46,$C69,BONUS_RULES!$B$5:$B$46,"PCS % (Participation)"),0)))</f>
        <v>0.0</v>
      </c>
      <c r="J69" s="10">
        <f>IF(OR($A69="",$D69&lt;&gt;"READY"),"",IF(AGENT_INPUT!I69&gt;=SUMIFS(BONUS_RULES!$E$5:$E$46,BONUS_RULES!$A$5:$A$46,$C69,BONUS_RULES!$B$5:$B$46,"QM"),SUMIFS(BONUS_RULES!$D$5:$D$46,BONUS_RULES!$A$5:$A$46,$C69,BONUS_RULES!$B$5:$B$46,"QM"),IF(AGENT_INPUT!I69&gt;=SUMIFS(BONUS_RULES!$G$5:$G$46,BONUS_RULES!$A$5:$A$46,$C69,BONUS_RULES!$B$5:$B$46,"QM"),SUMIFS(BONUS_RULES!$F$5:$F$46,BONUS_RULES!$A$5:$A$46,$C69,BONUS_RULES!$B$5:$B$46,"QM"),0)))</f>
        <v>0.15</v>
      </c>
      <c r="K69" s="10">
        <f>IF(POLICY_APPROVAL!$B$9="Eligibility only",0,IF(OR($A69="",$D69&lt;&gt;"READY"),"",IF(AGENT_INPUT!J69&lt;=SUMIFS(BONUS_RULES!$E$5:$E$46,BONUS_RULES!$A$5:$A$46,$C69,BONUS_RULES!$B$5:$B$46,"Abs%"),SUMIFS(BONUS_RULES!$D$5:$D$46,BONUS_RULES!$A$5:$A$46,$C69,BONUS_RULES!$B$5:$B$46,"Abs%"),IF(AGENT_INPUT!J69&lt;=SUMIFS(BONUS_RULES!$G$5:$G$46,BONUS_RULES!$A$5:$A$46,$C69,BONUS_RULES!$B$5:$B$46,"Abs%"),SUMIFS(BONUS_RULES!$F$5:$F$46,BONUS_RULES!$A$5:$A$46,$C69,BONUS_RULES!$B$5:$B$46,"Abs%"),0))))</f>
        <v>0.15</v>
      </c>
      <c r="L69" s="10">
        <f>IF(OR($A69="",$D69&lt;&gt;"READY"),"",IF(AGENT_INPUT!G69&gt;=SUMIFS(BONUS_RULES!$E$5:$E$46,BONUS_RULES!$A$5:$A$46,$C69,BONUS_RULES!$B$5:$B$46,"Extra Bonus (PCS Score)"),SUMIFS(BONUS_RULES!$D$5:$D$46,BONUS_RULES!$A$5:$A$46,$C69,BONUS_RULES!$B$5:$B$46,"Extra Bonus (PCS Score)"),IF(AGENT_INPUT!G69&gt;=SUMIFS(BONUS_RULES!$G$5:$G$46,BONUS_RULES!$A$5:$A$46,$C69,BONUS_RULES!$B$5:$B$46,"Extra Bonus (PCS Score)"),SUMIFS(BONUS_RULES!$F$5:$F$46,BONUS_RULES!$A$5:$A$46,$C69,BONUS_RULES!$B$5:$B$46,"Extra Bonus (PCS Score)"),0)))</f>
        <v>0.0</v>
      </c>
      <c r="M69" s="10">
        <f>IF($A69="","",MIN(IF(POLICY_APPROVAL!$B$6="Replacement",SUM(F69:K69)-H69+MAX(H69,L69),SUM(F69:L69)),POLICY_APPROVAL!$B$10))</f>
        <v>0.6</v>
      </c>
      <c r="N69" s="10">
        <f>IF($A69="","",IFERROR(INDEX(BONUS_RULES!$J$5:$J$10,MATCH(MIN(MAX(AGENT_INPUT!K69,0),5),BONUS_RULES!$I$5:$I$10,0)),1))</f>
        <v>0</v>
      </c>
      <c r="O69" s="10">
        <f>IF(M69="","",MAX(0,IF(POLICY_APPROVAL!$B$5="Percentage points",M69-N69,M69*(1-N69))))</f>
        <v>0.6</v>
      </c>
      <c r="P69" s="11">
        <f>IF(D69&lt;&gt;"READY","",IF(AGENT_INPUT!O69&gt;0,AGENT_INPUT!O69,AGENT_INPUT!M69*AGENT_INPUT!N69/IF(POLICY_APPROVAL!$B$7="Annual",12,1)))</f>
        <v>2000.0</v>
      </c>
      <c r="Q69" s="10">
        <f>IF(D69&lt;&gt;"READY","",MIN(1,AGENT_INPUT!P69/AGENT_INPUT!Q69))</f>
        <v>1.0</v>
      </c>
      <c r="R69" s="11">
        <f>IF(D69&lt;&gt;"READY","",ROUND(P69*Q69*O69,IF(POLICY_APPROVAL!$B$11="Whole MAD",0,2)))</f>
        <v>1200.0</v>
      </c>
      <c r="S69" s="11">
        <f>IF(AND(SETUP!$B$9="READY",T69="READY"),R69,"")</f>
        <v/>
      </c>
      <c r="T69" s="4" t="str">
        <f>IF($A69="","",IF(D69&lt;&gt;"READY","BLOCKED - INPUT",IF(E69&lt;&gt;"ELIGIBLE","BLOCKED - ELIGIBILITY",IF(AGENT_INPUT!S69&lt;&gt;"VALIDATED","BLOCKED - DATA",IF(SETUP!$B$9&lt;&gt;"READY","BLOCKED - POLICY","READY")))))</f>
        <v>BLOCKED - ELIGIBILITY</v>
      </c>
      <c r="U69" s="4" t="str">
        <f>IF($A69="","",IF(COUNTIFS(AGENT_INPUT!$A$5:$A$254,$A69,AGENT_INPUT!$D$5:$D$254,AGENT_INPUT!D69)&gt;1,"DUPLICATE AGENT + PERIOD",IF(D69&lt;&gt;"READY","INPUT OR CONFIG REVIEW",IF(T69&lt;&gt;"READY",T69,""))))</f>
        <v>BLOCKED - ELIGIBILITY</v>
      </c>
    </row>
    <row r="70" spans="1:21">
      <c r="A70" s="4">
        <f>IF(AGENT_INPUT!A70="","",AGENT_INPUT!A70)</f>
        <v>96452</v>
      </c>
      <c r="B70" s="4" t="str">
        <f>IF($A70="","",AGENT_INPUT!B70)</f>
        <v>QNICHER Mohammed Ali</v>
      </c>
      <c r="C70" s="4" t="str">
        <f>IF($A70="","",AGENT_INPUT!C70)</f>
        <v>RSA NL</v>
      </c>
      <c r="D70" s="4" t="str">
        <f>IF($A70="","",IF(AND(COUNT(AGENT_INPUT!E70:J70)=6,COUNT(AGENT_INPUT!K70)=1,COUNTIF(BONUS_RULES!$A$5:$A$46,AGENT_INPUT!C70)&gt;0,OR(AGENT_INPUT!O70&gt;0,AND(AGENT_INPUT!M70&gt;0,AGENT_INPUT!N70&gt;0)),AGENT_INPUT!P70&gt;=0,AGENT_INPUT!Q70&gt;0,AGENT_INPUT!P70&lt;=AGENT_INPUT!Q70,AGENT_INPUT!H70&gt;=0,AGENT_INPUT!H70&lt;=1,AGENT_INPUT!I70&gt;=0,AGENT_INPUT!I70&lt;=1,AGENT_INPUT!J70&gt;=0,AGENT_INPUT!J70&lt;=1),"READY","BLOCKED"))</f>
        <v>READY</v>
      </c>
      <c r="E70" s="4" t="str">
        <f>IF($A70="","",IF(AGENT_INPUT!R70&lt;&gt;"Active","REVIEW",IF(OR(POLICY_APPROVAL!$B$9="Eligibility only",POLICY_APPROVAL!$B$9="Both"),IF(AGENT_INPUT!J70&lt;=SUMIFS(BONUS_RULES!$E$5:$E$46,BONUS_RULES!$A$5:$A$46,$C70,BONUS_RULES!$B$5:$B$46,"Abs%"),"ELIGIBLE","INELIGIBLE ABS"),"ELIGIBLE")))</f>
        <v>REVIEW</v>
      </c>
      <c r="F70" s="10">
        <f>IF(OR($A70="",$D70&lt;&gt;"READY"),"",IF(AGENT_INPUT!E70&lt;=SUMIFS(BONUS_RULES!$E$5:$E$46,BONUS_RULES!$A$5:$A$46,$C70,BONUS_RULES!$B$5:$B$46,"AHT"),SUMIFS(BONUS_RULES!$D$5:$D$46,BONUS_RULES!$A$5:$A$46,$C70,BONUS_RULES!$B$5:$B$46,"AHT"),IF(AGENT_INPUT!E70&lt;=SUMIFS(BONUS_RULES!$G$5:$G$46,BONUS_RULES!$A$5:$A$46,$C70,BONUS_RULES!$B$5:$B$46,"AHT"),SUMIFS(BONUS_RULES!$F$5:$F$46,BONUS_RULES!$A$5:$A$46,$C70,BONUS_RULES!$B$5:$B$46,"AHT"),0)))</f>
        <v>0.15</v>
      </c>
      <c r="G70" s="10">
        <f>IF(OR($A70="",$D70&lt;&gt;"READY"),"",IF(AGENT_INPUT!F70&gt;=SUMIFS(BONUS_RULES!$E$5:$E$46,BONUS_RULES!$A$5:$A$46,$C70,BONUS_RULES!$B$5:$B$46,"Productivity"),SUMIFS(BONUS_RULES!$D$5:$D$46,BONUS_RULES!$A$5:$A$46,$C70,BONUS_RULES!$B$5:$B$46,"Productivity"),IF(AGENT_INPUT!F70&gt;=SUMIFS(BONUS_RULES!$G$5:$G$46,BONUS_RULES!$A$5:$A$46,$C70,BONUS_RULES!$B$5:$B$46,"Productivity"),SUMIFS(BONUS_RULES!$F$5:$F$46,BONUS_RULES!$A$5:$A$46,$C70,BONUS_RULES!$B$5:$B$46,"Productivity"),0)))</f>
        <v>0.15</v>
      </c>
      <c r="H70" s="10">
        <f>IF(OR($A70="",$D70&lt;&gt;"READY"),"",IF(AGENT_INPUT!G70&gt;=SUMIFS(BONUS_RULES!$E$5:$E$46,BONUS_RULES!$A$5:$A$46,$C70,BONUS_RULES!$B$5:$B$46,"PCS Score"),SUMIFS(BONUS_RULES!$D$5:$D$46,BONUS_RULES!$A$5:$A$46,$C70,BONUS_RULES!$B$5:$B$46,"PCS Score"),IF(AGENT_INPUT!G70&gt;=SUMIFS(BONUS_RULES!$G$5:$G$46,BONUS_RULES!$A$5:$A$46,$C70,BONUS_RULES!$B$5:$B$46,"PCS Score"),SUMIFS(BONUS_RULES!$F$5:$F$46,BONUS_RULES!$A$5:$A$46,$C70,BONUS_RULES!$B$5:$B$46,"PCS Score"),0)))</f>
        <v>0.0</v>
      </c>
      <c r="I70" s="10">
        <f>IF(OR($A70="",$D70&lt;&gt;"READY"),"",IF(AGENT_INPUT!H70&gt;=SUMIFS(BONUS_RULES!$E$5:$E$46,BONUS_RULES!$A$5:$A$46,$C70,BONUS_RULES!$B$5:$B$46,"PCS % (Participation)"),SUMIFS(BONUS_RULES!$D$5:$D$46,BONUS_RULES!$A$5:$A$46,$C70,BONUS_RULES!$B$5:$B$46,"PCS % (Participation)"),IF(AGENT_INPUT!H70&gt;=SUMIFS(BONUS_RULES!$G$5:$G$46,BONUS_RULES!$A$5:$A$46,$C70,BONUS_RULES!$B$5:$B$46,"PCS % (Participation)"),SUMIFS(BONUS_RULES!$F$5:$F$46,BONUS_RULES!$A$5:$A$46,$C70,BONUS_RULES!$B$5:$B$46,"PCS % (Participation)"),0)))</f>
        <v>0.0</v>
      </c>
      <c r="J70" s="10">
        <f>IF(OR($A70="",$D70&lt;&gt;"READY"),"",IF(AGENT_INPUT!I70&gt;=SUMIFS(BONUS_RULES!$E$5:$E$46,BONUS_RULES!$A$5:$A$46,$C70,BONUS_RULES!$B$5:$B$46,"QM"),SUMIFS(BONUS_RULES!$D$5:$D$46,BONUS_RULES!$A$5:$A$46,$C70,BONUS_RULES!$B$5:$B$46,"QM"),IF(AGENT_INPUT!I70&gt;=SUMIFS(BONUS_RULES!$G$5:$G$46,BONUS_RULES!$A$5:$A$46,$C70,BONUS_RULES!$B$5:$B$46,"QM"),SUMIFS(BONUS_RULES!$F$5:$F$46,BONUS_RULES!$A$5:$A$46,$C70,BONUS_RULES!$B$5:$B$46,"QM"),0)))</f>
        <v>0.0</v>
      </c>
      <c r="K70" s="10">
        <f>IF(POLICY_APPROVAL!$B$9="Eligibility only",0,IF(OR($A70="",$D70&lt;&gt;"READY"),"",IF(AGENT_INPUT!J70&lt;=SUMIFS(BONUS_RULES!$E$5:$E$46,BONUS_RULES!$A$5:$A$46,$C70,BONUS_RULES!$B$5:$B$46,"Abs%"),SUMIFS(BONUS_RULES!$D$5:$D$46,BONUS_RULES!$A$5:$A$46,$C70,BONUS_RULES!$B$5:$B$46,"Abs%"),IF(AGENT_INPUT!J70&lt;=SUMIFS(BONUS_RULES!$G$5:$G$46,BONUS_RULES!$A$5:$A$46,$C70,BONUS_RULES!$B$5:$B$46,"Abs%"),SUMIFS(BONUS_RULES!$F$5:$F$46,BONUS_RULES!$A$5:$A$46,$C70,BONUS_RULES!$B$5:$B$46,"Abs%"),0))))</f>
        <v>0.15</v>
      </c>
      <c r="L70" s="10">
        <f>IF(OR($A70="",$D70&lt;&gt;"READY"),"",IF(AGENT_INPUT!G70&gt;=SUMIFS(BONUS_RULES!$E$5:$E$46,BONUS_RULES!$A$5:$A$46,$C70,BONUS_RULES!$B$5:$B$46,"Extra Bonus (PCS Score)"),SUMIFS(BONUS_RULES!$D$5:$D$46,BONUS_RULES!$A$5:$A$46,$C70,BONUS_RULES!$B$5:$B$46,"Extra Bonus (PCS Score)"),IF(AGENT_INPUT!G70&gt;=SUMIFS(BONUS_RULES!$G$5:$G$46,BONUS_RULES!$A$5:$A$46,$C70,BONUS_RULES!$B$5:$B$46,"Extra Bonus (PCS Score)"),SUMIFS(BONUS_RULES!$F$5:$F$46,BONUS_RULES!$A$5:$A$46,$C70,BONUS_RULES!$B$5:$B$46,"Extra Bonus (PCS Score)"),0)))</f>
        <v>0.0</v>
      </c>
      <c r="M70" s="10">
        <f>IF($A70="","",MIN(IF(POLICY_APPROVAL!$B$6="Replacement",SUM(F70:K70)-H70+MAX(H70,L70),SUM(F70:L70)),POLICY_APPROVAL!$B$10))</f>
        <v>0.44999999999999996</v>
      </c>
      <c r="N70" s="10">
        <f>IF($A70="","",IFERROR(INDEX(BONUS_RULES!$J$5:$J$10,MATCH(MIN(MAX(AGENT_INPUT!K70,0),5),BONUS_RULES!$I$5:$I$10,0)),1))</f>
        <v>0</v>
      </c>
      <c r="O70" s="10">
        <f>IF(M70="","",MAX(0,IF(POLICY_APPROVAL!$B$5="Percentage points",M70-N70,M70*(1-N70))))</f>
        <v>0.44999999999999996</v>
      </c>
      <c r="P70" s="11">
        <f>IF(D70&lt;&gt;"READY","",IF(AGENT_INPUT!O70&gt;0,AGENT_INPUT!O70,AGENT_INPUT!M70*AGENT_INPUT!N70/IF(POLICY_APPROVAL!$B$7="Annual",12,1)))</f>
        <v>2000.0</v>
      </c>
      <c r="Q70" s="10">
        <f>IF(D70&lt;&gt;"READY","",MIN(1,AGENT_INPUT!P70/AGENT_INPUT!Q70))</f>
        <v>1.0</v>
      </c>
      <c r="R70" s="11">
        <f>IF(D70&lt;&gt;"READY","",ROUND(P70*Q70*O70,IF(POLICY_APPROVAL!$B$11="Whole MAD",0,2)))</f>
        <v>900.0</v>
      </c>
      <c r="S70" s="11">
        <f>IF(AND(SETUP!$B$9="READY",T70="READY"),R70,"")</f>
        <v/>
      </c>
      <c r="T70" s="4" t="str">
        <f>IF($A70="","",IF(D70&lt;&gt;"READY","BLOCKED - INPUT",IF(E70&lt;&gt;"ELIGIBLE","BLOCKED - ELIGIBILITY",IF(AGENT_INPUT!S70&lt;&gt;"VALIDATED","BLOCKED - DATA",IF(SETUP!$B$9&lt;&gt;"READY","BLOCKED - POLICY","READY")))))</f>
        <v>BLOCKED - ELIGIBILITY</v>
      </c>
      <c r="U70" s="4" t="str">
        <f>IF($A70="","",IF(COUNTIFS(AGENT_INPUT!$A$5:$A$254,$A70,AGENT_INPUT!$D$5:$D$254,AGENT_INPUT!D70)&gt;1,"DUPLICATE AGENT + PERIOD",IF(D70&lt;&gt;"READY","INPUT OR CONFIG REVIEW",IF(T70&lt;&gt;"READY",T70,""))))</f>
        <v>BLOCKED - ELIGIBILITY</v>
      </c>
    </row>
    <row r="71" spans="1:21">
      <c r="A71" s="4">
        <f>IF(AGENT_INPUT!A71="","",AGENT_INPUT!A71)</f>
        <v>244549</v>
      </c>
      <c r="B71" s="4" t="str">
        <f>IF($A71="","",AGENT_INPUT!B71)</f>
        <v>Amine Bensid</v>
      </c>
      <c r="C71" s="4" t="str">
        <f>IF($A71="","",AGENT_INPUT!C71)</f>
        <v>RSA NL</v>
      </c>
      <c r="D71" s="4" t="str">
        <f>IF($A71="","",IF(AND(COUNT(AGENT_INPUT!E71:J71)=6,COUNT(AGENT_INPUT!K71)=1,COUNTIF(BONUS_RULES!$A$5:$A$46,AGENT_INPUT!C71)&gt;0,OR(AGENT_INPUT!O71&gt;0,AND(AGENT_INPUT!M71&gt;0,AGENT_INPUT!N71&gt;0)),AGENT_INPUT!P71&gt;=0,AGENT_INPUT!Q71&gt;0,AGENT_INPUT!P71&lt;=AGENT_INPUT!Q71,AGENT_INPUT!H71&gt;=0,AGENT_INPUT!H71&lt;=1,AGENT_INPUT!I71&gt;=0,AGENT_INPUT!I71&lt;=1,AGENT_INPUT!J71&gt;=0,AGENT_INPUT!J71&lt;=1),"READY","BLOCKED"))</f>
        <v>BLOCKED</v>
      </c>
      <c r="E71" s="4">
        <f>IF($A71="","",IF(AGENT_INPUT!R71&lt;&gt;"Active","REVIEW",IF(OR(POLICY_APPROVAL!$B$9="Eligibility only",POLICY_APPROVAL!$B$9="Both"),IF(AGENT_INPUT!J71&lt;=SUMIFS(BONUS_RULES!$E$5:$E$46,BONUS_RULES!$A$5:$A$46,$C71,BONUS_RULES!$B$5:$B$46,"Abs%"),"ELIGIBLE","INELIGIBLE ABS"),"ELIGIBLE")))</f>
        <v/>
      </c>
      <c r="F71" s="10">
        <f>IF(OR($A71="",$D71&lt;&gt;"READY"),"",IF(AGENT_INPUT!E71&lt;=SUMIFS(BONUS_RULES!$E$5:$E$46,BONUS_RULES!$A$5:$A$46,$C71,BONUS_RULES!$B$5:$B$46,"AHT"),SUMIFS(BONUS_RULES!$D$5:$D$46,BONUS_RULES!$A$5:$A$46,$C71,BONUS_RULES!$B$5:$B$46,"AHT"),IF(AGENT_INPUT!E71&lt;=SUMIFS(BONUS_RULES!$G$5:$G$46,BONUS_RULES!$A$5:$A$46,$C71,BONUS_RULES!$B$5:$B$46,"AHT"),SUMIFS(BONUS_RULES!$F$5:$F$46,BONUS_RULES!$A$5:$A$46,$C71,BONUS_RULES!$B$5:$B$46,"AHT"),0)))</f>
        <v/>
      </c>
      <c r="G71" s="10">
        <f>IF(OR($A71="",$D71&lt;&gt;"READY"),"",IF(AGENT_INPUT!F71&gt;=SUMIFS(BONUS_RULES!$E$5:$E$46,BONUS_RULES!$A$5:$A$46,$C71,BONUS_RULES!$B$5:$B$46,"Productivity"),SUMIFS(BONUS_RULES!$D$5:$D$46,BONUS_RULES!$A$5:$A$46,$C71,BONUS_RULES!$B$5:$B$46,"Productivity"),IF(AGENT_INPUT!F71&gt;=SUMIFS(BONUS_RULES!$G$5:$G$46,BONUS_RULES!$A$5:$A$46,$C71,BONUS_RULES!$B$5:$B$46,"Productivity"),SUMIFS(BONUS_RULES!$F$5:$F$46,BONUS_RULES!$A$5:$A$46,$C71,BONUS_RULES!$B$5:$B$46,"Productivity"),0)))</f>
        <v/>
      </c>
      <c r="H71" s="10">
        <f>IF(OR($A71="",$D71&lt;&gt;"READY"),"",IF(AGENT_INPUT!G71&gt;=SUMIFS(BONUS_RULES!$E$5:$E$46,BONUS_RULES!$A$5:$A$46,$C71,BONUS_RULES!$B$5:$B$46,"PCS Score"),SUMIFS(BONUS_RULES!$D$5:$D$46,BONUS_RULES!$A$5:$A$46,$C71,BONUS_RULES!$B$5:$B$46,"PCS Score"),IF(AGENT_INPUT!G71&gt;=SUMIFS(BONUS_RULES!$G$5:$G$46,BONUS_RULES!$A$5:$A$46,$C71,BONUS_RULES!$B$5:$B$46,"PCS Score"),SUMIFS(BONUS_RULES!$F$5:$F$46,BONUS_RULES!$A$5:$A$46,$C71,BONUS_RULES!$B$5:$B$46,"PCS Score"),0)))</f>
        <v/>
      </c>
      <c r="I71" s="10">
        <f>IF(OR($A71="",$D71&lt;&gt;"READY"),"",IF(AGENT_INPUT!H71&gt;=SUMIFS(BONUS_RULES!$E$5:$E$46,BONUS_RULES!$A$5:$A$46,$C71,BONUS_RULES!$B$5:$B$46,"PCS % (Participation)"),SUMIFS(BONUS_RULES!$D$5:$D$46,BONUS_RULES!$A$5:$A$46,$C71,BONUS_RULES!$B$5:$B$46,"PCS % (Participation)"),IF(AGENT_INPUT!H71&gt;=SUMIFS(BONUS_RULES!$G$5:$G$46,BONUS_RULES!$A$5:$A$46,$C71,BONUS_RULES!$B$5:$B$46,"PCS % (Participation)"),SUMIFS(BONUS_RULES!$F$5:$F$46,BONUS_RULES!$A$5:$A$46,$C71,BONUS_RULES!$B$5:$B$46,"PCS % (Participation)"),0)))</f>
        <v/>
      </c>
      <c r="J71" s="10">
        <f>IF(OR($A71="",$D71&lt;&gt;"READY"),"",IF(AGENT_INPUT!I71&gt;=SUMIFS(BONUS_RULES!$E$5:$E$46,BONUS_RULES!$A$5:$A$46,$C71,BONUS_RULES!$B$5:$B$46,"QM"),SUMIFS(BONUS_RULES!$D$5:$D$46,BONUS_RULES!$A$5:$A$46,$C71,BONUS_RULES!$B$5:$B$46,"QM"),IF(AGENT_INPUT!I71&gt;=SUMIFS(BONUS_RULES!$G$5:$G$46,BONUS_RULES!$A$5:$A$46,$C71,BONUS_RULES!$B$5:$B$46,"QM"),SUMIFS(BONUS_RULES!$F$5:$F$46,BONUS_RULES!$A$5:$A$46,$C71,BONUS_RULES!$B$5:$B$46,"QM"),0)))</f>
        <v/>
      </c>
      <c r="K71" s="10">
        <f>IF(POLICY_APPROVAL!$B$9="Eligibility only",0,IF(OR($A71="",$D71&lt;&gt;"READY"),"",IF(AGENT_INPUT!J71&lt;=SUMIFS(BONUS_RULES!$E$5:$E$46,BONUS_RULES!$A$5:$A$46,$C71,BONUS_RULES!$B$5:$B$46,"Abs%"),SUMIFS(BONUS_RULES!$D$5:$D$46,BONUS_RULES!$A$5:$A$46,$C71,BONUS_RULES!$B$5:$B$46,"Abs%"),IF(AGENT_INPUT!J71&lt;=SUMIFS(BONUS_RULES!$G$5:$G$46,BONUS_RULES!$A$5:$A$46,$C71,BONUS_RULES!$B$5:$B$46,"Abs%"),SUMIFS(BONUS_RULES!$F$5:$F$46,BONUS_RULES!$A$5:$A$46,$C71,BONUS_RULES!$B$5:$B$46,"Abs%"),0))))</f>
        <v/>
      </c>
      <c r="L71" s="10">
        <f>IF(OR($A71="",$D71&lt;&gt;"READY"),"",IF(AGENT_INPUT!G71&gt;=SUMIFS(BONUS_RULES!$E$5:$E$46,BONUS_RULES!$A$5:$A$46,$C71,BONUS_RULES!$B$5:$B$46,"Extra Bonus (PCS Score)"),SUMIFS(BONUS_RULES!$D$5:$D$46,BONUS_RULES!$A$5:$A$46,$C71,BONUS_RULES!$B$5:$B$46,"Extra Bonus (PCS Score)"),IF(AGENT_INPUT!G71&gt;=SUMIFS(BONUS_RULES!$G$5:$G$46,BONUS_RULES!$A$5:$A$46,$C71,BONUS_RULES!$B$5:$B$46,"Extra Bonus (PCS Score)"),SUMIFS(BONUS_RULES!$F$5:$F$46,BONUS_RULES!$A$5:$A$46,$C71,BONUS_RULES!$B$5:$B$46,"Extra Bonus (PCS Score)"),0)))</f>
        <v/>
      </c>
      <c r="M71" s="10">
        <f>IF($A71="","",MIN(IF(POLICY_APPROVAL!$B$6="Replacement",SUM(F71:K71)-H71+MAX(H71,L71),SUM(F71:L71)),POLICY_APPROVAL!$B$10))</f>
        <v>0</v>
      </c>
      <c r="N71" s="10">
        <f>IF($A71="","",IFERROR(INDEX(BONUS_RULES!$J$5:$J$10,MATCH(MIN(MAX(AGENT_INPUT!K71,0),5),BONUS_RULES!$I$5:$I$10,0)),1))</f>
        <v>0</v>
      </c>
      <c r="O71" s="10">
        <f>IF(M71="","",MAX(0,IF(POLICY_APPROVAL!$B$5="Percentage points",M71-N71,M71*(1-N71))))</f>
        <v>0</v>
      </c>
      <c r="P71" s="11">
        <f>IF(D71&lt;&gt;"READY","",IF(AGENT_INPUT!O71&gt;0,AGENT_INPUT!O71,AGENT_INPUT!M71*AGENT_INPUT!N71/IF(POLICY_APPROVAL!$B$7="Annual",12,1)))</f>
        <v/>
      </c>
      <c r="Q71" s="10">
        <f>IF(D71&lt;&gt;"READY","",MIN(1,AGENT_INPUT!P71/AGENT_INPUT!Q71))</f>
        <v/>
      </c>
      <c r="R71" s="11">
        <f>IF(D71&lt;&gt;"READY","",ROUND(P71*Q71*O71,IF(POLICY_APPROVAL!$B$11="Whole MAD",0,2)))</f>
        <v/>
      </c>
      <c r="S71" s="11">
        <f>IF(AND(SETUP!$B$9="READY",T71="READY"),R71,"")</f>
        <v/>
      </c>
      <c r="T71" s="4" t="str">
        <f>IF($A71="","",IF(D71&lt;&gt;"READY","BLOCKED - INPUT",IF(E71&lt;&gt;"ELIGIBLE","BLOCKED - ELIGIBILITY",IF(AGENT_INPUT!S71&lt;&gt;"VALIDATED","BLOCKED - DATA",IF(SETUP!$B$9&lt;&gt;"READY","BLOCKED - POLICY","READY")))))</f>
        <v>BLOCKED - INPUT</v>
      </c>
      <c r="U71" s="4" t="str">
        <f>IF($A71="","",IF(COUNTIFS(AGENT_INPUT!$A$5:$A$254,$A71,AGENT_INPUT!$D$5:$D$254,AGENT_INPUT!D71)&gt;1,"DUPLICATE AGENT + PERIOD",IF(D71&lt;&gt;"READY","INPUT OR CONFIG REVIEW",IF(T71&lt;&gt;"READY",T71,""))))</f>
        <v>Missing, invalid, or unconfigured required input</v>
      </c>
    </row>
    <row r="72" spans="1:21">
      <c r="A72" s="4">
        <f>IF(AGENT_INPUT!A72="","",AGENT_INPUT!A72)</f>
        <v>262905</v>
      </c>
      <c r="B72" s="4" t="str">
        <f>IF($A72="","",AGENT_INPUT!B72)</f>
        <v>Mohamed ALHABIB AIT HAMID</v>
      </c>
      <c r="C72" s="4" t="str">
        <f>IF($A72="","",AGENT_INPUT!C72)</f>
        <v>OEM FR</v>
      </c>
      <c r="D72" s="4" t="str">
        <f>IF($A72="","",IF(AND(COUNT(AGENT_INPUT!E72:J72)=6,COUNT(AGENT_INPUT!K72)=1,COUNTIF(BONUS_RULES!$A$5:$A$46,AGENT_INPUT!C72)&gt;0,OR(AGENT_INPUT!O72&gt;0,AND(AGENT_INPUT!M72&gt;0,AGENT_INPUT!N72&gt;0)),AGENT_INPUT!P72&gt;=0,AGENT_INPUT!Q72&gt;0,AGENT_INPUT!P72&lt;=AGENT_INPUT!Q72,AGENT_INPUT!H72&gt;=0,AGENT_INPUT!H72&lt;=1,AGENT_INPUT!I72&gt;=0,AGENT_INPUT!I72&lt;=1,AGENT_INPUT!J72&gt;=0,AGENT_INPUT!J72&lt;=1),"READY","BLOCKED"))</f>
        <v>BLOCKED</v>
      </c>
      <c r="E72" s="4">
        <f>IF($A72="","",IF(AGENT_INPUT!R72&lt;&gt;"Active","REVIEW",IF(OR(POLICY_APPROVAL!$B$9="Eligibility only",POLICY_APPROVAL!$B$9="Both"),IF(AGENT_INPUT!J72&lt;=SUMIFS(BONUS_RULES!$E$5:$E$46,BONUS_RULES!$A$5:$A$46,$C72,BONUS_RULES!$B$5:$B$46,"Abs%"),"ELIGIBLE","INELIGIBLE ABS"),"ELIGIBLE")))</f>
        <v/>
      </c>
      <c r="F72" s="10">
        <f>IF(OR($A72="",$D72&lt;&gt;"READY"),"",IF(AGENT_INPUT!E72&lt;=SUMIFS(BONUS_RULES!$E$5:$E$46,BONUS_RULES!$A$5:$A$46,$C72,BONUS_RULES!$B$5:$B$46,"AHT"),SUMIFS(BONUS_RULES!$D$5:$D$46,BONUS_RULES!$A$5:$A$46,$C72,BONUS_RULES!$B$5:$B$46,"AHT"),IF(AGENT_INPUT!E72&lt;=SUMIFS(BONUS_RULES!$G$5:$G$46,BONUS_RULES!$A$5:$A$46,$C72,BONUS_RULES!$B$5:$B$46,"AHT"),SUMIFS(BONUS_RULES!$F$5:$F$46,BONUS_RULES!$A$5:$A$46,$C72,BONUS_RULES!$B$5:$B$46,"AHT"),0)))</f>
        <v/>
      </c>
      <c r="G72" s="10">
        <f>IF(OR($A72="",$D72&lt;&gt;"READY"),"",IF(AGENT_INPUT!F72&gt;=SUMIFS(BONUS_RULES!$E$5:$E$46,BONUS_RULES!$A$5:$A$46,$C72,BONUS_RULES!$B$5:$B$46,"Productivity"),SUMIFS(BONUS_RULES!$D$5:$D$46,BONUS_RULES!$A$5:$A$46,$C72,BONUS_RULES!$B$5:$B$46,"Productivity"),IF(AGENT_INPUT!F72&gt;=SUMIFS(BONUS_RULES!$G$5:$G$46,BONUS_RULES!$A$5:$A$46,$C72,BONUS_RULES!$B$5:$B$46,"Productivity"),SUMIFS(BONUS_RULES!$F$5:$F$46,BONUS_RULES!$A$5:$A$46,$C72,BONUS_RULES!$B$5:$B$46,"Productivity"),0)))</f>
        <v/>
      </c>
      <c r="H72" s="10">
        <f>IF(OR($A72="",$D72&lt;&gt;"READY"),"",IF(AGENT_INPUT!G72&gt;=SUMIFS(BONUS_RULES!$E$5:$E$46,BONUS_RULES!$A$5:$A$46,$C72,BONUS_RULES!$B$5:$B$46,"PCS Score"),SUMIFS(BONUS_RULES!$D$5:$D$46,BONUS_RULES!$A$5:$A$46,$C72,BONUS_RULES!$B$5:$B$46,"PCS Score"),IF(AGENT_INPUT!G72&gt;=SUMIFS(BONUS_RULES!$G$5:$G$46,BONUS_RULES!$A$5:$A$46,$C72,BONUS_RULES!$B$5:$B$46,"PCS Score"),SUMIFS(BONUS_RULES!$F$5:$F$46,BONUS_RULES!$A$5:$A$46,$C72,BONUS_RULES!$B$5:$B$46,"PCS Score"),0)))</f>
        <v/>
      </c>
      <c r="I72" s="10">
        <f>IF(OR($A72="",$D72&lt;&gt;"READY"),"",IF(AGENT_INPUT!H72&gt;=SUMIFS(BONUS_RULES!$E$5:$E$46,BONUS_RULES!$A$5:$A$46,$C72,BONUS_RULES!$B$5:$B$46,"PCS % (Participation)"),SUMIFS(BONUS_RULES!$D$5:$D$46,BONUS_RULES!$A$5:$A$46,$C72,BONUS_RULES!$B$5:$B$46,"PCS % (Participation)"),IF(AGENT_INPUT!H72&gt;=SUMIFS(BONUS_RULES!$G$5:$G$46,BONUS_RULES!$A$5:$A$46,$C72,BONUS_RULES!$B$5:$B$46,"PCS % (Participation)"),SUMIFS(BONUS_RULES!$F$5:$F$46,BONUS_RULES!$A$5:$A$46,$C72,BONUS_RULES!$B$5:$B$46,"PCS % (Participation)"),0)))</f>
        <v/>
      </c>
      <c r="J72" s="10">
        <f>IF(OR($A72="",$D72&lt;&gt;"READY"),"",IF(AGENT_INPUT!I72&gt;=SUMIFS(BONUS_RULES!$E$5:$E$46,BONUS_RULES!$A$5:$A$46,$C72,BONUS_RULES!$B$5:$B$46,"QM"),SUMIFS(BONUS_RULES!$D$5:$D$46,BONUS_RULES!$A$5:$A$46,$C72,BONUS_RULES!$B$5:$B$46,"QM"),IF(AGENT_INPUT!I72&gt;=SUMIFS(BONUS_RULES!$G$5:$G$46,BONUS_RULES!$A$5:$A$46,$C72,BONUS_RULES!$B$5:$B$46,"QM"),SUMIFS(BONUS_RULES!$F$5:$F$46,BONUS_RULES!$A$5:$A$46,$C72,BONUS_RULES!$B$5:$B$46,"QM"),0)))</f>
        <v/>
      </c>
      <c r="K72" s="10">
        <f>IF(POLICY_APPROVAL!$B$9="Eligibility only",0,IF(OR($A72="",$D72&lt;&gt;"READY"),"",IF(AGENT_INPUT!J72&lt;=SUMIFS(BONUS_RULES!$E$5:$E$46,BONUS_RULES!$A$5:$A$46,$C72,BONUS_RULES!$B$5:$B$46,"Abs%"),SUMIFS(BONUS_RULES!$D$5:$D$46,BONUS_RULES!$A$5:$A$46,$C72,BONUS_RULES!$B$5:$B$46,"Abs%"),IF(AGENT_INPUT!J72&lt;=SUMIFS(BONUS_RULES!$G$5:$G$46,BONUS_RULES!$A$5:$A$46,$C72,BONUS_RULES!$B$5:$B$46,"Abs%"),SUMIFS(BONUS_RULES!$F$5:$F$46,BONUS_RULES!$A$5:$A$46,$C72,BONUS_RULES!$B$5:$B$46,"Abs%"),0))))</f>
        <v/>
      </c>
      <c r="L72" s="10">
        <f>IF(OR($A72="",$D72&lt;&gt;"READY"),"",IF(AGENT_INPUT!G72&gt;=SUMIFS(BONUS_RULES!$E$5:$E$46,BONUS_RULES!$A$5:$A$46,$C72,BONUS_RULES!$B$5:$B$46,"Extra Bonus (PCS Score)"),SUMIFS(BONUS_RULES!$D$5:$D$46,BONUS_RULES!$A$5:$A$46,$C72,BONUS_RULES!$B$5:$B$46,"Extra Bonus (PCS Score)"),IF(AGENT_INPUT!G72&gt;=SUMIFS(BONUS_RULES!$G$5:$G$46,BONUS_RULES!$A$5:$A$46,$C72,BONUS_RULES!$B$5:$B$46,"Extra Bonus (PCS Score)"),SUMIFS(BONUS_RULES!$F$5:$F$46,BONUS_RULES!$A$5:$A$46,$C72,BONUS_RULES!$B$5:$B$46,"Extra Bonus (PCS Score)"),0)))</f>
        <v/>
      </c>
      <c r="M72" s="10">
        <f>IF($A72="","",MIN(IF(POLICY_APPROVAL!$B$6="Replacement",SUM(F72:K72)-H72+MAX(H72,L72),SUM(F72:L72)),POLICY_APPROVAL!$B$10))</f>
        <v>0</v>
      </c>
      <c r="N72" s="10">
        <f>IF($A72="","",IFERROR(INDEX(BONUS_RULES!$J$5:$J$10,MATCH(MIN(MAX(AGENT_INPUT!K72,0),5),BONUS_RULES!$I$5:$I$10,0)),1))</f>
        <v>0</v>
      </c>
      <c r="O72" s="10">
        <f>IF(M72="","",MAX(0,IF(POLICY_APPROVAL!$B$5="Percentage points",M72-N72,M72*(1-N72))))</f>
        <v>0</v>
      </c>
      <c r="P72" s="11">
        <f>IF(D72&lt;&gt;"READY","",IF(AGENT_INPUT!O72&gt;0,AGENT_INPUT!O72,AGENT_INPUT!M72*AGENT_INPUT!N72/IF(POLICY_APPROVAL!$B$7="Annual",12,1)))</f>
        <v/>
      </c>
      <c r="Q72" s="10">
        <f>IF(D72&lt;&gt;"READY","",MIN(1,AGENT_INPUT!P72/AGENT_INPUT!Q72))</f>
        <v/>
      </c>
      <c r="R72" s="11">
        <f>IF(D72&lt;&gt;"READY","",ROUND(P72*Q72*O72,IF(POLICY_APPROVAL!$B$11="Whole MAD",0,2)))</f>
        <v/>
      </c>
      <c r="S72" s="11">
        <f>IF(AND(SETUP!$B$9="READY",T72="READY"),R72,"")</f>
        <v/>
      </c>
      <c r="T72" s="4" t="str">
        <f>IF($A72="","",IF(D72&lt;&gt;"READY","BLOCKED - INPUT",IF(E72&lt;&gt;"ELIGIBLE","BLOCKED - ELIGIBILITY",IF(AGENT_INPUT!S72&lt;&gt;"VALIDATED","BLOCKED - DATA",IF(SETUP!$B$9&lt;&gt;"READY","BLOCKED - POLICY","READY")))))</f>
        <v>BLOCKED - INPUT</v>
      </c>
      <c r="U72" s="4" t="str">
        <f>IF($A72="","",IF(COUNTIFS(AGENT_INPUT!$A$5:$A$254,$A72,AGENT_INPUT!$D$5:$D$254,AGENT_INPUT!D72)&gt;1,"DUPLICATE AGENT + PERIOD",IF(D72&lt;&gt;"READY","INPUT OR CONFIG REVIEW",IF(T72&lt;&gt;"READY",T72,""))))</f>
        <v>Missing, invalid, or unconfigured required input</v>
      </c>
    </row>
    <row r="73" spans="1:21">
      <c r="A73" s="4">
        <f>IF(AGENT_INPUT!A73="","",AGENT_INPUT!A73)</f>
        <v>228200</v>
      </c>
      <c r="B73" s="4" t="str">
        <f>IF($A73="","",AGENT_INPUT!B73)</f>
        <v>Mohamed ABOURHAZAOUAT</v>
      </c>
      <c r="C73" s="4" t="str">
        <f>IF($A73="","",AGENT_INPUT!C73)</f>
        <v>OEM FR</v>
      </c>
      <c r="D73" s="4" t="str">
        <f>IF($A73="","",IF(AND(COUNT(AGENT_INPUT!E73:J73)=6,COUNT(AGENT_INPUT!K73)=1,COUNTIF(BONUS_RULES!$A$5:$A$46,AGENT_INPUT!C73)&gt;0,OR(AGENT_INPUT!O73&gt;0,AND(AGENT_INPUT!M73&gt;0,AGENT_INPUT!N73&gt;0)),AGENT_INPUT!P73&gt;=0,AGENT_INPUT!Q73&gt;0,AGENT_INPUT!P73&lt;=AGENT_INPUT!Q73,AGENT_INPUT!H73&gt;=0,AGENT_INPUT!H73&lt;=1,AGENT_INPUT!I73&gt;=0,AGENT_INPUT!I73&lt;=1,AGENT_INPUT!J73&gt;=0,AGENT_INPUT!J73&lt;=1),"READY","BLOCKED"))</f>
        <v>READY</v>
      </c>
      <c r="E73" s="4" t="str">
        <f>IF($A73="","",IF(AGENT_INPUT!R73&lt;&gt;"Active","REVIEW",IF(OR(POLICY_APPROVAL!$B$9="Eligibility only",POLICY_APPROVAL!$B$9="Both"),IF(AGENT_INPUT!J73&lt;=SUMIFS(BONUS_RULES!$E$5:$E$46,BONUS_RULES!$A$5:$A$46,$C73,BONUS_RULES!$B$5:$B$46,"Abs%"),"ELIGIBLE","INELIGIBLE ABS"),"ELIGIBLE")))</f>
        <v>REVIEW</v>
      </c>
      <c r="F73" s="10">
        <f>IF(OR($A73="",$D73&lt;&gt;"READY"),"",IF(AGENT_INPUT!E73&lt;=SUMIFS(BONUS_RULES!$E$5:$E$46,BONUS_RULES!$A$5:$A$46,$C73,BONUS_RULES!$B$5:$B$46,"AHT"),SUMIFS(BONUS_RULES!$D$5:$D$46,BONUS_RULES!$A$5:$A$46,$C73,BONUS_RULES!$B$5:$B$46,"AHT"),IF(AGENT_INPUT!E73&lt;=SUMIFS(BONUS_RULES!$G$5:$G$46,BONUS_RULES!$A$5:$A$46,$C73,BONUS_RULES!$B$5:$B$46,"AHT"),SUMIFS(BONUS_RULES!$F$5:$F$46,BONUS_RULES!$A$5:$A$46,$C73,BONUS_RULES!$B$5:$B$46,"AHT"),0)))</f>
        <v>0.0</v>
      </c>
      <c r="G73" s="10">
        <f>IF(OR($A73="",$D73&lt;&gt;"READY"),"",IF(AGENT_INPUT!F73&gt;=SUMIFS(BONUS_RULES!$E$5:$E$46,BONUS_RULES!$A$5:$A$46,$C73,BONUS_RULES!$B$5:$B$46,"Productivity"),SUMIFS(BONUS_RULES!$D$5:$D$46,BONUS_RULES!$A$5:$A$46,$C73,BONUS_RULES!$B$5:$B$46,"Productivity"),IF(AGENT_INPUT!F73&gt;=SUMIFS(BONUS_RULES!$G$5:$G$46,BONUS_RULES!$A$5:$A$46,$C73,BONUS_RULES!$B$5:$B$46,"Productivity"),SUMIFS(BONUS_RULES!$F$5:$F$46,BONUS_RULES!$A$5:$A$46,$C73,BONUS_RULES!$B$5:$B$46,"Productivity"),0)))</f>
        <v>0.0</v>
      </c>
      <c r="H73" s="10">
        <f>IF(OR($A73="",$D73&lt;&gt;"READY"),"",IF(AGENT_INPUT!G73&gt;=SUMIFS(BONUS_RULES!$E$5:$E$46,BONUS_RULES!$A$5:$A$46,$C73,BONUS_RULES!$B$5:$B$46,"PCS Score"),SUMIFS(BONUS_RULES!$D$5:$D$46,BONUS_RULES!$A$5:$A$46,$C73,BONUS_RULES!$B$5:$B$46,"PCS Score"),IF(AGENT_INPUT!G73&gt;=SUMIFS(BONUS_RULES!$G$5:$G$46,BONUS_RULES!$A$5:$A$46,$C73,BONUS_RULES!$B$5:$B$46,"PCS Score"),SUMIFS(BONUS_RULES!$F$5:$F$46,BONUS_RULES!$A$5:$A$46,$C73,BONUS_RULES!$B$5:$B$46,"PCS Score"),0)))</f>
        <v>0.2</v>
      </c>
      <c r="I73" s="10">
        <f>IF(OR($A73="",$D73&lt;&gt;"READY"),"",IF(AGENT_INPUT!H73&gt;=SUMIFS(BONUS_RULES!$E$5:$E$46,BONUS_RULES!$A$5:$A$46,$C73,BONUS_RULES!$B$5:$B$46,"PCS % (Participation)"),SUMIFS(BONUS_RULES!$D$5:$D$46,BONUS_RULES!$A$5:$A$46,$C73,BONUS_RULES!$B$5:$B$46,"PCS % (Participation)"),IF(AGENT_INPUT!H73&gt;=SUMIFS(BONUS_RULES!$G$5:$G$46,BONUS_RULES!$A$5:$A$46,$C73,BONUS_RULES!$B$5:$B$46,"PCS % (Participation)"),SUMIFS(BONUS_RULES!$F$5:$F$46,BONUS_RULES!$A$5:$A$46,$C73,BONUS_RULES!$B$5:$B$46,"PCS % (Participation)"),0)))</f>
        <v>0.0</v>
      </c>
      <c r="J73" s="10">
        <f>IF(OR($A73="",$D73&lt;&gt;"READY"),"",IF(AGENT_INPUT!I73&gt;=SUMIFS(BONUS_RULES!$E$5:$E$46,BONUS_RULES!$A$5:$A$46,$C73,BONUS_RULES!$B$5:$B$46,"QM"),SUMIFS(BONUS_RULES!$D$5:$D$46,BONUS_RULES!$A$5:$A$46,$C73,BONUS_RULES!$B$5:$B$46,"QM"),IF(AGENT_INPUT!I73&gt;=SUMIFS(BONUS_RULES!$G$5:$G$46,BONUS_RULES!$A$5:$A$46,$C73,BONUS_RULES!$B$5:$B$46,"QM"),SUMIFS(BONUS_RULES!$F$5:$F$46,BONUS_RULES!$A$5:$A$46,$C73,BONUS_RULES!$B$5:$B$46,"QM"),0)))</f>
        <v>0.0</v>
      </c>
      <c r="K73" s="10">
        <f>IF(POLICY_APPROVAL!$B$9="Eligibility only",0,IF(OR($A73="",$D73&lt;&gt;"READY"),"",IF(AGENT_INPUT!J73&lt;=SUMIFS(BONUS_RULES!$E$5:$E$46,BONUS_RULES!$A$5:$A$46,$C73,BONUS_RULES!$B$5:$B$46,"Abs%"),SUMIFS(BONUS_RULES!$D$5:$D$46,BONUS_RULES!$A$5:$A$46,$C73,BONUS_RULES!$B$5:$B$46,"Abs%"),IF(AGENT_INPUT!J73&lt;=SUMIFS(BONUS_RULES!$G$5:$G$46,BONUS_RULES!$A$5:$A$46,$C73,BONUS_RULES!$B$5:$B$46,"Abs%"),SUMIFS(BONUS_RULES!$F$5:$F$46,BONUS_RULES!$A$5:$A$46,$C73,BONUS_RULES!$B$5:$B$46,"Abs%"),0))))</f>
        <v>0.15</v>
      </c>
      <c r="L73" s="10">
        <f>IF(OR($A73="",$D73&lt;&gt;"READY"),"",IF(AGENT_INPUT!G73&gt;=SUMIFS(BONUS_RULES!$E$5:$E$46,BONUS_RULES!$A$5:$A$46,$C73,BONUS_RULES!$B$5:$B$46,"Extra Bonus (PCS Score)"),SUMIFS(BONUS_RULES!$D$5:$D$46,BONUS_RULES!$A$5:$A$46,$C73,BONUS_RULES!$B$5:$B$46,"Extra Bonus (PCS Score)"),IF(AGENT_INPUT!G73&gt;=SUMIFS(BONUS_RULES!$G$5:$G$46,BONUS_RULES!$A$5:$A$46,$C73,BONUS_RULES!$B$5:$B$46,"Extra Bonus (PCS Score)"),SUMIFS(BONUS_RULES!$F$5:$F$46,BONUS_RULES!$A$5:$A$46,$C73,BONUS_RULES!$B$5:$B$46,"Extra Bonus (PCS Score)"),0)))</f>
        <v>0.3</v>
      </c>
      <c r="M73" s="10">
        <f>IF($A73="","",MIN(IF(POLICY_APPROVAL!$B$6="Replacement",SUM(F73:K73)-H73+MAX(H73,L73),SUM(F73:L73)),POLICY_APPROVAL!$B$10))</f>
        <v>0.6499999999999999</v>
      </c>
      <c r="N73" s="10">
        <f>IF($A73="","",IFERROR(INDEX(BONUS_RULES!$J$5:$J$10,MATCH(MIN(MAX(AGENT_INPUT!K73,0),5),BONUS_RULES!$I$5:$I$10,0)),1))</f>
        <v>0</v>
      </c>
      <c r="O73" s="10">
        <f>IF(M73="","",MAX(0,IF(POLICY_APPROVAL!$B$5="Percentage points",M73-N73,M73*(1-N73))))</f>
        <v>0.6499999999999999</v>
      </c>
      <c r="P73" s="11">
        <f>IF(D73&lt;&gt;"READY","",IF(AGENT_INPUT!O73&gt;0,AGENT_INPUT!O73,AGENT_INPUT!M73*AGENT_INPUT!N73/IF(POLICY_APPROVAL!$B$7="Annual",12,1)))</f>
        <v>2000.0</v>
      </c>
      <c r="Q73" s="10">
        <f>IF(D73&lt;&gt;"READY","",MIN(1,AGENT_INPUT!P73/AGENT_INPUT!Q73))</f>
        <v>1.0</v>
      </c>
      <c r="R73" s="11">
        <f>IF(D73&lt;&gt;"READY","",ROUND(P73*Q73*O73,IF(POLICY_APPROVAL!$B$11="Whole MAD",0,2)))</f>
        <v>1300.0</v>
      </c>
      <c r="S73" s="11">
        <f>IF(AND(SETUP!$B$9="READY",T73="READY"),R73,"")</f>
        <v/>
      </c>
      <c r="T73" s="4" t="str">
        <f>IF($A73="","",IF(D73&lt;&gt;"READY","BLOCKED - INPUT",IF(E73&lt;&gt;"ELIGIBLE","BLOCKED - ELIGIBILITY",IF(AGENT_INPUT!S73&lt;&gt;"VALIDATED","BLOCKED - DATA",IF(SETUP!$B$9&lt;&gt;"READY","BLOCKED - POLICY","READY")))))</f>
        <v>BLOCKED - ELIGIBILITY</v>
      </c>
      <c r="U73" s="4" t="str">
        <f>IF($A73="","",IF(COUNTIFS(AGENT_INPUT!$A$5:$A$254,$A73,AGENT_INPUT!$D$5:$D$254,AGENT_INPUT!D73)&gt;1,"DUPLICATE AGENT + PERIOD",IF(D73&lt;&gt;"READY","INPUT OR CONFIG REVIEW",IF(T73&lt;&gt;"READY",T73,""))))</f>
        <v>BLOCKED - ELIGIBILITY</v>
      </c>
    </row>
    <row r="74" spans="1:21">
      <c r="A74" s="4">
        <f>IF(AGENT_INPUT!A74="","",AGENT_INPUT!A74)</f>
        <v>244552</v>
      </c>
      <c r="B74" s="4" t="str">
        <f>IF($A74="","",AGENT_INPUT!B74)</f>
        <v>Mohamed Mansour  El hassnaoui </v>
      </c>
      <c r="C74" s="4" t="str">
        <f>IF($A74="","",AGENT_INPUT!C74)</f>
        <v>RSA NL</v>
      </c>
      <c r="D74" s="4" t="str">
        <f>IF($A74="","",IF(AND(COUNT(AGENT_INPUT!E74:J74)=6,COUNT(AGENT_INPUT!K74)=1,COUNTIF(BONUS_RULES!$A$5:$A$46,AGENT_INPUT!C74)&gt;0,OR(AGENT_INPUT!O74&gt;0,AND(AGENT_INPUT!M74&gt;0,AGENT_INPUT!N74&gt;0)),AGENT_INPUT!P74&gt;=0,AGENT_INPUT!Q74&gt;0,AGENT_INPUT!P74&lt;=AGENT_INPUT!Q74,AGENT_INPUT!H74&gt;=0,AGENT_INPUT!H74&lt;=1,AGENT_INPUT!I74&gt;=0,AGENT_INPUT!I74&lt;=1,AGENT_INPUT!J74&gt;=0,AGENT_INPUT!J74&lt;=1),"READY","BLOCKED"))</f>
        <v>BLOCKED</v>
      </c>
      <c r="E74" s="4">
        <f>IF($A74="","",IF(AGENT_INPUT!R74&lt;&gt;"Active","REVIEW",IF(OR(POLICY_APPROVAL!$B$9="Eligibility only",POLICY_APPROVAL!$B$9="Both"),IF(AGENT_INPUT!J74&lt;=SUMIFS(BONUS_RULES!$E$5:$E$46,BONUS_RULES!$A$5:$A$46,$C74,BONUS_RULES!$B$5:$B$46,"Abs%"),"ELIGIBLE","INELIGIBLE ABS"),"ELIGIBLE")))</f>
        <v/>
      </c>
      <c r="F74" s="10">
        <f>IF(OR($A74="",$D74&lt;&gt;"READY"),"",IF(AGENT_INPUT!E74&lt;=SUMIFS(BONUS_RULES!$E$5:$E$46,BONUS_RULES!$A$5:$A$46,$C74,BONUS_RULES!$B$5:$B$46,"AHT"),SUMIFS(BONUS_RULES!$D$5:$D$46,BONUS_RULES!$A$5:$A$46,$C74,BONUS_RULES!$B$5:$B$46,"AHT"),IF(AGENT_INPUT!E74&lt;=SUMIFS(BONUS_RULES!$G$5:$G$46,BONUS_RULES!$A$5:$A$46,$C74,BONUS_RULES!$B$5:$B$46,"AHT"),SUMIFS(BONUS_RULES!$F$5:$F$46,BONUS_RULES!$A$5:$A$46,$C74,BONUS_RULES!$B$5:$B$46,"AHT"),0)))</f>
        <v/>
      </c>
      <c r="G74" s="10">
        <f>IF(OR($A74="",$D74&lt;&gt;"READY"),"",IF(AGENT_INPUT!F74&gt;=SUMIFS(BONUS_RULES!$E$5:$E$46,BONUS_RULES!$A$5:$A$46,$C74,BONUS_RULES!$B$5:$B$46,"Productivity"),SUMIFS(BONUS_RULES!$D$5:$D$46,BONUS_RULES!$A$5:$A$46,$C74,BONUS_RULES!$B$5:$B$46,"Productivity"),IF(AGENT_INPUT!F74&gt;=SUMIFS(BONUS_RULES!$G$5:$G$46,BONUS_RULES!$A$5:$A$46,$C74,BONUS_RULES!$B$5:$B$46,"Productivity"),SUMIFS(BONUS_RULES!$F$5:$F$46,BONUS_RULES!$A$5:$A$46,$C74,BONUS_RULES!$B$5:$B$46,"Productivity"),0)))</f>
        <v/>
      </c>
      <c r="H74" s="10">
        <f>IF(OR($A74="",$D74&lt;&gt;"READY"),"",IF(AGENT_INPUT!G74&gt;=SUMIFS(BONUS_RULES!$E$5:$E$46,BONUS_RULES!$A$5:$A$46,$C74,BONUS_RULES!$B$5:$B$46,"PCS Score"),SUMIFS(BONUS_RULES!$D$5:$D$46,BONUS_RULES!$A$5:$A$46,$C74,BONUS_RULES!$B$5:$B$46,"PCS Score"),IF(AGENT_INPUT!G74&gt;=SUMIFS(BONUS_RULES!$G$5:$G$46,BONUS_RULES!$A$5:$A$46,$C74,BONUS_RULES!$B$5:$B$46,"PCS Score"),SUMIFS(BONUS_RULES!$F$5:$F$46,BONUS_RULES!$A$5:$A$46,$C74,BONUS_RULES!$B$5:$B$46,"PCS Score"),0)))</f>
        <v/>
      </c>
      <c r="I74" s="10">
        <f>IF(OR($A74="",$D74&lt;&gt;"READY"),"",IF(AGENT_INPUT!H74&gt;=SUMIFS(BONUS_RULES!$E$5:$E$46,BONUS_RULES!$A$5:$A$46,$C74,BONUS_RULES!$B$5:$B$46,"PCS % (Participation)"),SUMIFS(BONUS_RULES!$D$5:$D$46,BONUS_RULES!$A$5:$A$46,$C74,BONUS_RULES!$B$5:$B$46,"PCS % (Participation)"),IF(AGENT_INPUT!H74&gt;=SUMIFS(BONUS_RULES!$G$5:$G$46,BONUS_RULES!$A$5:$A$46,$C74,BONUS_RULES!$B$5:$B$46,"PCS % (Participation)"),SUMIFS(BONUS_RULES!$F$5:$F$46,BONUS_RULES!$A$5:$A$46,$C74,BONUS_RULES!$B$5:$B$46,"PCS % (Participation)"),0)))</f>
        <v/>
      </c>
      <c r="J74" s="10">
        <f>IF(OR($A74="",$D74&lt;&gt;"READY"),"",IF(AGENT_INPUT!I74&gt;=SUMIFS(BONUS_RULES!$E$5:$E$46,BONUS_RULES!$A$5:$A$46,$C74,BONUS_RULES!$B$5:$B$46,"QM"),SUMIFS(BONUS_RULES!$D$5:$D$46,BONUS_RULES!$A$5:$A$46,$C74,BONUS_RULES!$B$5:$B$46,"QM"),IF(AGENT_INPUT!I74&gt;=SUMIFS(BONUS_RULES!$G$5:$G$46,BONUS_RULES!$A$5:$A$46,$C74,BONUS_RULES!$B$5:$B$46,"QM"),SUMIFS(BONUS_RULES!$F$5:$F$46,BONUS_RULES!$A$5:$A$46,$C74,BONUS_RULES!$B$5:$B$46,"QM"),0)))</f>
        <v/>
      </c>
      <c r="K74" s="10">
        <f>IF(POLICY_APPROVAL!$B$9="Eligibility only",0,IF(OR($A74="",$D74&lt;&gt;"READY"),"",IF(AGENT_INPUT!J74&lt;=SUMIFS(BONUS_RULES!$E$5:$E$46,BONUS_RULES!$A$5:$A$46,$C74,BONUS_RULES!$B$5:$B$46,"Abs%"),SUMIFS(BONUS_RULES!$D$5:$D$46,BONUS_RULES!$A$5:$A$46,$C74,BONUS_RULES!$B$5:$B$46,"Abs%"),IF(AGENT_INPUT!J74&lt;=SUMIFS(BONUS_RULES!$G$5:$G$46,BONUS_RULES!$A$5:$A$46,$C74,BONUS_RULES!$B$5:$B$46,"Abs%"),SUMIFS(BONUS_RULES!$F$5:$F$46,BONUS_RULES!$A$5:$A$46,$C74,BONUS_RULES!$B$5:$B$46,"Abs%"),0))))</f>
        <v/>
      </c>
      <c r="L74" s="10">
        <f>IF(OR($A74="",$D74&lt;&gt;"READY"),"",IF(AGENT_INPUT!G74&gt;=SUMIFS(BONUS_RULES!$E$5:$E$46,BONUS_RULES!$A$5:$A$46,$C74,BONUS_RULES!$B$5:$B$46,"Extra Bonus (PCS Score)"),SUMIFS(BONUS_RULES!$D$5:$D$46,BONUS_RULES!$A$5:$A$46,$C74,BONUS_RULES!$B$5:$B$46,"Extra Bonus (PCS Score)"),IF(AGENT_INPUT!G74&gt;=SUMIFS(BONUS_RULES!$G$5:$G$46,BONUS_RULES!$A$5:$A$46,$C74,BONUS_RULES!$B$5:$B$46,"Extra Bonus (PCS Score)"),SUMIFS(BONUS_RULES!$F$5:$F$46,BONUS_RULES!$A$5:$A$46,$C74,BONUS_RULES!$B$5:$B$46,"Extra Bonus (PCS Score)"),0)))</f>
        <v/>
      </c>
      <c r="M74" s="10">
        <f>IF($A74="","",MIN(IF(POLICY_APPROVAL!$B$6="Replacement",SUM(F74:K74)-H74+MAX(H74,L74),SUM(F74:L74)),POLICY_APPROVAL!$B$10))</f>
        <v>0</v>
      </c>
      <c r="N74" s="10">
        <f>IF($A74="","",IFERROR(INDEX(BONUS_RULES!$J$5:$J$10,MATCH(MIN(MAX(AGENT_INPUT!K74,0),5),BONUS_RULES!$I$5:$I$10,0)),1))</f>
        <v>0</v>
      </c>
      <c r="O74" s="10">
        <f>IF(M74="","",MAX(0,IF(POLICY_APPROVAL!$B$5="Percentage points",M74-N74,M74*(1-N74))))</f>
        <v>0</v>
      </c>
      <c r="P74" s="11">
        <f>IF(D74&lt;&gt;"READY","",IF(AGENT_INPUT!O74&gt;0,AGENT_INPUT!O74,AGENT_INPUT!M74*AGENT_INPUT!N74/IF(POLICY_APPROVAL!$B$7="Annual",12,1)))</f>
        <v/>
      </c>
      <c r="Q74" s="10">
        <f>IF(D74&lt;&gt;"READY","",MIN(1,AGENT_INPUT!P74/AGENT_INPUT!Q74))</f>
        <v/>
      </c>
      <c r="R74" s="11">
        <f>IF(D74&lt;&gt;"READY","",ROUND(P74*Q74*O74,IF(POLICY_APPROVAL!$B$11="Whole MAD",0,2)))</f>
        <v/>
      </c>
      <c r="S74" s="11">
        <f>IF(AND(SETUP!$B$9="READY",T74="READY"),R74,"")</f>
        <v/>
      </c>
      <c r="T74" s="4" t="str">
        <f>IF($A74="","",IF(D74&lt;&gt;"READY","BLOCKED - INPUT",IF(E74&lt;&gt;"ELIGIBLE","BLOCKED - ELIGIBILITY",IF(AGENT_INPUT!S74&lt;&gt;"VALIDATED","BLOCKED - DATA",IF(SETUP!$B$9&lt;&gt;"READY","BLOCKED - POLICY","READY")))))</f>
        <v>BLOCKED - INPUT</v>
      </c>
      <c r="U74" s="4" t="str">
        <f>IF($A74="","",IF(COUNTIFS(AGENT_INPUT!$A$5:$A$254,$A74,AGENT_INPUT!$D$5:$D$254,AGENT_INPUT!D74)&gt;1,"DUPLICATE AGENT + PERIOD",IF(D74&lt;&gt;"READY","INPUT OR CONFIG REVIEW",IF(T74&lt;&gt;"READY",T74,""))))</f>
        <v>Missing, invalid, or unconfigured required input</v>
      </c>
    </row>
    <row r="75" spans="1:21">
      <c r="A75" s="4">
        <f>IF(AGENT_INPUT!A75="","",AGENT_INPUT!A75)</f>
        <v>228672</v>
      </c>
      <c r="B75" s="4" t="str">
        <f>IF($A75="","",AGENT_INPUT!B75)</f>
        <v>Mohamed Ali Dreif</v>
      </c>
      <c r="C75" s="4" t="str">
        <f>IF($A75="","",AGENT_INPUT!C75)</f>
        <v>OEM FR</v>
      </c>
      <c r="D75" s="4" t="str">
        <f>IF($A75="","",IF(AND(COUNT(AGENT_INPUT!E75:J75)=6,COUNT(AGENT_INPUT!K75)=1,COUNTIF(BONUS_RULES!$A$5:$A$46,AGENT_INPUT!C75)&gt;0,OR(AGENT_INPUT!O75&gt;0,AND(AGENT_INPUT!M75&gt;0,AGENT_INPUT!N75&gt;0)),AGENT_INPUT!P75&gt;=0,AGENT_INPUT!Q75&gt;0,AGENT_INPUT!P75&lt;=AGENT_INPUT!Q75,AGENT_INPUT!H75&gt;=0,AGENT_INPUT!H75&lt;=1,AGENT_INPUT!I75&gt;=0,AGENT_INPUT!I75&lt;=1,AGENT_INPUT!J75&gt;=0,AGENT_INPUT!J75&lt;=1),"READY","BLOCKED"))</f>
        <v>READY</v>
      </c>
      <c r="E75" s="4" t="str">
        <f>IF($A75="","",IF(AGENT_INPUT!R75&lt;&gt;"Active","REVIEW",IF(OR(POLICY_APPROVAL!$B$9="Eligibility only",POLICY_APPROVAL!$B$9="Both"),IF(AGENT_INPUT!J75&lt;=SUMIFS(BONUS_RULES!$E$5:$E$46,BONUS_RULES!$A$5:$A$46,$C75,BONUS_RULES!$B$5:$B$46,"Abs%"),"ELIGIBLE","INELIGIBLE ABS"),"ELIGIBLE")))</f>
        <v>REVIEW</v>
      </c>
      <c r="F75" s="10">
        <f>IF(OR($A75="",$D75&lt;&gt;"READY"),"",IF(AGENT_INPUT!E75&lt;=SUMIFS(BONUS_RULES!$E$5:$E$46,BONUS_RULES!$A$5:$A$46,$C75,BONUS_RULES!$B$5:$B$46,"AHT"),SUMIFS(BONUS_RULES!$D$5:$D$46,BONUS_RULES!$A$5:$A$46,$C75,BONUS_RULES!$B$5:$B$46,"AHT"),IF(AGENT_INPUT!E75&lt;=SUMIFS(BONUS_RULES!$G$5:$G$46,BONUS_RULES!$A$5:$A$46,$C75,BONUS_RULES!$B$5:$B$46,"AHT"),SUMIFS(BONUS_RULES!$F$5:$F$46,BONUS_RULES!$A$5:$A$46,$C75,BONUS_RULES!$B$5:$B$46,"AHT"),0)))</f>
        <v>0.15</v>
      </c>
      <c r="G75" s="10">
        <f>IF(OR($A75="",$D75&lt;&gt;"READY"),"",IF(AGENT_INPUT!F75&gt;=SUMIFS(BONUS_RULES!$E$5:$E$46,BONUS_RULES!$A$5:$A$46,$C75,BONUS_RULES!$B$5:$B$46,"Productivity"),SUMIFS(BONUS_RULES!$D$5:$D$46,BONUS_RULES!$A$5:$A$46,$C75,BONUS_RULES!$B$5:$B$46,"Productivity"),IF(AGENT_INPUT!F75&gt;=SUMIFS(BONUS_RULES!$G$5:$G$46,BONUS_RULES!$A$5:$A$46,$C75,BONUS_RULES!$B$5:$B$46,"Productivity"),SUMIFS(BONUS_RULES!$F$5:$F$46,BONUS_RULES!$A$5:$A$46,$C75,BONUS_RULES!$B$5:$B$46,"Productivity"),0)))</f>
        <v>0.15</v>
      </c>
      <c r="H75" s="10">
        <f>IF(OR($A75="",$D75&lt;&gt;"READY"),"",IF(AGENT_INPUT!G75&gt;=SUMIFS(BONUS_RULES!$E$5:$E$46,BONUS_RULES!$A$5:$A$46,$C75,BONUS_RULES!$B$5:$B$46,"PCS Score"),SUMIFS(BONUS_RULES!$D$5:$D$46,BONUS_RULES!$A$5:$A$46,$C75,BONUS_RULES!$B$5:$B$46,"PCS Score"),IF(AGENT_INPUT!G75&gt;=SUMIFS(BONUS_RULES!$G$5:$G$46,BONUS_RULES!$A$5:$A$46,$C75,BONUS_RULES!$B$5:$B$46,"PCS Score"),SUMIFS(BONUS_RULES!$F$5:$F$46,BONUS_RULES!$A$5:$A$46,$C75,BONUS_RULES!$B$5:$B$46,"PCS Score"),0)))</f>
        <v>0.2</v>
      </c>
      <c r="I75" s="10">
        <f>IF(OR($A75="",$D75&lt;&gt;"READY"),"",IF(AGENT_INPUT!H75&gt;=SUMIFS(BONUS_RULES!$E$5:$E$46,BONUS_RULES!$A$5:$A$46,$C75,BONUS_RULES!$B$5:$B$46,"PCS % (Participation)"),SUMIFS(BONUS_RULES!$D$5:$D$46,BONUS_RULES!$A$5:$A$46,$C75,BONUS_RULES!$B$5:$B$46,"PCS % (Participation)"),IF(AGENT_INPUT!H75&gt;=SUMIFS(BONUS_RULES!$G$5:$G$46,BONUS_RULES!$A$5:$A$46,$C75,BONUS_RULES!$B$5:$B$46,"PCS % (Participation)"),SUMIFS(BONUS_RULES!$F$5:$F$46,BONUS_RULES!$A$5:$A$46,$C75,BONUS_RULES!$B$5:$B$46,"PCS % (Participation)"),0)))</f>
        <v>0.0</v>
      </c>
      <c r="J75" s="10">
        <f>IF(OR($A75="",$D75&lt;&gt;"READY"),"",IF(AGENT_INPUT!I75&gt;=SUMIFS(BONUS_RULES!$E$5:$E$46,BONUS_RULES!$A$5:$A$46,$C75,BONUS_RULES!$B$5:$B$46,"QM"),SUMIFS(BONUS_RULES!$D$5:$D$46,BONUS_RULES!$A$5:$A$46,$C75,BONUS_RULES!$B$5:$B$46,"QM"),IF(AGENT_INPUT!I75&gt;=SUMIFS(BONUS_RULES!$G$5:$G$46,BONUS_RULES!$A$5:$A$46,$C75,BONUS_RULES!$B$5:$B$46,"QM"),SUMIFS(BONUS_RULES!$F$5:$F$46,BONUS_RULES!$A$5:$A$46,$C75,BONUS_RULES!$B$5:$B$46,"QM"),0)))</f>
        <v>0.0</v>
      </c>
      <c r="K75" s="10">
        <f>IF(POLICY_APPROVAL!$B$9="Eligibility only",0,IF(OR($A75="",$D75&lt;&gt;"READY"),"",IF(AGENT_INPUT!J75&lt;=SUMIFS(BONUS_RULES!$E$5:$E$46,BONUS_RULES!$A$5:$A$46,$C75,BONUS_RULES!$B$5:$B$46,"Abs%"),SUMIFS(BONUS_RULES!$D$5:$D$46,BONUS_RULES!$A$5:$A$46,$C75,BONUS_RULES!$B$5:$B$46,"Abs%"),IF(AGENT_INPUT!J75&lt;=SUMIFS(BONUS_RULES!$G$5:$G$46,BONUS_RULES!$A$5:$A$46,$C75,BONUS_RULES!$B$5:$B$46,"Abs%"),SUMIFS(BONUS_RULES!$F$5:$F$46,BONUS_RULES!$A$5:$A$46,$C75,BONUS_RULES!$B$5:$B$46,"Abs%"),0))))</f>
        <v>0.15</v>
      </c>
      <c r="L75" s="10">
        <f>IF(OR($A75="",$D75&lt;&gt;"READY"),"",IF(AGENT_INPUT!G75&gt;=SUMIFS(BONUS_RULES!$E$5:$E$46,BONUS_RULES!$A$5:$A$46,$C75,BONUS_RULES!$B$5:$B$46,"Extra Bonus (PCS Score)"),SUMIFS(BONUS_RULES!$D$5:$D$46,BONUS_RULES!$A$5:$A$46,$C75,BONUS_RULES!$B$5:$B$46,"Extra Bonus (PCS Score)"),IF(AGENT_INPUT!G75&gt;=SUMIFS(BONUS_RULES!$G$5:$G$46,BONUS_RULES!$A$5:$A$46,$C75,BONUS_RULES!$B$5:$B$46,"Extra Bonus (PCS Score)"),SUMIFS(BONUS_RULES!$F$5:$F$46,BONUS_RULES!$A$5:$A$46,$C75,BONUS_RULES!$B$5:$B$46,"Extra Bonus (PCS Score)"),0)))</f>
        <v>0.2</v>
      </c>
      <c r="M75" s="10">
        <f>IF($A75="","",MIN(IF(POLICY_APPROVAL!$B$6="Replacement",SUM(F75:K75)-H75+MAX(H75,L75),SUM(F75:L75)),POLICY_APPROVAL!$B$10))</f>
        <v>0.8500000000000001</v>
      </c>
      <c r="N75" s="10">
        <f>IF($A75="","",IFERROR(INDEX(BONUS_RULES!$J$5:$J$10,MATCH(MIN(MAX(AGENT_INPUT!K75,0),5),BONUS_RULES!$I$5:$I$10,0)),1))</f>
        <v>0</v>
      </c>
      <c r="O75" s="10">
        <f>IF(M75="","",MAX(0,IF(POLICY_APPROVAL!$B$5="Percentage points",M75-N75,M75*(1-N75))))</f>
        <v>0.8500000000000001</v>
      </c>
      <c r="P75" s="11">
        <f>IF(D75&lt;&gt;"READY","",IF(AGENT_INPUT!O75&gt;0,AGENT_INPUT!O75,AGENT_INPUT!M75*AGENT_INPUT!N75/IF(POLICY_APPROVAL!$B$7="Annual",12,1)))</f>
        <v>2000.0</v>
      </c>
      <c r="Q75" s="10">
        <f>IF(D75&lt;&gt;"READY","",MIN(1,AGENT_INPUT!P75/AGENT_INPUT!Q75))</f>
        <v>1.0</v>
      </c>
      <c r="R75" s="11">
        <f>IF(D75&lt;&gt;"READY","",ROUND(P75*Q75*O75,IF(POLICY_APPROVAL!$B$11="Whole MAD",0,2)))</f>
        <v>1700.0</v>
      </c>
      <c r="S75" s="11">
        <f>IF(AND(SETUP!$B$9="READY",T75="READY"),R75,"")</f>
        <v/>
      </c>
      <c r="T75" s="4" t="str">
        <f>IF($A75="","",IF(D75&lt;&gt;"READY","BLOCKED - INPUT",IF(E75&lt;&gt;"ELIGIBLE","BLOCKED - ELIGIBILITY",IF(AGENT_INPUT!S75&lt;&gt;"VALIDATED","BLOCKED - DATA",IF(SETUP!$B$9&lt;&gt;"READY","BLOCKED - POLICY","READY")))))</f>
        <v>BLOCKED - ELIGIBILITY</v>
      </c>
      <c r="U75" s="4" t="str">
        <f>IF($A75="","",IF(COUNTIFS(AGENT_INPUT!$A$5:$A$254,$A75,AGENT_INPUT!$D$5:$D$254,AGENT_INPUT!D75)&gt;1,"DUPLICATE AGENT + PERIOD",IF(D75&lt;&gt;"READY","INPUT OR CONFIG REVIEW",IF(T75&lt;&gt;"READY",T75,""))))</f>
        <v>BLOCKED - ELIGIBILITY</v>
      </c>
    </row>
    <row r="76" spans="1:21">
      <c r="A76" s="4">
        <f>IF(AGENT_INPUT!A76="","",AGENT_INPUT!A76)</f>
        <v>232191</v>
      </c>
      <c r="B76" s="4" t="str">
        <f>IF($A76="","",AGENT_INPUT!B76)</f>
        <v>Mohamed adnane saidi</v>
      </c>
      <c r="C76" s="4" t="str">
        <f>IF($A76="","",AGENT_INPUT!C76)</f>
        <v>RSA FR</v>
      </c>
      <c r="D76" s="4" t="str">
        <f>IF($A76="","",IF(AND(COUNT(AGENT_INPUT!E76:J76)=6,COUNT(AGENT_INPUT!K76)=1,COUNTIF(BONUS_RULES!$A$5:$A$46,AGENT_INPUT!C76)&gt;0,OR(AGENT_INPUT!O76&gt;0,AND(AGENT_INPUT!M76&gt;0,AGENT_INPUT!N76&gt;0)),AGENT_INPUT!P76&gt;=0,AGENT_INPUT!Q76&gt;0,AGENT_INPUT!P76&lt;=AGENT_INPUT!Q76,AGENT_INPUT!H76&gt;=0,AGENT_INPUT!H76&lt;=1,AGENT_INPUT!I76&gt;=0,AGENT_INPUT!I76&lt;=1,AGENT_INPUT!J76&gt;=0,AGENT_INPUT!J76&lt;=1),"READY","BLOCKED"))</f>
        <v>READY</v>
      </c>
      <c r="E76" s="4" t="str">
        <f>IF($A76="","",IF(AGENT_INPUT!R76&lt;&gt;"Active","REVIEW",IF(OR(POLICY_APPROVAL!$B$9="Eligibility only",POLICY_APPROVAL!$B$9="Both"),IF(AGENT_INPUT!J76&lt;=SUMIFS(BONUS_RULES!$E$5:$E$46,BONUS_RULES!$A$5:$A$46,$C76,BONUS_RULES!$B$5:$B$46,"Abs%"),"ELIGIBLE","INELIGIBLE ABS"),"ELIGIBLE")))</f>
        <v>REVIEW</v>
      </c>
      <c r="F76" s="10">
        <f>IF(OR($A76="",$D76&lt;&gt;"READY"),"",IF(AGENT_INPUT!E76&lt;=SUMIFS(BONUS_RULES!$E$5:$E$46,BONUS_RULES!$A$5:$A$46,$C76,BONUS_RULES!$B$5:$B$46,"AHT"),SUMIFS(BONUS_RULES!$D$5:$D$46,BONUS_RULES!$A$5:$A$46,$C76,BONUS_RULES!$B$5:$B$46,"AHT"),IF(AGENT_INPUT!E76&lt;=SUMIFS(BONUS_RULES!$G$5:$G$46,BONUS_RULES!$A$5:$A$46,$C76,BONUS_RULES!$B$5:$B$46,"AHT"),SUMIFS(BONUS_RULES!$F$5:$F$46,BONUS_RULES!$A$5:$A$46,$C76,BONUS_RULES!$B$5:$B$46,"AHT"),0)))</f>
        <v>0.0</v>
      </c>
      <c r="G76" s="10">
        <f>IF(OR($A76="",$D76&lt;&gt;"READY"),"",IF(AGENT_INPUT!F76&gt;=SUMIFS(BONUS_RULES!$E$5:$E$46,BONUS_RULES!$A$5:$A$46,$C76,BONUS_RULES!$B$5:$B$46,"Productivity"),SUMIFS(BONUS_RULES!$D$5:$D$46,BONUS_RULES!$A$5:$A$46,$C76,BONUS_RULES!$B$5:$B$46,"Productivity"),IF(AGENT_INPUT!F76&gt;=SUMIFS(BONUS_RULES!$G$5:$G$46,BONUS_RULES!$A$5:$A$46,$C76,BONUS_RULES!$B$5:$B$46,"Productivity"),SUMIFS(BONUS_RULES!$F$5:$F$46,BONUS_RULES!$A$5:$A$46,$C76,BONUS_RULES!$B$5:$B$46,"Productivity"),0)))</f>
        <v>0.0</v>
      </c>
      <c r="H76" s="10">
        <f>IF(OR($A76="",$D76&lt;&gt;"READY"),"",IF(AGENT_INPUT!G76&gt;=SUMIFS(BONUS_RULES!$E$5:$E$46,BONUS_RULES!$A$5:$A$46,$C76,BONUS_RULES!$B$5:$B$46,"PCS Score"),SUMIFS(BONUS_RULES!$D$5:$D$46,BONUS_RULES!$A$5:$A$46,$C76,BONUS_RULES!$B$5:$B$46,"PCS Score"),IF(AGENT_INPUT!G76&gt;=SUMIFS(BONUS_RULES!$G$5:$G$46,BONUS_RULES!$A$5:$A$46,$C76,BONUS_RULES!$B$5:$B$46,"PCS Score"),SUMIFS(BONUS_RULES!$F$5:$F$46,BONUS_RULES!$A$5:$A$46,$C76,BONUS_RULES!$B$5:$B$46,"PCS Score"),0)))</f>
        <v>0.0</v>
      </c>
      <c r="I76" s="10">
        <f>IF(OR($A76="",$D76&lt;&gt;"READY"),"",IF(AGENT_INPUT!H76&gt;=SUMIFS(BONUS_RULES!$E$5:$E$46,BONUS_RULES!$A$5:$A$46,$C76,BONUS_RULES!$B$5:$B$46,"PCS % (Participation)"),SUMIFS(BONUS_RULES!$D$5:$D$46,BONUS_RULES!$A$5:$A$46,$C76,BONUS_RULES!$B$5:$B$46,"PCS % (Participation)"),IF(AGENT_INPUT!H76&gt;=SUMIFS(BONUS_RULES!$G$5:$G$46,BONUS_RULES!$A$5:$A$46,$C76,BONUS_RULES!$B$5:$B$46,"PCS % (Participation)"),SUMIFS(BONUS_RULES!$F$5:$F$46,BONUS_RULES!$A$5:$A$46,$C76,BONUS_RULES!$B$5:$B$46,"PCS % (Participation)"),0)))</f>
        <v>0.0</v>
      </c>
      <c r="J76" s="10">
        <f>IF(OR($A76="",$D76&lt;&gt;"READY"),"",IF(AGENT_INPUT!I76&gt;=SUMIFS(BONUS_RULES!$E$5:$E$46,BONUS_RULES!$A$5:$A$46,$C76,BONUS_RULES!$B$5:$B$46,"QM"),SUMIFS(BONUS_RULES!$D$5:$D$46,BONUS_RULES!$A$5:$A$46,$C76,BONUS_RULES!$B$5:$B$46,"QM"),IF(AGENT_INPUT!I76&gt;=SUMIFS(BONUS_RULES!$G$5:$G$46,BONUS_RULES!$A$5:$A$46,$C76,BONUS_RULES!$B$5:$B$46,"QM"),SUMIFS(BONUS_RULES!$F$5:$F$46,BONUS_RULES!$A$5:$A$46,$C76,BONUS_RULES!$B$5:$B$46,"QM"),0)))</f>
        <v>0.0</v>
      </c>
      <c r="K76" s="10">
        <f>IF(POLICY_APPROVAL!$B$9="Eligibility only",0,IF(OR($A76="",$D76&lt;&gt;"READY"),"",IF(AGENT_INPUT!J76&lt;=SUMIFS(BONUS_RULES!$E$5:$E$46,BONUS_RULES!$A$5:$A$46,$C76,BONUS_RULES!$B$5:$B$46,"Abs%"),SUMIFS(BONUS_RULES!$D$5:$D$46,BONUS_RULES!$A$5:$A$46,$C76,BONUS_RULES!$B$5:$B$46,"Abs%"),IF(AGENT_INPUT!J76&lt;=SUMIFS(BONUS_RULES!$G$5:$G$46,BONUS_RULES!$A$5:$A$46,$C76,BONUS_RULES!$B$5:$B$46,"Abs%"),SUMIFS(BONUS_RULES!$F$5:$F$46,BONUS_RULES!$A$5:$A$46,$C76,BONUS_RULES!$B$5:$B$46,"Abs%"),0))))</f>
        <v>0.15</v>
      </c>
      <c r="L76" s="10">
        <f>IF(OR($A76="",$D76&lt;&gt;"READY"),"",IF(AGENT_INPUT!G76&gt;=SUMIFS(BONUS_RULES!$E$5:$E$46,BONUS_RULES!$A$5:$A$46,$C76,BONUS_RULES!$B$5:$B$46,"Extra Bonus (PCS Score)"),SUMIFS(BONUS_RULES!$D$5:$D$46,BONUS_RULES!$A$5:$A$46,$C76,BONUS_RULES!$B$5:$B$46,"Extra Bonus (PCS Score)"),IF(AGENT_INPUT!G76&gt;=SUMIFS(BONUS_RULES!$G$5:$G$46,BONUS_RULES!$A$5:$A$46,$C76,BONUS_RULES!$B$5:$B$46,"Extra Bonus (PCS Score)"),SUMIFS(BONUS_RULES!$F$5:$F$46,BONUS_RULES!$A$5:$A$46,$C76,BONUS_RULES!$B$5:$B$46,"Extra Bonus (PCS Score)"),0)))</f>
        <v>0.0</v>
      </c>
      <c r="M76" s="10">
        <f>IF($A76="","",MIN(IF(POLICY_APPROVAL!$B$6="Replacement",SUM(F76:K76)-H76+MAX(H76,L76),SUM(F76:L76)),POLICY_APPROVAL!$B$10))</f>
        <v>0.15</v>
      </c>
      <c r="N76" s="10">
        <f>IF($A76="","",IFERROR(INDEX(BONUS_RULES!$J$5:$J$10,MATCH(MIN(MAX(AGENT_INPUT!K76,0),5),BONUS_RULES!$I$5:$I$10,0)),1))</f>
        <v>0</v>
      </c>
      <c r="O76" s="10">
        <f>IF(M76="","",MAX(0,IF(POLICY_APPROVAL!$B$5="Percentage points",M76-N76,M76*(1-N76))))</f>
        <v>0.15</v>
      </c>
      <c r="P76" s="11">
        <f>IF(D76&lt;&gt;"READY","",IF(AGENT_INPUT!O76&gt;0,AGENT_INPUT!O76,AGENT_INPUT!M76*AGENT_INPUT!N76/IF(POLICY_APPROVAL!$B$7="Annual",12,1)))</f>
        <v>2000.0</v>
      </c>
      <c r="Q76" s="10">
        <f>IF(D76&lt;&gt;"READY","",MIN(1,AGENT_INPUT!P76/AGENT_INPUT!Q76))</f>
        <v>1.0</v>
      </c>
      <c r="R76" s="11">
        <f>IF(D76&lt;&gt;"READY","",ROUND(P76*Q76*O76,IF(POLICY_APPROVAL!$B$11="Whole MAD",0,2)))</f>
        <v>300.0</v>
      </c>
      <c r="S76" s="11">
        <f>IF(AND(SETUP!$B$9="READY",T76="READY"),R76,"")</f>
        <v/>
      </c>
      <c r="T76" s="4" t="str">
        <f>IF($A76="","",IF(D76&lt;&gt;"READY","BLOCKED - INPUT",IF(E76&lt;&gt;"ELIGIBLE","BLOCKED - ELIGIBILITY",IF(AGENT_INPUT!S76&lt;&gt;"VALIDATED","BLOCKED - DATA",IF(SETUP!$B$9&lt;&gt;"READY","BLOCKED - POLICY","READY")))))</f>
        <v>BLOCKED - ELIGIBILITY</v>
      </c>
      <c r="U76" s="4" t="str">
        <f>IF($A76="","",IF(COUNTIFS(AGENT_INPUT!$A$5:$A$254,$A76,AGENT_INPUT!$D$5:$D$254,AGENT_INPUT!D76)&gt;1,"DUPLICATE AGENT + PERIOD",IF(D76&lt;&gt;"READY","INPUT OR CONFIG REVIEW",IF(T76&lt;&gt;"READY",T76,""))))</f>
        <v>BLOCKED - ELIGIBILITY</v>
      </c>
    </row>
    <row r="77" spans="1:21">
      <c r="A77" s="4">
        <f>IF(AGENT_INPUT!A77="","",AGENT_INPUT!A77)</f>
        <v>228663</v>
      </c>
      <c r="B77" s="4" t="str">
        <f>IF($A77="","",AGENT_INPUT!B77)</f>
        <v>M’hammed BELLOUARAK</v>
      </c>
      <c r="C77" s="4" t="str">
        <f>IF($A77="","",AGENT_INPUT!C77)</f>
        <v>OEM FR</v>
      </c>
      <c r="D77" s="4" t="str">
        <f>IF($A77="","",IF(AND(COUNT(AGENT_INPUT!E77:J77)=6,COUNT(AGENT_INPUT!K77)=1,COUNTIF(BONUS_RULES!$A$5:$A$46,AGENT_INPUT!C77)&gt;0,OR(AGENT_INPUT!O77&gt;0,AND(AGENT_INPUT!M77&gt;0,AGENT_INPUT!N77&gt;0)),AGENT_INPUT!P77&gt;=0,AGENT_INPUT!Q77&gt;0,AGENT_INPUT!P77&lt;=AGENT_INPUT!Q77,AGENT_INPUT!H77&gt;=0,AGENT_INPUT!H77&lt;=1,AGENT_INPUT!I77&gt;=0,AGENT_INPUT!I77&lt;=1,AGENT_INPUT!J77&gt;=0,AGENT_INPUT!J77&lt;=1),"READY","BLOCKED"))</f>
        <v>READY</v>
      </c>
      <c r="E77" s="4" t="str">
        <f>IF($A77="","",IF(AGENT_INPUT!R77&lt;&gt;"Active","REVIEW",IF(OR(POLICY_APPROVAL!$B$9="Eligibility only",POLICY_APPROVAL!$B$9="Both"),IF(AGENT_INPUT!J77&lt;=SUMIFS(BONUS_RULES!$E$5:$E$46,BONUS_RULES!$A$5:$A$46,$C77,BONUS_RULES!$B$5:$B$46,"Abs%"),"ELIGIBLE","INELIGIBLE ABS"),"ELIGIBLE")))</f>
        <v>REVIEW</v>
      </c>
      <c r="F77" s="10">
        <f>IF(OR($A77="",$D77&lt;&gt;"READY"),"",IF(AGENT_INPUT!E77&lt;=SUMIFS(BONUS_RULES!$E$5:$E$46,BONUS_RULES!$A$5:$A$46,$C77,BONUS_RULES!$B$5:$B$46,"AHT"),SUMIFS(BONUS_RULES!$D$5:$D$46,BONUS_RULES!$A$5:$A$46,$C77,BONUS_RULES!$B$5:$B$46,"AHT"),IF(AGENT_INPUT!E77&lt;=SUMIFS(BONUS_RULES!$G$5:$G$46,BONUS_RULES!$A$5:$A$46,$C77,BONUS_RULES!$B$5:$B$46,"AHT"),SUMIFS(BONUS_RULES!$F$5:$F$46,BONUS_RULES!$A$5:$A$46,$C77,BONUS_RULES!$B$5:$B$46,"AHT"),0)))</f>
        <v>0.15</v>
      </c>
      <c r="G77" s="10">
        <f>IF(OR($A77="",$D77&lt;&gt;"READY"),"",IF(AGENT_INPUT!F77&gt;=SUMIFS(BONUS_RULES!$E$5:$E$46,BONUS_RULES!$A$5:$A$46,$C77,BONUS_RULES!$B$5:$B$46,"Productivity"),SUMIFS(BONUS_RULES!$D$5:$D$46,BONUS_RULES!$A$5:$A$46,$C77,BONUS_RULES!$B$5:$B$46,"Productivity"),IF(AGENT_INPUT!F77&gt;=SUMIFS(BONUS_RULES!$G$5:$G$46,BONUS_RULES!$A$5:$A$46,$C77,BONUS_RULES!$B$5:$B$46,"Productivity"),SUMIFS(BONUS_RULES!$F$5:$F$46,BONUS_RULES!$A$5:$A$46,$C77,BONUS_RULES!$B$5:$B$46,"Productivity"),0)))</f>
        <v>0.15</v>
      </c>
      <c r="H77" s="10">
        <f>IF(OR($A77="",$D77&lt;&gt;"READY"),"",IF(AGENT_INPUT!G77&gt;=SUMIFS(BONUS_RULES!$E$5:$E$46,BONUS_RULES!$A$5:$A$46,$C77,BONUS_RULES!$B$5:$B$46,"PCS Score"),SUMIFS(BONUS_RULES!$D$5:$D$46,BONUS_RULES!$A$5:$A$46,$C77,BONUS_RULES!$B$5:$B$46,"PCS Score"),IF(AGENT_INPUT!G77&gt;=SUMIFS(BONUS_RULES!$G$5:$G$46,BONUS_RULES!$A$5:$A$46,$C77,BONUS_RULES!$B$5:$B$46,"PCS Score"),SUMIFS(BONUS_RULES!$F$5:$F$46,BONUS_RULES!$A$5:$A$46,$C77,BONUS_RULES!$B$5:$B$46,"PCS Score"),0)))</f>
        <v>0.15</v>
      </c>
      <c r="I77" s="10">
        <f>IF(OR($A77="",$D77&lt;&gt;"READY"),"",IF(AGENT_INPUT!H77&gt;=SUMIFS(BONUS_RULES!$E$5:$E$46,BONUS_RULES!$A$5:$A$46,$C77,BONUS_RULES!$B$5:$B$46,"PCS % (Participation)"),SUMIFS(BONUS_RULES!$D$5:$D$46,BONUS_RULES!$A$5:$A$46,$C77,BONUS_RULES!$B$5:$B$46,"PCS % (Participation)"),IF(AGENT_INPUT!H77&gt;=SUMIFS(BONUS_RULES!$G$5:$G$46,BONUS_RULES!$A$5:$A$46,$C77,BONUS_RULES!$B$5:$B$46,"PCS % (Participation)"),SUMIFS(BONUS_RULES!$F$5:$F$46,BONUS_RULES!$A$5:$A$46,$C77,BONUS_RULES!$B$5:$B$46,"PCS % (Participation)"),0)))</f>
        <v>0.0</v>
      </c>
      <c r="J77" s="10">
        <f>IF(OR($A77="",$D77&lt;&gt;"READY"),"",IF(AGENT_INPUT!I77&gt;=SUMIFS(BONUS_RULES!$E$5:$E$46,BONUS_RULES!$A$5:$A$46,$C77,BONUS_RULES!$B$5:$B$46,"QM"),SUMIFS(BONUS_RULES!$D$5:$D$46,BONUS_RULES!$A$5:$A$46,$C77,BONUS_RULES!$B$5:$B$46,"QM"),IF(AGENT_INPUT!I77&gt;=SUMIFS(BONUS_RULES!$G$5:$G$46,BONUS_RULES!$A$5:$A$46,$C77,BONUS_RULES!$B$5:$B$46,"QM"),SUMIFS(BONUS_RULES!$F$5:$F$46,BONUS_RULES!$A$5:$A$46,$C77,BONUS_RULES!$B$5:$B$46,"QM"),0)))</f>
        <v>0.0</v>
      </c>
      <c r="K77" s="10">
        <f>IF(POLICY_APPROVAL!$B$9="Eligibility only",0,IF(OR($A77="",$D77&lt;&gt;"READY"),"",IF(AGENT_INPUT!J77&lt;=SUMIFS(BONUS_RULES!$E$5:$E$46,BONUS_RULES!$A$5:$A$46,$C77,BONUS_RULES!$B$5:$B$46,"Abs%"),SUMIFS(BONUS_RULES!$D$5:$D$46,BONUS_RULES!$A$5:$A$46,$C77,BONUS_RULES!$B$5:$B$46,"Abs%"),IF(AGENT_INPUT!J77&lt;=SUMIFS(BONUS_RULES!$G$5:$G$46,BONUS_RULES!$A$5:$A$46,$C77,BONUS_RULES!$B$5:$B$46,"Abs%"),SUMIFS(BONUS_RULES!$F$5:$F$46,BONUS_RULES!$A$5:$A$46,$C77,BONUS_RULES!$B$5:$B$46,"Abs%"),0))))</f>
        <v>0.15</v>
      </c>
      <c r="L77" s="10">
        <f>IF(OR($A77="",$D77&lt;&gt;"READY"),"",IF(AGENT_INPUT!G77&gt;=SUMIFS(BONUS_RULES!$E$5:$E$46,BONUS_RULES!$A$5:$A$46,$C77,BONUS_RULES!$B$5:$B$46,"Extra Bonus (PCS Score)"),SUMIFS(BONUS_RULES!$D$5:$D$46,BONUS_RULES!$A$5:$A$46,$C77,BONUS_RULES!$B$5:$B$46,"Extra Bonus (PCS Score)"),IF(AGENT_INPUT!G77&gt;=SUMIFS(BONUS_RULES!$G$5:$G$46,BONUS_RULES!$A$5:$A$46,$C77,BONUS_RULES!$B$5:$B$46,"Extra Bonus (PCS Score)"),SUMIFS(BONUS_RULES!$F$5:$F$46,BONUS_RULES!$A$5:$A$46,$C77,BONUS_RULES!$B$5:$B$46,"Extra Bonus (PCS Score)"),0)))</f>
        <v>0.0</v>
      </c>
      <c r="M77" s="10">
        <f>IF($A77="","",MIN(IF(POLICY_APPROVAL!$B$6="Replacement",SUM(F77:K77)-H77+MAX(H77,L77),SUM(F77:L77)),POLICY_APPROVAL!$B$10))</f>
        <v>0.6</v>
      </c>
      <c r="N77" s="10">
        <f>IF($A77="","",IFERROR(INDEX(BONUS_RULES!$J$5:$J$10,MATCH(MIN(MAX(AGENT_INPUT!K77,0),5),BONUS_RULES!$I$5:$I$10,0)),1))</f>
        <v>0</v>
      </c>
      <c r="O77" s="10">
        <f>IF(M77="","",MAX(0,IF(POLICY_APPROVAL!$B$5="Percentage points",M77-N77,M77*(1-N77))))</f>
        <v>0.6</v>
      </c>
      <c r="P77" s="11">
        <f>IF(D77&lt;&gt;"READY","",IF(AGENT_INPUT!O77&gt;0,AGENT_INPUT!O77,AGENT_INPUT!M77*AGENT_INPUT!N77/IF(POLICY_APPROVAL!$B$7="Annual",12,1)))</f>
        <v>2000.0</v>
      </c>
      <c r="Q77" s="10">
        <f>IF(D77&lt;&gt;"READY","",MIN(1,AGENT_INPUT!P77/AGENT_INPUT!Q77))</f>
        <v>1.0</v>
      </c>
      <c r="R77" s="11">
        <f>IF(D77&lt;&gt;"READY","",ROUND(P77*Q77*O77,IF(POLICY_APPROVAL!$B$11="Whole MAD",0,2)))</f>
        <v>1200.0</v>
      </c>
      <c r="S77" s="11">
        <f>IF(AND(SETUP!$B$9="READY",T77="READY"),R77,"")</f>
        <v/>
      </c>
      <c r="T77" s="4" t="str">
        <f>IF($A77="","",IF(D77&lt;&gt;"READY","BLOCKED - INPUT",IF(E77&lt;&gt;"ELIGIBLE","BLOCKED - ELIGIBILITY",IF(AGENT_INPUT!S77&lt;&gt;"VALIDATED","BLOCKED - DATA",IF(SETUP!$B$9&lt;&gt;"READY","BLOCKED - POLICY","READY")))))</f>
        <v>BLOCKED - ELIGIBILITY</v>
      </c>
      <c r="U77" s="4" t="str">
        <f>IF($A77="","",IF(COUNTIFS(AGENT_INPUT!$A$5:$A$254,$A77,AGENT_INPUT!$D$5:$D$254,AGENT_INPUT!D77)&gt;1,"DUPLICATE AGENT + PERIOD",IF(D77&lt;&gt;"READY","INPUT OR CONFIG REVIEW",IF(T77&lt;&gt;"READY",T77,""))))</f>
        <v>BLOCKED - ELIGIBILITY</v>
      </c>
    </row>
    <row r="78" spans="1:21">
      <c r="A78" s="4">
        <f>IF(AGENT_INPUT!A78="","",AGENT_INPUT!A78)</f>
        <v>96527</v>
      </c>
      <c r="B78" s="4" t="str">
        <f>IF($A78="","",AGENT_INPUT!B78)</f>
        <v>NASSER Meryem</v>
      </c>
      <c r="C78" s="4" t="str">
        <f>IF($A78="","",AGENT_INPUT!C78)</f>
        <v>RSA FR</v>
      </c>
      <c r="D78" s="4" t="str">
        <f>IF($A78="","",IF(AND(COUNT(AGENT_INPUT!E78:J78)=6,COUNT(AGENT_INPUT!K78)=1,COUNTIF(BONUS_RULES!$A$5:$A$46,AGENT_INPUT!C78)&gt;0,OR(AGENT_INPUT!O78&gt;0,AND(AGENT_INPUT!M78&gt;0,AGENT_INPUT!N78&gt;0)),AGENT_INPUT!P78&gt;=0,AGENT_INPUT!Q78&gt;0,AGENT_INPUT!P78&lt;=AGENT_INPUT!Q78,AGENT_INPUT!H78&gt;=0,AGENT_INPUT!H78&lt;=1,AGENT_INPUT!I78&gt;=0,AGENT_INPUT!I78&lt;=1,AGENT_INPUT!J78&gt;=0,AGENT_INPUT!J78&lt;=1),"READY","BLOCKED"))</f>
        <v>READY</v>
      </c>
      <c r="E78" s="4" t="str">
        <f>IF($A78="","",IF(AGENT_INPUT!R78&lt;&gt;"Active","REVIEW",IF(OR(POLICY_APPROVAL!$B$9="Eligibility only",POLICY_APPROVAL!$B$9="Both"),IF(AGENT_INPUT!J78&lt;=SUMIFS(BONUS_RULES!$E$5:$E$46,BONUS_RULES!$A$5:$A$46,$C78,BONUS_RULES!$B$5:$B$46,"Abs%"),"ELIGIBLE","INELIGIBLE ABS"),"ELIGIBLE")))</f>
        <v>REVIEW</v>
      </c>
      <c r="F78" s="10">
        <f>IF(OR($A78="",$D78&lt;&gt;"READY"),"",IF(AGENT_INPUT!E78&lt;=SUMIFS(BONUS_RULES!$E$5:$E$46,BONUS_RULES!$A$5:$A$46,$C78,BONUS_RULES!$B$5:$B$46,"AHT"),SUMIFS(BONUS_RULES!$D$5:$D$46,BONUS_RULES!$A$5:$A$46,$C78,BONUS_RULES!$B$5:$B$46,"AHT"),IF(AGENT_INPUT!E78&lt;=SUMIFS(BONUS_RULES!$G$5:$G$46,BONUS_RULES!$A$5:$A$46,$C78,BONUS_RULES!$B$5:$B$46,"AHT"),SUMIFS(BONUS_RULES!$F$5:$F$46,BONUS_RULES!$A$5:$A$46,$C78,BONUS_RULES!$B$5:$B$46,"AHT"),0)))</f>
        <v>0.15</v>
      </c>
      <c r="G78" s="10">
        <f>IF(OR($A78="",$D78&lt;&gt;"READY"),"",IF(AGENT_INPUT!F78&gt;=SUMIFS(BONUS_RULES!$E$5:$E$46,BONUS_RULES!$A$5:$A$46,$C78,BONUS_RULES!$B$5:$B$46,"Productivity"),SUMIFS(BONUS_RULES!$D$5:$D$46,BONUS_RULES!$A$5:$A$46,$C78,BONUS_RULES!$B$5:$B$46,"Productivity"),IF(AGENT_INPUT!F78&gt;=SUMIFS(BONUS_RULES!$G$5:$G$46,BONUS_RULES!$A$5:$A$46,$C78,BONUS_RULES!$B$5:$B$46,"Productivity"),SUMIFS(BONUS_RULES!$F$5:$F$46,BONUS_RULES!$A$5:$A$46,$C78,BONUS_RULES!$B$5:$B$46,"Productivity"),0)))</f>
        <v>0.15</v>
      </c>
      <c r="H78" s="10">
        <f>IF(OR($A78="",$D78&lt;&gt;"READY"),"",IF(AGENT_INPUT!G78&gt;=SUMIFS(BONUS_RULES!$E$5:$E$46,BONUS_RULES!$A$5:$A$46,$C78,BONUS_RULES!$B$5:$B$46,"PCS Score"),SUMIFS(BONUS_RULES!$D$5:$D$46,BONUS_RULES!$A$5:$A$46,$C78,BONUS_RULES!$B$5:$B$46,"PCS Score"),IF(AGENT_INPUT!G78&gt;=SUMIFS(BONUS_RULES!$G$5:$G$46,BONUS_RULES!$A$5:$A$46,$C78,BONUS_RULES!$B$5:$B$46,"PCS Score"),SUMIFS(BONUS_RULES!$F$5:$F$46,BONUS_RULES!$A$5:$A$46,$C78,BONUS_RULES!$B$5:$B$46,"PCS Score"),0)))</f>
        <v>0.0</v>
      </c>
      <c r="I78" s="10">
        <f>IF(OR($A78="",$D78&lt;&gt;"READY"),"",IF(AGENT_INPUT!H78&gt;=SUMIFS(BONUS_RULES!$E$5:$E$46,BONUS_RULES!$A$5:$A$46,$C78,BONUS_RULES!$B$5:$B$46,"PCS % (Participation)"),SUMIFS(BONUS_RULES!$D$5:$D$46,BONUS_RULES!$A$5:$A$46,$C78,BONUS_RULES!$B$5:$B$46,"PCS % (Participation)"),IF(AGENT_INPUT!H78&gt;=SUMIFS(BONUS_RULES!$G$5:$G$46,BONUS_RULES!$A$5:$A$46,$C78,BONUS_RULES!$B$5:$B$46,"PCS % (Participation)"),SUMIFS(BONUS_RULES!$F$5:$F$46,BONUS_RULES!$A$5:$A$46,$C78,BONUS_RULES!$B$5:$B$46,"PCS % (Participation)"),0)))</f>
        <v>0.0</v>
      </c>
      <c r="J78" s="10">
        <f>IF(OR($A78="",$D78&lt;&gt;"READY"),"",IF(AGENT_INPUT!I78&gt;=SUMIFS(BONUS_RULES!$E$5:$E$46,BONUS_RULES!$A$5:$A$46,$C78,BONUS_RULES!$B$5:$B$46,"QM"),SUMIFS(BONUS_RULES!$D$5:$D$46,BONUS_RULES!$A$5:$A$46,$C78,BONUS_RULES!$B$5:$B$46,"QM"),IF(AGENT_INPUT!I78&gt;=SUMIFS(BONUS_RULES!$G$5:$G$46,BONUS_RULES!$A$5:$A$46,$C78,BONUS_RULES!$B$5:$B$46,"QM"),SUMIFS(BONUS_RULES!$F$5:$F$46,BONUS_RULES!$A$5:$A$46,$C78,BONUS_RULES!$B$5:$B$46,"QM"),0)))</f>
        <v>0.2</v>
      </c>
      <c r="K78" s="10">
        <f>IF(POLICY_APPROVAL!$B$9="Eligibility only",0,IF(OR($A78="",$D78&lt;&gt;"READY"),"",IF(AGENT_INPUT!J78&lt;=SUMIFS(BONUS_RULES!$E$5:$E$46,BONUS_RULES!$A$5:$A$46,$C78,BONUS_RULES!$B$5:$B$46,"Abs%"),SUMIFS(BONUS_RULES!$D$5:$D$46,BONUS_RULES!$A$5:$A$46,$C78,BONUS_RULES!$B$5:$B$46,"Abs%"),IF(AGENT_INPUT!J78&lt;=SUMIFS(BONUS_RULES!$G$5:$G$46,BONUS_RULES!$A$5:$A$46,$C78,BONUS_RULES!$B$5:$B$46,"Abs%"),SUMIFS(BONUS_RULES!$F$5:$F$46,BONUS_RULES!$A$5:$A$46,$C78,BONUS_RULES!$B$5:$B$46,"Abs%"),0))))</f>
        <v>0.15</v>
      </c>
      <c r="L78" s="10">
        <f>IF(OR($A78="",$D78&lt;&gt;"READY"),"",IF(AGENT_INPUT!G78&gt;=SUMIFS(BONUS_RULES!$E$5:$E$46,BONUS_RULES!$A$5:$A$46,$C78,BONUS_RULES!$B$5:$B$46,"Extra Bonus (PCS Score)"),SUMIFS(BONUS_RULES!$D$5:$D$46,BONUS_RULES!$A$5:$A$46,$C78,BONUS_RULES!$B$5:$B$46,"Extra Bonus (PCS Score)"),IF(AGENT_INPUT!G78&gt;=SUMIFS(BONUS_RULES!$G$5:$G$46,BONUS_RULES!$A$5:$A$46,$C78,BONUS_RULES!$B$5:$B$46,"Extra Bonus (PCS Score)"),SUMIFS(BONUS_RULES!$F$5:$F$46,BONUS_RULES!$A$5:$A$46,$C78,BONUS_RULES!$B$5:$B$46,"Extra Bonus (PCS Score)"),0)))</f>
        <v>0.0</v>
      </c>
      <c r="M78" s="10">
        <f>IF($A78="","",MIN(IF(POLICY_APPROVAL!$B$6="Replacement",SUM(F78:K78)-H78+MAX(H78,L78),SUM(F78:L78)),POLICY_APPROVAL!$B$10))</f>
        <v>0.65</v>
      </c>
      <c r="N78" s="10">
        <f>IF($A78="","",IFERROR(INDEX(BONUS_RULES!$J$5:$J$10,MATCH(MIN(MAX(AGENT_INPUT!K78,0),5),BONUS_RULES!$I$5:$I$10,0)),1))</f>
        <v>0</v>
      </c>
      <c r="O78" s="10">
        <f>IF(M78="","",MAX(0,IF(POLICY_APPROVAL!$B$5="Percentage points",M78-N78,M78*(1-N78))))</f>
        <v>0.65</v>
      </c>
      <c r="P78" s="11">
        <f>IF(D78&lt;&gt;"READY","",IF(AGENT_INPUT!O78&gt;0,AGENT_INPUT!O78,AGENT_INPUT!M78*AGENT_INPUT!N78/IF(POLICY_APPROVAL!$B$7="Annual",12,1)))</f>
        <v>2000.0</v>
      </c>
      <c r="Q78" s="10">
        <f>IF(D78&lt;&gt;"READY","",MIN(1,AGENT_INPUT!P78/AGENT_INPUT!Q78))</f>
        <v>1.0</v>
      </c>
      <c r="R78" s="11">
        <f>IF(D78&lt;&gt;"READY","",ROUND(P78*Q78*O78,IF(POLICY_APPROVAL!$B$11="Whole MAD",0,2)))</f>
        <v>1300.0</v>
      </c>
      <c r="S78" s="11">
        <f>IF(AND(SETUP!$B$9="READY",T78="READY"),R78,"")</f>
        <v/>
      </c>
      <c r="T78" s="4" t="str">
        <f>IF($A78="","",IF(D78&lt;&gt;"READY","BLOCKED - INPUT",IF(E78&lt;&gt;"ELIGIBLE","BLOCKED - ELIGIBILITY",IF(AGENT_INPUT!S78&lt;&gt;"VALIDATED","BLOCKED - DATA",IF(SETUP!$B$9&lt;&gt;"READY","BLOCKED - POLICY","READY")))))</f>
        <v>BLOCKED - ELIGIBILITY</v>
      </c>
      <c r="U78" s="4" t="str">
        <f>IF($A78="","",IF(COUNTIFS(AGENT_INPUT!$A$5:$A$254,$A78,AGENT_INPUT!$D$5:$D$254,AGENT_INPUT!D78)&gt;1,"DUPLICATE AGENT + PERIOD",IF(D78&lt;&gt;"READY","INPUT OR CONFIG REVIEW",IF(T78&lt;&gt;"READY",T78,""))))</f>
        <v>BLOCKED - ELIGIBILITY</v>
      </c>
    </row>
    <row r="79" spans="1:21">
      <c r="A79" s="4">
        <f>IF(AGENT_INPUT!A79="","",AGENT_INPUT!A79)</f>
        <v>96472</v>
      </c>
      <c r="B79" s="4" t="str">
        <f>IF($A79="","",AGENT_INPUT!B79)</f>
        <v>LAOOUINA Meryem</v>
      </c>
      <c r="C79" s="4" t="str">
        <f>IF($A79="","",AGENT_INPUT!C79)</f>
        <v>RSA FR</v>
      </c>
      <c r="D79" s="4" t="str">
        <f>IF($A79="","",IF(AND(COUNT(AGENT_INPUT!E79:J79)=6,COUNT(AGENT_INPUT!K79)=1,COUNTIF(BONUS_RULES!$A$5:$A$46,AGENT_INPUT!C79)&gt;0,OR(AGENT_INPUT!O79&gt;0,AND(AGENT_INPUT!M79&gt;0,AGENT_INPUT!N79&gt;0)),AGENT_INPUT!P79&gt;=0,AGENT_INPUT!Q79&gt;0,AGENT_INPUT!P79&lt;=AGENT_INPUT!Q79,AGENT_INPUT!H79&gt;=0,AGENT_INPUT!H79&lt;=1,AGENT_INPUT!I79&gt;=0,AGENT_INPUT!I79&lt;=1,AGENT_INPUT!J79&gt;=0,AGENT_INPUT!J79&lt;=1),"READY","BLOCKED"))</f>
        <v>READY</v>
      </c>
      <c r="E79" s="4" t="str">
        <f>IF($A79="","",IF(AGENT_INPUT!R79&lt;&gt;"Active","REVIEW",IF(OR(POLICY_APPROVAL!$B$9="Eligibility only",POLICY_APPROVAL!$B$9="Both"),IF(AGENT_INPUT!J79&lt;=SUMIFS(BONUS_RULES!$E$5:$E$46,BONUS_RULES!$A$5:$A$46,$C79,BONUS_RULES!$B$5:$B$46,"Abs%"),"ELIGIBLE","INELIGIBLE ABS"),"ELIGIBLE")))</f>
        <v>REVIEW</v>
      </c>
      <c r="F79" s="10">
        <f>IF(OR($A79="",$D79&lt;&gt;"READY"),"",IF(AGENT_INPUT!E79&lt;=SUMIFS(BONUS_RULES!$E$5:$E$46,BONUS_RULES!$A$5:$A$46,$C79,BONUS_RULES!$B$5:$B$46,"AHT"),SUMIFS(BONUS_RULES!$D$5:$D$46,BONUS_RULES!$A$5:$A$46,$C79,BONUS_RULES!$B$5:$B$46,"AHT"),IF(AGENT_INPUT!E79&lt;=SUMIFS(BONUS_RULES!$G$5:$G$46,BONUS_RULES!$A$5:$A$46,$C79,BONUS_RULES!$B$5:$B$46,"AHT"),SUMIFS(BONUS_RULES!$F$5:$F$46,BONUS_RULES!$A$5:$A$46,$C79,BONUS_RULES!$B$5:$B$46,"AHT"),0)))</f>
        <v>0.15</v>
      </c>
      <c r="G79" s="10">
        <f>IF(OR($A79="",$D79&lt;&gt;"READY"),"",IF(AGENT_INPUT!F79&gt;=SUMIFS(BONUS_RULES!$E$5:$E$46,BONUS_RULES!$A$5:$A$46,$C79,BONUS_RULES!$B$5:$B$46,"Productivity"),SUMIFS(BONUS_RULES!$D$5:$D$46,BONUS_RULES!$A$5:$A$46,$C79,BONUS_RULES!$B$5:$B$46,"Productivity"),IF(AGENT_INPUT!F79&gt;=SUMIFS(BONUS_RULES!$G$5:$G$46,BONUS_RULES!$A$5:$A$46,$C79,BONUS_RULES!$B$5:$B$46,"Productivity"),SUMIFS(BONUS_RULES!$F$5:$F$46,BONUS_RULES!$A$5:$A$46,$C79,BONUS_RULES!$B$5:$B$46,"Productivity"),0)))</f>
        <v>0.15</v>
      </c>
      <c r="H79" s="10">
        <f>IF(OR($A79="",$D79&lt;&gt;"READY"),"",IF(AGENT_INPUT!G79&gt;=SUMIFS(BONUS_RULES!$E$5:$E$46,BONUS_RULES!$A$5:$A$46,$C79,BONUS_RULES!$B$5:$B$46,"PCS Score"),SUMIFS(BONUS_RULES!$D$5:$D$46,BONUS_RULES!$A$5:$A$46,$C79,BONUS_RULES!$B$5:$B$46,"PCS Score"),IF(AGENT_INPUT!G79&gt;=SUMIFS(BONUS_RULES!$G$5:$G$46,BONUS_RULES!$A$5:$A$46,$C79,BONUS_RULES!$B$5:$B$46,"PCS Score"),SUMIFS(BONUS_RULES!$F$5:$F$46,BONUS_RULES!$A$5:$A$46,$C79,BONUS_RULES!$B$5:$B$46,"PCS Score"),0)))</f>
        <v>0.0</v>
      </c>
      <c r="I79" s="10">
        <f>IF(OR($A79="",$D79&lt;&gt;"READY"),"",IF(AGENT_INPUT!H79&gt;=SUMIFS(BONUS_RULES!$E$5:$E$46,BONUS_RULES!$A$5:$A$46,$C79,BONUS_RULES!$B$5:$B$46,"PCS % (Participation)"),SUMIFS(BONUS_RULES!$D$5:$D$46,BONUS_RULES!$A$5:$A$46,$C79,BONUS_RULES!$B$5:$B$46,"PCS % (Participation)"),IF(AGENT_INPUT!H79&gt;=SUMIFS(BONUS_RULES!$G$5:$G$46,BONUS_RULES!$A$5:$A$46,$C79,BONUS_RULES!$B$5:$B$46,"PCS % (Participation)"),SUMIFS(BONUS_RULES!$F$5:$F$46,BONUS_RULES!$A$5:$A$46,$C79,BONUS_RULES!$B$5:$B$46,"PCS % (Participation)"),0)))</f>
        <v>0.0</v>
      </c>
      <c r="J79" s="10">
        <f>IF(OR($A79="",$D79&lt;&gt;"READY"),"",IF(AGENT_INPUT!I79&gt;=SUMIFS(BONUS_RULES!$E$5:$E$46,BONUS_RULES!$A$5:$A$46,$C79,BONUS_RULES!$B$5:$B$46,"QM"),SUMIFS(BONUS_RULES!$D$5:$D$46,BONUS_RULES!$A$5:$A$46,$C79,BONUS_RULES!$B$5:$B$46,"QM"),IF(AGENT_INPUT!I79&gt;=SUMIFS(BONUS_RULES!$G$5:$G$46,BONUS_RULES!$A$5:$A$46,$C79,BONUS_RULES!$B$5:$B$46,"QM"),SUMIFS(BONUS_RULES!$F$5:$F$46,BONUS_RULES!$A$5:$A$46,$C79,BONUS_RULES!$B$5:$B$46,"QM"),0)))</f>
        <v>0.2</v>
      </c>
      <c r="K79" s="10">
        <f>IF(POLICY_APPROVAL!$B$9="Eligibility only",0,IF(OR($A79="",$D79&lt;&gt;"READY"),"",IF(AGENT_INPUT!J79&lt;=SUMIFS(BONUS_RULES!$E$5:$E$46,BONUS_RULES!$A$5:$A$46,$C79,BONUS_RULES!$B$5:$B$46,"Abs%"),SUMIFS(BONUS_RULES!$D$5:$D$46,BONUS_RULES!$A$5:$A$46,$C79,BONUS_RULES!$B$5:$B$46,"Abs%"),IF(AGENT_INPUT!J79&lt;=SUMIFS(BONUS_RULES!$G$5:$G$46,BONUS_RULES!$A$5:$A$46,$C79,BONUS_RULES!$B$5:$B$46,"Abs%"),SUMIFS(BONUS_RULES!$F$5:$F$46,BONUS_RULES!$A$5:$A$46,$C79,BONUS_RULES!$B$5:$B$46,"Abs%"),0))))</f>
        <v>0.0</v>
      </c>
      <c r="L79" s="10">
        <f>IF(OR($A79="",$D79&lt;&gt;"READY"),"",IF(AGENT_INPUT!G79&gt;=SUMIFS(BONUS_RULES!$E$5:$E$46,BONUS_RULES!$A$5:$A$46,$C79,BONUS_RULES!$B$5:$B$46,"Extra Bonus (PCS Score)"),SUMIFS(BONUS_RULES!$D$5:$D$46,BONUS_RULES!$A$5:$A$46,$C79,BONUS_RULES!$B$5:$B$46,"Extra Bonus (PCS Score)"),IF(AGENT_INPUT!G79&gt;=SUMIFS(BONUS_RULES!$G$5:$G$46,BONUS_RULES!$A$5:$A$46,$C79,BONUS_RULES!$B$5:$B$46,"Extra Bonus (PCS Score)"),SUMIFS(BONUS_RULES!$F$5:$F$46,BONUS_RULES!$A$5:$A$46,$C79,BONUS_RULES!$B$5:$B$46,"Extra Bonus (PCS Score)"),0)))</f>
        <v>0.0</v>
      </c>
      <c r="M79" s="10">
        <f>IF($A79="","",MIN(IF(POLICY_APPROVAL!$B$6="Replacement",SUM(F79:K79)-H79+MAX(H79,L79),SUM(F79:L79)),POLICY_APPROVAL!$B$10))</f>
        <v>0.5</v>
      </c>
      <c r="N79" s="10">
        <f>IF($A79="","",IFERROR(INDEX(BONUS_RULES!$J$5:$J$10,MATCH(MIN(MAX(AGENT_INPUT!K79,0),5),BONUS_RULES!$I$5:$I$10,0)),1))</f>
        <v>0</v>
      </c>
      <c r="O79" s="10">
        <f>IF(M79="","",MAX(0,IF(POLICY_APPROVAL!$B$5="Percentage points",M79-N79,M79*(1-N79))))</f>
        <v>0.5</v>
      </c>
      <c r="P79" s="11">
        <f>IF(D79&lt;&gt;"READY","",IF(AGENT_INPUT!O79&gt;0,AGENT_INPUT!O79,AGENT_INPUT!M79*AGENT_INPUT!N79/IF(POLICY_APPROVAL!$B$7="Annual",12,1)))</f>
        <v>2000.0</v>
      </c>
      <c r="Q79" s="10">
        <f>IF(D79&lt;&gt;"READY","",MIN(1,AGENT_INPUT!P79/AGENT_INPUT!Q79))</f>
        <v>1.0</v>
      </c>
      <c r="R79" s="11">
        <f>IF(D79&lt;&gt;"READY","",ROUND(P79*Q79*O79,IF(POLICY_APPROVAL!$B$11="Whole MAD",0,2)))</f>
        <v>1000.0</v>
      </c>
      <c r="S79" s="11">
        <f>IF(AND(SETUP!$B$9="READY",T79="READY"),R79,"")</f>
        <v/>
      </c>
      <c r="T79" s="4" t="str">
        <f>IF($A79="","",IF(D79&lt;&gt;"READY","BLOCKED - INPUT",IF(E79&lt;&gt;"ELIGIBLE","BLOCKED - ELIGIBILITY",IF(AGENT_INPUT!S79&lt;&gt;"VALIDATED","BLOCKED - DATA",IF(SETUP!$B$9&lt;&gt;"READY","BLOCKED - POLICY","READY")))))</f>
        <v>BLOCKED - ELIGIBILITY</v>
      </c>
      <c r="U79" s="4" t="str">
        <f>IF($A79="","",IF(COUNTIFS(AGENT_INPUT!$A$5:$A$254,$A79,AGENT_INPUT!$D$5:$D$254,AGENT_INPUT!D79)&gt;1,"DUPLICATE AGENT + PERIOD",IF(D79&lt;&gt;"READY","INPUT OR CONFIG REVIEW",IF(T79&lt;&gt;"READY",T79,""))))</f>
        <v>BLOCKED - ELIGIBILITY</v>
      </c>
    </row>
    <row r="80" spans="1:21">
      <c r="A80" s="4">
        <f>IF(AGENT_INPUT!A80="","",AGENT_INPUT!A80)</f>
        <v>250743</v>
      </c>
      <c r="B80" s="4" t="str">
        <f>IF($A80="","",AGENT_INPUT!B80)</f>
        <v>Meryem GHAYOR</v>
      </c>
      <c r="C80" s="4" t="str">
        <f>IF($A80="","",AGENT_INPUT!C80)</f>
        <v>OEM FR</v>
      </c>
      <c r="D80" s="4" t="str">
        <f>IF($A80="","",IF(AND(COUNT(AGENT_INPUT!E80:J80)=6,COUNT(AGENT_INPUT!K80)=1,COUNTIF(BONUS_RULES!$A$5:$A$46,AGENT_INPUT!C80)&gt;0,OR(AGENT_INPUT!O80&gt;0,AND(AGENT_INPUT!M80&gt;0,AGENT_INPUT!N80&gt;0)),AGENT_INPUT!P80&gt;=0,AGENT_INPUT!Q80&gt;0,AGENT_INPUT!P80&lt;=AGENT_INPUT!Q80,AGENT_INPUT!H80&gt;=0,AGENT_INPUT!H80&lt;=1,AGENT_INPUT!I80&gt;=0,AGENT_INPUT!I80&lt;=1,AGENT_INPUT!J80&gt;=0,AGENT_INPUT!J80&lt;=1),"READY","BLOCKED"))</f>
        <v>BLOCKED</v>
      </c>
      <c r="E80" s="4">
        <f>IF($A80="","",IF(AGENT_INPUT!R80&lt;&gt;"Active","REVIEW",IF(OR(POLICY_APPROVAL!$B$9="Eligibility only",POLICY_APPROVAL!$B$9="Both"),IF(AGENT_INPUT!J80&lt;=SUMIFS(BONUS_RULES!$E$5:$E$46,BONUS_RULES!$A$5:$A$46,$C80,BONUS_RULES!$B$5:$B$46,"Abs%"),"ELIGIBLE","INELIGIBLE ABS"),"ELIGIBLE")))</f>
        <v/>
      </c>
      <c r="F80" s="10">
        <f>IF(OR($A80="",$D80&lt;&gt;"READY"),"",IF(AGENT_INPUT!E80&lt;=SUMIFS(BONUS_RULES!$E$5:$E$46,BONUS_RULES!$A$5:$A$46,$C80,BONUS_RULES!$B$5:$B$46,"AHT"),SUMIFS(BONUS_RULES!$D$5:$D$46,BONUS_RULES!$A$5:$A$46,$C80,BONUS_RULES!$B$5:$B$46,"AHT"),IF(AGENT_INPUT!E80&lt;=SUMIFS(BONUS_RULES!$G$5:$G$46,BONUS_RULES!$A$5:$A$46,$C80,BONUS_RULES!$B$5:$B$46,"AHT"),SUMIFS(BONUS_RULES!$F$5:$F$46,BONUS_RULES!$A$5:$A$46,$C80,BONUS_RULES!$B$5:$B$46,"AHT"),0)))</f>
        <v/>
      </c>
      <c r="G80" s="10">
        <f>IF(OR($A80="",$D80&lt;&gt;"READY"),"",IF(AGENT_INPUT!F80&gt;=SUMIFS(BONUS_RULES!$E$5:$E$46,BONUS_RULES!$A$5:$A$46,$C80,BONUS_RULES!$B$5:$B$46,"Productivity"),SUMIFS(BONUS_RULES!$D$5:$D$46,BONUS_RULES!$A$5:$A$46,$C80,BONUS_RULES!$B$5:$B$46,"Productivity"),IF(AGENT_INPUT!F80&gt;=SUMIFS(BONUS_RULES!$G$5:$G$46,BONUS_RULES!$A$5:$A$46,$C80,BONUS_RULES!$B$5:$B$46,"Productivity"),SUMIFS(BONUS_RULES!$F$5:$F$46,BONUS_RULES!$A$5:$A$46,$C80,BONUS_RULES!$B$5:$B$46,"Productivity"),0)))</f>
        <v/>
      </c>
      <c r="H80" s="10">
        <f>IF(OR($A80="",$D80&lt;&gt;"READY"),"",IF(AGENT_INPUT!G80&gt;=SUMIFS(BONUS_RULES!$E$5:$E$46,BONUS_RULES!$A$5:$A$46,$C80,BONUS_RULES!$B$5:$B$46,"PCS Score"),SUMIFS(BONUS_RULES!$D$5:$D$46,BONUS_RULES!$A$5:$A$46,$C80,BONUS_RULES!$B$5:$B$46,"PCS Score"),IF(AGENT_INPUT!G80&gt;=SUMIFS(BONUS_RULES!$G$5:$G$46,BONUS_RULES!$A$5:$A$46,$C80,BONUS_RULES!$B$5:$B$46,"PCS Score"),SUMIFS(BONUS_RULES!$F$5:$F$46,BONUS_RULES!$A$5:$A$46,$C80,BONUS_RULES!$B$5:$B$46,"PCS Score"),0)))</f>
        <v/>
      </c>
      <c r="I80" s="10">
        <f>IF(OR($A80="",$D80&lt;&gt;"READY"),"",IF(AGENT_INPUT!H80&gt;=SUMIFS(BONUS_RULES!$E$5:$E$46,BONUS_RULES!$A$5:$A$46,$C80,BONUS_RULES!$B$5:$B$46,"PCS % (Participation)"),SUMIFS(BONUS_RULES!$D$5:$D$46,BONUS_RULES!$A$5:$A$46,$C80,BONUS_RULES!$B$5:$B$46,"PCS % (Participation)"),IF(AGENT_INPUT!H80&gt;=SUMIFS(BONUS_RULES!$G$5:$G$46,BONUS_RULES!$A$5:$A$46,$C80,BONUS_RULES!$B$5:$B$46,"PCS % (Participation)"),SUMIFS(BONUS_RULES!$F$5:$F$46,BONUS_RULES!$A$5:$A$46,$C80,BONUS_RULES!$B$5:$B$46,"PCS % (Participation)"),0)))</f>
        <v/>
      </c>
      <c r="J80" s="10">
        <f>IF(OR($A80="",$D80&lt;&gt;"READY"),"",IF(AGENT_INPUT!I80&gt;=SUMIFS(BONUS_RULES!$E$5:$E$46,BONUS_RULES!$A$5:$A$46,$C80,BONUS_RULES!$B$5:$B$46,"QM"),SUMIFS(BONUS_RULES!$D$5:$D$46,BONUS_RULES!$A$5:$A$46,$C80,BONUS_RULES!$B$5:$B$46,"QM"),IF(AGENT_INPUT!I80&gt;=SUMIFS(BONUS_RULES!$G$5:$G$46,BONUS_RULES!$A$5:$A$46,$C80,BONUS_RULES!$B$5:$B$46,"QM"),SUMIFS(BONUS_RULES!$F$5:$F$46,BONUS_RULES!$A$5:$A$46,$C80,BONUS_RULES!$B$5:$B$46,"QM"),0)))</f>
        <v/>
      </c>
      <c r="K80" s="10">
        <f>IF(POLICY_APPROVAL!$B$9="Eligibility only",0,IF(OR($A80="",$D80&lt;&gt;"READY"),"",IF(AGENT_INPUT!J80&lt;=SUMIFS(BONUS_RULES!$E$5:$E$46,BONUS_RULES!$A$5:$A$46,$C80,BONUS_RULES!$B$5:$B$46,"Abs%"),SUMIFS(BONUS_RULES!$D$5:$D$46,BONUS_RULES!$A$5:$A$46,$C80,BONUS_RULES!$B$5:$B$46,"Abs%"),IF(AGENT_INPUT!J80&lt;=SUMIFS(BONUS_RULES!$G$5:$G$46,BONUS_RULES!$A$5:$A$46,$C80,BONUS_RULES!$B$5:$B$46,"Abs%"),SUMIFS(BONUS_RULES!$F$5:$F$46,BONUS_RULES!$A$5:$A$46,$C80,BONUS_RULES!$B$5:$B$46,"Abs%"),0))))</f>
        <v/>
      </c>
      <c r="L80" s="10">
        <f>IF(OR($A80="",$D80&lt;&gt;"READY"),"",IF(AGENT_INPUT!G80&gt;=SUMIFS(BONUS_RULES!$E$5:$E$46,BONUS_RULES!$A$5:$A$46,$C80,BONUS_RULES!$B$5:$B$46,"Extra Bonus (PCS Score)"),SUMIFS(BONUS_RULES!$D$5:$D$46,BONUS_RULES!$A$5:$A$46,$C80,BONUS_RULES!$B$5:$B$46,"Extra Bonus (PCS Score)"),IF(AGENT_INPUT!G80&gt;=SUMIFS(BONUS_RULES!$G$5:$G$46,BONUS_RULES!$A$5:$A$46,$C80,BONUS_RULES!$B$5:$B$46,"Extra Bonus (PCS Score)"),SUMIFS(BONUS_RULES!$F$5:$F$46,BONUS_RULES!$A$5:$A$46,$C80,BONUS_RULES!$B$5:$B$46,"Extra Bonus (PCS Score)"),0)))</f>
        <v/>
      </c>
      <c r="M80" s="10">
        <f>IF($A80="","",MIN(IF(POLICY_APPROVAL!$B$6="Replacement",SUM(F80:K80)-H80+MAX(H80,L80),SUM(F80:L80)),POLICY_APPROVAL!$B$10))</f>
        <v>0</v>
      </c>
      <c r="N80" s="10">
        <f>IF($A80="","",IFERROR(INDEX(BONUS_RULES!$J$5:$J$10,MATCH(MIN(MAX(AGENT_INPUT!K80,0),5),BONUS_RULES!$I$5:$I$10,0)),1))</f>
        <v>0</v>
      </c>
      <c r="O80" s="10">
        <f>IF(M80="","",MAX(0,IF(POLICY_APPROVAL!$B$5="Percentage points",M80-N80,M80*(1-N80))))</f>
        <v>0</v>
      </c>
      <c r="P80" s="11">
        <f>IF(D80&lt;&gt;"READY","",IF(AGENT_INPUT!O80&gt;0,AGENT_INPUT!O80,AGENT_INPUT!M80*AGENT_INPUT!N80/IF(POLICY_APPROVAL!$B$7="Annual",12,1)))</f>
        <v/>
      </c>
      <c r="Q80" s="10">
        <f>IF(D80&lt;&gt;"READY","",MIN(1,AGENT_INPUT!P80/AGENT_INPUT!Q80))</f>
        <v/>
      </c>
      <c r="R80" s="11">
        <f>IF(D80&lt;&gt;"READY","",ROUND(P80*Q80*O80,IF(POLICY_APPROVAL!$B$11="Whole MAD",0,2)))</f>
        <v/>
      </c>
      <c r="S80" s="11">
        <f>IF(AND(SETUP!$B$9="READY",T80="READY"),R80,"")</f>
        <v/>
      </c>
      <c r="T80" s="4" t="str">
        <f>IF($A80="","",IF(D80&lt;&gt;"READY","BLOCKED - INPUT",IF(E80&lt;&gt;"ELIGIBLE","BLOCKED - ELIGIBILITY",IF(AGENT_INPUT!S80&lt;&gt;"VALIDATED","BLOCKED - DATA",IF(SETUP!$B$9&lt;&gt;"READY","BLOCKED - POLICY","READY")))))</f>
        <v>BLOCKED - INPUT</v>
      </c>
      <c r="U80" s="4" t="str">
        <f>IF($A80="","",IF(COUNTIFS(AGENT_INPUT!$A$5:$A$254,$A80,AGENT_INPUT!$D$5:$D$254,AGENT_INPUT!D80)&gt;1,"DUPLICATE AGENT + PERIOD",IF(D80&lt;&gt;"READY","INPUT OR CONFIG REVIEW",IF(T80&lt;&gt;"READY",T80,""))))</f>
        <v>Missing, invalid, or unconfigured required input</v>
      </c>
    </row>
    <row r="81" spans="1:21">
      <c r="A81" s="4">
        <f>IF(AGENT_INPUT!A81="","",AGENT_INPUT!A81)</f>
        <v>96468</v>
      </c>
      <c r="B81" s="4" t="str">
        <f>IF($A81="","",AGENT_INPUT!B81)</f>
        <v>MADHLOUM Mehdi</v>
      </c>
      <c r="C81" s="4" t="str">
        <f>IF($A81="","",AGENT_INPUT!C81)</f>
        <v>RSA NL</v>
      </c>
      <c r="D81" s="4" t="str">
        <f>IF($A81="","",IF(AND(COUNT(AGENT_INPUT!E81:J81)=6,COUNT(AGENT_INPUT!K81)=1,COUNTIF(BONUS_RULES!$A$5:$A$46,AGENT_INPUT!C81)&gt;0,OR(AGENT_INPUT!O81&gt;0,AND(AGENT_INPUT!M81&gt;0,AGENT_INPUT!N81&gt;0)),AGENT_INPUT!P81&gt;=0,AGENT_INPUT!Q81&gt;0,AGENT_INPUT!P81&lt;=AGENT_INPUT!Q81,AGENT_INPUT!H81&gt;=0,AGENT_INPUT!H81&lt;=1,AGENT_INPUT!I81&gt;=0,AGENT_INPUT!I81&lt;=1,AGENT_INPUT!J81&gt;=0,AGENT_INPUT!J81&lt;=1),"READY","BLOCKED"))</f>
        <v>BLOCKED</v>
      </c>
      <c r="E81" s="4">
        <f>IF($A81="","",IF(AGENT_INPUT!R81&lt;&gt;"Active","REVIEW",IF(OR(POLICY_APPROVAL!$B$9="Eligibility only",POLICY_APPROVAL!$B$9="Both"),IF(AGENT_INPUT!J81&lt;=SUMIFS(BONUS_RULES!$E$5:$E$46,BONUS_RULES!$A$5:$A$46,$C81,BONUS_RULES!$B$5:$B$46,"Abs%"),"ELIGIBLE","INELIGIBLE ABS"),"ELIGIBLE")))</f>
        <v/>
      </c>
      <c r="F81" s="10">
        <f>IF(OR($A81="",$D81&lt;&gt;"READY"),"",IF(AGENT_INPUT!E81&lt;=SUMIFS(BONUS_RULES!$E$5:$E$46,BONUS_RULES!$A$5:$A$46,$C81,BONUS_RULES!$B$5:$B$46,"AHT"),SUMIFS(BONUS_RULES!$D$5:$D$46,BONUS_RULES!$A$5:$A$46,$C81,BONUS_RULES!$B$5:$B$46,"AHT"),IF(AGENT_INPUT!E81&lt;=SUMIFS(BONUS_RULES!$G$5:$G$46,BONUS_RULES!$A$5:$A$46,$C81,BONUS_RULES!$B$5:$B$46,"AHT"),SUMIFS(BONUS_RULES!$F$5:$F$46,BONUS_RULES!$A$5:$A$46,$C81,BONUS_RULES!$B$5:$B$46,"AHT"),0)))</f>
        <v/>
      </c>
      <c r="G81" s="10">
        <f>IF(OR($A81="",$D81&lt;&gt;"READY"),"",IF(AGENT_INPUT!F81&gt;=SUMIFS(BONUS_RULES!$E$5:$E$46,BONUS_RULES!$A$5:$A$46,$C81,BONUS_RULES!$B$5:$B$46,"Productivity"),SUMIFS(BONUS_RULES!$D$5:$D$46,BONUS_RULES!$A$5:$A$46,$C81,BONUS_RULES!$B$5:$B$46,"Productivity"),IF(AGENT_INPUT!F81&gt;=SUMIFS(BONUS_RULES!$G$5:$G$46,BONUS_RULES!$A$5:$A$46,$C81,BONUS_RULES!$B$5:$B$46,"Productivity"),SUMIFS(BONUS_RULES!$F$5:$F$46,BONUS_RULES!$A$5:$A$46,$C81,BONUS_RULES!$B$5:$B$46,"Productivity"),0)))</f>
        <v/>
      </c>
      <c r="H81" s="10">
        <f>IF(OR($A81="",$D81&lt;&gt;"READY"),"",IF(AGENT_INPUT!G81&gt;=SUMIFS(BONUS_RULES!$E$5:$E$46,BONUS_RULES!$A$5:$A$46,$C81,BONUS_RULES!$B$5:$B$46,"PCS Score"),SUMIFS(BONUS_RULES!$D$5:$D$46,BONUS_RULES!$A$5:$A$46,$C81,BONUS_RULES!$B$5:$B$46,"PCS Score"),IF(AGENT_INPUT!G81&gt;=SUMIFS(BONUS_RULES!$G$5:$G$46,BONUS_RULES!$A$5:$A$46,$C81,BONUS_RULES!$B$5:$B$46,"PCS Score"),SUMIFS(BONUS_RULES!$F$5:$F$46,BONUS_RULES!$A$5:$A$46,$C81,BONUS_RULES!$B$5:$B$46,"PCS Score"),0)))</f>
        <v/>
      </c>
      <c r="I81" s="10">
        <f>IF(OR($A81="",$D81&lt;&gt;"READY"),"",IF(AGENT_INPUT!H81&gt;=SUMIFS(BONUS_RULES!$E$5:$E$46,BONUS_RULES!$A$5:$A$46,$C81,BONUS_RULES!$B$5:$B$46,"PCS % (Participation)"),SUMIFS(BONUS_RULES!$D$5:$D$46,BONUS_RULES!$A$5:$A$46,$C81,BONUS_RULES!$B$5:$B$46,"PCS % (Participation)"),IF(AGENT_INPUT!H81&gt;=SUMIFS(BONUS_RULES!$G$5:$G$46,BONUS_RULES!$A$5:$A$46,$C81,BONUS_RULES!$B$5:$B$46,"PCS % (Participation)"),SUMIFS(BONUS_RULES!$F$5:$F$46,BONUS_RULES!$A$5:$A$46,$C81,BONUS_RULES!$B$5:$B$46,"PCS % (Participation)"),0)))</f>
        <v/>
      </c>
      <c r="J81" s="10">
        <f>IF(OR($A81="",$D81&lt;&gt;"READY"),"",IF(AGENT_INPUT!I81&gt;=SUMIFS(BONUS_RULES!$E$5:$E$46,BONUS_RULES!$A$5:$A$46,$C81,BONUS_RULES!$B$5:$B$46,"QM"),SUMIFS(BONUS_RULES!$D$5:$D$46,BONUS_RULES!$A$5:$A$46,$C81,BONUS_RULES!$B$5:$B$46,"QM"),IF(AGENT_INPUT!I81&gt;=SUMIFS(BONUS_RULES!$G$5:$G$46,BONUS_RULES!$A$5:$A$46,$C81,BONUS_RULES!$B$5:$B$46,"QM"),SUMIFS(BONUS_RULES!$F$5:$F$46,BONUS_RULES!$A$5:$A$46,$C81,BONUS_RULES!$B$5:$B$46,"QM"),0)))</f>
        <v/>
      </c>
      <c r="K81" s="10">
        <f>IF(POLICY_APPROVAL!$B$9="Eligibility only",0,IF(OR($A81="",$D81&lt;&gt;"READY"),"",IF(AGENT_INPUT!J81&lt;=SUMIFS(BONUS_RULES!$E$5:$E$46,BONUS_RULES!$A$5:$A$46,$C81,BONUS_RULES!$B$5:$B$46,"Abs%"),SUMIFS(BONUS_RULES!$D$5:$D$46,BONUS_RULES!$A$5:$A$46,$C81,BONUS_RULES!$B$5:$B$46,"Abs%"),IF(AGENT_INPUT!J81&lt;=SUMIFS(BONUS_RULES!$G$5:$G$46,BONUS_RULES!$A$5:$A$46,$C81,BONUS_RULES!$B$5:$B$46,"Abs%"),SUMIFS(BONUS_RULES!$F$5:$F$46,BONUS_RULES!$A$5:$A$46,$C81,BONUS_RULES!$B$5:$B$46,"Abs%"),0))))</f>
        <v/>
      </c>
      <c r="L81" s="10">
        <f>IF(OR($A81="",$D81&lt;&gt;"READY"),"",IF(AGENT_INPUT!G81&gt;=SUMIFS(BONUS_RULES!$E$5:$E$46,BONUS_RULES!$A$5:$A$46,$C81,BONUS_RULES!$B$5:$B$46,"Extra Bonus (PCS Score)"),SUMIFS(BONUS_RULES!$D$5:$D$46,BONUS_RULES!$A$5:$A$46,$C81,BONUS_RULES!$B$5:$B$46,"Extra Bonus (PCS Score)"),IF(AGENT_INPUT!G81&gt;=SUMIFS(BONUS_RULES!$G$5:$G$46,BONUS_RULES!$A$5:$A$46,$C81,BONUS_RULES!$B$5:$B$46,"Extra Bonus (PCS Score)"),SUMIFS(BONUS_RULES!$F$5:$F$46,BONUS_RULES!$A$5:$A$46,$C81,BONUS_RULES!$B$5:$B$46,"Extra Bonus (PCS Score)"),0)))</f>
        <v/>
      </c>
      <c r="M81" s="10">
        <f>IF($A81="","",MIN(IF(POLICY_APPROVAL!$B$6="Replacement",SUM(F81:K81)-H81+MAX(H81,L81),SUM(F81:L81)),POLICY_APPROVAL!$B$10))</f>
        <v>0</v>
      </c>
      <c r="N81" s="10">
        <f>IF($A81="","",IFERROR(INDEX(BONUS_RULES!$J$5:$J$10,MATCH(MIN(MAX(AGENT_INPUT!K81,0),5),BONUS_RULES!$I$5:$I$10,0)),1))</f>
        <v>0</v>
      </c>
      <c r="O81" s="10">
        <f>IF(M81="","",MAX(0,IF(POLICY_APPROVAL!$B$5="Percentage points",M81-N81,M81*(1-N81))))</f>
        <v>0</v>
      </c>
      <c r="P81" s="11">
        <f>IF(D81&lt;&gt;"READY","",IF(AGENT_INPUT!O81&gt;0,AGENT_INPUT!O81,AGENT_INPUT!M81*AGENT_INPUT!N81/IF(POLICY_APPROVAL!$B$7="Annual",12,1)))</f>
        <v/>
      </c>
      <c r="Q81" s="10">
        <f>IF(D81&lt;&gt;"READY","",MIN(1,AGENT_INPUT!P81/AGENT_INPUT!Q81))</f>
        <v/>
      </c>
      <c r="R81" s="11">
        <f>IF(D81&lt;&gt;"READY","",ROUND(P81*Q81*O81,IF(POLICY_APPROVAL!$B$11="Whole MAD",0,2)))</f>
        <v/>
      </c>
      <c r="S81" s="11">
        <f>IF(AND(SETUP!$B$9="READY",T81="READY"),R81,"")</f>
        <v/>
      </c>
      <c r="T81" s="4" t="str">
        <f>IF($A81="","",IF(D81&lt;&gt;"READY","BLOCKED - INPUT",IF(E81&lt;&gt;"ELIGIBLE","BLOCKED - ELIGIBILITY",IF(AGENT_INPUT!S81&lt;&gt;"VALIDATED","BLOCKED - DATA",IF(SETUP!$B$9&lt;&gt;"READY","BLOCKED - POLICY","READY")))))</f>
        <v>BLOCKED - INPUT</v>
      </c>
      <c r="U81" s="4" t="str">
        <f>IF($A81="","",IF(COUNTIFS(AGENT_INPUT!$A$5:$A$254,$A81,AGENT_INPUT!$D$5:$D$254,AGENT_INPUT!D81)&gt;1,"DUPLICATE AGENT + PERIOD",IF(D81&lt;&gt;"READY","INPUT OR CONFIG REVIEW",IF(T81&lt;&gt;"READY",T81,""))))</f>
        <v>Missing, invalid, or unconfigured required input</v>
      </c>
    </row>
    <row r="82" spans="1:21">
      <c r="A82" s="4">
        <f>IF(AGENT_INPUT!A82="","",AGENT_INPUT!A82)</f>
        <v>203629</v>
      </c>
      <c r="B82" s="4" t="str">
        <f>IF($A82="","",AGENT_INPUT!B82)</f>
        <v>Serigne Mouhamadou Mansour Sy Gueye</v>
      </c>
      <c r="C82" s="4" t="str">
        <f>IF($A82="","",AGENT_INPUT!C82)</f>
        <v>OEM FR</v>
      </c>
      <c r="D82" s="4" t="str">
        <f>IF($A82="","",IF(AND(COUNT(AGENT_INPUT!E82:J82)=6,COUNT(AGENT_INPUT!K82)=1,COUNTIF(BONUS_RULES!$A$5:$A$46,AGENT_INPUT!C82)&gt;0,OR(AGENT_INPUT!O82&gt;0,AND(AGENT_INPUT!M82&gt;0,AGENT_INPUT!N82&gt;0)),AGENT_INPUT!P82&gt;=0,AGENT_INPUT!Q82&gt;0,AGENT_INPUT!P82&lt;=AGENT_INPUT!Q82,AGENT_INPUT!H82&gt;=0,AGENT_INPUT!H82&lt;=1,AGENT_INPUT!I82&gt;=0,AGENT_INPUT!I82&lt;=1,AGENT_INPUT!J82&gt;=0,AGENT_INPUT!J82&lt;=1),"READY","BLOCKED"))</f>
        <v>READY</v>
      </c>
      <c r="E82" s="4" t="str">
        <f>IF($A82="","",IF(AGENT_INPUT!R82&lt;&gt;"Active","REVIEW",IF(OR(POLICY_APPROVAL!$B$9="Eligibility only",POLICY_APPROVAL!$B$9="Both"),IF(AGENT_INPUT!J82&lt;=SUMIFS(BONUS_RULES!$E$5:$E$46,BONUS_RULES!$A$5:$A$46,$C82,BONUS_RULES!$B$5:$B$46,"Abs%"),"ELIGIBLE","INELIGIBLE ABS"),"ELIGIBLE")))</f>
        <v>REVIEW</v>
      </c>
      <c r="F82" s="10">
        <f>IF(OR($A82="",$D82&lt;&gt;"READY"),"",IF(AGENT_INPUT!E82&lt;=SUMIFS(BONUS_RULES!$E$5:$E$46,BONUS_RULES!$A$5:$A$46,$C82,BONUS_RULES!$B$5:$B$46,"AHT"),SUMIFS(BONUS_RULES!$D$5:$D$46,BONUS_RULES!$A$5:$A$46,$C82,BONUS_RULES!$B$5:$B$46,"AHT"),IF(AGENT_INPUT!E82&lt;=SUMIFS(BONUS_RULES!$G$5:$G$46,BONUS_RULES!$A$5:$A$46,$C82,BONUS_RULES!$B$5:$B$46,"AHT"),SUMIFS(BONUS_RULES!$F$5:$F$46,BONUS_RULES!$A$5:$A$46,$C82,BONUS_RULES!$B$5:$B$46,"AHT"),0)))</f>
        <v>0.0</v>
      </c>
      <c r="G82" s="10">
        <f>IF(OR($A82="",$D82&lt;&gt;"READY"),"",IF(AGENT_INPUT!F82&gt;=SUMIFS(BONUS_RULES!$E$5:$E$46,BONUS_RULES!$A$5:$A$46,$C82,BONUS_RULES!$B$5:$B$46,"Productivity"),SUMIFS(BONUS_RULES!$D$5:$D$46,BONUS_RULES!$A$5:$A$46,$C82,BONUS_RULES!$B$5:$B$46,"Productivity"),IF(AGENT_INPUT!F82&gt;=SUMIFS(BONUS_RULES!$G$5:$G$46,BONUS_RULES!$A$5:$A$46,$C82,BONUS_RULES!$B$5:$B$46,"Productivity"),SUMIFS(BONUS_RULES!$F$5:$F$46,BONUS_RULES!$A$5:$A$46,$C82,BONUS_RULES!$B$5:$B$46,"Productivity"),0)))</f>
        <v>0.0</v>
      </c>
      <c r="H82" s="10">
        <f>IF(OR($A82="",$D82&lt;&gt;"READY"),"",IF(AGENT_INPUT!G82&gt;=SUMIFS(BONUS_RULES!$E$5:$E$46,BONUS_RULES!$A$5:$A$46,$C82,BONUS_RULES!$B$5:$B$46,"PCS Score"),SUMIFS(BONUS_RULES!$D$5:$D$46,BONUS_RULES!$A$5:$A$46,$C82,BONUS_RULES!$B$5:$B$46,"PCS Score"),IF(AGENT_INPUT!G82&gt;=SUMIFS(BONUS_RULES!$G$5:$G$46,BONUS_RULES!$A$5:$A$46,$C82,BONUS_RULES!$B$5:$B$46,"PCS Score"),SUMIFS(BONUS_RULES!$F$5:$F$46,BONUS_RULES!$A$5:$A$46,$C82,BONUS_RULES!$B$5:$B$46,"PCS Score"),0)))</f>
        <v>0.2</v>
      </c>
      <c r="I82" s="10">
        <f>IF(OR($A82="",$D82&lt;&gt;"READY"),"",IF(AGENT_INPUT!H82&gt;=SUMIFS(BONUS_RULES!$E$5:$E$46,BONUS_RULES!$A$5:$A$46,$C82,BONUS_RULES!$B$5:$B$46,"PCS % (Participation)"),SUMIFS(BONUS_RULES!$D$5:$D$46,BONUS_RULES!$A$5:$A$46,$C82,BONUS_RULES!$B$5:$B$46,"PCS % (Participation)"),IF(AGENT_INPUT!H82&gt;=SUMIFS(BONUS_RULES!$G$5:$G$46,BONUS_RULES!$A$5:$A$46,$C82,BONUS_RULES!$B$5:$B$46,"PCS % (Participation)"),SUMIFS(BONUS_RULES!$F$5:$F$46,BONUS_RULES!$A$5:$A$46,$C82,BONUS_RULES!$B$5:$B$46,"PCS % (Participation)"),0)))</f>
        <v>0.0</v>
      </c>
      <c r="J82" s="10">
        <f>IF(OR($A82="",$D82&lt;&gt;"READY"),"",IF(AGENT_INPUT!I82&gt;=SUMIFS(BONUS_RULES!$E$5:$E$46,BONUS_RULES!$A$5:$A$46,$C82,BONUS_RULES!$B$5:$B$46,"QM"),SUMIFS(BONUS_RULES!$D$5:$D$46,BONUS_RULES!$A$5:$A$46,$C82,BONUS_RULES!$B$5:$B$46,"QM"),IF(AGENT_INPUT!I82&gt;=SUMIFS(BONUS_RULES!$G$5:$G$46,BONUS_RULES!$A$5:$A$46,$C82,BONUS_RULES!$B$5:$B$46,"QM"),SUMIFS(BONUS_RULES!$F$5:$F$46,BONUS_RULES!$A$5:$A$46,$C82,BONUS_RULES!$B$5:$B$46,"QM"),0)))</f>
        <v>0.15</v>
      </c>
      <c r="K82" s="10">
        <f>IF(POLICY_APPROVAL!$B$9="Eligibility only",0,IF(OR($A82="",$D82&lt;&gt;"READY"),"",IF(AGENT_INPUT!J82&lt;=SUMIFS(BONUS_RULES!$E$5:$E$46,BONUS_RULES!$A$5:$A$46,$C82,BONUS_RULES!$B$5:$B$46,"Abs%"),SUMIFS(BONUS_RULES!$D$5:$D$46,BONUS_RULES!$A$5:$A$46,$C82,BONUS_RULES!$B$5:$B$46,"Abs%"),IF(AGENT_INPUT!J82&lt;=SUMIFS(BONUS_RULES!$G$5:$G$46,BONUS_RULES!$A$5:$A$46,$C82,BONUS_RULES!$B$5:$B$46,"Abs%"),SUMIFS(BONUS_RULES!$F$5:$F$46,BONUS_RULES!$A$5:$A$46,$C82,BONUS_RULES!$B$5:$B$46,"Abs%"),0))))</f>
        <v>0.15</v>
      </c>
      <c r="L82" s="10">
        <f>IF(OR($A82="",$D82&lt;&gt;"READY"),"",IF(AGENT_INPUT!G82&gt;=SUMIFS(BONUS_RULES!$E$5:$E$46,BONUS_RULES!$A$5:$A$46,$C82,BONUS_RULES!$B$5:$B$46,"Extra Bonus (PCS Score)"),SUMIFS(BONUS_RULES!$D$5:$D$46,BONUS_RULES!$A$5:$A$46,$C82,BONUS_RULES!$B$5:$B$46,"Extra Bonus (PCS Score)"),IF(AGENT_INPUT!G82&gt;=SUMIFS(BONUS_RULES!$G$5:$G$46,BONUS_RULES!$A$5:$A$46,$C82,BONUS_RULES!$B$5:$B$46,"Extra Bonus (PCS Score)"),SUMIFS(BONUS_RULES!$F$5:$F$46,BONUS_RULES!$A$5:$A$46,$C82,BONUS_RULES!$B$5:$B$46,"Extra Bonus (PCS Score)"),0)))</f>
        <v>0.3</v>
      </c>
      <c r="M82" s="10">
        <f>IF($A82="","",MIN(IF(POLICY_APPROVAL!$B$6="Replacement",SUM(F82:K82)-H82+MAX(H82,L82),SUM(F82:L82)),POLICY_APPROVAL!$B$10))</f>
        <v>0.8</v>
      </c>
      <c r="N82" s="10">
        <f>IF($A82="","",IFERROR(INDEX(BONUS_RULES!$J$5:$J$10,MATCH(MIN(MAX(AGENT_INPUT!K82,0),5),BONUS_RULES!$I$5:$I$10,0)),1))</f>
        <v>0</v>
      </c>
      <c r="O82" s="10">
        <f>IF(M82="","",MAX(0,IF(POLICY_APPROVAL!$B$5="Percentage points",M82-N82,M82*(1-N82))))</f>
        <v>0.8</v>
      </c>
      <c r="P82" s="11">
        <f>IF(D82&lt;&gt;"READY","",IF(AGENT_INPUT!O82&gt;0,AGENT_INPUT!O82,AGENT_INPUT!M82*AGENT_INPUT!N82/IF(POLICY_APPROVAL!$B$7="Annual",12,1)))</f>
        <v>2000.0</v>
      </c>
      <c r="Q82" s="10">
        <f>IF(D82&lt;&gt;"READY","",MIN(1,AGENT_INPUT!P82/AGENT_INPUT!Q82))</f>
        <v>1.0</v>
      </c>
      <c r="R82" s="11">
        <f>IF(D82&lt;&gt;"READY","",ROUND(P82*Q82*O82,IF(POLICY_APPROVAL!$B$11="Whole MAD",0,2)))</f>
        <v>1600.0</v>
      </c>
      <c r="S82" s="11">
        <f>IF(AND(SETUP!$B$9="READY",T82="READY"),R82,"")</f>
        <v/>
      </c>
      <c r="T82" s="4" t="str">
        <f>IF($A82="","",IF(D82&lt;&gt;"READY","BLOCKED - INPUT",IF(E82&lt;&gt;"ELIGIBLE","BLOCKED - ELIGIBILITY",IF(AGENT_INPUT!S82&lt;&gt;"VALIDATED","BLOCKED - DATA",IF(SETUP!$B$9&lt;&gt;"READY","BLOCKED - POLICY","READY")))))</f>
        <v>BLOCKED - ELIGIBILITY</v>
      </c>
      <c r="U82" s="4" t="str">
        <f>IF($A82="","",IF(COUNTIFS(AGENT_INPUT!$A$5:$A$254,$A82,AGENT_INPUT!$D$5:$D$254,AGENT_INPUT!D82)&gt;1,"DUPLICATE AGENT + PERIOD",IF(D82&lt;&gt;"READY","INPUT OR CONFIG REVIEW",IF(T82&lt;&gt;"READY",T82,""))))</f>
        <v>BLOCKED - ELIGIBILITY</v>
      </c>
    </row>
    <row r="83" spans="1:21">
      <c r="A83" s="4">
        <f>IF(AGENT_INPUT!A83="","",AGENT_INPUT!A83)</f>
        <v>134407</v>
      </c>
      <c r="B83" s="4" t="str">
        <f>IF($A83="","",AGENT_INPUT!B83)</f>
        <v>EL MAGHROUDI Malak</v>
      </c>
      <c r="C83" s="4" t="str">
        <f>IF($A83="","",AGENT_INPUT!C83)</f>
        <v>RSA NL</v>
      </c>
      <c r="D83" s="4" t="str">
        <f>IF($A83="","",IF(AND(COUNT(AGENT_INPUT!E83:J83)=6,COUNT(AGENT_INPUT!K83)=1,COUNTIF(BONUS_RULES!$A$5:$A$46,AGENT_INPUT!C83)&gt;0,OR(AGENT_INPUT!O83&gt;0,AND(AGENT_INPUT!M83&gt;0,AGENT_INPUT!N83&gt;0)),AGENT_INPUT!P83&gt;=0,AGENT_INPUT!Q83&gt;0,AGENT_INPUT!P83&lt;=AGENT_INPUT!Q83,AGENT_INPUT!H83&gt;=0,AGENT_INPUT!H83&lt;=1,AGENT_INPUT!I83&gt;=0,AGENT_INPUT!I83&lt;=1,AGENT_INPUT!J83&gt;=0,AGENT_INPUT!J83&lt;=1),"READY","BLOCKED"))</f>
        <v>READY</v>
      </c>
      <c r="E83" s="4" t="str">
        <f>IF($A83="","",IF(AGENT_INPUT!R83&lt;&gt;"Active","REVIEW",IF(OR(POLICY_APPROVAL!$B$9="Eligibility only",POLICY_APPROVAL!$B$9="Both"),IF(AGENT_INPUT!J83&lt;=SUMIFS(BONUS_RULES!$E$5:$E$46,BONUS_RULES!$A$5:$A$46,$C83,BONUS_RULES!$B$5:$B$46,"Abs%"),"ELIGIBLE","INELIGIBLE ABS"),"ELIGIBLE")))</f>
        <v>REVIEW</v>
      </c>
      <c r="F83" s="10">
        <f>IF(OR($A83="",$D83&lt;&gt;"READY"),"",IF(AGENT_INPUT!E83&lt;=SUMIFS(BONUS_RULES!$E$5:$E$46,BONUS_RULES!$A$5:$A$46,$C83,BONUS_RULES!$B$5:$B$46,"AHT"),SUMIFS(BONUS_RULES!$D$5:$D$46,BONUS_RULES!$A$5:$A$46,$C83,BONUS_RULES!$B$5:$B$46,"AHT"),IF(AGENT_INPUT!E83&lt;=SUMIFS(BONUS_RULES!$G$5:$G$46,BONUS_RULES!$A$5:$A$46,$C83,BONUS_RULES!$B$5:$B$46,"AHT"),SUMIFS(BONUS_RULES!$F$5:$F$46,BONUS_RULES!$A$5:$A$46,$C83,BONUS_RULES!$B$5:$B$46,"AHT"),0)))</f>
        <v>0.15</v>
      </c>
      <c r="G83" s="10">
        <f>IF(OR($A83="",$D83&lt;&gt;"READY"),"",IF(AGENT_INPUT!F83&gt;=SUMIFS(BONUS_RULES!$E$5:$E$46,BONUS_RULES!$A$5:$A$46,$C83,BONUS_RULES!$B$5:$B$46,"Productivity"),SUMIFS(BONUS_RULES!$D$5:$D$46,BONUS_RULES!$A$5:$A$46,$C83,BONUS_RULES!$B$5:$B$46,"Productivity"),IF(AGENT_INPUT!F83&gt;=SUMIFS(BONUS_RULES!$G$5:$G$46,BONUS_RULES!$A$5:$A$46,$C83,BONUS_RULES!$B$5:$B$46,"Productivity"),SUMIFS(BONUS_RULES!$F$5:$F$46,BONUS_RULES!$A$5:$A$46,$C83,BONUS_RULES!$B$5:$B$46,"Productivity"),0)))</f>
        <v>0.15</v>
      </c>
      <c r="H83" s="10">
        <f>IF(OR($A83="",$D83&lt;&gt;"READY"),"",IF(AGENT_INPUT!G83&gt;=SUMIFS(BONUS_RULES!$E$5:$E$46,BONUS_RULES!$A$5:$A$46,$C83,BONUS_RULES!$B$5:$B$46,"PCS Score"),SUMIFS(BONUS_RULES!$D$5:$D$46,BONUS_RULES!$A$5:$A$46,$C83,BONUS_RULES!$B$5:$B$46,"PCS Score"),IF(AGENT_INPUT!G83&gt;=SUMIFS(BONUS_RULES!$G$5:$G$46,BONUS_RULES!$A$5:$A$46,$C83,BONUS_RULES!$B$5:$B$46,"PCS Score"),SUMIFS(BONUS_RULES!$F$5:$F$46,BONUS_RULES!$A$5:$A$46,$C83,BONUS_RULES!$B$5:$B$46,"PCS Score"),0)))</f>
        <v>0.0</v>
      </c>
      <c r="I83" s="10">
        <f>IF(OR($A83="",$D83&lt;&gt;"READY"),"",IF(AGENT_INPUT!H83&gt;=SUMIFS(BONUS_RULES!$E$5:$E$46,BONUS_RULES!$A$5:$A$46,$C83,BONUS_RULES!$B$5:$B$46,"PCS % (Participation)"),SUMIFS(BONUS_RULES!$D$5:$D$46,BONUS_RULES!$A$5:$A$46,$C83,BONUS_RULES!$B$5:$B$46,"PCS % (Participation)"),IF(AGENT_INPUT!H83&gt;=SUMIFS(BONUS_RULES!$G$5:$G$46,BONUS_RULES!$A$5:$A$46,$C83,BONUS_RULES!$B$5:$B$46,"PCS % (Participation)"),SUMIFS(BONUS_RULES!$F$5:$F$46,BONUS_RULES!$A$5:$A$46,$C83,BONUS_RULES!$B$5:$B$46,"PCS % (Participation)"),0)))</f>
        <v>0.0</v>
      </c>
      <c r="J83" s="10">
        <f>IF(OR($A83="",$D83&lt;&gt;"READY"),"",IF(AGENT_INPUT!I83&gt;=SUMIFS(BONUS_RULES!$E$5:$E$46,BONUS_RULES!$A$5:$A$46,$C83,BONUS_RULES!$B$5:$B$46,"QM"),SUMIFS(BONUS_RULES!$D$5:$D$46,BONUS_RULES!$A$5:$A$46,$C83,BONUS_RULES!$B$5:$B$46,"QM"),IF(AGENT_INPUT!I83&gt;=SUMIFS(BONUS_RULES!$G$5:$G$46,BONUS_RULES!$A$5:$A$46,$C83,BONUS_RULES!$B$5:$B$46,"QM"),SUMIFS(BONUS_RULES!$F$5:$F$46,BONUS_RULES!$A$5:$A$46,$C83,BONUS_RULES!$B$5:$B$46,"QM"),0)))</f>
        <v>0.0</v>
      </c>
      <c r="K83" s="10">
        <f>IF(POLICY_APPROVAL!$B$9="Eligibility only",0,IF(OR($A83="",$D83&lt;&gt;"READY"),"",IF(AGENT_INPUT!J83&lt;=SUMIFS(BONUS_RULES!$E$5:$E$46,BONUS_RULES!$A$5:$A$46,$C83,BONUS_RULES!$B$5:$B$46,"Abs%"),SUMIFS(BONUS_RULES!$D$5:$D$46,BONUS_RULES!$A$5:$A$46,$C83,BONUS_RULES!$B$5:$B$46,"Abs%"),IF(AGENT_INPUT!J83&lt;=SUMIFS(BONUS_RULES!$G$5:$G$46,BONUS_RULES!$A$5:$A$46,$C83,BONUS_RULES!$B$5:$B$46,"Abs%"),SUMIFS(BONUS_RULES!$F$5:$F$46,BONUS_RULES!$A$5:$A$46,$C83,BONUS_RULES!$B$5:$B$46,"Abs%"),0))))</f>
        <v>0.15</v>
      </c>
      <c r="L83" s="10">
        <f>IF(OR($A83="",$D83&lt;&gt;"READY"),"",IF(AGENT_INPUT!G83&gt;=SUMIFS(BONUS_RULES!$E$5:$E$46,BONUS_RULES!$A$5:$A$46,$C83,BONUS_RULES!$B$5:$B$46,"Extra Bonus (PCS Score)"),SUMIFS(BONUS_RULES!$D$5:$D$46,BONUS_RULES!$A$5:$A$46,$C83,BONUS_RULES!$B$5:$B$46,"Extra Bonus (PCS Score)"),IF(AGENT_INPUT!G83&gt;=SUMIFS(BONUS_RULES!$G$5:$G$46,BONUS_RULES!$A$5:$A$46,$C83,BONUS_RULES!$B$5:$B$46,"Extra Bonus (PCS Score)"),SUMIFS(BONUS_RULES!$F$5:$F$46,BONUS_RULES!$A$5:$A$46,$C83,BONUS_RULES!$B$5:$B$46,"Extra Bonus (PCS Score)"),0)))</f>
        <v>0.0</v>
      </c>
      <c r="M83" s="10">
        <f>IF($A83="","",MIN(IF(POLICY_APPROVAL!$B$6="Replacement",SUM(F83:K83)-H83+MAX(H83,L83),SUM(F83:L83)),POLICY_APPROVAL!$B$10))</f>
        <v>0.44999999999999996</v>
      </c>
      <c r="N83" s="10">
        <f>IF($A83="","",IFERROR(INDEX(BONUS_RULES!$J$5:$J$10,MATCH(MIN(MAX(AGENT_INPUT!K83,0),5),BONUS_RULES!$I$5:$I$10,0)),1))</f>
        <v>0</v>
      </c>
      <c r="O83" s="10">
        <f>IF(M83="","",MAX(0,IF(POLICY_APPROVAL!$B$5="Percentage points",M83-N83,M83*(1-N83))))</f>
        <v>0.44999999999999996</v>
      </c>
      <c r="P83" s="11">
        <f>IF(D83&lt;&gt;"READY","",IF(AGENT_INPUT!O83&gt;0,AGENT_INPUT!O83,AGENT_INPUT!M83*AGENT_INPUT!N83/IF(POLICY_APPROVAL!$B$7="Annual",12,1)))</f>
        <v>2000.0</v>
      </c>
      <c r="Q83" s="10">
        <f>IF(D83&lt;&gt;"READY","",MIN(1,AGENT_INPUT!P83/AGENT_INPUT!Q83))</f>
        <v>1.0</v>
      </c>
      <c r="R83" s="11">
        <f>IF(D83&lt;&gt;"READY","",ROUND(P83*Q83*O83,IF(POLICY_APPROVAL!$B$11="Whole MAD",0,2)))</f>
        <v>900.0</v>
      </c>
      <c r="S83" s="11">
        <f>IF(AND(SETUP!$B$9="READY",T83="READY"),R83,"")</f>
        <v/>
      </c>
      <c r="T83" s="4" t="str">
        <f>IF($A83="","",IF(D83&lt;&gt;"READY","BLOCKED - INPUT",IF(E83&lt;&gt;"ELIGIBLE","BLOCKED - ELIGIBILITY",IF(AGENT_INPUT!S83&lt;&gt;"VALIDATED","BLOCKED - DATA",IF(SETUP!$B$9&lt;&gt;"READY","BLOCKED - POLICY","READY")))))</f>
        <v>BLOCKED - ELIGIBILITY</v>
      </c>
      <c r="U83" s="4" t="str">
        <f>IF($A83="","",IF(COUNTIFS(AGENT_INPUT!$A$5:$A$254,$A83,AGENT_INPUT!$D$5:$D$254,AGENT_INPUT!D83)&gt;1,"DUPLICATE AGENT + PERIOD",IF(D83&lt;&gt;"READY","INPUT OR CONFIG REVIEW",IF(T83&lt;&gt;"READY",T83,""))))</f>
        <v>BLOCKED - ELIGIBILITY</v>
      </c>
    </row>
    <row r="84" spans="1:21">
      <c r="A84" s="4">
        <f>IF(AGENT_INPUT!A84="","",AGENT_INPUT!A84)</f>
        <v>204016</v>
      </c>
      <c r="B84" s="4" t="str">
        <f>IF($A84="","",AGENT_INPUT!B84)</f>
        <v>Vermeire Linda</v>
      </c>
      <c r="C84" s="4" t="str">
        <f>IF($A84="","",AGENT_INPUT!C84)</f>
        <v>Ford Dutch</v>
      </c>
      <c r="D84" s="4" t="str">
        <f>IF($A84="","",IF(AND(COUNT(AGENT_INPUT!E84:J84)=6,COUNT(AGENT_INPUT!K84)=1,COUNTIF(BONUS_RULES!$A$5:$A$46,AGENT_INPUT!C84)&gt;0,OR(AGENT_INPUT!O84&gt;0,AND(AGENT_INPUT!M84&gt;0,AGENT_INPUT!N84&gt;0)),AGENT_INPUT!P84&gt;=0,AGENT_INPUT!Q84&gt;0,AGENT_INPUT!P84&lt;=AGENT_INPUT!Q84,AGENT_INPUT!H84&gt;=0,AGENT_INPUT!H84&lt;=1,AGENT_INPUT!I84&gt;=0,AGENT_INPUT!I84&lt;=1,AGENT_INPUT!J84&gt;=0,AGENT_INPUT!J84&lt;=1),"READY","BLOCKED"))</f>
        <v>READY</v>
      </c>
      <c r="E84" s="4" t="str">
        <f>IF($A84="","",IF(AGENT_INPUT!R84&lt;&gt;"Active","REVIEW",IF(OR(POLICY_APPROVAL!$B$9="Eligibility only",POLICY_APPROVAL!$B$9="Both"),IF(AGENT_INPUT!J84&lt;=SUMIFS(BONUS_RULES!$E$5:$E$46,BONUS_RULES!$A$5:$A$46,$C84,BONUS_RULES!$B$5:$B$46,"Abs%"),"ELIGIBLE","INELIGIBLE ABS"),"ELIGIBLE")))</f>
        <v>REVIEW</v>
      </c>
      <c r="F84" s="10">
        <f>IF(OR($A84="",$D84&lt;&gt;"READY"),"",IF(AGENT_INPUT!E84&lt;=SUMIFS(BONUS_RULES!$E$5:$E$46,BONUS_RULES!$A$5:$A$46,$C84,BONUS_RULES!$B$5:$B$46,"AHT"),SUMIFS(BONUS_RULES!$D$5:$D$46,BONUS_RULES!$A$5:$A$46,$C84,BONUS_RULES!$B$5:$B$46,"AHT"),IF(AGENT_INPUT!E84&lt;=SUMIFS(BONUS_RULES!$G$5:$G$46,BONUS_RULES!$A$5:$A$46,$C84,BONUS_RULES!$B$5:$B$46,"AHT"),SUMIFS(BONUS_RULES!$F$5:$F$46,BONUS_RULES!$A$5:$A$46,$C84,BONUS_RULES!$B$5:$B$46,"AHT"),0)))</f>
        <v>0.15</v>
      </c>
      <c r="G84" s="10">
        <f>IF(OR($A84="",$D84&lt;&gt;"READY"),"",IF(AGENT_INPUT!F84&gt;=SUMIFS(BONUS_RULES!$E$5:$E$46,BONUS_RULES!$A$5:$A$46,$C84,BONUS_RULES!$B$5:$B$46,"Productivity"),SUMIFS(BONUS_RULES!$D$5:$D$46,BONUS_RULES!$A$5:$A$46,$C84,BONUS_RULES!$B$5:$B$46,"Productivity"),IF(AGENT_INPUT!F84&gt;=SUMIFS(BONUS_RULES!$G$5:$G$46,BONUS_RULES!$A$5:$A$46,$C84,BONUS_RULES!$B$5:$B$46,"Productivity"),SUMIFS(BONUS_RULES!$F$5:$F$46,BONUS_RULES!$A$5:$A$46,$C84,BONUS_RULES!$B$5:$B$46,"Productivity"),0)))</f>
        <v>0.15</v>
      </c>
      <c r="H84" s="10">
        <f>IF(OR($A84="",$D84&lt;&gt;"READY"),"",IF(AGENT_INPUT!G84&gt;=SUMIFS(BONUS_RULES!$E$5:$E$46,BONUS_RULES!$A$5:$A$46,$C84,BONUS_RULES!$B$5:$B$46,"PCS Score"),SUMIFS(BONUS_RULES!$D$5:$D$46,BONUS_RULES!$A$5:$A$46,$C84,BONUS_RULES!$B$5:$B$46,"PCS Score"),IF(AGENT_INPUT!G84&gt;=SUMIFS(BONUS_RULES!$G$5:$G$46,BONUS_RULES!$A$5:$A$46,$C84,BONUS_RULES!$B$5:$B$46,"PCS Score"),SUMIFS(BONUS_RULES!$F$5:$F$46,BONUS_RULES!$A$5:$A$46,$C84,BONUS_RULES!$B$5:$B$46,"PCS Score"),0)))</f>
        <v>0.0</v>
      </c>
      <c r="I84" s="10">
        <f>IF(OR($A84="",$D84&lt;&gt;"READY"),"",IF(AGENT_INPUT!H84&gt;=SUMIFS(BONUS_RULES!$E$5:$E$46,BONUS_RULES!$A$5:$A$46,$C84,BONUS_RULES!$B$5:$B$46,"PCS % (Participation)"),SUMIFS(BONUS_RULES!$D$5:$D$46,BONUS_RULES!$A$5:$A$46,$C84,BONUS_RULES!$B$5:$B$46,"PCS % (Participation)"),IF(AGENT_INPUT!H84&gt;=SUMIFS(BONUS_RULES!$G$5:$G$46,BONUS_RULES!$A$5:$A$46,$C84,BONUS_RULES!$B$5:$B$46,"PCS % (Participation)"),SUMIFS(BONUS_RULES!$F$5:$F$46,BONUS_RULES!$A$5:$A$46,$C84,BONUS_RULES!$B$5:$B$46,"PCS % (Participation)"),0)))</f>
        <v>0.0</v>
      </c>
      <c r="J84" s="10">
        <f>IF(OR($A84="",$D84&lt;&gt;"READY"),"",IF(AGENT_INPUT!I84&gt;=SUMIFS(BONUS_RULES!$E$5:$E$46,BONUS_RULES!$A$5:$A$46,$C84,BONUS_RULES!$B$5:$B$46,"QM"),SUMIFS(BONUS_RULES!$D$5:$D$46,BONUS_RULES!$A$5:$A$46,$C84,BONUS_RULES!$B$5:$B$46,"QM"),IF(AGENT_INPUT!I84&gt;=SUMIFS(BONUS_RULES!$G$5:$G$46,BONUS_RULES!$A$5:$A$46,$C84,BONUS_RULES!$B$5:$B$46,"QM"),SUMIFS(BONUS_RULES!$F$5:$F$46,BONUS_RULES!$A$5:$A$46,$C84,BONUS_RULES!$B$5:$B$46,"QM"),0)))</f>
        <v>0.0</v>
      </c>
      <c r="K84" s="10">
        <f>IF(POLICY_APPROVAL!$B$9="Eligibility only",0,IF(OR($A84="",$D84&lt;&gt;"READY"),"",IF(AGENT_INPUT!J84&lt;=SUMIFS(BONUS_RULES!$E$5:$E$46,BONUS_RULES!$A$5:$A$46,$C84,BONUS_RULES!$B$5:$B$46,"Abs%"),SUMIFS(BONUS_RULES!$D$5:$D$46,BONUS_RULES!$A$5:$A$46,$C84,BONUS_RULES!$B$5:$B$46,"Abs%"),IF(AGENT_INPUT!J84&lt;=SUMIFS(BONUS_RULES!$G$5:$G$46,BONUS_RULES!$A$5:$A$46,$C84,BONUS_RULES!$B$5:$B$46,"Abs%"),SUMIFS(BONUS_RULES!$F$5:$F$46,BONUS_RULES!$A$5:$A$46,$C84,BONUS_RULES!$B$5:$B$46,"Abs%"),0))))</f>
        <v>0.15</v>
      </c>
      <c r="L84" s="10">
        <f>IF(OR($A84="",$D84&lt;&gt;"READY"),"",IF(AGENT_INPUT!G84&gt;=SUMIFS(BONUS_RULES!$E$5:$E$46,BONUS_RULES!$A$5:$A$46,$C84,BONUS_RULES!$B$5:$B$46,"Extra Bonus (PCS Score)"),SUMIFS(BONUS_RULES!$D$5:$D$46,BONUS_RULES!$A$5:$A$46,$C84,BONUS_RULES!$B$5:$B$46,"Extra Bonus (PCS Score)"),IF(AGENT_INPUT!G84&gt;=SUMIFS(BONUS_RULES!$G$5:$G$46,BONUS_RULES!$A$5:$A$46,$C84,BONUS_RULES!$B$5:$B$46,"Extra Bonus (PCS Score)"),SUMIFS(BONUS_RULES!$F$5:$F$46,BONUS_RULES!$A$5:$A$46,$C84,BONUS_RULES!$B$5:$B$46,"Extra Bonus (PCS Score)"),0)))</f>
        <v>0.0</v>
      </c>
      <c r="M84" s="10">
        <f>IF($A84="","",MIN(IF(POLICY_APPROVAL!$B$6="Replacement",SUM(F84:K84)-H84+MAX(H84,L84),SUM(F84:L84)),POLICY_APPROVAL!$B$10))</f>
        <v>0.44999999999999996</v>
      </c>
      <c r="N84" s="10">
        <f>IF($A84="","",IFERROR(INDEX(BONUS_RULES!$J$5:$J$10,MATCH(MIN(MAX(AGENT_INPUT!K84,0),5),BONUS_RULES!$I$5:$I$10,0)),1))</f>
        <v>0</v>
      </c>
      <c r="O84" s="10">
        <f>IF(M84="","",MAX(0,IF(POLICY_APPROVAL!$B$5="Percentage points",M84-N84,M84*(1-N84))))</f>
        <v>0.44999999999999996</v>
      </c>
      <c r="P84" s="11">
        <f>IF(D84&lt;&gt;"READY","",IF(AGENT_INPUT!O84&gt;0,AGENT_INPUT!O84,AGENT_INPUT!M84*AGENT_INPUT!N84/IF(POLICY_APPROVAL!$B$7="Annual",12,1)))</f>
        <v>2000.0</v>
      </c>
      <c r="Q84" s="10">
        <f>IF(D84&lt;&gt;"READY","",MIN(1,AGENT_INPUT!P84/AGENT_INPUT!Q84))</f>
        <v>1.0</v>
      </c>
      <c r="R84" s="11">
        <f>IF(D84&lt;&gt;"READY","",ROUND(P84*Q84*O84,IF(POLICY_APPROVAL!$B$11="Whole MAD",0,2)))</f>
        <v>900.0</v>
      </c>
      <c r="S84" s="11">
        <f>IF(AND(SETUP!$B$9="READY",T84="READY"),R84,"")</f>
        <v/>
      </c>
      <c r="T84" s="4" t="str">
        <f>IF($A84="","",IF(D84&lt;&gt;"READY","BLOCKED - INPUT",IF(E84&lt;&gt;"ELIGIBLE","BLOCKED - ELIGIBILITY",IF(AGENT_INPUT!S84&lt;&gt;"VALIDATED","BLOCKED - DATA",IF(SETUP!$B$9&lt;&gt;"READY","BLOCKED - POLICY","READY")))))</f>
        <v>BLOCKED - ELIGIBILITY</v>
      </c>
      <c r="U84" s="4" t="str">
        <f>IF($A84="","",IF(COUNTIFS(AGENT_INPUT!$A$5:$A$254,$A84,AGENT_INPUT!$D$5:$D$254,AGENT_INPUT!D84)&gt;1,"DUPLICATE AGENT + PERIOD",IF(D84&lt;&gt;"READY","INPUT OR CONFIG REVIEW",IF(T84&lt;&gt;"READY",T84,""))))</f>
        <v>BLOCKED - ELIGIBILITY</v>
      </c>
    </row>
    <row r="85" spans="1:21">
      <c r="A85" s="4">
        <f>IF(AGENT_INPUT!A85="","",AGENT_INPUT!A85)</f>
        <v>204015</v>
      </c>
      <c r="B85" s="4" t="str">
        <f>IF($A85="","",AGENT_INPUT!B85)</f>
        <v>Dekker Leila</v>
      </c>
      <c r="C85" s="4" t="str">
        <f>IF($A85="","",AGENT_INPUT!C85)</f>
        <v>Ford Dutch</v>
      </c>
      <c r="D85" s="4" t="str">
        <f>IF($A85="","",IF(AND(COUNT(AGENT_INPUT!E85:J85)=6,COUNT(AGENT_INPUT!K85)=1,COUNTIF(BONUS_RULES!$A$5:$A$46,AGENT_INPUT!C85)&gt;0,OR(AGENT_INPUT!O85&gt;0,AND(AGENT_INPUT!M85&gt;0,AGENT_INPUT!N85&gt;0)),AGENT_INPUT!P85&gt;=0,AGENT_INPUT!Q85&gt;0,AGENT_INPUT!P85&lt;=AGENT_INPUT!Q85,AGENT_INPUT!H85&gt;=0,AGENT_INPUT!H85&lt;=1,AGENT_INPUT!I85&gt;=0,AGENT_INPUT!I85&lt;=1,AGENT_INPUT!J85&gt;=0,AGENT_INPUT!J85&lt;=1),"READY","BLOCKED"))</f>
        <v>BLOCKED</v>
      </c>
      <c r="E85" s="4">
        <f>IF($A85="","",IF(AGENT_INPUT!R85&lt;&gt;"Active","REVIEW",IF(OR(POLICY_APPROVAL!$B$9="Eligibility only",POLICY_APPROVAL!$B$9="Both"),IF(AGENT_INPUT!J85&lt;=SUMIFS(BONUS_RULES!$E$5:$E$46,BONUS_RULES!$A$5:$A$46,$C85,BONUS_RULES!$B$5:$B$46,"Abs%"),"ELIGIBLE","INELIGIBLE ABS"),"ELIGIBLE")))</f>
        <v/>
      </c>
      <c r="F85" s="10">
        <f>IF(OR($A85="",$D85&lt;&gt;"READY"),"",IF(AGENT_INPUT!E85&lt;=SUMIFS(BONUS_RULES!$E$5:$E$46,BONUS_RULES!$A$5:$A$46,$C85,BONUS_RULES!$B$5:$B$46,"AHT"),SUMIFS(BONUS_RULES!$D$5:$D$46,BONUS_RULES!$A$5:$A$46,$C85,BONUS_RULES!$B$5:$B$46,"AHT"),IF(AGENT_INPUT!E85&lt;=SUMIFS(BONUS_RULES!$G$5:$G$46,BONUS_RULES!$A$5:$A$46,$C85,BONUS_RULES!$B$5:$B$46,"AHT"),SUMIFS(BONUS_RULES!$F$5:$F$46,BONUS_RULES!$A$5:$A$46,$C85,BONUS_RULES!$B$5:$B$46,"AHT"),0)))</f>
        <v/>
      </c>
      <c r="G85" s="10">
        <f>IF(OR($A85="",$D85&lt;&gt;"READY"),"",IF(AGENT_INPUT!F85&gt;=SUMIFS(BONUS_RULES!$E$5:$E$46,BONUS_RULES!$A$5:$A$46,$C85,BONUS_RULES!$B$5:$B$46,"Productivity"),SUMIFS(BONUS_RULES!$D$5:$D$46,BONUS_RULES!$A$5:$A$46,$C85,BONUS_RULES!$B$5:$B$46,"Productivity"),IF(AGENT_INPUT!F85&gt;=SUMIFS(BONUS_RULES!$G$5:$G$46,BONUS_RULES!$A$5:$A$46,$C85,BONUS_RULES!$B$5:$B$46,"Productivity"),SUMIFS(BONUS_RULES!$F$5:$F$46,BONUS_RULES!$A$5:$A$46,$C85,BONUS_RULES!$B$5:$B$46,"Productivity"),0)))</f>
        <v/>
      </c>
      <c r="H85" s="10">
        <f>IF(OR($A85="",$D85&lt;&gt;"READY"),"",IF(AGENT_INPUT!G85&gt;=SUMIFS(BONUS_RULES!$E$5:$E$46,BONUS_RULES!$A$5:$A$46,$C85,BONUS_RULES!$B$5:$B$46,"PCS Score"),SUMIFS(BONUS_RULES!$D$5:$D$46,BONUS_RULES!$A$5:$A$46,$C85,BONUS_RULES!$B$5:$B$46,"PCS Score"),IF(AGENT_INPUT!G85&gt;=SUMIFS(BONUS_RULES!$G$5:$G$46,BONUS_RULES!$A$5:$A$46,$C85,BONUS_RULES!$B$5:$B$46,"PCS Score"),SUMIFS(BONUS_RULES!$F$5:$F$46,BONUS_RULES!$A$5:$A$46,$C85,BONUS_RULES!$B$5:$B$46,"PCS Score"),0)))</f>
        <v/>
      </c>
      <c r="I85" s="10">
        <f>IF(OR($A85="",$D85&lt;&gt;"READY"),"",IF(AGENT_INPUT!H85&gt;=SUMIFS(BONUS_RULES!$E$5:$E$46,BONUS_RULES!$A$5:$A$46,$C85,BONUS_RULES!$B$5:$B$46,"PCS % (Participation)"),SUMIFS(BONUS_RULES!$D$5:$D$46,BONUS_RULES!$A$5:$A$46,$C85,BONUS_RULES!$B$5:$B$46,"PCS % (Participation)"),IF(AGENT_INPUT!H85&gt;=SUMIFS(BONUS_RULES!$G$5:$G$46,BONUS_RULES!$A$5:$A$46,$C85,BONUS_RULES!$B$5:$B$46,"PCS % (Participation)"),SUMIFS(BONUS_RULES!$F$5:$F$46,BONUS_RULES!$A$5:$A$46,$C85,BONUS_RULES!$B$5:$B$46,"PCS % (Participation)"),0)))</f>
        <v/>
      </c>
      <c r="J85" s="10">
        <f>IF(OR($A85="",$D85&lt;&gt;"READY"),"",IF(AGENT_INPUT!I85&gt;=SUMIFS(BONUS_RULES!$E$5:$E$46,BONUS_RULES!$A$5:$A$46,$C85,BONUS_RULES!$B$5:$B$46,"QM"),SUMIFS(BONUS_RULES!$D$5:$D$46,BONUS_RULES!$A$5:$A$46,$C85,BONUS_RULES!$B$5:$B$46,"QM"),IF(AGENT_INPUT!I85&gt;=SUMIFS(BONUS_RULES!$G$5:$G$46,BONUS_RULES!$A$5:$A$46,$C85,BONUS_RULES!$B$5:$B$46,"QM"),SUMIFS(BONUS_RULES!$F$5:$F$46,BONUS_RULES!$A$5:$A$46,$C85,BONUS_RULES!$B$5:$B$46,"QM"),0)))</f>
        <v/>
      </c>
      <c r="K85" s="10">
        <f>IF(POLICY_APPROVAL!$B$9="Eligibility only",0,IF(OR($A85="",$D85&lt;&gt;"READY"),"",IF(AGENT_INPUT!J85&lt;=SUMIFS(BONUS_RULES!$E$5:$E$46,BONUS_RULES!$A$5:$A$46,$C85,BONUS_RULES!$B$5:$B$46,"Abs%"),SUMIFS(BONUS_RULES!$D$5:$D$46,BONUS_RULES!$A$5:$A$46,$C85,BONUS_RULES!$B$5:$B$46,"Abs%"),IF(AGENT_INPUT!J85&lt;=SUMIFS(BONUS_RULES!$G$5:$G$46,BONUS_RULES!$A$5:$A$46,$C85,BONUS_RULES!$B$5:$B$46,"Abs%"),SUMIFS(BONUS_RULES!$F$5:$F$46,BONUS_RULES!$A$5:$A$46,$C85,BONUS_RULES!$B$5:$B$46,"Abs%"),0))))</f>
        <v/>
      </c>
      <c r="L85" s="10">
        <f>IF(OR($A85="",$D85&lt;&gt;"READY"),"",IF(AGENT_INPUT!G85&gt;=SUMIFS(BONUS_RULES!$E$5:$E$46,BONUS_RULES!$A$5:$A$46,$C85,BONUS_RULES!$B$5:$B$46,"Extra Bonus (PCS Score)"),SUMIFS(BONUS_RULES!$D$5:$D$46,BONUS_RULES!$A$5:$A$46,$C85,BONUS_RULES!$B$5:$B$46,"Extra Bonus (PCS Score)"),IF(AGENT_INPUT!G85&gt;=SUMIFS(BONUS_RULES!$G$5:$G$46,BONUS_RULES!$A$5:$A$46,$C85,BONUS_RULES!$B$5:$B$46,"Extra Bonus (PCS Score)"),SUMIFS(BONUS_RULES!$F$5:$F$46,BONUS_RULES!$A$5:$A$46,$C85,BONUS_RULES!$B$5:$B$46,"Extra Bonus (PCS Score)"),0)))</f>
        <v/>
      </c>
      <c r="M85" s="10">
        <f>IF($A85="","",MIN(IF(POLICY_APPROVAL!$B$6="Replacement",SUM(F85:K85)-H85+MAX(H85,L85),SUM(F85:L85)),POLICY_APPROVAL!$B$10))</f>
        <v>0</v>
      </c>
      <c r="N85" s="10">
        <f>IF($A85="","",IFERROR(INDEX(BONUS_RULES!$J$5:$J$10,MATCH(MIN(MAX(AGENT_INPUT!K85,0),5),BONUS_RULES!$I$5:$I$10,0)),1))</f>
        <v>0</v>
      </c>
      <c r="O85" s="10">
        <f>IF(M85="","",MAX(0,IF(POLICY_APPROVAL!$B$5="Percentage points",M85-N85,M85*(1-N85))))</f>
        <v>0</v>
      </c>
      <c r="P85" s="11">
        <f>IF(D85&lt;&gt;"READY","",IF(AGENT_INPUT!O85&gt;0,AGENT_INPUT!O85,AGENT_INPUT!M85*AGENT_INPUT!N85/IF(POLICY_APPROVAL!$B$7="Annual",12,1)))</f>
        <v/>
      </c>
      <c r="Q85" s="10">
        <f>IF(D85&lt;&gt;"READY","",MIN(1,AGENT_INPUT!P85/AGENT_INPUT!Q85))</f>
        <v/>
      </c>
      <c r="R85" s="11">
        <f>IF(D85&lt;&gt;"READY","",ROUND(P85*Q85*O85,IF(POLICY_APPROVAL!$B$11="Whole MAD",0,2)))</f>
        <v/>
      </c>
      <c r="S85" s="11">
        <f>IF(AND(SETUP!$B$9="READY",T85="READY"),R85,"")</f>
        <v/>
      </c>
      <c r="T85" s="4" t="str">
        <f>IF($A85="","",IF(D85&lt;&gt;"READY","BLOCKED - INPUT",IF(E85&lt;&gt;"ELIGIBLE","BLOCKED - ELIGIBILITY",IF(AGENT_INPUT!S85&lt;&gt;"VALIDATED","BLOCKED - DATA",IF(SETUP!$B$9&lt;&gt;"READY","BLOCKED - POLICY","READY")))))</f>
        <v>BLOCKED - INPUT</v>
      </c>
      <c r="U85" s="4" t="str">
        <f>IF($A85="","",IF(COUNTIFS(AGENT_INPUT!$A$5:$A$254,$A85,AGENT_INPUT!$D$5:$D$254,AGENT_INPUT!D85)&gt;1,"DUPLICATE AGENT + PERIOD",IF(D85&lt;&gt;"READY","INPUT OR CONFIG REVIEW",IF(T85&lt;&gt;"READY",T85,""))))</f>
        <v>Missing, invalid, or unconfigured required input</v>
      </c>
    </row>
    <row r="86" spans="1:21">
      <c r="A86" s="4">
        <f>IF(AGENT_INPUT!A86="","",AGENT_INPUT!A86)</f>
        <v>203638</v>
      </c>
      <c r="B86" s="4" t="str">
        <f>IF($A86="","",AGENT_INPUT!B86)</f>
        <v>Boeckx Lars</v>
      </c>
      <c r="C86" s="4" t="str">
        <f>IF($A86="","",AGENT_INPUT!C86)</f>
        <v>Ford Dutch</v>
      </c>
      <c r="D86" s="4" t="str">
        <f>IF($A86="","",IF(AND(COUNT(AGENT_INPUT!E86:J86)=6,COUNT(AGENT_INPUT!K86)=1,COUNTIF(BONUS_RULES!$A$5:$A$46,AGENT_INPUT!C86)&gt;0,OR(AGENT_INPUT!O86&gt;0,AND(AGENT_INPUT!M86&gt;0,AGENT_INPUT!N86&gt;0)),AGENT_INPUT!P86&gt;=0,AGENT_INPUT!Q86&gt;0,AGENT_INPUT!P86&lt;=AGENT_INPUT!Q86,AGENT_INPUT!H86&gt;=0,AGENT_INPUT!H86&lt;=1,AGENT_INPUT!I86&gt;=0,AGENT_INPUT!I86&lt;=1,AGENT_INPUT!J86&gt;=0,AGENT_INPUT!J86&lt;=1),"READY","BLOCKED"))</f>
        <v>READY</v>
      </c>
      <c r="E86" s="4" t="str">
        <f>IF($A86="","",IF(AGENT_INPUT!R86&lt;&gt;"Active","REVIEW",IF(OR(POLICY_APPROVAL!$B$9="Eligibility only",POLICY_APPROVAL!$B$9="Both"),IF(AGENT_INPUT!J86&lt;=SUMIFS(BONUS_RULES!$E$5:$E$46,BONUS_RULES!$A$5:$A$46,$C86,BONUS_RULES!$B$5:$B$46,"Abs%"),"ELIGIBLE","INELIGIBLE ABS"),"ELIGIBLE")))</f>
        <v>REVIEW</v>
      </c>
      <c r="F86" s="10">
        <f>IF(OR($A86="",$D86&lt;&gt;"READY"),"",IF(AGENT_INPUT!E86&lt;=SUMIFS(BONUS_RULES!$E$5:$E$46,BONUS_RULES!$A$5:$A$46,$C86,BONUS_RULES!$B$5:$B$46,"AHT"),SUMIFS(BONUS_RULES!$D$5:$D$46,BONUS_RULES!$A$5:$A$46,$C86,BONUS_RULES!$B$5:$B$46,"AHT"),IF(AGENT_INPUT!E86&lt;=SUMIFS(BONUS_RULES!$G$5:$G$46,BONUS_RULES!$A$5:$A$46,$C86,BONUS_RULES!$B$5:$B$46,"AHT"),SUMIFS(BONUS_RULES!$F$5:$F$46,BONUS_RULES!$A$5:$A$46,$C86,BONUS_RULES!$B$5:$B$46,"AHT"),0)))</f>
        <v>0.15</v>
      </c>
      <c r="G86" s="10">
        <f>IF(OR($A86="",$D86&lt;&gt;"READY"),"",IF(AGENT_INPUT!F86&gt;=SUMIFS(BONUS_RULES!$E$5:$E$46,BONUS_RULES!$A$5:$A$46,$C86,BONUS_RULES!$B$5:$B$46,"Productivity"),SUMIFS(BONUS_RULES!$D$5:$D$46,BONUS_RULES!$A$5:$A$46,$C86,BONUS_RULES!$B$5:$B$46,"Productivity"),IF(AGENT_INPUT!F86&gt;=SUMIFS(BONUS_RULES!$G$5:$G$46,BONUS_RULES!$A$5:$A$46,$C86,BONUS_RULES!$B$5:$B$46,"Productivity"),SUMIFS(BONUS_RULES!$F$5:$F$46,BONUS_RULES!$A$5:$A$46,$C86,BONUS_RULES!$B$5:$B$46,"Productivity"),0)))</f>
        <v>0.15</v>
      </c>
      <c r="H86" s="10">
        <f>IF(OR($A86="",$D86&lt;&gt;"READY"),"",IF(AGENT_INPUT!G86&gt;=SUMIFS(BONUS_RULES!$E$5:$E$46,BONUS_RULES!$A$5:$A$46,$C86,BONUS_RULES!$B$5:$B$46,"PCS Score"),SUMIFS(BONUS_RULES!$D$5:$D$46,BONUS_RULES!$A$5:$A$46,$C86,BONUS_RULES!$B$5:$B$46,"PCS Score"),IF(AGENT_INPUT!G86&gt;=SUMIFS(BONUS_RULES!$G$5:$G$46,BONUS_RULES!$A$5:$A$46,$C86,BONUS_RULES!$B$5:$B$46,"PCS Score"),SUMIFS(BONUS_RULES!$F$5:$F$46,BONUS_RULES!$A$5:$A$46,$C86,BONUS_RULES!$B$5:$B$46,"PCS Score"),0)))</f>
        <v>0.0</v>
      </c>
      <c r="I86" s="10">
        <f>IF(OR($A86="",$D86&lt;&gt;"READY"),"",IF(AGENT_INPUT!H86&gt;=SUMIFS(BONUS_RULES!$E$5:$E$46,BONUS_RULES!$A$5:$A$46,$C86,BONUS_RULES!$B$5:$B$46,"PCS % (Participation)"),SUMIFS(BONUS_RULES!$D$5:$D$46,BONUS_RULES!$A$5:$A$46,$C86,BONUS_RULES!$B$5:$B$46,"PCS % (Participation)"),IF(AGENT_INPUT!H86&gt;=SUMIFS(BONUS_RULES!$G$5:$G$46,BONUS_RULES!$A$5:$A$46,$C86,BONUS_RULES!$B$5:$B$46,"PCS % (Participation)"),SUMIFS(BONUS_RULES!$F$5:$F$46,BONUS_RULES!$A$5:$A$46,$C86,BONUS_RULES!$B$5:$B$46,"PCS % (Participation)"),0)))</f>
        <v>0.0</v>
      </c>
      <c r="J86" s="10">
        <f>IF(OR($A86="",$D86&lt;&gt;"READY"),"",IF(AGENT_INPUT!I86&gt;=SUMIFS(BONUS_RULES!$E$5:$E$46,BONUS_RULES!$A$5:$A$46,$C86,BONUS_RULES!$B$5:$B$46,"QM"),SUMIFS(BONUS_RULES!$D$5:$D$46,BONUS_RULES!$A$5:$A$46,$C86,BONUS_RULES!$B$5:$B$46,"QM"),IF(AGENT_INPUT!I86&gt;=SUMIFS(BONUS_RULES!$G$5:$G$46,BONUS_RULES!$A$5:$A$46,$C86,BONUS_RULES!$B$5:$B$46,"QM"),SUMIFS(BONUS_RULES!$F$5:$F$46,BONUS_RULES!$A$5:$A$46,$C86,BONUS_RULES!$B$5:$B$46,"QM"),0)))</f>
        <v>0.0</v>
      </c>
      <c r="K86" s="10">
        <f>IF(POLICY_APPROVAL!$B$9="Eligibility only",0,IF(OR($A86="",$D86&lt;&gt;"READY"),"",IF(AGENT_INPUT!J86&lt;=SUMIFS(BONUS_RULES!$E$5:$E$46,BONUS_RULES!$A$5:$A$46,$C86,BONUS_RULES!$B$5:$B$46,"Abs%"),SUMIFS(BONUS_RULES!$D$5:$D$46,BONUS_RULES!$A$5:$A$46,$C86,BONUS_RULES!$B$5:$B$46,"Abs%"),IF(AGENT_INPUT!J86&lt;=SUMIFS(BONUS_RULES!$G$5:$G$46,BONUS_RULES!$A$5:$A$46,$C86,BONUS_RULES!$B$5:$B$46,"Abs%"),SUMIFS(BONUS_RULES!$F$5:$F$46,BONUS_RULES!$A$5:$A$46,$C86,BONUS_RULES!$B$5:$B$46,"Abs%"),0))))</f>
        <v>0.15</v>
      </c>
      <c r="L86" s="10">
        <f>IF(OR($A86="",$D86&lt;&gt;"READY"),"",IF(AGENT_INPUT!G86&gt;=SUMIFS(BONUS_RULES!$E$5:$E$46,BONUS_RULES!$A$5:$A$46,$C86,BONUS_RULES!$B$5:$B$46,"Extra Bonus (PCS Score)"),SUMIFS(BONUS_RULES!$D$5:$D$46,BONUS_RULES!$A$5:$A$46,$C86,BONUS_RULES!$B$5:$B$46,"Extra Bonus (PCS Score)"),IF(AGENT_INPUT!G86&gt;=SUMIFS(BONUS_RULES!$G$5:$G$46,BONUS_RULES!$A$5:$A$46,$C86,BONUS_RULES!$B$5:$B$46,"Extra Bonus (PCS Score)"),SUMIFS(BONUS_RULES!$F$5:$F$46,BONUS_RULES!$A$5:$A$46,$C86,BONUS_RULES!$B$5:$B$46,"Extra Bonus (PCS Score)"),0)))</f>
        <v>0.0</v>
      </c>
      <c r="M86" s="10">
        <f>IF($A86="","",MIN(IF(POLICY_APPROVAL!$B$6="Replacement",SUM(F86:K86)-H86+MAX(H86,L86),SUM(F86:L86)),POLICY_APPROVAL!$B$10))</f>
        <v>0.44999999999999996</v>
      </c>
      <c r="N86" s="10">
        <f>IF($A86="","",IFERROR(INDEX(BONUS_RULES!$J$5:$J$10,MATCH(MIN(MAX(AGENT_INPUT!K86,0),5),BONUS_RULES!$I$5:$I$10,0)),1))</f>
        <v>0</v>
      </c>
      <c r="O86" s="10">
        <f>IF(M86="","",MAX(0,IF(POLICY_APPROVAL!$B$5="Percentage points",M86-N86,M86*(1-N86))))</f>
        <v>0.44999999999999996</v>
      </c>
      <c r="P86" s="11">
        <f>IF(D86&lt;&gt;"READY","",IF(AGENT_INPUT!O86&gt;0,AGENT_INPUT!O86,AGENT_INPUT!M86*AGENT_INPUT!N86/IF(POLICY_APPROVAL!$B$7="Annual",12,1)))</f>
        <v>2000.0</v>
      </c>
      <c r="Q86" s="10">
        <f>IF(D86&lt;&gt;"READY","",MIN(1,AGENT_INPUT!P86/AGENT_INPUT!Q86))</f>
        <v>1.0</v>
      </c>
      <c r="R86" s="11">
        <f>IF(D86&lt;&gt;"READY","",ROUND(P86*Q86*O86,IF(POLICY_APPROVAL!$B$11="Whole MAD",0,2)))</f>
        <v>900.0</v>
      </c>
      <c r="S86" s="11">
        <f>IF(AND(SETUP!$B$9="READY",T86="READY"),R86,"")</f>
        <v/>
      </c>
      <c r="T86" s="4" t="str">
        <f>IF($A86="","",IF(D86&lt;&gt;"READY","BLOCKED - INPUT",IF(E86&lt;&gt;"ELIGIBLE","BLOCKED - ELIGIBILITY",IF(AGENT_INPUT!S86&lt;&gt;"VALIDATED","BLOCKED - DATA",IF(SETUP!$B$9&lt;&gt;"READY","BLOCKED - POLICY","READY")))))</f>
        <v>BLOCKED - ELIGIBILITY</v>
      </c>
      <c r="U86" s="4" t="str">
        <f>IF($A86="","",IF(COUNTIFS(AGENT_INPUT!$A$5:$A$254,$A86,AGENT_INPUT!$D$5:$D$254,AGENT_INPUT!D86)&gt;1,"DUPLICATE AGENT + PERIOD",IF(D86&lt;&gt;"READY","INPUT OR CONFIG REVIEW",IF(T86&lt;&gt;"READY",T86,""))))</f>
        <v>BLOCKED - ELIGIBILITY</v>
      </c>
    </row>
    <row r="87" spans="1:21">
      <c r="A87" s="4">
        <f>IF(AGENT_INPUT!A87="","",AGENT_INPUT!A87)</f>
        <v>250738</v>
      </c>
      <c r="B87" s="4" t="str">
        <f>IF($A87="","",AGENT_INPUT!B87)</f>
        <v>Lahcen OUASSIT</v>
      </c>
      <c r="C87" s="4" t="str">
        <f>IF($A87="","",AGENT_INPUT!C87)</f>
        <v>OEM FR</v>
      </c>
      <c r="D87" s="4" t="str">
        <f>IF($A87="","",IF(AND(COUNT(AGENT_INPUT!E87:J87)=6,COUNT(AGENT_INPUT!K87)=1,COUNTIF(BONUS_RULES!$A$5:$A$46,AGENT_INPUT!C87)&gt;0,OR(AGENT_INPUT!O87&gt;0,AND(AGENT_INPUT!M87&gt;0,AGENT_INPUT!N87&gt;0)),AGENT_INPUT!P87&gt;=0,AGENT_INPUT!Q87&gt;0,AGENT_INPUT!P87&lt;=AGENT_INPUT!Q87,AGENT_INPUT!H87&gt;=0,AGENT_INPUT!H87&lt;=1,AGENT_INPUT!I87&gt;=0,AGENT_INPUT!I87&lt;=1,AGENT_INPUT!J87&gt;=0,AGENT_INPUT!J87&lt;=1),"READY","BLOCKED"))</f>
        <v>BLOCKED</v>
      </c>
      <c r="E87" s="4">
        <f>IF($A87="","",IF(AGENT_INPUT!R87&lt;&gt;"Active","REVIEW",IF(OR(POLICY_APPROVAL!$B$9="Eligibility only",POLICY_APPROVAL!$B$9="Both"),IF(AGENT_INPUT!J87&lt;=SUMIFS(BONUS_RULES!$E$5:$E$46,BONUS_RULES!$A$5:$A$46,$C87,BONUS_RULES!$B$5:$B$46,"Abs%"),"ELIGIBLE","INELIGIBLE ABS"),"ELIGIBLE")))</f>
        <v/>
      </c>
      <c r="F87" s="10">
        <f>IF(OR($A87="",$D87&lt;&gt;"READY"),"",IF(AGENT_INPUT!E87&lt;=SUMIFS(BONUS_RULES!$E$5:$E$46,BONUS_RULES!$A$5:$A$46,$C87,BONUS_RULES!$B$5:$B$46,"AHT"),SUMIFS(BONUS_RULES!$D$5:$D$46,BONUS_RULES!$A$5:$A$46,$C87,BONUS_RULES!$B$5:$B$46,"AHT"),IF(AGENT_INPUT!E87&lt;=SUMIFS(BONUS_RULES!$G$5:$G$46,BONUS_RULES!$A$5:$A$46,$C87,BONUS_RULES!$B$5:$B$46,"AHT"),SUMIFS(BONUS_RULES!$F$5:$F$46,BONUS_RULES!$A$5:$A$46,$C87,BONUS_RULES!$B$5:$B$46,"AHT"),0)))</f>
        <v/>
      </c>
      <c r="G87" s="10">
        <f>IF(OR($A87="",$D87&lt;&gt;"READY"),"",IF(AGENT_INPUT!F87&gt;=SUMIFS(BONUS_RULES!$E$5:$E$46,BONUS_RULES!$A$5:$A$46,$C87,BONUS_RULES!$B$5:$B$46,"Productivity"),SUMIFS(BONUS_RULES!$D$5:$D$46,BONUS_RULES!$A$5:$A$46,$C87,BONUS_RULES!$B$5:$B$46,"Productivity"),IF(AGENT_INPUT!F87&gt;=SUMIFS(BONUS_RULES!$G$5:$G$46,BONUS_RULES!$A$5:$A$46,$C87,BONUS_RULES!$B$5:$B$46,"Productivity"),SUMIFS(BONUS_RULES!$F$5:$F$46,BONUS_RULES!$A$5:$A$46,$C87,BONUS_RULES!$B$5:$B$46,"Productivity"),0)))</f>
        <v/>
      </c>
      <c r="H87" s="10">
        <f>IF(OR($A87="",$D87&lt;&gt;"READY"),"",IF(AGENT_INPUT!G87&gt;=SUMIFS(BONUS_RULES!$E$5:$E$46,BONUS_RULES!$A$5:$A$46,$C87,BONUS_RULES!$B$5:$B$46,"PCS Score"),SUMIFS(BONUS_RULES!$D$5:$D$46,BONUS_RULES!$A$5:$A$46,$C87,BONUS_RULES!$B$5:$B$46,"PCS Score"),IF(AGENT_INPUT!G87&gt;=SUMIFS(BONUS_RULES!$G$5:$G$46,BONUS_RULES!$A$5:$A$46,$C87,BONUS_RULES!$B$5:$B$46,"PCS Score"),SUMIFS(BONUS_RULES!$F$5:$F$46,BONUS_RULES!$A$5:$A$46,$C87,BONUS_RULES!$B$5:$B$46,"PCS Score"),0)))</f>
        <v/>
      </c>
      <c r="I87" s="10">
        <f>IF(OR($A87="",$D87&lt;&gt;"READY"),"",IF(AGENT_INPUT!H87&gt;=SUMIFS(BONUS_RULES!$E$5:$E$46,BONUS_RULES!$A$5:$A$46,$C87,BONUS_RULES!$B$5:$B$46,"PCS % (Participation)"),SUMIFS(BONUS_RULES!$D$5:$D$46,BONUS_RULES!$A$5:$A$46,$C87,BONUS_RULES!$B$5:$B$46,"PCS % (Participation)"),IF(AGENT_INPUT!H87&gt;=SUMIFS(BONUS_RULES!$G$5:$G$46,BONUS_RULES!$A$5:$A$46,$C87,BONUS_RULES!$B$5:$B$46,"PCS % (Participation)"),SUMIFS(BONUS_RULES!$F$5:$F$46,BONUS_RULES!$A$5:$A$46,$C87,BONUS_RULES!$B$5:$B$46,"PCS % (Participation)"),0)))</f>
        <v/>
      </c>
      <c r="J87" s="10">
        <f>IF(OR($A87="",$D87&lt;&gt;"READY"),"",IF(AGENT_INPUT!I87&gt;=SUMIFS(BONUS_RULES!$E$5:$E$46,BONUS_RULES!$A$5:$A$46,$C87,BONUS_RULES!$B$5:$B$46,"QM"),SUMIFS(BONUS_RULES!$D$5:$D$46,BONUS_RULES!$A$5:$A$46,$C87,BONUS_RULES!$B$5:$B$46,"QM"),IF(AGENT_INPUT!I87&gt;=SUMIFS(BONUS_RULES!$G$5:$G$46,BONUS_RULES!$A$5:$A$46,$C87,BONUS_RULES!$B$5:$B$46,"QM"),SUMIFS(BONUS_RULES!$F$5:$F$46,BONUS_RULES!$A$5:$A$46,$C87,BONUS_RULES!$B$5:$B$46,"QM"),0)))</f>
        <v/>
      </c>
      <c r="K87" s="10">
        <f>IF(POLICY_APPROVAL!$B$9="Eligibility only",0,IF(OR($A87="",$D87&lt;&gt;"READY"),"",IF(AGENT_INPUT!J87&lt;=SUMIFS(BONUS_RULES!$E$5:$E$46,BONUS_RULES!$A$5:$A$46,$C87,BONUS_RULES!$B$5:$B$46,"Abs%"),SUMIFS(BONUS_RULES!$D$5:$D$46,BONUS_RULES!$A$5:$A$46,$C87,BONUS_RULES!$B$5:$B$46,"Abs%"),IF(AGENT_INPUT!J87&lt;=SUMIFS(BONUS_RULES!$G$5:$G$46,BONUS_RULES!$A$5:$A$46,$C87,BONUS_RULES!$B$5:$B$46,"Abs%"),SUMIFS(BONUS_RULES!$F$5:$F$46,BONUS_RULES!$A$5:$A$46,$C87,BONUS_RULES!$B$5:$B$46,"Abs%"),0))))</f>
        <v/>
      </c>
      <c r="L87" s="10">
        <f>IF(OR($A87="",$D87&lt;&gt;"READY"),"",IF(AGENT_INPUT!G87&gt;=SUMIFS(BONUS_RULES!$E$5:$E$46,BONUS_RULES!$A$5:$A$46,$C87,BONUS_RULES!$B$5:$B$46,"Extra Bonus (PCS Score)"),SUMIFS(BONUS_RULES!$D$5:$D$46,BONUS_RULES!$A$5:$A$46,$C87,BONUS_RULES!$B$5:$B$46,"Extra Bonus (PCS Score)"),IF(AGENT_INPUT!G87&gt;=SUMIFS(BONUS_RULES!$G$5:$G$46,BONUS_RULES!$A$5:$A$46,$C87,BONUS_RULES!$B$5:$B$46,"Extra Bonus (PCS Score)"),SUMIFS(BONUS_RULES!$F$5:$F$46,BONUS_RULES!$A$5:$A$46,$C87,BONUS_RULES!$B$5:$B$46,"Extra Bonus (PCS Score)"),0)))</f>
        <v/>
      </c>
      <c r="M87" s="10">
        <f>IF($A87="","",MIN(IF(POLICY_APPROVAL!$B$6="Replacement",SUM(F87:K87)-H87+MAX(H87,L87),SUM(F87:L87)),POLICY_APPROVAL!$B$10))</f>
        <v>0</v>
      </c>
      <c r="N87" s="10">
        <f>IF($A87="","",IFERROR(INDEX(BONUS_RULES!$J$5:$J$10,MATCH(MIN(MAX(AGENT_INPUT!K87,0),5),BONUS_RULES!$I$5:$I$10,0)),1))</f>
        <v>0</v>
      </c>
      <c r="O87" s="10">
        <f>IF(M87="","",MAX(0,IF(POLICY_APPROVAL!$B$5="Percentage points",M87-N87,M87*(1-N87))))</f>
        <v>0</v>
      </c>
      <c r="P87" s="11">
        <f>IF(D87&lt;&gt;"READY","",IF(AGENT_INPUT!O87&gt;0,AGENT_INPUT!O87,AGENT_INPUT!M87*AGENT_INPUT!N87/IF(POLICY_APPROVAL!$B$7="Annual",12,1)))</f>
        <v/>
      </c>
      <c r="Q87" s="10">
        <f>IF(D87&lt;&gt;"READY","",MIN(1,AGENT_INPUT!P87/AGENT_INPUT!Q87))</f>
        <v/>
      </c>
      <c r="R87" s="11">
        <f>IF(D87&lt;&gt;"READY","",ROUND(P87*Q87*O87,IF(POLICY_APPROVAL!$B$11="Whole MAD",0,2)))</f>
        <v/>
      </c>
      <c r="S87" s="11">
        <f>IF(AND(SETUP!$B$9="READY",T87="READY"),R87,"")</f>
        <v/>
      </c>
      <c r="T87" s="4" t="str">
        <f>IF($A87="","",IF(D87&lt;&gt;"READY","BLOCKED - INPUT",IF(E87&lt;&gt;"ELIGIBLE","BLOCKED - ELIGIBILITY",IF(AGENT_INPUT!S87&lt;&gt;"VALIDATED","BLOCKED - DATA",IF(SETUP!$B$9&lt;&gt;"READY","BLOCKED - POLICY","READY")))))</f>
        <v>BLOCKED - INPUT</v>
      </c>
      <c r="U87" s="4" t="str">
        <f>IF($A87="","",IF(COUNTIFS(AGENT_INPUT!$A$5:$A$254,$A87,AGENT_INPUT!$D$5:$D$254,AGENT_INPUT!D87)&gt;1,"DUPLICATE AGENT + PERIOD",IF(D87&lt;&gt;"READY","INPUT OR CONFIG REVIEW",IF(T87&lt;&gt;"READY",T87,""))))</f>
        <v>Missing, invalid, or unconfigured required input</v>
      </c>
    </row>
    <row r="88" spans="1:21">
      <c r="A88" s="4">
        <f>IF(AGENT_INPUT!A88="","",AGENT_INPUT!A88)</f>
        <v>249776</v>
      </c>
      <c r="B88" s="4" t="str">
        <f>IF($A88="","",AGENT_INPUT!B88)</f>
        <v>Khawla EL BOUAANANI </v>
      </c>
      <c r="C88" s="4" t="str">
        <f>IF($A88="","",AGENT_INPUT!C88)</f>
        <v>RSA FR</v>
      </c>
      <c r="D88" s="4" t="str">
        <f>IF($A88="","",IF(AND(COUNT(AGENT_INPUT!E88:J88)=6,COUNT(AGENT_INPUT!K88)=1,COUNTIF(BONUS_RULES!$A$5:$A$46,AGENT_INPUT!C88)&gt;0,OR(AGENT_INPUT!O88&gt;0,AND(AGENT_INPUT!M88&gt;0,AGENT_INPUT!N88&gt;0)),AGENT_INPUT!P88&gt;=0,AGENT_INPUT!Q88&gt;0,AGENT_INPUT!P88&lt;=AGENT_INPUT!Q88,AGENT_INPUT!H88&gt;=0,AGENT_INPUT!H88&lt;=1,AGENT_INPUT!I88&gt;=0,AGENT_INPUT!I88&lt;=1,AGENT_INPUT!J88&gt;=0,AGENT_INPUT!J88&lt;=1),"READY","BLOCKED"))</f>
        <v>BLOCKED</v>
      </c>
      <c r="E88" s="4">
        <f>IF($A88="","",IF(AGENT_INPUT!R88&lt;&gt;"Active","REVIEW",IF(OR(POLICY_APPROVAL!$B$9="Eligibility only",POLICY_APPROVAL!$B$9="Both"),IF(AGENT_INPUT!J88&lt;=SUMIFS(BONUS_RULES!$E$5:$E$46,BONUS_RULES!$A$5:$A$46,$C88,BONUS_RULES!$B$5:$B$46,"Abs%"),"ELIGIBLE","INELIGIBLE ABS"),"ELIGIBLE")))</f>
        <v/>
      </c>
      <c r="F88" s="10">
        <f>IF(OR($A88="",$D88&lt;&gt;"READY"),"",IF(AGENT_INPUT!E88&lt;=SUMIFS(BONUS_RULES!$E$5:$E$46,BONUS_RULES!$A$5:$A$46,$C88,BONUS_RULES!$B$5:$B$46,"AHT"),SUMIFS(BONUS_RULES!$D$5:$D$46,BONUS_RULES!$A$5:$A$46,$C88,BONUS_RULES!$B$5:$B$46,"AHT"),IF(AGENT_INPUT!E88&lt;=SUMIFS(BONUS_RULES!$G$5:$G$46,BONUS_RULES!$A$5:$A$46,$C88,BONUS_RULES!$B$5:$B$46,"AHT"),SUMIFS(BONUS_RULES!$F$5:$F$46,BONUS_RULES!$A$5:$A$46,$C88,BONUS_RULES!$B$5:$B$46,"AHT"),0)))</f>
        <v/>
      </c>
      <c r="G88" s="10">
        <f>IF(OR($A88="",$D88&lt;&gt;"READY"),"",IF(AGENT_INPUT!F88&gt;=SUMIFS(BONUS_RULES!$E$5:$E$46,BONUS_RULES!$A$5:$A$46,$C88,BONUS_RULES!$B$5:$B$46,"Productivity"),SUMIFS(BONUS_RULES!$D$5:$D$46,BONUS_RULES!$A$5:$A$46,$C88,BONUS_RULES!$B$5:$B$46,"Productivity"),IF(AGENT_INPUT!F88&gt;=SUMIFS(BONUS_RULES!$G$5:$G$46,BONUS_RULES!$A$5:$A$46,$C88,BONUS_RULES!$B$5:$B$46,"Productivity"),SUMIFS(BONUS_RULES!$F$5:$F$46,BONUS_RULES!$A$5:$A$46,$C88,BONUS_RULES!$B$5:$B$46,"Productivity"),0)))</f>
        <v/>
      </c>
      <c r="H88" s="10">
        <f>IF(OR($A88="",$D88&lt;&gt;"READY"),"",IF(AGENT_INPUT!G88&gt;=SUMIFS(BONUS_RULES!$E$5:$E$46,BONUS_RULES!$A$5:$A$46,$C88,BONUS_RULES!$B$5:$B$46,"PCS Score"),SUMIFS(BONUS_RULES!$D$5:$D$46,BONUS_RULES!$A$5:$A$46,$C88,BONUS_RULES!$B$5:$B$46,"PCS Score"),IF(AGENT_INPUT!G88&gt;=SUMIFS(BONUS_RULES!$G$5:$G$46,BONUS_RULES!$A$5:$A$46,$C88,BONUS_RULES!$B$5:$B$46,"PCS Score"),SUMIFS(BONUS_RULES!$F$5:$F$46,BONUS_RULES!$A$5:$A$46,$C88,BONUS_RULES!$B$5:$B$46,"PCS Score"),0)))</f>
        <v/>
      </c>
      <c r="I88" s="10">
        <f>IF(OR($A88="",$D88&lt;&gt;"READY"),"",IF(AGENT_INPUT!H88&gt;=SUMIFS(BONUS_RULES!$E$5:$E$46,BONUS_RULES!$A$5:$A$46,$C88,BONUS_RULES!$B$5:$B$46,"PCS % (Participation)"),SUMIFS(BONUS_RULES!$D$5:$D$46,BONUS_RULES!$A$5:$A$46,$C88,BONUS_RULES!$B$5:$B$46,"PCS % (Participation)"),IF(AGENT_INPUT!H88&gt;=SUMIFS(BONUS_RULES!$G$5:$G$46,BONUS_RULES!$A$5:$A$46,$C88,BONUS_RULES!$B$5:$B$46,"PCS % (Participation)"),SUMIFS(BONUS_RULES!$F$5:$F$46,BONUS_RULES!$A$5:$A$46,$C88,BONUS_RULES!$B$5:$B$46,"PCS % (Participation)"),0)))</f>
        <v/>
      </c>
      <c r="J88" s="10">
        <f>IF(OR($A88="",$D88&lt;&gt;"READY"),"",IF(AGENT_INPUT!I88&gt;=SUMIFS(BONUS_RULES!$E$5:$E$46,BONUS_RULES!$A$5:$A$46,$C88,BONUS_RULES!$B$5:$B$46,"QM"),SUMIFS(BONUS_RULES!$D$5:$D$46,BONUS_RULES!$A$5:$A$46,$C88,BONUS_RULES!$B$5:$B$46,"QM"),IF(AGENT_INPUT!I88&gt;=SUMIFS(BONUS_RULES!$G$5:$G$46,BONUS_RULES!$A$5:$A$46,$C88,BONUS_RULES!$B$5:$B$46,"QM"),SUMIFS(BONUS_RULES!$F$5:$F$46,BONUS_RULES!$A$5:$A$46,$C88,BONUS_RULES!$B$5:$B$46,"QM"),0)))</f>
        <v/>
      </c>
      <c r="K88" s="10">
        <f>IF(POLICY_APPROVAL!$B$9="Eligibility only",0,IF(OR($A88="",$D88&lt;&gt;"READY"),"",IF(AGENT_INPUT!J88&lt;=SUMIFS(BONUS_RULES!$E$5:$E$46,BONUS_RULES!$A$5:$A$46,$C88,BONUS_RULES!$B$5:$B$46,"Abs%"),SUMIFS(BONUS_RULES!$D$5:$D$46,BONUS_RULES!$A$5:$A$46,$C88,BONUS_RULES!$B$5:$B$46,"Abs%"),IF(AGENT_INPUT!J88&lt;=SUMIFS(BONUS_RULES!$G$5:$G$46,BONUS_RULES!$A$5:$A$46,$C88,BONUS_RULES!$B$5:$B$46,"Abs%"),SUMIFS(BONUS_RULES!$F$5:$F$46,BONUS_RULES!$A$5:$A$46,$C88,BONUS_RULES!$B$5:$B$46,"Abs%"),0))))</f>
        <v/>
      </c>
      <c r="L88" s="10">
        <f>IF(OR($A88="",$D88&lt;&gt;"READY"),"",IF(AGENT_INPUT!G88&gt;=SUMIFS(BONUS_RULES!$E$5:$E$46,BONUS_RULES!$A$5:$A$46,$C88,BONUS_RULES!$B$5:$B$46,"Extra Bonus (PCS Score)"),SUMIFS(BONUS_RULES!$D$5:$D$46,BONUS_RULES!$A$5:$A$46,$C88,BONUS_RULES!$B$5:$B$46,"Extra Bonus (PCS Score)"),IF(AGENT_INPUT!G88&gt;=SUMIFS(BONUS_RULES!$G$5:$G$46,BONUS_RULES!$A$5:$A$46,$C88,BONUS_RULES!$B$5:$B$46,"Extra Bonus (PCS Score)"),SUMIFS(BONUS_RULES!$F$5:$F$46,BONUS_RULES!$A$5:$A$46,$C88,BONUS_RULES!$B$5:$B$46,"Extra Bonus (PCS Score)"),0)))</f>
        <v/>
      </c>
      <c r="M88" s="10">
        <f>IF($A88="","",MIN(IF(POLICY_APPROVAL!$B$6="Replacement",SUM(F88:K88)-H88+MAX(H88,L88),SUM(F88:L88)),POLICY_APPROVAL!$B$10))</f>
        <v>0</v>
      </c>
      <c r="N88" s="10">
        <f>IF($A88="","",IFERROR(INDEX(BONUS_RULES!$J$5:$J$10,MATCH(MIN(MAX(AGENT_INPUT!K88,0),5),BONUS_RULES!$I$5:$I$10,0)),1))</f>
        <v>0</v>
      </c>
      <c r="O88" s="10">
        <f>IF(M88="","",MAX(0,IF(POLICY_APPROVAL!$B$5="Percentage points",M88-N88,M88*(1-N88))))</f>
        <v>0</v>
      </c>
      <c r="P88" s="11">
        <f>IF(D88&lt;&gt;"READY","",IF(AGENT_INPUT!O88&gt;0,AGENT_INPUT!O88,AGENT_INPUT!M88*AGENT_INPUT!N88/IF(POLICY_APPROVAL!$B$7="Annual",12,1)))</f>
        <v/>
      </c>
      <c r="Q88" s="10">
        <f>IF(D88&lt;&gt;"READY","",MIN(1,AGENT_INPUT!P88/AGENT_INPUT!Q88))</f>
        <v/>
      </c>
      <c r="R88" s="11">
        <f>IF(D88&lt;&gt;"READY","",ROUND(P88*Q88*O88,IF(POLICY_APPROVAL!$B$11="Whole MAD",0,2)))</f>
        <v/>
      </c>
      <c r="S88" s="11">
        <f>IF(AND(SETUP!$B$9="READY",T88="READY"),R88,"")</f>
        <v/>
      </c>
      <c r="T88" s="4" t="str">
        <f>IF($A88="","",IF(D88&lt;&gt;"READY","BLOCKED - INPUT",IF(E88&lt;&gt;"ELIGIBLE","BLOCKED - ELIGIBILITY",IF(AGENT_INPUT!S88&lt;&gt;"VALIDATED","BLOCKED - DATA",IF(SETUP!$B$9&lt;&gt;"READY","BLOCKED - POLICY","READY")))))</f>
        <v>BLOCKED - INPUT</v>
      </c>
      <c r="U88" s="4" t="str">
        <f>IF($A88="","",IF(COUNTIFS(AGENT_INPUT!$A$5:$A$254,$A88,AGENT_INPUT!$D$5:$D$254,AGENT_INPUT!D88)&gt;1,"DUPLICATE AGENT + PERIOD",IF(D88&lt;&gt;"READY","INPUT OR CONFIG REVIEW",IF(T88&lt;&gt;"READY",T88,""))))</f>
        <v>Missing, invalid, or unconfigured required input</v>
      </c>
    </row>
    <row r="89" spans="1:21">
      <c r="A89" s="4">
        <f>IF(AGENT_INPUT!A89="","",AGENT_INPUT!A89)</f>
        <v>199529</v>
      </c>
      <c r="B89" s="4" t="str">
        <f>IF($A89="","",AGENT_INPUT!B89)</f>
        <v>Ajermite Khalil</v>
      </c>
      <c r="C89" s="4" t="str">
        <f>IF($A89="","",AGENT_INPUT!C89)</f>
        <v>RSA NL</v>
      </c>
      <c r="D89" s="4" t="str">
        <f>IF($A89="","",IF(AND(COUNT(AGENT_INPUT!E89:J89)=6,COUNT(AGENT_INPUT!K89)=1,COUNTIF(BONUS_RULES!$A$5:$A$46,AGENT_INPUT!C89)&gt;0,OR(AGENT_INPUT!O89&gt;0,AND(AGENT_INPUT!M89&gt;0,AGENT_INPUT!N89&gt;0)),AGENT_INPUT!P89&gt;=0,AGENT_INPUT!Q89&gt;0,AGENT_INPUT!P89&lt;=AGENT_INPUT!Q89,AGENT_INPUT!H89&gt;=0,AGENT_INPUT!H89&lt;=1,AGENT_INPUT!I89&gt;=0,AGENT_INPUT!I89&lt;=1,AGENT_INPUT!J89&gt;=0,AGENT_INPUT!J89&lt;=1),"READY","BLOCKED"))</f>
        <v>READY</v>
      </c>
      <c r="E89" s="4" t="str">
        <f>IF($A89="","",IF(AGENT_INPUT!R89&lt;&gt;"Active","REVIEW",IF(OR(POLICY_APPROVAL!$B$9="Eligibility only",POLICY_APPROVAL!$B$9="Both"),IF(AGENT_INPUT!J89&lt;=SUMIFS(BONUS_RULES!$E$5:$E$46,BONUS_RULES!$A$5:$A$46,$C89,BONUS_RULES!$B$5:$B$46,"Abs%"),"ELIGIBLE","INELIGIBLE ABS"),"ELIGIBLE")))</f>
        <v>REVIEW</v>
      </c>
      <c r="F89" s="10">
        <f>IF(OR($A89="",$D89&lt;&gt;"READY"),"",IF(AGENT_INPUT!E89&lt;=SUMIFS(BONUS_RULES!$E$5:$E$46,BONUS_RULES!$A$5:$A$46,$C89,BONUS_RULES!$B$5:$B$46,"AHT"),SUMIFS(BONUS_RULES!$D$5:$D$46,BONUS_RULES!$A$5:$A$46,$C89,BONUS_RULES!$B$5:$B$46,"AHT"),IF(AGENT_INPUT!E89&lt;=SUMIFS(BONUS_RULES!$G$5:$G$46,BONUS_RULES!$A$5:$A$46,$C89,BONUS_RULES!$B$5:$B$46,"AHT"),SUMIFS(BONUS_RULES!$F$5:$F$46,BONUS_RULES!$A$5:$A$46,$C89,BONUS_RULES!$B$5:$B$46,"AHT"),0)))</f>
        <v>0.15</v>
      </c>
      <c r="G89" s="10">
        <f>IF(OR($A89="",$D89&lt;&gt;"READY"),"",IF(AGENT_INPUT!F89&gt;=SUMIFS(BONUS_RULES!$E$5:$E$46,BONUS_RULES!$A$5:$A$46,$C89,BONUS_RULES!$B$5:$B$46,"Productivity"),SUMIFS(BONUS_RULES!$D$5:$D$46,BONUS_RULES!$A$5:$A$46,$C89,BONUS_RULES!$B$5:$B$46,"Productivity"),IF(AGENT_INPUT!F89&gt;=SUMIFS(BONUS_RULES!$G$5:$G$46,BONUS_RULES!$A$5:$A$46,$C89,BONUS_RULES!$B$5:$B$46,"Productivity"),SUMIFS(BONUS_RULES!$F$5:$F$46,BONUS_RULES!$A$5:$A$46,$C89,BONUS_RULES!$B$5:$B$46,"Productivity"),0)))</f>
        <v>0.15</v>
      </c>
      <c r="H89" s="10">
        <f>IF(OR($A89="",$D89&lt;&gt;"READY"),"",IF(AGENT_INPUT!G89&gt;=SUMIFS(BONUS_RULES!$E$5:$E$46,BONUS_RULES!$A$5:$A$46,$C89,BONUS_RULES!$B$5:$B$46,"PCS Score"),SUMIFS(BONUS_RULES!$D$5:$D$46,BONUS_RULES!$A$5:$A$46,$C89,BONUS_RULES!$B$5:$B$46,"PCS Score"),IF(AGENT_INPUT!G89&gt;=SUMIFS(BONUS_RULES!$G$5:$G$46,BONUS_RULES!$A$5:$A$46,$C89,BONUS_RULES!$B$5:$B$46,"PCS Score"),SUMIFS(BONUS_RULES!$F$5:$F$46,BONUS_RULES!$A$5:$A$46,$C89,BONUS_RULES!$B$5:$B$46,"PCS Score"),0)))</f>
        <v>0.15</v>
      </c>
      <c r="I89" s="10">
        <f>IF(OR($A89="",$D89&lt;&gt;"READY"),"",IF(AGENT_INPUT!H89&gt;=SUMIFS(BONUS_RULES!$E$5:$E$46,BONUS_RULES!$A$5:$A$46,$C89,BONUS_RULES!$B$5:$B$46,"PCS % (Participation)"),SUMIFS(BONUS_RULES!$D$5:$D$46,BONUS_RULES!$A$5:$A$46,$C89,BONUS_RULES!$B$5:$B$46,"PCS % (Participation)"),IF(AGENT_INPUT!H89&gt;=SUMIFS(BONUS_RULES!$G$5:$G$46,BONUS_RULES!$A$5:$A$46,$C89,BONUS_RULES!$B$5:$B$46,"PCS % (Participation)"),SUMIFS(BONUS_RULES!$F$5:$F$46,BONUS_RULES!$A$5:$A$46,$C89,BONUS_RULES!$B$5:$B$46,"PCS % (Participation)"),0)))</f>
        <v>0.0</v>
      </c>
      <c r="J89" s="10">
        <f>IF(OR($A89="",$D89&lt;&gt;"READY"),"",IF(AGENT_INPUT!I89&gt;=SUMIFS(BONUS_RULES!$E$5:$E$46,BONUS_RULES!$A$5:$A$46,$C89,BONUS_RULES!$B$5:$B$46,"QM"),SUMIFS(BONUS_RULES!$D$5:$D$46,BONUS_RULES!$A$5:$A$46,$C89,BONUS_RULES!$B$5:$B$46,"QM"),IF(AGENT_INPUT!I89&gt;=SUMIFS(BONUS_RULES!$G$5:$G$46,BONUS_RULES!$A$5:$A$46,$C89,BONUS_RULES!$B$5:$B$46,"QM"),SUMIFS(BONUS_RULES!$F$5:$F$46,BONUS_RULES!$A$5:$A$46,$C89,BONUS_RULES!$B$5:$B$46,"QM"),0)))</f>
        <v>0.0</v>
      </c>
      <c r="K89" s="10">
        <f>IF(POLICY_APPROVAL!$B$9="Eligibility only",0,IF(OR($A89="",$D89&lt;&gt;"READY"),"",IF(AGENT_INPUT!J89&lt;=SUMIFS(BONUS_RULES!$E$5:$E$46,BONUS_RULES!$A$5:$A$46,$C89,BONUS_RULES!$B$5:$B$46,"Abs%"),SUMIFS(BONUS_RULES!$D$5:$D$46,BONUS_RULES!$A$5:$A$46,$C89,BONUS_RULES!$B$5:$B$46,"Abs%"),IF(AGENT_INPUT!J89&lt;=SUMIFS(BONUS_RULES!$G$5:$G$46,BONUS_RULES!$A$5:$A$46,$C89,BONUS_RULES!$B$5:$B$46,"Abs%"),SUMIFS(BONUS_RULES!$F$5:$F$46,BONUS_RULES!$A$5:$A$46,$C89,BONUS_RULES!$B$5:$B$46,"Abs%"),0))))</f>
        <v>0.0</v>
      </c>
      <c r="L89" s="10">
        <f>IF(OR($A89="",$D89&lt;&gt;"READY"),"",IF(AGENT_INPUT!G89&gt;=SUMIFS(BONUS_RULES!$E$5:$E$46,BONUS_RULES!$A$5:$A$46,$C89,BONUS_RULES!$B$5:$B$46,"Extra Bonus (PCS Score)"),SUMIFS(BONUS_RULES!$D$5:$D$46,BONUS_RULES!$A$5:$A$46,$C89,BONUS_RULES!$B$5:$B$46,"Extra Bonus (PCS Score)"),IF(AGENT_INPUT!G89&gt;=SUMIFS(BONUS_RULES!$G$5:$G$46,BONUS_RULES!$A$5:$A$46,$C89,BONUS_RULES!$B$5:$B$46,"Extra Bonus (PCS Score)"),SUMIFS(BONUS_RULES!$F$5:$F$46,BONUS_RULES!$A$5:$A$46,$C89,BONUS_RULES!$B$5:$B$46,"Extra Bonus (PCS Score)"),0)))</f>
        <v>0.0</v>
      </c>
      <c r="M89" s="10">
        <f>IF($A89="","",MIN(IF(POLICY_APPROVAL!$B$6="Replacement",SUM(F89:K89)-H89+MAX(H89,L89),SUM(F89:L89)),POLICY_APPROVAL!$B$10))</f>
        <v>0.44999999999999996</v>
      </c>
      <c r="N89" s="10">
        <f>IF($A89="","",IFERROR(INDEX(BONUS_RULES!$J$5:$J$10,MATCH(MIN(MAX(AGENT_INPUT!K89,0),5),BONUS_RULES!$I$5:$I$10,0)),1))</f>
        <v>0</v>
      </c>
      <c r="O89" s="10">
        <f>IF(M89="","",MAX(0,IF(POLICY_APPROVAL!$B$5="Percentage points",M89-N89,M89*(1-N89))))</f>
        <v>0.44999999999999996</v>
      </c>
      <c r="P89" s="11">
        <f>IF(D89&lt;&gt;"READY","",IF(AGENT_INPUT!O89&gt;0,AGENT_INPUT!O89,AGENT_INPUT!M89*AGENT_INPUT!N89/IF(POLICY_APPROVAL!$B$7="Annual",12,1)))</f>
        <v>2000.0</v>
      </c>
      <c r="Q89" s="10">
        <f>IF(D89&lt;&gt;"READY","",MIN(1,AGENT_INPUT!P89/AGENT_INPUT!Q89))</f>
        <v>1.0</v>
      </c>
      <c r="R89" s="11">
        <f>IF(D89&lt;&gt;"READY","",ROUND(P89*Q89*O89,IF(POLICY_APPROVAL!$B$11="Whole MAD",0,2)))</f>
        <v>900.0</v>
      </c>
      <c r="S89" s="11">
        <f>IF(AND(SETUP!$B$9="READY",T89="READY"),R89,"")</f>
        <v/>
      </c>
      <c r="T89" s="4" t="str">
        <f>IF($A89="","",IF(D89&lt;&gt;"READY","BLOCKED - INPUT",IF(E89&lt;&gt;"ELIGIBLE","BLOCKED - ELIGIBILITY",IF(AGENT_INPUT!S89&lt;&gt;"VALIDATED","BLOCKED - DATA",IF(SETUP!$B$9&lt;&gt;"READY","BLOCKED - POLICY","READY")))))</f>
        <v>BLOCKED - ELIGIBILITY</v>
      </c>
      <c r="U89" s="4" t="str">
        <f>IF($A89="","",IF(COUNTIFS(AGENT_INPUT!$A$5:$A$254,$A89,AGENT_INPUT!$D$5:$D$254,AGENT_INPUT!D89)&gt;1,"DUPLICATE AGENT + PERIOD",IF(D89&lt;&gt;"READY","INPUT OR CONFIG REVIEW",IF(T89&lt;&gt;"READY",T89,""))))</f>
        <v>BLOCKED - ELIGIBILITY</v>
      </c>
    </row>
    <row r="90" spans="1:21">
      <c r="A90" s="4">
        <f>IF(AGENT_INPUT!A90="","",AGENT_INPUT!A90)</f>
        <v>204052</v>
      </c>
      <c r="B90" s="4" t="str">
        <f>IF($A90="","",AGENT_INPUT!B90)</f>
        <v>Ajaouaou Khalid</v>
      </c>
      <c r="C90" s="4" t="str">
        <f>IF($A90="","",AGENT_INPUT!C90)</f>
        <v>Ford Dutch</v>
      </c>
      <c r="D90" s="4" t="str">
        <f>IF($A90="","",IF(AND(COUNT(AGENT_INPUT!E90:J90)=6,COUNT(AGENT_INPUT!K90)=1,COUNTIF(BONUS_RULES!$A$5:$A$46,AGENT_INPUT!C90)&gt;0,OR(AGENT_INPUT!O90&gt;0,AND(AGENT_INPUT!M90&gt;0,AGENT_INPUT!N90&gt;0)),AGENT_INPUT!P90&gt;=0,AGENT_INPUT!Q90&gt;0,AGENT_INPUT!P90&lt;=AGENT_INPUT!Q90,AGENT_INPUT!H90&gt;=0,AGENT_INPUT!H90&lt;=1,AGENT_INPUT!I90&gt;=0,AGENT_INPUT!I90&lt;=1,AGENT_INPUT!J90&gt;=0,AGENT_INPUT!J90&lt;=1),"READY","BLOCKED"))</f>
        <v>READY</v>
      </c>
      <c r="E90" s="4" t="str">
        <f>IF($A90="","",IF(AGENT_INPUT!R90&lt;&gt;"Active","REVIEW",IF(OR(POLICY_APPROVAL!$B$9="Eligibility only",POLICY_APPROVAL!$B$9="Both"),IF(AGENT_INPUT!J90&lt;=SUMIFS(BONUS_RULES!$E$5:$E$46,BONUS_RULES!$A$5:$A$46,$C90,BONUS_RULES!$B$5:$B$46,"Abs%"),"ELIGIBLE","INELIGIBLE ABS"),"ELIGIBLE")))</f>
        <v>REVIEW</v>
      </c>
      <c r="F90" s="10">
        <f>IF(OR($A90="",$D90&lt;&gt;"READY"),"",IF(AGENT_INPUT!E90&lt;=SUMIFS(BONUS_RULES!$E$5:$E$46,BONUS_RULES!$A$5:$A$46,$C90,BONUS_RULES!$B$5:$B$46,"AHT"),SUMIFS(BONUS_RULES!$D$5:$D$46,BONUS_RULES!$A$5:$A$46,$C90,BONUS_RULES!$B$5:$B$46,"AHT"),IF(AGENT_INPUT!E90&lt;=SUMIFS(BONUS_RULES!$G$5:$G$46,BONUS_RULES!$A$5:$A$46,$C90,BONUS_RULES!$B$5:$B$46,"AHT"),SUMIFS(BONUS_RULES!$F$5:$F$46,BONUS_RULES!$A$5:$A$46,$C90,BONUS_RULES!$B$5:$B$46,"AHT"),0)))</f>
        <v>0.0</v>
      </c>
      <c r="G90" s="10">
        <f>IF(OR($A90="",$D90&lt;&gt;"READY"),"",IF(AGENT_INPUT!F90&gt;=SUMIFS(BONUS_RULES!$E$5:$E$46,BONUS_RULES!$A$5:$A$46,$C90,BONUS_RULES!$B$5:$B$46,"Productivity"),SUMIFS(BONUS_RULES!$D$5:$D$46,BONUS_RULES!$A$5:$A$46,$C90,BONUS_RULES!$B$5:$B$46,"Productivity"),IF(AGENT_INPUT!F90&gt;=SUMIFS(BONUS_RULES!$G$5:$G$46,BONUS_RULES!$A$5:$A$46,$C90,BONUS_RULES!$B$5:$B$46,"Productivity"),SUMIFS(BONUS_RULES!$F$5:$F$46,BONUS_RULES!$A$5:$A$46,$C90,BONUS_RULES!$B$5:$B$46,"Productivity"),0)))</f>
        <v>0.0</v>
      </c>
      <c r="H90" s="10">
        <f>IF(OR($A90="",$D90&lt;&gt;"READY"),"",IF(AGENT_INPUT!G90&gt;=SUMIFS(BONUS_RULES!$E$5:$E$46,BONUS_RULES!$A$5:$A$46,$C90,BONUS_RULES!$B$5:$B$46,"PCS Score"),SUMIFS(BONUS_RULES!$D$5:$D$46,BONUS_RULES!$A$5:$A$46,$C90,BONUS_RULES!$B$5:$B$46,"PCS Score"),IF(AGENT_INPUT!G90&gt;=SUMIFS(BONUS_RULES!$G$5:$G$46,BONUS_RULES!$A$5:$A$46,$C90,BONUS_RULES!$B$5:$B$46,"PCS Score"),SUMIFS(BONUS_RULES!$F$5:$F$46,BONUS_RULES!$A$5:$A$46,$C90,BONUS_RULES!$B$5:$B$46,"PCS Score"),0)))</f>
        <v>0.2</v>
      </c>
      <c r="I90" s="10">
        <f>IF(OR($A90="",$D90&lt;&gt;"READY"),"",IF(AGENT_INPUT!H90&gt;=SUMIFS(BONUS_RULES!$E$5:$E$46,BONUS_RULES!$A$5:$A$46,$C90,BONUS_RULES!$B$5:$B$46,"PCS % (Participation)"),SUMIFS(BONUS_RULES!$D$5:$D$46,BONUS_RULES!$A$5:$A$46,$C90,BONUS_RULES!$B$5:$B$46,"PCS % (Participation)"),IF(AGENT_INPUT!H90&gt;=SUMIFS(BONUS_RULES!$G$5:$G$46,BONUS_RULES!$A$5:$A$46,$C90,BONUS_RULES!$B$5:$B$46,"PCS % (Participation)"),SUMIFS(BONUS_RULES!$F$5:$F$46,BONUS_RULES!$A$5:$A$46,$C90,BONUS_RULES!$B$5:$B$46,"PCS % (Participation)"),0)))</f>
        <v>0.0</v>
      </c>
      <c r="J90" s="10">
        <f>IF(OR($A90="",$D90&lt;&gt;"READY"),"",IF(AGENT_INPUT!I90&gt;=SUMIFS(BONUS_RULES!$E$5:$E$46,BONUS_RULES!$A$5:$A$46,$C90,BONUS_RULES!$B$5:$B$46,"QM"),SUMIFS(BONUS_RULES!$D$5:$D$46,BONUS_RULES!$A$5:$A$46,$C90,BONUS_RULES!$B$5:$B$46,"QM"),IF(AGENT_INPUT!I90&gt;=SUMIFS(BONUS_RULES!$G$5:$G$46,BONUS_RULES!$A$5:$A$46,$C90,BONUS_RULES!$B$5:$B$46,"QM"),SUMIFS(BONUS_RULES!$F$5:$F$46,BONUS_RULES!$A$5:$A$46,$C90,BONUS_RULES!$B$5:$B$46,"QM"),0)))</f>
        <v>0.0</v>
      </c>
      <c r="K90" s="10">
        <f>IF(POLICY_APPROVAL!$B$9="Eligibility only",0,IF(OR($A90="",$D90&lt;&gt;"READY"),"",IF(AGENT_INPUT!J90&lt;=SUMIFS(BONUS_RULES!$E$5:$E$46,BONUS_RULES!$A$5:$A$46,$C90,BONUS_RULES!$B$5:$B$46,"Abs%"),SUMIFS(BONUS_RULES!$D$5:$D$46,BONUS_RULES!$A$5:$A$46,$C90,BONUS_RULES!$B$5:$B$46,"Abs%"),IF(AGENT_INPUT!J90&lt;=SUMIFS(BONUS_RULES!$G$5:$G$46,BONUS_RULES!$A$5:$A$46,$C90,BONUS_RULES!$B$5:$B$46,"Abs%"),SUMIFS(BONUS_RULES!$F$5:$F$46,BONUS_RULES!$A$5:$A$46,$C90,BONUS_RULES!$B$5:$B$46,"Abs%"),0))))</f>
        <v>0.0</v>
      </c>
      <c r="L90" s="10">
        <f>IF(OR($A90="",$D90&lt;&gt;"READY"),"",IF(AGENT_INPUT!G90&gt;=SUMIFS(BONUS_RULES!$E$5:$E$46,BONUS_RULES!$A$5:$A$46,$C90,BONUS_RULES!$B$5:$B$46,"Extra Bonus (PCS Score)"),SUMIFS(BONUS_RULES!$D$5:$D$46,BONUS_RULES!$A$5:$A$46,$C90,BONUS_RULES!$B$5:$B$46,"Extra Bonus (PCS Score)"),IF(AGENT_INPUT!G90&gt;=SUMIFS(BONUS_RULES!$G$5:$G$46,BONUS_RULES!$A$5:$A$46,$C90,BONUS_RULES!$B$5:$B$46,"Extra Bonus (PCS Score)"),SUMIFS(BONUS_RULES!$F$5:$F$46,BONUS_RULES!$A$5:$A$46,$C90,BONUS_RULES!$B$5:$B$46,"Extra Bonus (PCS Score)"),0)))</f>
        <v>0.2</v>
      </c>
      <c r="M90" s="10">
        <f>IF($A90="","",MIN(IF(POLICY_APPROVAL!$B$6="Replacement",SUM(F90:K90)-H90+MAX(H90,L90),SUM(F90:L90)),POLICY_APPROVAL!$B$10))</f>
        <v>0.4</v>
      </c>
      <c r="N90" s="10">
        <f>IF($A90="","",IFERROR(INDEX(BONUS_RULES!$J$5:$J$10,MATCH(MIN(MAX(AGENT_INPUT!K90,0),5),BONUS_RULES!$I$5:$I$10,0)),1))</f>
        <v>0</v>
      </c>
      <c r="O90" s="10">
        <f>IF(M90="","",MAX(0,IF(POLICY_APPROVAL!$B$5="Percentage points",M90-N90,M90*(1-N90))))</f>
        <v>0.4</v>
      </c>
      <c r="P90" s="11">
        <f>IF(D90&lt;&gt;"READY","",IF(AGENT_INPUT!O90&gt;0,AGENT_INPUT!O90,AGENT_INPUT!M90*AGENT_INPUT!N90/IF(POLICY_APPROVAL!$B$7="Annual",12,1)))</f>
        <v>2000.0</v>
      </c>
      <c r="Q90" s="10">
        <f>IF(D90&lt;&gt;"READY","",MIN(1,AGENT_INPUT!P90/AGENT_INPUT!Q90))</f>
        <v>1.0</v>
      </c>
      <c r="R90" s="11">
        <f>IF(D90&lt;&gt;"READY","",ROUND(P90*Q90*O90,IF(POLICY_APPROVAL!$B$11="Whole MAD",0,2)))</f>
        <v>800.0</v>
      </c>
      <c r="S90" s="11">
        <f>IF(AND(SETUP!$B$9="READY",T90="READY"),R90,"")</f>
        <v/>
      </c>
      <c r="T90" s="4" t="str">
        <f>IF($A90="","",IF(D90&lt;&gt;"READY","BLOCKED - INPUT",IF(E90&lt;&gt;"ELIGIBLE","BLOCKED - ELIGIBILITY",IF(AGENT_INPUT!S90&lt;&gt;"VALIDATED","BLOCKED - DATA",IF(SETUP!$B$9&lt;&gt;"READY","BLOCKED - POLICY","READY")))))</f>
        <v>BLOCKED - ELIGIBILITY</v>
      </c>
      <c r="U90" s="4" t="str">
        <f>IF($A90="","",IF(COUNTIFS(AGENT_INPUT!$A$5:$A$254,$A90,AGENT_INPUT!$D$5:$D$254,AGENT_INPUT!D90)&gt;1,"DUPLICATE AGENT + PERIOD",IF(D90&lt;&gt;"READY","INPUT OR CONFIG REVIEW",IF(T90&lt;&gt;"READY",T90,""))))</f>
        <v>BLOCKED - ELIGIBILITY</v>
      </c>
    </row>
    <row r="91" spans="1:21">
      <c r="A91" s="4">
        <f>IF(AGENT_INPUT!A91="","",AGENT_INPUT!A91)</f>
        <v>96458</v>
      </c>
      <c r="B91" s="4" t="str">
        <f>IF($A91="","",AGENT_INPUT!B91)</f>
        <v>MOKHTAR Kawtar</v>
      </c>
      <c r="C91" s="4" t="str">
        <f>IF($A91="","",AGENT_INPUT!C91)</f>
        <v>RSA FR</v>
      </c>
      <c r="D91" s="4" t="str">
        <f>IF($A91="","",IF(AND(COUNT(AGENT_INPUT!E91:J91)=6,COUNT(AGENT_INPUT!K91)=1,COUNTIF(BONUS_RULES!$A$5:$A$46,AGENT_INPUT!C91)&gt;0,OR(AGENT_INPUT!O91&gt;0,AND(AGENT_INPUT!M91&gt;0,AGENT_INPUT!N91&gt;0)),AGENT_INPUT!P91&gt;=0,AGENT_INPUT!Q91&gt;0,AGENT_INPUT!P91&lt;=AGENT_INPUT!Q91,AGENT_INPUT!H91&gt;=0,AGENT_INPUT!H91&lt;=1,AGENT_INPUT!I91&gt;=0,AGENT_INPUT!I91&lt;=1,AGENT_INPUT!J91&gt;=0,AGENT_INPUT!J91&lt;=1),"READY","BLOCKED"))</f>
        <v>READY</v>
      </c>
      <c r="E91" s="4" t="str">
        <f>IF($A91="","",IF(AGENT_INPUT!R91&lt;&gt;"Active","REVIEW",IF(OR(POLICY_APPROVAL!$B$9="Eligibility only",POLICY_APPROVAL!$B$9="Both"),IF(AGENT_INPUT!J91&lt;=SUMIFS(BONUS_RULES!$E$5:$E$46,BONUS_RULES!$A$5:$A$46,$C91,BONUS_RULES!$B$5:$B$46,"Abs%"),"ELIGIBLE","INELIGIBLE ABS"),"ELIGIBLE")))</f>
        <v>REVIEW</v>
      </c>
      <c r="F91" s="10">
        <f>IF(OR($A91="",$D91&lt;&gt;"READY"),"",IF(AGENT_INPUT!E91&lt;=SUMIFS(BONUS_RULES!$E$5:$E$46,BONUS_RULES!$A$5:$A$46,$C91,BONUS_RULES!$B$5:$B$46,"AHT"),SUMIFS(BONUS_RULES!$D$5:$D$46,BONUS_RULES!$A$5:$A$46,$C91,BONUS_RULES!$B$5:$B$46,"AHT"),IF(AGENT_INPUT!E91&lt;=SUMIFS(BONUS_RULES!$G$5:$G$46,BONUS_RULES!$A$5:$A$46,$C91,BONUS_RULES!$B$5:$B$46,"AHT"),SUMIFS(BONUS_RULES!$F$5:$F$46,BONUS_RULES!$A$5:$A$46,$C91,BONUS_RULES!$B$5:$B$46,"AHT"),0)))</f>
        <v>0.15</v>
      </c>
      <c r="G91" s="10">
        <f>IF(OR($A91="",$D91&lt;&gt;"READY"),"",IF(AGENT_INPUT!F91&gt;=SUMIFS(BONUS_RULES!$E$5:$E$46,BONUS_RULES!$A$5:$A$46,$C91,BONUS_RULES!$B$5:$B$46,"Productivity"),SUMIFS(BONUS_RULES!$D$5:$D$46,BONUS_RULES!$A$5:$A$46,$C91,BONUS_RULES!$B$5:$B$46,"Productivity"),IF(AGENT_INPUT!F91&gt;=SUMIFS(BONUS_RULES!$G$5:$G$46,BONUS_RULES!$A$5:$A$46,$C91,BONUS_RULES!$B$5:$B$46,"Productivity"),SUMIFS(BONUS_RULES!$F$5:$F$46,BONUS_RULES!$A$5:$A$46,$C91,BONUS_RULES!$B$5:$B$46,"Productivity"),0)))</f>
        <v>0.15</v>
      </c>
      <c r="H91" s="10">
        <f>IF(OR($A91="",$D91&lt;&gt;"READY"),"",IF(AGENT_INPUT!G91&gt;=SUMIFS(BONUS_RULES!$E$5:$E$46,BONUS_RULES!$A$5:$A$46,$C91,BONUS_RULES!$B$5:$B$46,"PCS Score"),SUMIFS(BONUS_RULES!$D$5:$D$46,BONUS_RULES!$A$5:$A$46,$C91,BONUS_RULES!$B$5:$B$46,"PCS Score"),IF(AGENT_INPUT!G91&gt;=SUMIFS(BONUS_RULES!$G$5:$G$46,BONUS_RULES!$A$5:$A$46,$C91,BONUS_RULES!$B$5:$B$46,"PCS Score"),SUMIFS(BONUS_RULES!$F$5:$F$46,BONUS_RULES!$A$5:$A$46,$C91,BONUS_RULES!$B$5:$B$46,"PCS Score"),0)))</f>
        <v>0.2</v>
      </c>
      <c r="I91" s="10">
        <f>IF(OR($A91="",$D91&lt;&gt;"READY"),"",IF(AGENT_INPUT!H91&gt;=SUMIFS(BONUS_RULES!$E$5:$E$46,BONUS_RULES!$A$5:$A$46,$C91,BONUS_RULES!$B$5:$B$46,"PCS % (Participation)"),SUMIFS(BONUS_RULES!$D$5:$D$46,BONUS_RULES!$A$5:$A$46,$C91,BONUS_RULES!$B$5:$B$46,"PCS % (Participation)"),IF(AGENT_INPUT!H91&gt;=SUMIFS(BONUS_RULES!$G$5:$G$46,BONUS_RULES!$A$5:$A$46,$C91,BONUS_RULES!$B$5:$B$46,"PCS % (Participation)"),SUMIFS(BONUS_RULES!$F$5:$F$46,BONUS_RULES!$A$5:$A$46,$C91,BONUS_RULES!$B$5:$B$46,"PCS % (Participation)"),0)))</f>
        <v>0.0</v>
      </c>
      <c r="J91" s="10">
        <f>IF(OR($A91="",$D91&lt;&gt;"READY"),"",IF(AGENT_INPUT!I91&gt;=SUMIFS(BONUS_RULES!$E$5:$E$46,BONUS_RULES!$A$5:$A$46,$C91,BONUS_RULES!$B$5:$B$46,"QM"),SUMIFS(BONUS_RULES!$D$5:$D$46,BONUS_RULES!$A$5:$A$46,$C91,BONUS_RULES!$B$5:$B$46,"QM"),IF(AGENT_INPUT!I91&gt;=SUMIFS(BONUS_RULES!$G$5:$G$46,BONUS_RULES!$A$5:$A$46,$C91,BONUS_RULES!$B$5:$B$46,"QM"),SUMIFS(BONUS_RULES!$F$5:$F$46,BONUS_RULES!$A$5:$A$46,$C91,BONUS_RULES!$B$5:$B$46,"QM"),0)))</f>
        <v>0.2</v>
      </c>
      <c r="K91" s="10">
        <f>IF(POLICY_APPROVAL!$B$9="Eligibility only",0,IF(OR($A91="",$D91&lt;&gt;"READY"),"",IF(AGENT_INPUT!J91&lt;=SUMIFS(BONUS_RULES!$E$5:$E$46,BONUS_RULES!$A$5:$A$46,$C91,BONUS_RULES!$B$5:$B$46,"Abs%"),SUMIFS(BONUS_RULES!$D$5:$D$46,BONUS_RULES!$A$5:$A$46,$C91,BONUS_RULES!$B$5:$B$46,"Abs%"),IF(AGENT_INPUT!J91&lt;=SUMIFS(BONUS_RULES!$G$5:$G$46,BONUS_RULES!$A$5:$A$46,$C91,BONUS_RULES!$B$5:$B$46,"Abs%"),SUMIFS(BONUS_RULES!$F$5:$F$46,BONUS_RULES!$A$5:$A$46,$C91,BONUS_RULES!$B$5:$B$46,"Abs%"),0))))</f>
        <v>0.0</v>
      </c>
      <c r="L91" s="10">
        <f>IF(OR($A91="",$D91&lt;&gt;"READY"),"",IF(AGENT_INPUT!G91&gt;=SUMIFS(BONUS_RULES!$E$5:$E$46,BONUS_RULES!$A$5:$A$46,$C91,BONUS_RULES!$B$5:$B$46,"Extra Bonus (PCS Score)"),SUMIFS(BONUS_RULES!$D$5:$D$46,BONUS_RULES!$A$5:$A$46,$C91,BONUS_RULES!$B$5:$B$46,"Extra Bonus (PCS Score)"),IF(AGENT_INPUT!G91&gt;=SUMIFS(BONUS_RULES!$G$5:$G$46,BONUS_RULES!$A$5:$A$46,$C91,BONUS_RULES!$B$5:$B$46,"Extra Bonus (PCS Score)"),SUMIFS(BONUS_RULES!$F$5:$F$46,BONUS_RULES!$A$5:$A$46,$C91,BONUS_RULES!$B$5:$B$46,"Extra Bonus (PCS Score)"),0)))</f>
        <v>0.3</v>
      </c>
      <c r="M91" s="10">
        <f>IF($A91="","",MIN(IF(POLICY_APPROVAL!$B$6="Replacement",SUM(F91:K91)-H91+MAX(H91,L91),SUM(F91:L91)),POLICY_APPROVAL!$B$10))</f>
        <v>1.0</v>
      </c>
      <c r="N91" s="10">
        <f>IF($A91="","",IFERROR(INDEX(BONUS_RULES!$J$5:$J$10,MATCH(MIN(MAX(AGENT_INPUT!K91,0),5),BONUS_RULES!$I$5:$I$10,0)),1))</f>
        <v>0</v>
      </c>
      <c r="O91" s="10">
        <f>IF(M91="","",MAX(0,IF(POLICY_APPROVAL!$B$5="Percentage points",M91-N91,M91*(1-N91))))</f>
        <v>1.0</v>
      </c>
      <c r="P91" s="11">
        <f>IF(D91&lt;&gt;"READY","",IF(AGENT_INPUT!O91&gt;0,AGENT_INPUT!O91,AGENT_INPUT!M91*AGENT_INPUT!N91/IF(POLICY_APPROVAL!$B$7="Annual",12,1)))</f>
        <v>2000.0</v>
      </c>
      <c r="Q91" s="10">
        <f>IF(D91&lt;&gt;"READY","",MIN(1,AGENT_INPUT!P91/AGENT_INPUT!Q91))</f>
        <v>1.0</v>
      </c>
      <c r="R91" s="11">
        <f>IF(D91&lt;&gt;"READY","",ROUND(P91*Q91*O91,IF(POLICY_APPROVAL!$B$11="Whole MAD",0,2)))</f>
        <v>2000.0</v>
      </c>
      <c r="S91" s="11">
        <f>IF(AND(SETUP!$B$9="READY",T91="READY"),R91,"")</f>
        <v/>
      </c>
      <c r="T91" s="4" t="str">
        <f>IF($A91="","",IF(D91&lt;&gt;"READY","BLOCKED - INPUT",IF(E91&lt;&gt;"ELIGIBLE","BLOCKED - ELIGIBILITY",IF(AGENT_INPUT!S91&lt;&gt;"VALIDATED","BLOCKED - DATA",IF(SETUP!$B$9&lt;&gt;"READY","BLOCKED - POLICY","READY")))))</f>
        <v>BLOCKED - ELIGIBILITY</v>
      </c>
      <c r="U91" s="4" t="str">
        <f>IF($A91="","",IF(COUNTIFS(AGENT_INPUT!$A$5:$A$254,$A91,AGENT_INPUT!$D$5:$D$254,AGENT_INPUT!D91)&gt;1,"DUPLICATE AGENT + PERIOD",IF(D91&lt;&gt;"READY","INPUT OR CONFIG REVIEW",IF(T91&lt;&gt;"READY",T91,""))))</f>
        <v>BLOCKED - ELIGIBILITY</v>
      </c>
    </row>
    <row r="92" spans="1:21">
      <c r="A92" s="4">
        <f>IF(AGENT_INPUT!A92="","",AGENT_INPUT!A92)</f>
        <v>203618</v>
      </c>
      <c r="B92" s="4" t="str">
        <f>IF($A92="","",AGENT_INPUT!B92)</f>
        <v>Benmrieh Kawtar</v>
      </c>
      <c r="C92" s="4" t="str">
        <f>IF($A92="","",AGENT_INPUT!C92)</f>
        <v>OEM FR</v>
      </c>
      <c r="D92" s="4" t="str">
        <f>IF($A92="","",IF(AND(COUNT(AGENT_INPUT!E92:J92)=6,COUNT(AGENT_INPUT!K92)=1,COUNTIF(BONUS_RULES!$A$5:$A$46,AGENT_INPUT!C92)&gt;0,OR(AGENT_INPUT!O92&gt;0,AND(AGENT_INPUT!M92&gt;0,AGENT_INPUT!N92&gt;0)),AGENT_INPUT!P92&gt;=0,AGENT_INPUT!Q92&gt;0,AGENT_INPUT!P92&lt;=AGENT_INPUT!Q92,AGENT_INPUT!H92&gt;=0,AGENT_INPUT!H92&lt;=1,AGENT_INPUT!I92&gt;=0,AGENT_INPUT!I92&lt;=1,AGENT_INPUT!J92&gt;=0,AGENT_INPUT!J92&lt;=1),"READY","BLOCKED"))</f>
        <v>READY</v>
      </c>
      <c r="E92" s="4" t="str">
        <f>IF($A92="","",IF(AGENT_INPUT!R92&lt;&gt;"Active","REVIEW",IF(OR(POLICY_APPROVAL!$B$9="Eligibility only",POLICY_APPROVAL!$B$9="Both"),IF(AGENT_INPUT!J92&lt;=SUMIFS(BONUS_RULES!$E$5:$E$46,BONUS_RULES!$A$5:$A$46,$C92,BONUS_RULES!$B$5:$B$46,"Abs%"),"ELIGIBLE","INELIGIBLE ABS"),"ELIGIBLE")))</f>
        <v>REVIEW</v>
      </c>
      <c r="F92" s="10">
        <f>IF(OR($A92="",$D92&lt;&gt;"READY"),"",IF(AGENT_INPUT!E92&lt;=SUMIFS(BONUS_RULES!$E$5:$E$46,BONUS_RULES!$A$5:$A$46,$C92,BONUS_RULES!$B$5:$B$46,"AHT"),SUMIFS(BONUS_RULES!$D$5:$D$46,BONUS_RULES!$A$5:$A$46,$C92,BONUS_RULES!$B$5:$B$46,"AHT"),IF(AGENT_INPUT!E92&lt;=SUMIFS(BONUS_RULES!$G$5:$G$46,BONUS_RULES!$A$5:$A$46,$C92,BONUS_RULES!$B$5:$B$46,"AHT"),SUMIFS(BONUS_RULES!$F$5:$F$46,BONUS_RULES!$A$5:$A$46,$C92,BONUS_RULES!$B$5:$B$46,"AHT"),0)))</f>
        <v>0.15</v>
      </c>
      <c r="G92" s="10">
        <f>IF(OR($A92="",$D92&lt;&gt;"READY"),"",IF(AGENT_INPUT!F92&gt;=SUMIFS(BONUS_RULES!$E$5:$E$46,BONUS_RULES!$A$5:$A$46,$C92,BONUS_RULES!$B$5:$B$46,"Productivity"),SUMIFS(BONUS_RULES!$D$5:$D$46,BONUS_RULES!$A$5:$A$46,$C92,BONUS_RULES!$B$5:$B$46,"Productivity"),IF(AGENT_INPUT!F92&gt;=SUMIFS(BONUS_RULES!$G$5:$G$46,BONUS_RULES!$A$5:$A$46,$C92,BONUS_RULES!$B$5:$B$46,"Productivity"),SUMIFS(BONUS_RULES!$F$5:$F$46,BONUS_RULES!$A$5:$A$46,$C92,BONUS_RULES!$B$5:$B$46,"Productivity"),0)))</f>
        <v>0.15</v>
      </c>
      <c r="H92" s="10">
        <f>IF(OR($A92="",$D92&lt;&gt;"READY"),"",IF(AGENT_INPUT!G92&gt;=SUMIFS(BONUS_RULES!$E$5:$E$46,BONUS_RULES!$A$5:$A$46,$C92,BONUS_RULES!$B$5:$B$46,"PCS Score"),SUMIFS(BONUS_RULES!$D$5:$D$46,BONUS_RULES!$A$5:$A$46,$C92,BONUS_RULES!$B$5:$B$46,"PCS Score"),IF(AGENT_INPUT!G92&gt;=SUMIFS(BONUS_RULES!$G$5:$G$46,BONUS_RULES!$A$5:$A$46,$C92,BONUS_RULES!$B$5:$B$46,"PCS Score"),SUMIFS(BONUS_RULES!$F$5:$F$46,BONUS_RULES!$A$5:$A$46,$C92,BONUS_RULES!$B$5:$B$46,"PCS Score"),0)))</f>
        <v>0.0</v>
      </c>
      <c r="I92" s="10">
        <f>IF(OR($A92="",$D92&lt;&gt;"READY"),"",IF(AGENT_INPUT!H92&gt;=SUMIFS(BONUS_RULES!$E$5:$E$46,BONUS_RULES!$A$5:$A$46,$C92,BONUS_RULES!$B$5:$B$46,"PCS % (Participation)"),SUMIFS(BONUS_RULES!$D$5:$D$46,BONUS_RULES!$A$5:$A$46,$C92,BONUS_RULES!$B$5:$B$46,"PCS % (Participation)"),IF(AGENT_INPUT!H92&gt;=SUMIFS(BONUS_RULES!$G$5:$G$46,BONUS_RULES!$A$5:$A$46,$C92,BONUS_RULES!$B$5:$B$46,"PCS % (Participation)"),SUMIFS(BONUS_RULES!$F$5:$F$46,BONUS_RULES!$A$5:$A$46,$C92,BONUS_RULES!$B$5:$B$46,"PCS % (Participation)"),0)))</f>
        <v>0.0</v>
      </c>
      <c r="J92" s="10">
        <f>IF(OR($A92="",$D92&lt;&gt;"READY"),"",IF(AGENT_INPUT!I92&gt;=SUMIFS(BONUS_RULES!$E$5:$E$46,BONUS_RULES!$A$5:$A$46,$C92,BONUS_RULES!$B$5:$B$46,"QM"),SUMIFS(BONUS_RULES!$D$5:$D$46,BONUS_RULES!$A$5:$A$46,$C92,BONUS_RULES!$B$5:$B$46,"QM"),IF(AGENT_INPUT!I92&gt;=SUMIFS(BONUS_RULES!$G$5:$G$46,BONUS_RULES!$A$5:$A$46,$C92,BONUS_RULES!$B$5:$B$46,"QM"),SUMIFS(BONUS_RULES!$F$5:$F$46,BONUS_RULES!$A$5:$A$46,$C92,BONUS_RULES!$B$5:$B$46,"QM"),0)))</f>
        <v>0.0</v>
      </c>
      <c r="K92" s="10">
        <f>IF(POLICY_APPROVAL!$B$9="Eligibility only",0,IF(OR($A92="",$D92&lt;&gt;"READY"),"",IF(AGENT_INPUT!J92&lt;=SUMIFS(BONUS_RULES!$E$5:$E$46,BONUS_RULES!$A$5:$A$46,$C92,BONUS_RULES!$B$5:$B$46,"Abs%"),SUMIFS(BONUS_RULES!$D$5:$D$46,BONUS_RULES!$A$5:$A$46,$C92,BONUS_RULES!$B$5:$B$46,"Abs%"),IF(AGENT_INPUT!J92&lt;=SUMIFS(BONUS_RULES!$G$5:$G$46,BONUS_RULES!$A$5:$A$46,$C92,BONUS_RULES!$B$5:$B$46,"Abs%"),SUMIFS(BONUS_RULES!$F$5:$F$46,BONUS_RULES!$A$5:$A$46,$C92,BONUS_RULES!$B$5:$B$46,"Abs%"),0))))</f>
        <v>0.0</v>
      </c>
      <c r="L92" s="10">
        <f>IF(OR($A92="",$D92&lt;&gt;"READY"),"",IF(AGENT_INPUT!G92&gt;=SUMIFS(BONUS_RULES!$E$5:$E$46,BONUS_RULES!$A$5:$A$46,$C92,BONUS_RULES!$B$5:$B$46,"Extra Bonus (PCS Score)"),SUMIFS(BONUS_RULES!$D$5:$D$46,BONUS_RULES!$A$5:$A$46,$C92,BONUS_RULES!$B$5:$B$46,"Extra Bonus (PCS Score)"),IF(AGENT_INPUT!G92&gt;=SUMIFS(BONUS_RULES!$G$5:$G$46,BONUS_RULES!$A$5:$A$46,$C92,BONUS_RULES!$B$5:$B$46,"Extra Bonus (PCS Score)"),SUMIFS(BONUS_RULES!$F$5:$F$46,BONUS_RULES!$A$5:$A$46,$C92,BONUS_RULES!$B$5:$B$46,"Extra Bonus (PCS Score)"),0)))</f>
        <v>0.0</v>
      </c>
      <c r="M92" s="10">
        <f>IF($A92="","",MIN(IF(POLICY_APPROVAL!$B$6="Replacement",SUM(F92:K92)-H92+MAX(H92,L92),SUM(F92:L92)),POLICY_APPROVAL!$B$10))</f>
        <v>0.3</v>
      </c>
      <c r="N92" s="10">
        <f>IF($A92="","",IFERROR(INDEX(BONUS_RULES!$J$5:$J$10,MATCH(MIN(MAX(AGENT_INPUT!K92,0),5),BONUS_RULES!$I$5:$I$10,0)),1))</f>
        <v>0</v>
      </c>
      <c r="O92" s="10">
        <f>IF(M92="","",MAX(0,IF(POLICY_APPROVAL!$B$5="Percentage points",M92-N92,M92*(1-N92))))</f>
        <v>0.3</v>
      </c>
      <c r="P92" s="11">
        <f>IF(D92&lt;&gt;"READY","",IF(AGENT_INPUT!O92&gt;0,AGENT_INPUT!O92,AGENT_INPUT!M92*AGENT_INPUT!N92/IF(POLICY_APPROVAL!$B$7="Annual",12,1)))</f>
        <v>2000.0</v>
      </c>
      <c r="Q92" s="10">
        <f>IF(D92&lt;&gt;"READY","",MIN(1,AGENT_INPUT!P92/AGENT_INPUT!Q92))</f>
        <v>1.0</v>
      </c>
      <c r="R92" s="11">
        <f>IF(D92&lt;&gt;"READY","",ROUND(P92*Q92*O92,IF(POLICY_APPROVAL!$B$11="Whole MAD",0,2)))</f>
        <v>600.0</v>
      </c>
      <c r="S92" s="11">
        <f>IF(AND(SETUP!$B$9="READY",T92="READY"),R92,"")</f>
        <v/>
      </c>
      <c r="T92" s="4" t="str">
        <f>IF($A92="","",IF(D92&lt;&gt;"READY","BLOCKED - INPUT",IF(E92&lt;&gt;"ELIGIBLE","BLOCKED - ELIGIBILITY",IF(AGENT_INPUT!S92&lt;&gt;"VALIDATED","BLOCKED - DATA",IF(SETUP!$B$9&lt;&gt;"READY","BLOCKED - POLICY","READY")))))</f>
        <v>BLOCKED - ELIGIBILITY</v>
      </c>
      <c r="U92" s="4" t="str">
        <f>IF($A92="","",IF(COUNTIFS(AGENT_INPUT!$A$5:$A$254,$A92,AGENT_INPUT!$D$5:$D$254,AGENT_INPUT!D92)&gt;1,"DUPLICATE AGENT + PERIOD",IF(D92&lt;&gt;"READY","INPUT OR CONFIG REVIEW",IF(T92&lt;&gt;"READY",T92,""))))</f>
        <v>BLOCKED - ELIGIBILITY</v>
      </c>
    </row>
    <row r="93" spans="1:21">
      <c r="A93" s="4">
        <f>IF(AGENT_INPUT!A93="","",AGENT_INPUT!A93)</f>
        <v>204030</v>
      </c>
      <c r="B93" s="4" t="str">
        <f>IF($A93="","",AGENT_INPUT!B93)</f>
        <v>Saoud Karim</v>
      </c>
      <c r="C93" s="4" t="str">
        <f>IF($A93="","",AGENT_INPUT!C93)</f>
        <v>Ford Dutch</v>
      </c>
      <c r="D93" s="4" t="str">
        <f>IF($A93="","",IF(AND(COUNT(AGENT_INPUT!E93:J93)=6,COUNT(AGENT_INPUT!K93)=1,COUNTIF(BONUS_RULES!$A$5:$A$46,AGENT_INPUT!C93)&gt;0,OR(AGENT_INPUT!O93&gt;0,AND(AGENT_INPUT!M93&gt;0,AGENT_INPUT!N93&gt;0)),AGENT_INPUT!P93&gt;=0,AGENT_INPUT!Q93&gt;0,AGENT_INPUT!P93&lt;=AGENT_INPUT!Q93,AGENT_INPUT!H93&gt;=0,AGENT_INPUT!H93&lt;=1,AGENT_INPUT!I93&gt;=0,AGENT_INPUT!I93&lt;=1,AGENT_INPUT!J93&gt;=0,AGENT_INPUT!J93&lt;=1),"READY","BLOCKED"))</f>
        <v>READY</v>
      </c>
      <c r="E93" s="4" t="str">
        <f>IF($A93="","",IF(AGENT_INPUT!R93&lt;&gt;"Active","REVIEW",IF(OR(POLICY_APPROVAL!$B$9="Eligibility only",POLICY_APPROVAL!$B$9="Both"),IF(AGENT_INPUT!J93&lt;=SUMIFS(BONUS_RULES!$E$5:$E$46,BONUS_RULES!$A$5:$A$46,$C93,BONUS_RULES!$B$5:$B$46,"Abs%"),"ELIGIBLE","INELIGIBLE ABS"),"ELIGIBLE")))</f>
        <v>REVIEW</v>
      </c>
      <c r="F93" s="10">
        <f>IF(OR($A93="",$D93&lt;&gt;"READY"),"",IF(AGENT_INPUT!E93&lt;=SUMIFS(BONUS_RULES!$E$5:$E$46,BONUS_RULES!$A$5:$A$46,$C93,BONUS_RULES!$B$5:$B$46,"AHT"),SUMIFS(BONUS_RULES!$D$5:$D$46,BONUS_RULES!$A$5:$A$46,$C93,BONUS_RULES!$B$5:$B$46,"AHT"),IF(AGENT_INPUT!E93&lt;=SUMIFS(BONUS_RULES!$G$5:$G$46,BONUS_RULES!$A$5:$A$46,$C93,BONUS_RULES!$B$5:$B$46,"AHT"),SUMIFS(BONUS_RULES!$F$5:$F$46,BONUS_RULES!$A$5:$A$46,$C93,BONUS_RULES!$B$5:$B$46,"AHT"),0)))</f>
        <v>0.0</v>
      </c>
      <c r="G93" s="10">
        <f>IF(OR($A93="",$D93&lt;&gt;"READY"),"",IF(AGENT_INPUT!F93&gt;=SUMIFS(BONUS_RULES!$E$5:$E$46,BONUS_RULES!$A$5:$A$46,$C93,BONUS_RULES!$B$5:$B$46,"Productivity"),SUMIFS(BONUS_RULES!$D$5:$D$46,BONUS_RULES!$A$5:$A$46,$C93,BONUS_RULES!$B$5:$B$46,"Productivity"),IF(AGENT_INPUT!F93&gt;=SUMIFS(BONUS_RULES!$G$5:$G$46,BONUS_RULES!$A$5:$A$46,$C93,BONUS_RULES!$B$5:$B$46,"Productivity"),SUMIFS(BONUS_RULES!$F$5:$F$46,BONUS_RULES!$A$5:$A$46,$C93,BONUS_RULES!$B$5:$B$46,"Productivity"),0)))</f>
        <v>0.0</v>
      </c>
      <c r="H93" s="10">
        <f>IF(OR($A93="",$D93&lt;&gt;"READY"),"",IF(AGENT_INPUT!G93&gt;=SUMIFS(BONUS_RULES!$E$5:$E$46,BONUS_RULES!$A$5:$A$46,$C93,BONUS_RULES!$B$5:$B$46,"PCS Score"),SUMIFS(BONUS_RULES!$D$5:$D$46,BONUS_RULES!$A$5:$A$46,$C93,BONUS_RULES!$B$5:$B$46,"PCS Score"),IF(AGENT_INPUT!G93&gt;=SUMIFS(BONUS_RULES!$G$5:$G$46,BONUS_RULES!$A$5:$A$46,$C93,BONUS_RULES!$B$5:$B$46,"PCS Score"),SUMIFS(BONUS_RULES!$F$5:$F$46,BONUS_RULES!$A$5:$A$46,$C93,BONUS_RULES!$B$5:$B$46,"PCS Score"),0)))</f>
        <v>0.2</v>
      </c>
      <c r="I93" s="10">
        <f>IF(OR($A93="",$D93&lt;&gt;"READY"),"",IF(AGENT_INPUT!H93&gt;=SUMIFS(BONUS_RULES!$E$5:$E$46,BONUS_RULES!$A$5:$A$46,$C93,BONUS_RULES!$B$5:$B$46,"PCS % (Participation)"),SUMIFS(BONUS_RULES!$D$5:$D$46,BONUS_RULES!$A$5:$A$46,$C93,BONUS_RULES!$B$5:$B$46,"PCS % (Participation)"),IF(AGENT_INPUT!H93&gt;=SUMIFS(BONUS_RULES!$G$5:$G$46,BONUS_RULES!$A$5:$A$46,$C93,BONUS_RULES!$B$5:$B$46,"PCS % (Participation)"),SUMIFS(BONUS_RULES!$F$5:$F$46,BONUS_RULES!$A$5:$A$46,$C93,BONUS_RULES!$B$5:$B$46,"PCS % (Participation)"),0)))</f>
        <v>0.1</v>
      </c>
      <c r="J93" s="10">
        <f>IF(OR($A93="",$D93&lt;&gt;"READY"),"",IF(AGENT_INPUT!I93&gt;=SUMIFS(BONUS_RULES!$E$5:$E$46,BONUS_RULES!$A$5:$A$46,$C93,BONUS_RULES!$B$5:$B$46,"QM"),SUMIFS(BONUS_RULES!$D$5:$D$46,BONUS_RULES!$A$5:$A$46,$C93,BONUS_RULES!$B$5:$B$46,"QM"),IF(AGENT_INPUT!I93&gt;=SUMIFS(BONUS_RULES!$G$5:$G$46,BONUS_RULES!$A$5:$A$46,$C93,BONUS_RULES!$B$5:$B$46,"QM"),SUMIFS(BONUS_RULES!$F$5:$F$46,BONUS_RULES!$A$5:$A$46,$C93,BONUS_RULES!$B$5:$B$46,"QM"),0)))</f>
        <v>0.0</v>
      </c>
      <c r="K93" s="10">
        <f>IF(POLICY_APPROVAL!$B$9="Eligibility only",0,IF(OR($A93="",$D93&lt;&gt;"READY"),"",IF(AGENT_INPUT!J93&lt;=SUMIFS(BONUS_RULES!$E$5:$E$46,BONUS_RULES!$A$5:$A$46,$C93,BONUS_RULES!$B$5:$B$46,"Abs%"),SUMIFS(BONUS_RULES!$D$5:$D$46,BONUS_RULES!$A$5:$A$46,$C93,BONUS_RULES!$B$5:$B$46,"Abs%"),IF(AGENT_INPUT!J93&lt;=SUMIFS(BONUS_RULES!$G$5:$G$46,BONUS_RULES!$A$5:$A$46,$C93,BONUS_RULES!$B$5:$B$46,"Abs%"),SUMIFS(BONUS_RULES!$F$5:$F$46,BONUS_RULES!$A$5:$A$46,$C93,BONUS_RULES!$B$5:$B$46,"Abs%"),0))))</f>
        <v>0.15</v>
      </c>
      <c r="L93" s="10">
        <f>IF(OR($A93="",$D93&lt;&gt;"READY"),"",IF(AGENT_INPUT!G93&gt;=SUMIFS(BONUS_RULES!$E$5:$E$46,BONUS_RULES!$A$5:$A$46,$C93,BONUS_RULES!$B$5:$B$46,"Extra Bonus (PCS Score)"),SUMIFS(BONUS_RULES!$D$5:$D$46,BONUS_RULES!$A$5:$A$46,$C93,BONUS_RULES!$B$5:$B$46,"Extra Bonus (PCS Score)"),IF(AGENT_INPUT!G93&gt;=SUMIFS(BONUS_RULES!$G$5:$G$46,BONUS_RULES!$A$5:$A$46,$C93,BONUS_RULES!$B$5:$B$46,"Extra Bonus (PCS Score)"),SUMIFS(BONUS_RULES!$F$5:$F$46,BONUS_RULES!$A$5:$A$46,$C93,BONUS_RULES!$B$5:$B$46,"Extra Bonus (PCS Score)"),0)))</f>
        <v>0.3</v>
      </c>
      <c r="M93" s="10">
        <f>IF($A93="","",MIN(IF(POLICY_APPROVAL!$B$6="Replacement",SUM(F93:K93)-H93+MAX(H93,L93),SUM(F93:L93)),POLICY_APPROVAL!$B$10))</f>
        <v>0.75</v>
      </c>
      <c r="N93" s="10">
        <f>IF($A93="","",IFERROR(INDEX(BONUS_RULES!$J$5:$J$10,MATCH(MIN(MAX(AGENT_INPUT!K93,0),5),BONUS_RULES!$I$5:$I$10,0)),1))</f>
        <v>0</v>
      </c>
      <c r="O93" s="10">
        <f>IF(M93="","",MAX(0,IF(POLICY_APPROVAL!$B$5="Percentage points",M93-N93,M93*(1-N93))))</f>
        <v>0.75</v>
      </c>
      <c r="P93" s="11">
        <f>IF(D93&lt;&gt;"READY","",IF(AGENT_INPUT!O93&gt;0,AGENT_INPUT!O93,AGENT_INPUT!M93*AGENT_INPUT!N93/IF(POLICY_APPROVAL!$B$7="Annual",12,1)))</f>
        <v>2000.0</v>
      </c>
      <c r="Q93" s="10">
        <f>IF(D93&lt;&gt;"READY","",MIN(1,AGENT_INPUT!P93/AGENT_INPUT!Q93))</f>
        <v>1.0</v>
      </c>
      <c r="R93" s="11">
        <f>IF(D93&lt;&gt;"READY","",ROUND(P93*Q93*O93,IF(POLICY_APPROVAL!$B$11="Whole MAD",0,2)))</f>
        <v>1500.0</v>
      </c>
      <c r="S93" s="11">
        <f>IF(AND(SETUP!$B$9="READY",T93="READY"),R93,"")</f>
        <v/>
      </c>
      <c r="T93" s="4" t="str">
        <f>IF($A93="","",IF(D93&lt;&gt;"READY","BLOCKED - INPUT",IF(E93&lt;&gt;"ELIGIBLE","BLOCKED - ELIGIBILITY",IF(AGENT_INPUT!S93&lt;&gt;"VALIDATED","BLOCKED - DATA",IF(SETUP!$B$9&lt;&gt;"READY","BLOCKED - POLICY","READY")))))</f>
        <v>BLOCKED - ELIGIBILITY</v>
      </c>
      <c r="U93" s="4" t="str">
        <f>IF($A93="","",IF(COUNTIFS(AGENT_INPUT!$A$5:$A$254,$A93,AGENT_INPUT!$D$5:$D$254,AGENT_INPUT!D93)&gt;1,"DUPLICATE AGENT + PERIOD",IF(D93&lt;&gt;"READY","INPUT OR CONFIG REVIEW",IF(T93&lt;&gt;"READY",T93,""))))</f>
        <v>BLOCKED - ELIGIBILITY</v>
      </c>
    </row>
    <row r="94" spans="1:21">
      <c r="A94" s="4">
        <f>IF(AGENT_INPUT!A94="","",AGENT_INPUT!A94)</f>
        <v>96493</v>
      </c>
      <c r="B94" s="4" t="str">
        <f>IF($A94="","",AGENT_INPUT!B94)</f>
        <v>BENABDALLAH Karim</v>
      </c>
      <c r="C94" s="4" t="str">
        <f>IF($A94="","",AGENT_INPUT!C94)</f>
        <v>RSA VL</v>
      </c>
      <c r="D94" s="4" t="str">
        <f>IF($A94="","",IF(AND(COUNT(AGENT_INPUT!E94:J94)=6,COUNT(AGENT_INPUT!K94)=1,COUNTIF(BONUS_RULES!$A$5:$A$46,AGENT_INPUT!C94)&gt;0,OR(AGENT_INPUT!O94&gt;0,AND(AGENT_INPUT!M94&gt;0,AGENT_INPUT!N94&gt;0)),AGENT_INPUT!P94&gt;=0,AGENT_INPUT!Q94&gt;0,AGENT_INPUT!P94&lt;=AGENT_INPUT!Q94,AGENT_INPUT!H94&gt;=0,AGENT_INPUT!H94&lt;=1,AGENT_INPUT!I94&gt;=0,AGENT_INPUT!I94&lt;=1,AGENT_INPUT!J94&gt;=0,AGENT_INPUT!J94&lt;=1),"READY","BLOCKED"))</f>
        <v>READY</v>
      </c>
      <c r="E94" s="4" t="str">
        <f>IF($A94="","",IF(AGENT_INPUT!R94&lt;&gt;"Active","REVIEW",IF(OR(POLICY_APPROVAL!$B$9="Eligibility only",POLICY_APPROVAL!$B$9="Both"),IF(AGENT_INPUT!J94&lt;=SUMIFS(BONUS_RULES!$E$5:$E$46,BONUS_RULES!$A$5:$A$46,$C94,BONUS_RULES!$B$5:$B$46,"Abs%"),"ELIGIBLE","INELIGIBLE ABS"),"ELIGIBLE")))</f>
        <v>REVIEW</v>
      </c>
      <c r="F94" s="10">
        <f>IF(OR($A94="",$D94&lt;&gt;"READY"),"",IF(AGENT_INPUT!E94&lt;=SUMIFS(BONUS_RULES!$E$5:$E$46,BONUS_RULES!$A$5:$A$46,$C94,BONUS_RULES!$B$5:$B$46,"AHT"),SUMIFS(BONUS_RULES!$D$5:$D$46,BONUS_RULES!$A$5:$A$46,$C94,BONUS_RULES!$B$5:$B$46,"AHT"),IF(AGENT_INPUT!E94&lt;=SUMIFS(BONUS_RULES!$G$5:$G$46,BONUS_RULES!$A$5:$A$46,$C94,BONUS_RULES!$B$5:$B$46,"AHT"),SUMIFS(BONUS_RULES!$F$5:$F$46,BONUS_RULES!$A$5:$A$46,$C94,BONUS_RULES!$B$5:$B$46,"AHT"),0)))</f>
        <v>0.15</v>
      </c>
      <c r="G94" s="10">
        <f>IF(OR($A94="",$D94&lt;&gt;"READY"),"",IF(AGENT_INPUT!F94&gt;=SUMIFS(BONUS_RULES!$E$5:$E$46,BONUS_RULES!$A$5:$A$46,$C94,BONUS_RULES!$B$5:$B$46,"Productivity"),SUMIFS(BONUS_RULES!$D$5:$D$46,BONUS_RULES!$A$5:$A$46,$C94,BONUS_RULES!$B$5:$B$46,"Productivity"),IF(AGENT_INPUT!F94&gt;=SUMIFS(BONUS_RULES!$G$5:$G$46,BONUS_RULES!$A$5:$A$46,$C94,BONUS_RULES!$B$5:$B$46,"Productivity"),SUMIFS(BONUS_RULES!$F$5:$F$46,BONUS_RULES!$A$5:$A$46,$C94,BONUS_RULES!$B$5:$B$46,"Productivity"),0)))</f>
        <v>0.15</v>
      </c>
      <c r="H94" s="10">
        <f>IF(OR($A94="",$D94&lt;&gt;"READY"),"",IF(AGENT_INPUT!G94&gt;=SUMIFS(BONUS_RULES!$E$5:$E$46,BONUS_RULES!$A$5:$A$46,$C94,BONUS_RULES!$B$5:$B$46,"PCS Score"),SUMIFS(BONUS_RULES!$D$5:$D$46,BONUS_RULES!$A$5:$A$46,$C94,BONUS_RULES!$B$5:$B$46,"PCS Score"),IF(AGENT_INPUT!G94&gt;=SUMIFS(BONUS_RULES!$G$5:$G$46,BONUS_RULES!$A$5:$A$46,$C94,BONUS_RULES!$B$5:$B$46,"PCS Score"),SUMIFS(BONUS_RULES!$F$5:$F$46,BONUS_RULES!$A$5:$A$46,$C94,BONUS_RULES!$B$5:$B$46,"PCS Score"),0)))</f>
        <v>0.0</v>
      </c>
      <c r="I94" s="10">
        <f>IF(OR($A94="",$D94&lt;&gt;"READY"),"",IF(AGENT_INPUT!H94&gt;=SUMIFS(BONUS_RULES!$E$5:$E$46,BONUS_RULES!$A$5:$A$46,$C94,BONUS_RULES!$B$5:$B$46,"PCS % (Participation)"),SUMIFS(BONUS_RULES!$D$5:$D$46,BONUS_RULES!$A$5:$A$46,$C94,BONUS_RULES!$B$5:$B$46,"PCS % (Participation)"),IF(AGENT_INPUT!H94&gt;=SUMIFS(BONUS_RULES!$G$5:$G$46,BONUS_RULES!$A$5:$A$46,$C94,BONUS_RULES!$B$5:$B$46,"PCS % (Participation)"),SUMIFS(BONUS_RULES!$F$5:$F$46,BONUS_RULES!$A$5:$A$46,$C94,BONUS_RULES!$B$5:$B$46,"PCS % (Participation)"),0)))</f>
        <v>0.0</v>
      </c>
      <c r="J94" s="10">
        <f>IF(OR($A94="",$D94&lt;&gt;"READY"),"",IF(AGENT_INPUT!I94&gt;=SUMIFS(BONUS_RULES!$E$5:$E$46,BONUS_RULES!$A$5:$A$46,$C94,BONUS_RULES!$B$5:$B$46,"QM"),SUMIFS(BONUS_RULES!$D$5:$D$46,BONUS_RULES!$A$5:$A$46,$C94,BONUS_RULES!$B$5:$B$46,"QM"),IF(AGENT_INPUT!I94&gt;=SUMIFS(BONUS_RULES!$G$5:$G$46,BONUS_RULES!$A$5:$A$46,$C94,BONUS_RULES!$B$5:$B$46,"QM"),SUMIFS(BONUS_RULES!$F$5:$F$46,BONUS_RULES!$A$5:$A$46,$C94,BONUS_RULES!$B$5:$B$46,"QM"),0)))</f>
        <v>0.0</v>
      </c>
      <c r="K94" s="10">
        <f>IF(POLICY_APPROVAL!$B$9="Eligibility only",0,IF(OR($A94="",$D94&lt;&gt;"READY"),"",IF(AGENT_INPUT!J94&lt;=SUMIFS(BONUS_RULES!$E$5:$E$46,BONUS_RULES!$A$5:$A$46,$C94,BONUS_RULES!$B$5:$B$46,"Abs%"),SUMIFS(BONUS_RULES!$D$5:$D$46,BONUS_RULES!$A$5:$A$46,$C94,BONUS_RULES!$B$5:$B$46,"Abs%"),IF(AGENT_INPUT!J94&lt;=SUMIFS(BONUS_RULES!$G$5:$G$46,BONUS_RULES!$A$5:$A$46,$C94,BONUS_RULES!$B$5:$B$46,"Abs%"),SUMIFS(BONUS_RULES!$F$5:$F$46,BONUS_RULES!$A$5:$A$46,$C94,BONUS_RULES!$B$5:$B$46,"Abs%"),0))))</f>
        <v>0.0</v>
      </c>
      <c r="L94" s="10">
        <f>IF(OR($A94="",$D94&lt;&gt;"READY"),"",IF(AGENT_INPUT!G94&gt;=SUMIFS(BONUS_RULES!$E$5:$E$46,BONUS_RULES!$A$5:$A$46,$C94,BONUS_RULES!$B$5:$B$46,"Extra Bonus (PCS Score)"),SUMIFS(BONUS_RULES!$D$5:$D$46,BONUS_RULES!$A$5:$A$46,$C94,BONUS_RULES!$B$5:$B$46,"Extra Bonus (PCS Score)"),IF(AGENT_INPUT!G94&gt;=SUMIFS(BONUS_RULES!$G$5:$G$46,BONUS_RULES!$A$5:$A$46,$C94,BONUS_RULES!$B$5:$B$46,"Extra Bonus (PCS Score)"),SUMIFS(BONUS_RULES!$F$5:$F$46,BONUS_RULES!$A$5:$A$46,$C94,BONUS_RULES!$B$5:$B$46,"Extra Bonus (PCS Score)"),0)))</f>
        <v>0.0</v>
      </c>
      <c r="M94" s="10">
        <f>IF($A94="","",MIN(IF(POLICY_APPROVAL!$B$6="Replacement",SUM(F94:K94)-H94+MAX(H94,L94),SUM(F94:L94)),POLICY_APPROVAL!$B$10))</f>
        <v>0.3</v>
      </c>
      <c r="N94" s="10">
        <f>IF($A94="","",IFERROR(INDEX(BONUS_RULES!$J$5:$J$10,MATCH(MIN(MAX(AGENT_INPUT!K94,0),5),BONUS_RULES!$I$5:$I$10,0)),1))</f>
        <v>0</v>
      </c>
      <c r="O94" s="10">
        <f>IF(M94="","",MAX(0,IF(POLICY_APPROVAL!$B$5="Percentage points",M94-N94,M94*(1-N94))))</f>
        <v>0.3</v>
      </c>
      <c r="P94" s="11">
        <f>IF(D94&lt;&gt;"READY","",IF(AGENT_INPUT!O94&gt;0,AGENT_INPUT!O94,AGENT_INPUT!M94*AGENT_INPUT!N94/IF(POLICY_APPROVAL!$B$7="Annual",12,1)))</f>
        <v>2000.0</v>
      </c>
      <c r="Q94" s="10">
        <f>IF(D94&lt;&gt;"READY","",MIN(1,AGENT_INPUT!P94/AGENT_INPUT!Q94))</f>
        <v>1.0</v>
      </c>
      <c r="R94" s="11">
        <f>IF(D94&lt;&gt;"READY","",ROUND(P94*Q94*O94,IF(POLICY_APPROVAL!$B$11="Whole MAD",0,2)))</f>
        <v>600.0</v>
      </c>
      <c r="S94" s="11">
        <f>IF(AND(SETUP!$B$9="READY",T94="READY"),R94,"")</f>
        <v/>
      </c>
      <c r="T94" s="4" t="str">
        <f>IF($A94="","",IF(D94&lt;&gt;"READY","BLOCKED - INPUT",IF(E94&lt;&gt;"ELIGIBLE","BLOCKED - ELIGIBILITY",IF(AGENT_INPUT!S94&lt;&gt;"VALIDATED","BLOCKED - DATA",IF(SETUP!$B$9&lt;&gt;"READY","BLOCKED - POLICY","READY")))))</f>
        <v>BLOCKED - ELIGIBILITY</v>
      </c>
      <c r="U94" s="4" t="str">
        <f>IF($A94="","",IF(COUNTIFS(AGENT_INPUT!$A$5:$A$254,$A94,AGENT_INPUT!$D$5:$D$254,AGENT_INPUT!D94)&gt;1,"DUPLICATE AGENT + PERIOD",IF(D94&lt;&gt;"READY","INPUT OR CONFIG REVIEW",IF(T94&lt;&gt;"READY",T94,""))))</f>
        <v>BLOCKED - ELIGIBILITY</v>
      </c>
    </row>
    <row r="95" spans="1:21">
      <c r="A95" s="4">
        <f>IF(AGENT_INPUT!A95="","",AGENT_INPUT!A95)</f>
        <v>202682</v>
      </c>
      <c r="B95" s="4" t="str">
        <f>IF($A95="","",AGENT_INPUT!B95)</f>
        <v>Beekman Kai</v>
      </c>
      <c r="C95" s="4" t="str">
        <f>IF($A95="","",AGENT_INPUT!C95)</f>
        <v>Ford Dutch</v>
      </c>
      <c r="D95" s="4" t="str">
        <f>IF($A95="","",IF(AND(COUNT(AGENT_INPUT!E95:J95)=6,COUNT(AGENT_INPUT!K95)=1,COUNTIF(BONUS_RULES!$A$5:$A$46,AGENT_INPUT!C95)&gt;0,OR(AGENT_INPUT!O95&gt;0,AND(AGENT_INPUT!M95&gt;0,AGENT_INPUT!N95&gt;0)),AGENT_INPUT!P95&gt;=0,AGENT_INPUT!Q95&gt;0,AGENT_INPUT!P95&lt;=AGENT_INPUT!Q95,AGENT_INPUT!H95&gt;=0,AGENT_INPUT!H95&lt;=1,AGENT_INPUT!I95&gt;=0,AGENT_INPUT!I95&lt;=1,AGENT_INPUT!J95&gt;=0,AGENT_INPUT!J95&lt;=1),"READY","BLOCKED"))</f>
        <v>READY</v>
      </c>
      <c r="E95" s="4" t="str">
        <f>IF($A95="","",IF(AGENT_INPUT!R95&lt;&gt;"Active","REVIEW",IF(OR(POLICY_APPROVAL!$B$9="Eligibility only",POLICY_APPROVAL!$B$9="Both"),IF(AGENT_INPUT!J95&lt;=SUMIFS(BONUS_RULES!$E$5:$E$46,BONUS_RULES!$A$5:$A$46,$C95,BONUS_RULES!$B$5:$B$46,"Abs%"),"ELIGIBLE","INELIGIBLE ABS"),"ELIGIBLE")))</f>
        <v>REVIEW</v>
      </c>
      <c r="F95" s="10">
        <f>IF(OR($A95="",$D95&lt;&gt;"READY"),"",IF(AGENT_INPUT!E95&lt;=SUMIFS(BONUS_RULES!$E$5:$E$46,BONUS_RULES!$A$5:$A$46,$C95,BONUS_RULES!$B$5:$B$46,"AHT"),SUMIFS(BONUS_RULES!$D$5:$D$46,BONUS_RULES!$A$5:$A$46,$C95,BONUS_RULES!$B$5:$B$46,"AHT"),IF(AGENT_INPUT!E95&lt;=SUMIFS(BONUS_RULES!$G$5:$G$46,BONUS_RULES!$A$5:$A$46,$C95,BONUS_RULES!$B$5:$B$46,"AHT"),SUMIFS(BONUS_RULES!$F$5:$F$46,BONUS_RULES!$A$5:$A$46,$C95,BONUS_RULES!$B$5:$B$46,"AHT"),0)))</f>
        <v>0.0</v>
      </c>
      <c r="G95" s="10">
        <f>IF(OR($A95="",$D95&lt;&gt;"READY"),"",IF(AGENT_INPUT!F95&gt;=SUMIFS(BONUS_RULES!$E$5:$E$46,BONUS_RULES!$A$5:$A$46,$C95,BONUS_RULES!$B$5:$B$46,"Productivity"),SUMIFS(BONUS_RULES!$D$5:$D$46,BONUS_RULES!$A$5:$A$46,$C95,BONUS_RULES!$B$5:$B$46,"Productivity"),IF(AGENT_INPUT!F95&gt;=SUMIFS(BONUS_RULES!$G$5:$G$46,BONUS_RULES!$A$5:$A$46,$C95,BONUS_RULES!$B$5:$B$46,"Productivity"),SUMIFS(BONUS_RULES!$F$5:$F$46,BONUS_RULES!$A$5:$A$46,$C95,BONUS_RULES!$B$5:$B$46,"Productivity"),0)))</f>
        <v>0.0</v>
      </c>
      <c r="H95" s="10">
        <f>IF(OR($A95="",$D95&lt;&gt;"READY"),"",IF(AGENT_INPUT!G95&gt;=SUMIFS(BONUS_RULES!$E$5:$E$46,BONUS_RULES!$A$5:$A$46,$C95,BONUS_RULES!$B$5:$B$46,"PCS Score"),SUMIFS(BONUS_RULES!$D$5:$D$46,BONUS_RULES!$A$5:$A$46,$C95,BONUS_RULES!$B$5:$B$46,"PCS Score"),IF(AGENT_INPUT!G95&gt;=SUMIFS(BONUS_RULES!$G$5:$G$46,BONUS_RULES!$A$5:$A$46,$C95,BONUS_RULES!$B$5:$B$46,"PCS Score"),SUMIFS(BONUS_RULES!$F$5:$F$46,BONUS_RULES!$A$5:$A$46,$C95,BONUS_RULES!$B$5:$B$46,"PCS Score"),0)))</f>
        <v>0.0</v>
      </c>
      <c r="I95" s="10">
        <f>IF(OR($A95="",$D95&lt;&gt;"READY"),"",IF(AGENT_INPUT!H95&gt;=SUMIFS(BONUS_RULES!$E$5:$E$46,BONUS_RULES!$A$5:$A$46,$C95,BONUS_RULES!$B$5:$B$46,"PCS % (Participation)"),SUMIFS(BONUS_RULES!$D$5:$D$46,BONUS_RULES!$A$5:$A$46,$C95,BONUS_RULES!$B$5:$B$46,"PCS % (Participation)"),IF(AGENT_INPUT!H95&gt;=SUMIFS(BONUS_RULES!$G$5:$G$46,BONUS_RULES!$A$5:$A$46,$C95,BONUS_RULES!$B$5:$B$46,"PCS % (Participation)"),SUMIFS(BONUS_RULES!$F$5:$F$46,BONUS_RULES!$A$5:$A$46,$C95,BONUS_RULES!$B$5:$B$46,"PCS % (Participation)"),0)))</f>
        <v>0.0</v>
      </c>
      <c r="J95" s="10">
        <f>IF(OR($A95="",$D95&lt;&gt;"READY"),"",IF(AGENT_INPUT!I95&gt;=SUMIFS(BONUS_RULES!$E$5:$E$46,BONUS_RULES!$A$5:$A$46,$C95,BONUS_RULES!$B$5:$B$46,"QM"),SUMIFS(BONUS_RULES!$D$5:$D$46,BONUS_RULES!$A$5:$A$46,$C95,BONUS_RULES!$B$5:$B$46,"QM"),IF(AGENT_INPUT!I95&gt;=SUMIFS(BONUS_RULES!$G$5:$G$46,BONUS_RULES!$A$5:$A$46,$C95,BONUS_RULES!$B$5:$B$46,"QM"),SUMIFS(BONUS_RULES!$F$5:$F$46,BONUS_RULES!$A$5:$A$46,$C95,BONUS_RULES!$B$5:$B$46,"QM"),0)))</f>
        <v>0.0</v>
      </c>
      <c r="K95" s="10">
        <f>IF(POLICY_APPROVAL!$B$9="Eligibility only",0,IF(OR($A95="",$D95&lt;&gt;"READY"),"",IF(AGENT_INPUT!J95&lt;=SUMIFS(BONUS_RULES!$E$5:$E$46,BONUS_RULES!$A$5:$A$46,$C95,BONUS_RULES!$B$5:$B$46,"Abs%"),SUMIFS(BONUS_RULES!$D$5:$D$46,BONUS_RULES!$A$5:$A$46,$C95,BONUS_RULES!$B$5:$B$46,"Abs%"),IF(AGENT_INPUT!J95&lt;=SUMIFS(BONUS_RULES!$G$5:$G$46,BONUS_RULES!$A$5:$A$46,$C95,BONUS_RULES!$B$5:$B$46,"Abs%"),SUMIFS(BONUS_RULES!$F$5:$F$46,BONUS_RULES!$A$5:$A$46,$C95,BONUS_RULES!$B$5:$B$46,"Abs%"),0))))</f>
        <v>0.0</v>
      </c>
      <c r="L95" s="10">
        <f>IF(OR($A95="",$D95&lt;&gt;"READY"),"",IF(AGENT_INPUT!G95&gt;=SUMIFS(BONUS_RULES!$E$5:$E$46,BONUS_RULES!$A$5:$A$46,$C95,BONUS_RULES!$B$5:$B$46,"Extra Bonus (PCS Score)"),SUMIFS(BONUS_RULES!$D$5:$D$46,BONUS_RULES!$A$5:$A$46,$C95,BONUS_RULES!$B$5:$B$46,"Extra Bonus (PCS Score)"),IF(AGENT_INPUT!G95&gt;=SUMIFS(BONUS_RULES!$G$5:$G$46,BONUS_RULES!$A$5:$A$46,$C95,BONUS_RULES!$B$5:$B$46,"Extra Bonus (PCS Score)"),SUMIFS(BONUS_RULES!$F$5:$F$46,BONUS_RULES!$A$5:$A$46,$C95,BONUS_RULES!$B$5:$B$46,"Extra Bonus (PCS Score)"),0)))</f>
        <v>0.0</v>
      </c>
      <c r="M95" s="10">
        <f>IF($A95="","",MIN(IF(POLICY_APPROVAL!$B$6="Replacement",SUM(F95:K95)-H95+MAX(H95,L95),SUM(F95:L95)),POLICY_APPROVAL!$B$10))</f>
        <v>0</v>
      </c>
      <c r="N95" s="10">
        <f>IF($A95="","",IFERROR(INDEX(BONUS_RULES!$J$5:$J$10,MATCH(MIN(MAX(AGENT_INPUT!K95,0),5),BONUS_RULES!$I$5:$I$10,0)),1))</f>
        <v>0</v>
      </c>
      <c r="O95" s="10">
        <f>IF(M95="","",MAX(0,IF(POLICY_APPROVAL!$B$5="Percentage points",M95-N95,M95*(1-N95))))</f>
        <v>0</v>
      </c>
      <c r="P95" s="11">
        <f>IF(D95&lt;&gt;"READY","",IF(AGENT_INPUT!O95&gt;0,AGENT_INPUT!O95,AGENT_INPUT!M95*AGENT_INPUT!N95/IF(POLICY_APPROVAL!$B$7="Annual",12,1)))</f>
        <v>2000.0</v>
      </c>
      <c r="Q95" s="10">
        <f>IF(D95&lt;&gt;"READY","",MIN(1,AGENT_INPUT!P95/AGENT_INPUT!Q95))</f>
        <v>1.0</v>
      </c>
      <c r="R95" s="11">
        <f>IF(D95&lt;&gt;"READY","",ROUND(P95*Q95*O95,IF(POLICY_APPROVAL!$B$11="Whole MAD",0,2)))</f>
        <v/>
      </c>
      <c r="S95" s="11">
        <f>IF(AND(SETUP!$B$9="READY",T95="READY"),R95,"")</f>
        <v/>
      </c>
      <c r="T95" s="4" t="str">
        <f>IF($A95="","",IF(D95&lt;&gt;"READY","BLOCKED - INPUT",IF(E95&lt;&gt;"ELIGIBLE","BLOCKED - ELIGIBILITY",IF(AGENT_INPUT!S95&lt;&gt;"VALIDATED","BLOCKED - DATA",IF(SETUP!$B$9&lt;&gt;"READY","BLOCKED - POLICY","READY")))))</f>
        <v>BLOCKED - ELIGIBILITY</v>
      </c>
      <c r="U95" s="4" t="str">
        <f>IF($A95="","",IF(COUNTIFS(AGENT_INPUT!$A$5:$A$254,$A95,AGENT_INPUT!$D$5:$D$254,AGENT_INPUT!D95)&gt;1,"DUPLICATE AGENT + PERIOD",IF(D95&lt;&gt;"READY","INPUT OR CONFIG REVIEW",IF(T95&lt;&gt;"READY",T95,""))))</f>
        <v>BLOCKED - ELIGIBILITY</v>
      </c>
    </row>
    <row r="96" spans="1:21">
      <c r="A96" s="4">
        <f>IF(AGENT_INPUT!A96="","",AGENT_INPUT!A96)</f>
        <v>224299</v>
      </c>
      <c r="B96" s="4" t="str">
        <f>IF($A96="","",AGENT_INPUT!B96)</f>
        <v>Jacqueline SINT</v>
      </c>
      <c r="C96" s="4" t="str">
        <f>IF($A96="","",AGENT_INPUT!C96)</f>
        <v>RSA NL</v>
      </c>
      <c r="D96" s="4" t="str">
        <f>IF($A96="","",IF(AND(COUNT(AGENT_INPUT!E96:J96)=6,COUNT(AGENT_INPUT!K96)=1,COUNTIF(BONUS_RULES!$A$5:$A$46,AGENT_INPUT!C96)&gt;0,OR(AGENT_INPUT!O96&gt;0,AND(AGENT_INPUT!M96&gt;0,AGENT_INPUT!N96&gt;0)),AGENT_INPUT!P96&gt;=0,AGENT_INPUT!Q96&gt;0,AGENT_INPUT!P96&lt;=AGENT_INPUT!Q96,AGENT_INPUT!H96&gt;=0,AGENT_INPUT!H96&lt;=1,AGENT_INPUT!I96&gt;=0,AGENT_INPUT!I96&lt;=1,AGENT_INPUT!J96&gt;=0,AGENT_INPUT!J96&lt;=1),"READY","BLOCKED"))</f>
        <v>READY</v>
      </c>
      <c r="E96" s="4" t="str">
        <f>IF($A96="","",IF(AGENT_INPUT!R96&lt;&gt;"Active","REVIEW",IF(OR(POLICY_APPROVAL!$B$9="Eligibility only",POLICY_APPROVAL!$B$9="Both"),IF(AGENT_INPUT!J96&lt;=SUMIFS(BONUS_RULES!$E$5:$E$46,BONUS_RULES!$A$5:$A$46,$C96,BONUS_RULES!$B$5:$B$46,"Abs%"),"ELIGIBLE","INELIGIBLE ABS"),"ELIGIBLE")))</f>
        <v>REVIEW</v>
      </c>
      <c r="F96" s="10">
        <f>IF(OR($A96="",$D96&lt;&gt;"READY"),"",IF(AGENT_INPUT!E96&lt;=SUMIFS(BONUS_RULES!$E$5:$E$46,BONUS_RULES!$A$5:$A$46,$C96,BONUS_RULES!$B$5:$B$46,"AHT"),SUMIFS(BONUS_RULES!$D$5:$D$46,BONUS_RULES!$A$5:$A$46,$C96,BONUS_RULES!$B$5:$B$46,"AHT"),IF(AGENT_INPUT!E96&lt;=SUMIFS(BONUS_RULES!$G$5:$G$46,BONUS_RULES!$A$5:$A$46,$C96,BONUS_RULES!$B$5:$B$46,"AHT"),SUMIFS(BONUS_RULES!$F$5:$F$46,BONUS_RULES!$A$5:$A$46,$C96,BONUS_RULES!$B$5:$B$46,"AHT"),0)))</f>
        <v>0.15</v>
      </c>
      <c r="G96" s="10">
        <f>IF(OR($A96="",$D96&lt;&gt;"READY"),"",IF(AGENT_INPUT!F96&gt;=SUMIFS(BONUS_RULES!$E$5:$E$46,BONUS_RULES!$A$5:$A$46,$C96,BONUS_RULES!$B$5:$B$46,"Productivity"),SUMIFS(BONUS_RULES!$D$5:$D$46,BONUS_RULES!$A$5:$A$46,$C96,BONUS_RULES!$B$5:$B$46,"Productivity"),IF(AGENT_INPUT!F96&gt;=SUMIFS(BONUS_RULES!$G$5:$G$46,BONUS_RULES!$A$5:$A$46,$C96,BONUS_RULES!$B$5:$B$46,"Productivity"),SUMIFS(BONUS_RULES!$F$5:$F$46,BONUS_RULES!$A$5:$A$46,$C96,BONUS_RULES!$B$5:$B$46,"Productivity"),0)))</f>
        <v>0.15</v>
      </c>
      <c r="H96" s="10">
        <f>IF(OR($A96="",$D96&lt;&gt;"READY"),"",IF(AGENT_INPUT!G96&gt;=SUMIFS(BONUS_RULES!$E$5:$E$46,BONUS_RULES!$A$5:$A$46,$C96,BONUS_RULES!$B$5:$B$46,"PCS Score"),SUMIFS(BONUS_RULES!$D$5:$D$46,BONUS_RULES!$A$5:$A$46,$C96,BONUS_RULES!$B$5:$B$46,"PCS Score"),IF(AGENT_INPUT!G96&gt;=SUMIFS(BONUS_RULES!$G$5:$G$46,BONUS_RULES!$A$5:$A$46,$C96,BONUS_RULES!$B$5:$B$46,"PCS Score"),SUMIFS(BONUS_RULES!$F$5:$F$46,BONUS_RULES!$A$5:$A$46,$C96,BONUS_RULES!$B$5:$B$46,"PCS Score"),0)))</f>
        <v>0.2</v>
      </c>
      <c r="I96" s="10">
        <f>IF(OR($A96="",$D96&lt;&gt;"READY"),"",IF(AGENT_INPUT!H96&gt;=SUMIFS(BONUS_RULES!$E$5:$E$46,BONUS_RULES!$A$5:$A$46,$C96,BONUS_RULES!$B$5:$B$46,"PCS % (Participation)"),SUMIFS(BONUS_RULES!$D$5:$D$46,BONUS_RULES!$A$5:$A$46,$C96,BONUS_RULES!$B$5:$B$46,"PCS % (Participation)"),IF(AGENT_INPUT!H96&gt;=SUMIFS(BONUS_RULES!$G$5:$G$46,BONUS_RULES!$A$5:$A$46,$C96,BONUS_RULES!$B$5:$B$46,"PCS % (Participation)"),SUMIFS(BONUS_RULES!$F$5:$F$46,BONUS_RULES!$A$5:$A$46,$C96,BONUS_RULES!$B$5:$B$46,"PCS % (Participation)"),0)))</f>
        <v>0.0</v>
      </c>
      <c r="J96" s="10">
        <f>IF(OR($A96="",$D96&lt;&gt;"READY"),"",IF(AGENT_INPUT!I96&gt;=SUMIFS(BONUS_RULES!$E$5:$E$46,BONUS_RULES!$A$5:$A$46,$C96,BONUS_RULES!$B$5:$B$46,"QM"),SUMIFS(BONUS_RULES!$D$5:$D$46,BONUS_RULES!$A$5:$A$46,$C96,BONUS_RULES!$B$5:$B$46,"QM"),IF(AGENT_INPUT!I96&gt;=SUMIFS(BONUS_RULES!$G$5:$G$46,BONUS_RULES!$A$5:$A$46,$C96,BONUS_RULES!$B$5:$B$46,"QM"),SUMIFS(BONUS_RULES!$F$5:$F$46,BONUS_RULES!$A$5:$A$46,$C96,BONUS_RULES!$B$5:$B$46,"QM"),0)))</f>
        <v>0.0</v>
      </c>
      <c r="K96" s="10">
        <f>IF(POLICY_APPROVAL!$B$9="Eligibility only",0,IF(OR($A96="",$D96&lt;&gt;"READY"),"",IF(AGENT_INPUT!J96&lt;=SUMIFS(BONUS_RULES!$E$5:$E$46,BONUS_RULES!$A$5:$A$46,$C96,BONUS_RULES!$B$5:$B$46,"Abs%"),SUMIFS(BONUS_RULES!$D$5:$D$46,BONUS_RULES!$A$5:$A$46,$C96,BONUS_RULES!$B$5:$B$46,"Abs%"),IF(AGENT_INPUT!J96&lt;=SUMIFS(BONUS_RULES!$G$5:$G$46,BONUS_RULES!$A$5:$A$46,$C96,BONUS_RULES!$B$5:$B$46,"Abs%"),SUMIFS(BONUS_RULES!$F$5:$F$46,BONUS_RULES!$A$5:$A$46,$C96,BONUS_RULES!$B$5:$B$46,"Abs%"),0))))</f>
        <v>0.0</v>
      </c>
      <c r="L96" s="10">
        <f>IF(OR($A96="",$D96&lt;&gt;"READY"),"",IF(AGENT_INPUT!G96&gt;=SUMIFS(BONUS_RULES!$E$5:$E$46,BONUS_RULES!$A$5:$A$46,$C96,BONUS_RULES!$B$5:$B$46,"Extra Bonus (PCS Score)"),SUMIFS(BONUS_RULES!$D$5:$D$46,BONUS_RULES!$A$5:$A$46,$C96,BONUS_RULES!$B$5:$B$46,"Extra Bonus (PCS Score)"),IF(AGENT_INPUT!G96&gt;=SUMIFS(BONUS_RULES!$G$5:$G$46,BONUS_RULES!$A$5:$A$46,$C96,BONUS_RULES!$B$5:$B$46,"Extra Bonus (PCS Score)"),SUMIFS(BONUS_RULES!$F$5:$F$46,BONUS_RULES!$A$5:$A$46,$C96,BONUS_RULES!$B$5:$B$46,"Extra Bonus (PCS Score)"),0)))</f>
        <v>0.2</v>
      </c>
      <c r="M96" s="10">
        <f>IF($A96="","",MIN(IF(POLICY_APPROVAL!$B$6="Replacement",SUM(F96:K96)-H96+MAX(H96,L96),SUM(F96:L96)),POLICY_APPROVAL!$B$10))</f>
        <v>0.7</v>
      </c>
      <c r="N96" s="10">
        <f>IF($A96="","",IFERROR(INDEX(BONUS_RULES!$J$5:$J$10,MATCH(MIN(MAX(AGENT_INPUT!K96,0),5),BONUS_RULES!$I$5:$I$10,0)),1))</f>
        <v>0</v>
      </c>
      <c r="O96" s="10">
        <f>IF(M96="","",MAX(0,IF(POLICY_APPROVAL!$B$5="Percentage points",M96-N96,M96*(1-N96))))</f>
        <v>0.7</v>
      </c>
      <c r="P96" s="11">
        <f>IF(D96&lt;&gt;"READY","",IF(AGENT_INPUT!O96&gt;0,AGENT_INPUT!O96,AGENT_INPUT!M96*AGENT_INPUT!N96/IF(POLICY_APPROVAL!$B$7="Annual",12,1)))</f>
        <v>2000.0</v>
      </c>
      <c r="Q96" s="10">
        <f>IF(D96&lt;&gt;"READY","",MIN(1,AGENT_INPUT!P96/AGENT_INPUT!Q96))</f>
        <v>1.0</v>
      </c>
      <c r="R96" s="11">
        <f>IF(D96&lt;&gt;"READY","",ROUND(P96*Q96*O96,IF(POLICY_APPROVAL!$B$11="Whole MAD",0,2)))</f>
        <v>1400.0</v>
      </c>
      <c r="S96" s="11">
        <f>IF(AND(SETUP!$B$9="READY",T96="READY"),R96,"")</f>
        <v/>
      </c>
      <c r="T96" s="4" t="str">
        <f>IF($A96="","",IF(D96&lt;&gt;"READY","BLOCKED - INPUT",IF(E96&lt;&gt;"ELIGIBLE","BLOCKED - ELIGIBILITY",IF(AGENT_INPUT!S96&lt;&gt;"VALIDATED","BLOCKED - DATA",IF(SETUP!$B$9&lt;&gt;"READY","BLOCKED - POLICY","READY")))))</f>
        <v>BLOCKED - ELIGIBILITY</v>
      </c>
      <c r="U96" s="4" t="str">
        <f>IF($A96="","",IF(COUNTIFS(AGENT_INPUT!$A$5:$A$254,$A96,AGENT_INPUT!$D$5:$D$254,AGENT_INPUT!D96)&gt;1,"DUPLICATE AGENT + PERIOD",IF(D96&lt;&gt;"READY","INPUT OR CONFIG REVIEW",IF(T96&lt;&gt;"READY",T96,""))))</f>
        <v>BLOCKED - ELIGIBILITY</v>
      </c>
    </row>
    <row r="97" spans="1:21">
      <c r="A97" s="4">
        <f>IF(AGENT_INPUT!A97="","",AGENT_INPUT!A97)</f>
        <v>244551</v>
      </c>
      <c r="B97" s="4" t="str">
        <f>IF($A97="","",AGENT_INPUT!B97)</f>
        <v>jalal  BARHMI</v>
      </c>
      <c r="C97" s="4" t="str">
        <f>IF($A97="","",AGENT_INPUT!C97)</f>
        <v>RSA NL</v>
      </c>
      <c r="D97" s="4" t="str">
        <f>IF($A97="","",IF(AND(COUNT(AGENT_INPUT!E97:J97)=6,COUNT(AGENT_INPUT!K97)=1,COUNTIF(BONUS_RULES!$A$5:$A$46,AGENT_INPUT!C97)&gt;0,OR(AGENT_INPUT!O97&gt;0,AND(AGENT_INPUT!M97&gt;0,AGENT_INPUT!N97&gt;0)),AGENT_INPUT!P97&gt;=0,AGENT_INPUT!Q97&gt;0,AGENT_INPUT!P97&lt;=AGENT_INPUT!Q97,AGENT_INPUT!H97&gt;=0,AGENT_INPUT!H97&lt;=1,AGENT_INPUT!I97&gt;=0,AGENT_INPUT!I97&lt;=1,AGENT_INPUT!J97&gt;=0,AGENT_INPUT!J97&lt;=1),"READY","BLOCKED"))</f>
        <v>BLOCKED</v>
      </c>
      <c r="E97" s="4">
        <f>IF($A97="","",IF(AGENT_INPUT!R97&lt;&gt;"Active","REVIEW",IF(OR(POLICY_APPROVAL!$B$9="Eligibility only",POLICY_APPROVAL!$B$9="Both"),IF(AGENT_INPUT!J97&lt;=SUMIFS(BONUS_RULES!$E$5:$E$46,BONUS_RULES!$A$5:$A$46,$C97,BONUS_RULES!$B$5:$B$46,"Abs%"),"ELIGIBLE","INELIGIBLE ABS"),"ELIGIBLE")))</f>
        <v/>
      </c>
      <c r="F97" s="10">
        <f>IF(OR($A97="",$D97&lt;&gt;"READY"),"",IF(AGENT_INPUT!E97&lt;=SUMIFS(BONUS_RULES!$E$5:$E$46,BONUS_RULES!$A$5:$A$46,$C97,BONUS_RULES!$B$5:$B$46,"AHT"),SUMIFS(BONUS_RULES!$D$5:$D$46,BONUS_RULES!$A$5:$A$46,$C97,BONUS_RULES!$B$5:$B$46,"AHT"),IF(AGENT_INPUT!E97&lt;=SUMIFS(BONUS_RULES!$G$5:$G$46,BONUS_RULES!$A$5:$A$46,$C97,BONUS_RULES!$B$5:$B$46,"AHT"),SUMIFS(BONUS_RULES!$F$5:$F$46,BONUS_RULES!$A$5:$A$46,$C97,BONUS_RULES!$B$5:$B$46,"AHT"),0)))</f>
        <v/>
      </c>
      <c r="G97" s="10">
        <f>IF(OR($A97="",$D97&lt;&gt;"READY"),"",IF(AGENT_INPUT!F97&gt;=SUMIFS(BONUS_RULES!$E$5:$E$46,BONUS_RULES!$A$5:$A$46,$C97,BONUS_RULES!$B$5:$B$46,"Productivity"),SUMIFS(BONUS_RULES!$D$5:$D$46,BONUS_RULES!$A$5:$A$46,$C97,BONUS_RULES!$B$5:$B$46,"Productivity"),IF(AGENT_INPUT!F97&gt;=SUMIFS(BONUS_RULES!$G$5:$G$46,BONUS_RULES!$A$5:$A$46,$C97,BONUS_RULES!$B$5:$B$46,"Productivity"),SUMIFS(BONUS_RULES!$F$5:$F$46,BONUS_RULES!$A$5:$A$46,$C97,BONUS_RULES!$B$5:$B$46,"Productivity"),0)))</f>
        <v/>
      </c>
      <c r="H97" s="10">
        <f>IF(OR($A97="",$D97&lt;&gt;"READY"),"",IF(AGENT_INPUT!G97&gt;=SUMIFS(BONUS_RULES!$E$5:$E$46,BONUS_RULES!$A$5:$A$46,$C97,BONUS_RULES!$B$5:$B$46,"PCS Score"),SUMIFS(BONUS_RULES!$D$5:$D$46,BONUS_RULES!$A$5:$A$46,$C97,BONUS_RULES!$B$5:$B$46,"PCS Score"),IF(AGENT_INPUT!G97&gt;=SUMIFS(BONUS_RULES!$G$5:$G$46,BONUS_RULES!$A$5:$A$46,$C97,BONUS_RULES!$B$5:$B$46,"PCS Score"),SUMIFS(BONUS_RULES!$F$5:$F$46,BONUS_RULES!$A$5:$A$46,$C97,BONUS_RULES!$B$5:$B$46,"PCS Score"),0)))</f>
        <v/>
      </c>
      <c r="I97" s="10">
        <f>IF(OR($A97="",$D97&lt;&gt;"READY"),"",IF(AGENT_INPUT!H97&gt;=SUMIFS(BONUS_RULES!$E$5:$E$46,BONUS_RULES!$A$5:$A$46,$C97,BONUS_RULES!$B$5:$B$46,"PCS % (Participation)"),SUMIFS(BONUS_RULES!$D$5:$D$46,BONUS_RULES!$A$5:$A$46,$C97,BONUS_RULES!$B$5:$B$46,"PCS % (Participation)"),IF(AGENT_INPUT!H97&gt;=SUMIFS(BONUS_RULES!$G$5:$G$46,BONUS_RULES!$A$5:$A$46,$C97,BONUS_RULES!$B$5:$B$46,"PCS % (Participation)"),SUMIFS(BONUS_RULES!$F$5:$F$46,BONUS_RULES!$A$5:$A$46,$C97,BONUS_RULES!$B$5:$B$46,"PCS % (Participation)"),0)))</f>
        <v/>
      </c>
      <c r="J97" s="10">
        <f>IF(OR($A97="",$D97&lt;&gt;"READY"),"",IF(AGENT_INPUT!I97&gt;=SUMIFS(BONUS_RULES!$E$5:$E$46,BONUS_RULES!$A$5:$A$46,$C97,BONUS_RULES!$B$5:$B$46,"QM"),SUMIFS(BONUS_RULES!$D$5:$D$46,BONUS_RULES!$A$5:$A$46,$C97,BONUS_RULES!$B$5:$B$46,"QM"),IF(AGENT_INPUT!I97&gt;=SUMIFS(BONUS_RULES!$G$5:$G$46,BONUS_RULES!$A$5:$A$46,$C97,BONUS_RULES!$B$5:$B$46,"QM"),SUMIFS(BONUS_RULES!$F$5:$F$46,BONUS_RULES!$A$5:$A$46,$C97,BONUS_RULES!$B$5:$B$46,"QM"),0)))</f>
        <v/>
      </c>
      <c r="K97" s="10">
        <f>IF(POLICY_APPROVAL!$B$9="Eligibility only",0,IF(OR($A97="",$D97&lt;&gt;"READY"),"",IF(AGENT_INPUT!J97&lt;=SUMIFS(BONUS_RULES!$E$5:$E$46,BONUS_RULES!$A$5:$A$46,$C97,BONUS_RULES!$B$5:$B$46,"Abs%"),SUMIFS(BONUS_RULES!$D$5:$D$46,BONUS_RULES!$A$5:$A$46,$C97,BONUS_RULES!$B$5:$B$46,"Abs%"),IF(AGENT_INPUT!J97&lt;=SUMIFS(BONUS_RULES!$G$5:$G$46,BONUS_RULES!$A$5:$A$46,$C97,BONUS_RULES!$B$5:$B$46,"Abs%"),SUMIFS(BONUS_RULES!$F$5:$F$46,BONUS_RULES!$A$5:$A$46,$C97,BONUS_RULES!$B$5:$B$46,"Abs%"),0))))</f>
        <v/>
      </c>
      <c r="L97" s="10">
        <f>IF(OR($A97="",$D97&lt;&gt;"READY"),"",IF(AGENT_INPUT!G97&gt;=SUMIFS(BONUS_RULES!$E$5:$E$46,BONUS_RULES!$A$5:$A$46,$C97,BONUS_RULES!$B$5:$B$46,"Extra Bonus (PCS Score)"),SUMIFS(BONUS_RULES!$D$5:$D$46,BONUS_RULES!$A$5:$A$46,$C97,BONUS_RULES!$B$5:$B$46,"Extra Bonus (PCS Score)"),IF(AGENT_INPUT!G97&gt;=SUMIFS(BONUS_RULES!$G$5:$G$46,BONUS_RULES!$A$5:$A$46,$C97,BONUS_RULES!$B$5:$B$46,"Extra Bonus (PCS Score)"),SUMIFS(BONUS_RULES!$F$5:$F$46,BONUS_RULES!$A$5:$A$46,$C97,BONUS_RULES!$B$5:$B$46,"Extra Bonus (PCS Score)"),0)))</f>
        <v/>
      </c>
      <c r="M97" s="10">
        <f>IF($A97="","",MIN(IF(POLICY_APPROVAL!$B$6="Replacement",SUM(F97:K97)-H97+MAX(H97,L97),SUM(F97:L97)),POLICY_APPROVAL!$B$10))</f>
        <v>0</v>
      </c>
      <c r="N97" s="10">
        <f>IF($A97="","",IFERROR(INDEX(BONUS_RULES!$J$5:$J$10,MATCH(MIN(MAX(AGENT_INPUT!K97,0),5),BONUS_RULES!$I$5:$I$10,0)),1))</f>
        <v>0</v>
      </c>
      <c r="O97" s="10">
        <f>IF(M97="","",MAX(0,IF(POLICY_APPROVAL!$B$5="Percentage points",M97-N97,M97*(1-N97))))</f>
        <v>0</v>
      </c>
      <c r="P97" s="11">
        <f>IF(D97&lt;&gt;"READY","",IF(AGENT_INPUT!O97&gt;0,AGENT_INPUT!O97,AGENT_INPUT!M97*AGENT_INPUT!N97/IF(POLICY_APPROVAL!$B$7="Annual",12,1)))</f>
        <v/>
      </c>
      <c r="Q97" s="10">
        <f>IF(D97&lt;&gt;"READY","",MIN(1,AGENT_INPUT!P97/AGENT_INPUT!Q97))</f>
        <v/>
      </c>
      <c r="R97" s="11">
        <f>IF(D97&lt;&gt;"READY","",ROUND(P97*Q97*O97,IF(POLICY_APPROVAL!$B$11="Whole MAD",0,2)))</f>
        <v/>
      </c>
      <c r="S97" s="11">
        <f>IF(AND(SETUP!$B$9="READY",T97="READY"),R97,"")</f>
        <v/>
      </c>
      <c r="T97" s="4" t="str">
        <f>IF($A97="","",IF(D97&lt;&gt;"READY","BLOCKED - INPUT",IF(E97&lt;&gt;"ELIGIBLE","BLOCKED - ELIGIBILITY",IF(AGENT_INPUT!S97&lt;&gt;"VALIDATED","BLOCKED - DATA",IF(SETUP!$B$9&lt;&gt;"READY","BLOCKED - POLICY","READY")))))</f>
        <v>BLOCKED - INPUT</v>
      </c>
      <c r="U97" s="4" t="str">
        <f>IF($A97="","",IF(COUNTIFS(AGENT_INPUT!$A$5:$A$254,$A97,AGENT_INPUT!$D$5:$D$254,AGENT_INPUT!D97)&gt;1,"DUPLICATE AGENT + PERIOD",IF(D97&lt;&gt;"READY","INPUT OR CONFIG REVIEW",IF(T97&lt;&gt;"READY",T97,""))))</f>
        <v>Missing, invalid, or unconfigured required input</v>
      </c>
    </row>
    <row r="98" spans="1:21">
      <c r="A98" s="4">
        <f>IF(AGENT_INPUT!A98="","",AGENT_INPUT!A98)</f>
        <v>249780</v>
      </c>
      <c r="B98" s="4" t="str">
        <f>IF($A98="","",AGENT_INPUT!B98)</f>
        <v>Issam  MESKOURI</v>
      </c>
      <c r="C98" s="4" t="str">
        <f>IF($A98="","",AGENT_INPUT!C98)</f>
        <v>RSA FR</v>
      </c>
      <c r="D98" s="4" t="str">
        <f>IF($A98="","",IF(AND(COUNT(AGENT_INPUT!E98:J98)=6,COUNT(AGENT_INPUT!K98)=1,COUNTIF(BONUS_RULES!$A$5:$A$46,AGENT_INPUT!C98)&gt;0,OR(AGENT_INPUT!O98&gt;0,AND(AGENT_INPUT!M98&gt;0,AGENT_INPUT!N98&gt;0)),AGENT_INPUT!P98&gt;=0,AGENT_INPUT!Q98&gt;0,AGENT_INPUT!P98&lt;=AGENT_INPUT!Q98,AGENT_INPUT!H98&gt;=0,AGENT_INPUT!H98&lt;=1,AGENT_INPUT!I98&gt;=0,AGENT_INPUT!I98&lt;=1,AGENT_INPUT!J98&gt;=0,AGENT_INPUT!J98&lt;=1),"READY","BLOCKED"))</f>
        <v>BLOCKED</v>
      </c>
      <c r="E98" s="4">
        <f>IF($A98="","",IF(AGENT_INPUT!R98&lt;&gt;"Active","REVIEW",IF(OR(POLICY_APPROVAL!$B$9="Eligibility only",POLICY_APPROVAL!$B$9="Both"),IF(AGENT_INPUT!J98&lt;=SUMIFS(BONUS_RULES!$E$5:$E$46,BONUS_RULES!$A$5:$A$46,$C98,BONUS_RULES!$B$5:$B$46,"Abs%"),"ELIGIBLE","INELIGIBLE ABS"),"ELIGIBLE")))</f>
        <v/>
      </c>
      <c r="F98" s="10">
        <f>IF(OR($A98="",$D98&lt;&gt;"READY"),"",IF(AGENT_INPUT!E98&lt;=SUMIFS(BONUS_RULES!$E$5:$E$46,BONUS_RULES!$A$5:$A$46,$C98,BONUS_RULES!$B$5:$B$46,"AHT"),SUMIFS(BONUS_RULES!$D$5:$D$46,BONUS_RULES!$A$5:$A$46,$C98,BONUS_RULES!$B$5:$B$46,"AHT"),IF(AGENT_INPUT!E98&lt;=SUMIFS(BONUS_RULES!$G$5:$G$46,BONUS_RULES!$A$5:$A$46,$C98,BONUS_RULES!$B$5:$B$46,"AHT"),SUMIFS(BONUS_RULES!$F$5:$F$46,BONUS_RULES!$A$5:$A$46,$C98,BONUS_RULES!$B$5:$B$46,"AHT"),0)))</f>
        <v/>
      </c>
      <c r="G98" s="10">
        <f>IF(OR($A98="",$D98&lt;&gt;"READY"),"",IF(AGENT_INPUT!F98&gt;=SUMIFS(BONUS_RULES!$E$5:$E$46,BONUS_RULES!$A$5:$A$46,$C98,BONUS_RULES!$B$5:$B$46,"Productivity"),SUMIFS(BONUS_RULES!$D$5:$D$46,BONUS_RULES!$A$5:$A$46,$C98,BONUS_RULES!$B$5:$B$46,"Productivity"),IF(AGENT_INPUT!F98&gt;=SUMIFS(BONUS_RULES!$G$5:$G$46,BONUS_RULES!$A$5:$A$46,$C98,BONUS_RULES!$B$5:$B$46,"Productivity"),SUMIFS(BONUS_RULES!$F$5:$F$46,BONUS_RULES!$A$5:$A$46,$C98,BONUS_RULES!$B$5:$B$46,"Productivity"),0)))</f>
        <v/>
      </c>
      <c r="H98" s="10">
        <f>IF(OR($A98="",$D98&lt;&gt;"READY"),"",IF(AGENT_INPUT!G98&gt;=SUMIFS(BONUS_RULES!$E$5:$E$46,BONUS_RULES!$A$5:$A$46,$C98,BONUS_RULES!$B$5:$B$46,"PCS Score"),SUMIFS(BONUS_RULES!$D$5:$D$46,BONUS_RULES!$A$5:$A$46,$C98,BONUS_RULES!$B$5:$B$46,"PCS Score"),IF(AGENT_INPUT!G98&gt;=SUMIFS(BONUS_RULES!$G$5:$G$46,BONUS_RULES!$A$5:$A$46,$C98,BONUS_RULES!$B$5:$B$46,"PCS Score"),SUMIFS(BONUS_RULES!$F$5:$F$46,BONUS_RULES!$A$5:$A$46,$C98,BONUS_RULES!$B$5:$B$46,"PCS Score"),0)))</f>
        <v/>
      </c>
      <c r="I98" s="10">
        <f>IF(OR($A98="",$D98&lt;&gt;"READY"),"",IF(AGENT_INPUT!H98&gt;=SUMIFS(BONUS_RULES!$E$5:$E$46,BONUS_RULES!$A$5:$A$46,$C98,BONUS_RULES!$B$5:$B$46,"PCS % (Participation)"),SUMIFS(BONUS_RULES!$D$5:$D$46,BONUS_RULES!$A$5:$A$46,$C98,BONUS_RULES!$B$5:$B$46,"PCS % (Participation)"),IF(AGENT_INPUT!H98&gt;=SUMIFS(BONUS_RULES!$G$5:$G$46,BONUS_RULES!$A$5:$A$46,$C98,BONUS_RULES!$B$5:$B$46,"PCS % (Participation)"),SUMIFS(BONUS_RULES!$F$5:$F$46,BONUS_RULES!$A$5:$A$46,$C98,BONUS_RULES!$B$5:$B$46,"PCS % (Participation)"),0)))</f>
        <v/>
      </c>
      <c r="J98" s="10">
        <f>IF(OR($A98="",$D98&lt;&gt;"READY"),"",IF(AGENT_INPUT!I98&gt;=SUMIFS(BONUS_RULES!$E$5:$E$46,BONUS_RULES!$A$5:$A$46,$C98,BONUS_RULES!$B$5:$B$46,"QM"),SUMIFS(BONUS_RULES!$D$5:$D$46,BONUS_RULES!$A$5:$A$46,$C98,BONUS_RULES!$B$5:$B$46,"QM"),IF(AGENT_INPUT!I98&gt;=SUMIFS(BONUS_RULES!$G$5:$G$46,BONUS_RULES!$A$5:$A$46,$C98,BONUS_RULES!$B$5:$B$46,"QM"),SUMIFS(BONUS_RULES!$F$5:$F$46,BONUS_RULES!$A$5:$A$46,$C98,BONUS_RULES!$B$5:$B$46,"QM"),0)))</f>
        <v/>
      </c>
      <c r="K98" s="10">
        <f>IF(POLICY_APPROVAL!$B$9="Eligibility only",0,IF(OR($A98="",$D98&lt;&gt;"READY"),"",IF(AGENT_INPUT!J98&lt;=SUMIFS(BONUS_RULES!$E$5:$E$46,BONUS_RULES!$A$5:$A$46,$C98,BONUS_RULES!$B$5:$B$46,"Abs%"),SUMIFS(BONUS_RULES!$D$5:$D$46,BONUS_RULES!$A$5:$A$46,$C98,BONUS_RULES!$B$5:$B$46,"Abs%"),IF(AGENT_INPUT!J98&lt;=SUMIFS(BONUS_RULES!$G$5:$G$46,BONUS_RULES!$A$5:$A$46,$C98,BONUS_RULES!$B$5:$B$46,"Abs%"),SUMIFS(BONUS_RULES!$F$5:$F$46,BONUS_RULES!$A$5:$A$46,$C98,BONUS_RULES!$B$5:$B$46,"Abs%"),0))))</f>
        <v/>
      </c>
      <c r="L98" s="10">
        <f>IF(OR($A98="",$D98&lt;&gt;"READY"),"",IF(AGENT_INPUT!G98&gt;=SUMIFS(BONUS_RULES!$E$5:$E$46,BONUS_RULES!$A$5:$A$46,$C98,BONUS_RULES!$B$5:$B$46,"Extra Bonus (PCS Score)"),SUMIFS(BONUS_RULES!$D$5:$D$46,BONUS_RULES!$A$5:$A$46,$C98,BONUS_RULES!$B$5:$B$46,"Extra Bonus (PCS Score)"),IF(AGENT_INPUT!G98&gt;=SUMIFS(BONUS_RULES!$G$5:$G$46,BONUS_RULES!$A$5:$A$46,$C98,BONUS_RULES!$B$5:$B$46,"Extra Bonus (PCS Score)"),SUMIFS(BONUS_RULES!$F$5:$F$46,BONUS_RULES!$A$5:$A$46,$C98,BONUS_RULES!$B$5:$B$46,"Extra Bonus (PCS Score)"),0)))</f>
        <v/>
      </c>
      <c r="M98" s="10">
        <f>IF($A98="","",MIN(IF(POLICY_APPROVAL!$B$6="Replacement",SUM(F98:K98)-H98+MAX(H98,L98),SUM(F98:L98)),POLICY_APPROVAL!$B$10))</f>
        <v>0</v>
      </c>
      <c r="N98" s="10">
        <f>IF($A98="","",IFERROR(INDEX(BONUS_RULES!$J$5:$J$10,MATCH(MIN(MAX(AGENT_INPUT!K98,0),5),BONUS_RULES!$I$5:$I$10,0)),1))</f>
        <v>0</v>
      </c>
      <c r="O98" s="10">
        <f>IF(M98="","",MAX(0,IF(POLICY_APPROVAL!$B$5="Percentage points",M98-N98,M98*(1-N98))))</f>
        <v>0</v>
      </c>
      <c r="P98" s="11">
        <f>IF(D98&lt;&gt;"READY","",IF(AGENT_INPUT!O98&gt;0,AGENT_INPUT!O98,AGENT_INPUT!M98*AGENT_INPUT!N98/IF(POLICY_APPROVAL!$B$7="Annual",12,1)))</f>
        <v/>
      </c>
      <c r="Q98" s="10">
        <f>IF(D98&lt;&gt;"READY","",MIN(1,AGENT_INPUT!P98/AGENT_INPUT!Q98))</f>
        <v/>
      </c>
      <c r="R98" s="11">
        <f>IF(D98&lt;&gt;"READY","",ROUND(P98*Q98*O98,IF(POLICY_APPROVAL!$B$11="Whole MAD",0,2)))</f>
        <v/>
      </c>
      <c r="S98" s="11">
        <f>IF(AND(SETUP!$B$9="READY",T98="READY"),R98,"")</f>
        <v/>
      </c>
      <c r="T98" s="4" t="str">
        <f>IF($A98="","",IF(D98&lt;&gt;"READY","BLOCKED - INPUT",IF(E98&lt;&gt;"ELIGIBLE","BLOCKED - ELIGIBILITY",IF(AGENT_INPUT!S98&lt;&gt;"VALIDATED","BLOCKED - DATA",IF(SETUP!$B$9&lt;&gt;"READY","BLOCKED - POLICY","READY")))))</f>
        <v>BLOCKED - INPUT</v>
      </c>
      <c r="U98" s="4" t="str">
        <f>IF($A98="","",IF(COUNTIFS(AGENT_INPUT!$A$5:$A$254,$A98,AGENT_INPUT!$D$5:$D$254,AGENT_INPUT!D98)&gt;1,"DUPLICATE AGENT + PERIOD",IF(D98&lt;&gt;"READY","INPUT OR CONFIG REVIEW",IF(T98&lt;&gt;"READY",T98,""))))</f>
        <v>Missing, invalid, or unconfigured required input</v>
      </c>
    </row>
    <row r="99" spans="1:21">
      <c r="A99" s="4">
        <f>IF(AGENT_INPUT!A99="","",AGENT_INPUT!A99)</f>
        <v>228216</v>
      </c>
      <c r="B99" s="4" t="str">
        <f>IF($A99="","",AGENT_INPUT!B99)</f>
        <v>Insafe OUAJAL</v>
      </c>
      <c r="C99" s="4" t="str">
        <f>IF($A99="","",AGENT_INPUT!C99)</f>
        <v>OEM FR</v>
      </c>
      <c r="D99" s="4" t="str">
        <f>IF($A99="","",IF(AND(COUNT(AGENT_INPUT!E99:J99)=6,COUNT(AGENT_INPUT!K99)=1,COUNTIF(BONUS_RULES!$A$5:$A$46,AGENT_INPUT!C99)&gt;0,OR(AGENT_INPUT!O99&gt;0,AND(AGENT_INPUT!M99&gt;0,AGENT_INPUT!N99&gt;0)),AGENT_INPUT!P99&gt;=0,AGENT_INPUT!Q99&gt;0,AGENT_INPUT!P99&lt;=AGENT_INPUT!Q99,AGENT_INPUT!H99&gt;=0,AGENT_INPUT!H99&lt;=1,AGENT_INPUT!I99&gt;=0,AGENT_INPUT!I99&lt;=1,AGENT_INPUT!J99&gt;=0,AGENT_INPUT!J99&lt;=1),"READY","BLOCKED"))</f>
        <v>READY</v>
      </c>
      <c r="E99" s="4" t="str">
        <f>IF($A99="","",IF(AGENT_INPUT!R99&lt;&gt;"Active","REVIEW",IF(OR(POLICY_APPROVAL!$B$9="Eligibility only",POLICY_APPROVAL!$B$9="Both"),IF(AGENT_INPUT!J99&lt;=SUMIFS(BONUS_RULES!$E$5:$E$46,BONUS_RULES!$A$5:$A$46,$C99,BONUS_RULES!$B$5:$B$46,"Abs%"),"ELIGIBLE","INELIGIBLE ABS"),"ELIGIBLE")))</f>
        <v>REVIEW</v>
      </c>
      <c r="F99" s="10">
        <f>IF(OR($A99="",$D99&lt;&gt;"READY"),"",IF(AGENT_INPUT!E99&lt;=SUMIFS(BONUS_RULES!$E$5:$E$46,BONUS_RULES!$A$5:$A$46,$C99,BONUS_RULES!$B$5:$B$46,"AHT"),SUMIFS(BONUS_RULES!$D$5:$D$46,BONUS_RULES!$A$5:$A$46,$C99,BONUS_RULES!$B$5:$B$46,"AHT"),IF(AGENT_INPUT!E99&lt;=SUMIFS(BONUS_RULES!$G$5:$G$46,BONUS_RULES!$A$5:$A$46,$C99,BONUS_RULES!$B$5:$B$46,"AHT"),SUMIFS(BONUS_RULES!$F$5:$F$46,BONUS_RULES!$A$5:$A$46,$C99,BONUS_RULES!$B$5:$B$46,"AHT"),0)))</f>
        <v>0.0</v>
      </c>
      <c r="G99" s="10">
        <f>IF(OR($A99="",$D99&lt;&gt;"READY"),"",IF(AGENT_INPUT!F99&gt;=SUMIFS(BONUS_RULES!$E$5:$E$46,BONUS_RULES!$A$5:$A$46,$C99,BONUS_RULES!$B$5:$B$46,"Productivity"),SUMIFS(BONUS_RULES!$D$5:$D$46,BONUS_RULES!$A$5:$A$46,$C99,BONUS_RULES!$B$5:$B$46,"Productivity"),IF(AGENT_INPUT!F99&gt;=SUMIFS(BONUS_RULES!$G$5:$G$46,BONUS_RULES!$A$5:$A$46,$C99,BONUS_RULES!$B$5:$B$46,"Productivity"),SUMIFS(BONUS_RULES!$F$5:$F$46,BONUS_RULES!$A$5:$A$46,$C99,BONUS_RULES!$B$5:$B$46,"Productivity"),0)))</f>
        <v>0.0</v>
      </c>
      <c r="H99" s="10">
        <f>IF(OR($A99="",$D99&lt;&gt;"READY"),"",IF(AGENT_INPUT!G99&gt;=SUMIFS(BONUS_RULES!$E$5:$E$46,BONUS_RULES!$A$5:$A$46,$C99,BONUS_RULES!$B$5:$B$46,"PCS Score"),SUMIFS(BONUS_RULES!$D$5:$D$46,BONUS_RULES!$A$5:$A$46,$C99,BONUS_RULES!$B$5:$B$46,"PCS Score"),IF(AGENT_INPUT!G99&gt;=SUMIFS(BONUS_RULES!$G$5:$G$46,BONUS_RULES!$A$5:$A$46,$C99,BONUS_RULES!$B$5:$B$46,"PCS Score"),SUMIFS(BONUS_RULES!$F$5:$F$46,BONUS_RULES!$A$5:$A$46,$C99,BONUS_RULES!$B$5:$B$46,"PCS Score"),0)))</f>
        <v>0.0</v>
      </c>
      <c r="I99" s="10">
        <f>IF(OR($A99="",$D99&lt;&gt;"READY"),"",IF(AGENT_INPUT!H99&gt;=SUMIFS(BONUS_RULES!$E$5:$E$46,BONUS_RULES!$A$5:$A$46,$C99,BONUS_RULES!$B$5:$B$46,"PCS % (Participation)"),SUMIFS(BONUS_RULES!$D$5:$D$46,BONUS_RULES!$A$5:$A$46,$C99,BONUS_RULES!$B$5:$B$46,"PCS % (Participation)"),IF(AGENT_INPUT!H99&gt;=SUMIFS(BONUS_RULES!$G$5:$G$46,BONUS_RULES!$A$5:$A$46,$C99,BONUS_RULES!$B$5:$B$46,"PCS % (Participation)"),SUMIFS(BONUS_RULES!$F$5:$F$46,BONUS_RULES!$A$5:$A$46,$C99,BONUS_RULES!$B$5:$B$46,"PCS % (Participation)"),0)))</f>
        <v>0.0</v>
      </c>
      <c r="J99" s="10">
        <f>IF(OR($A99="",$D99&lt;&gt;"READY"),"",IF(AGENT_INPUT!I99&gt;=SUMIFS(BONUS_RULES!$E$5:$E$46,BONUS_RULES!$A$5:$A$46,$C99,BONUS_RULES!$B$5:$B$46,"QM"),SUMIFS(BONUS_RULES!$D$5:$D$46,BONUS_RULES!$A$5:$A$46,$C99,BONUS_RULES!$B$5:$B$46,"QM"),IF(AGENT_INPUT!I99&gt;=SUMIFS(BONUS_RULES!$G$5:$G$46,BONUS_RULES!$A$5:$A$46,$C99,BONUS_RULES!$B$5:$B$46,"QM"),SUMIFS(BONUS_RULES!$F$5:$F$46,BONUS_RULES!$A$5:$A$46,$C99,BONUS_RULES!$B$5:$B$46,"QM"),0)))</f>
        <v>0.0</v>
      </c>
      <c r="K99" s="10">
        <f>IF(POLICY_APPROVAL!$B$9="Eligibility only",0,IF(OR($A99="",$D99&lt;&gt;"READY"),"",IF(AGENT_INPUT!J99&lt;=SUMIFS(BONUS_RULES!$E$5:$E$46,BONUS_RULES!$A$5:$A$46,$C99,BONUS_RULES!$B$5:$B$46,"Abs%"),SUMIFS(BONUS_RULES!$D$5:$D$46,BONUS_RULES!$A$5:$A$46,$C99,BONUS_RULES!$B$5:$B$46,"Abs%"),IF(AGENT_INPUT!J99&lt;=SUMIFS(BONUS_RULES!$G$5:$G$46,BONUS_RULES!$A$5:$A$46,$C99,BONUS_RULES!$B$5:$B$46,"Abs%"),SUMIFS(BONUS_RULES!$F$5:$F$46,BONUS_RULES!$A$5:$A$46,$C99,BONUS_RULES!$B$5:$B$46,"Abs%"),0))))</f>
        <v>0.15</v>
      </c>
      <c r="L99" s="10">
        <f>IF(OR($A99="",$D99&lt;&gt;"READY"),"",IF(AGENT_INPUT!G99&gt;=SUMIFS(BONUS_RULES!$E$5:$E$46,BONUS_RULES!$A$5:$A$46,$C99,BONUS_RULES!$B$5:$B$46,"Extra Bonus (PCS Score)"),SUMIFS(BONUS_RULES!$D$5:$D$46,BONUS_RULES!$A$5:$A$46,$C99,BONUS_RULES!$B$5:$B$46,"Extra Bonus (PCS Score)"),IF(AGENT_INPUT!G99&gt;=SUMIFS(BONUS_RULES!$G$5:$G$46,BONUS_RULES!$A$5:$A$46,$C99,BONUS_RULES!$B$5:$B$46,"Extra Bonus (PCS Score)"),SUMIFS(BONUS_RULES!$F$5:$F$46,BONUS_RULES!$A$5:$A$46,$C99,BONUS_RULES!$B$5:$B$46,"Extra Bonus (PCS Score)"),0)))</f>
        <v>0.0</v>
      </c>
      <c r="M99" s="10">
        <f>IF($A99="","",MIN(IF(POLICY_APPROVAL!$B$6="Replacement",SUM(F99:K99)-H99+MAX(H99,L99),SUM(F99:L99)),POLICY_APPROVAL!$B$10))</f>
        <v>0.15</v>
      </c>
      <c r="N99" s="10">
        <f>IF($A99="","",IFERROR(INDEX(BONUS_RULES!$J$5:$J$10,MATCH(MIN(MAX(AGENT_INPUT!K99,0),5),BONUS_RULES!$I$5:$I$10,0)),1))</f>
        <v>0</v>
      </c>
      <c r="O99" s="10">
        <f>IF(M99="","",MAX(0,IF(POLICY_APPROVAL!$B$5="Percentage points",M99-N99,M99*(1-N99))))</f>
        <v>0.15</v>
      </c>
      <c r="P99" s="11">
        <f>IF(D99&lt;&gt;"READY","",IF(AGENT_INPUT!O99&gt;0,AGENT_INPUT!O99,AGENT_INPUT!M99*AGENT_INPUT!N99/IF(POLICY_APPROVAL!$B$7="Annual",12,1)))</f>
        <v>2000.0</v>
      </c>
      <c r="Q99" s="10">
        <f>IF(D99&lt;&gt;"READY","",MIN(1,AGENT_INPUT!P99/AGENT_INPUT!Q99))</f>
        <v>1.0</v>
      </c>
      <c r="R99" s="11">
        <f>IF(D99&lt;&gt;"READY","",ROUND(P99*Q99*O99,IF(POLICY_APPROVAL!$B$11="Whole MAD",0,2)))</f>
        <v>300.0</v>
      </c>
      <c r="S99" s="11">
        <f>IF(AND(SETUP!$B$9="READY",T99="READY"),R99,"")</f>
        <v/>
      </c>
      <c r="T99" s="4" t="str">
        <f>IF($A99="","",IF(D99&lt;&gt;"READY","BLOCKED - INPUT",IF(E99&lt;&gt;"ELIGIBLE","BLOCKED - ELIGIBILITY",IF(AGENT_INPUT!S99&lt;&gt;"VALIDATED","BLOCKED - DATA",IF(SETUP!$B$9&lt;&gt;"READY","BLOCKED - POLICY","READY")))))</f>
        <v>BLOCKED - ELIGIBILITY</v>
      </c>
      <c r="U99" s="4" t="str">
        <f>IF($A99="","",IF(COUNTIFS(AGENT_INPUT!$A$5:$A$254,$A99,AGENT_INPUT!$D$5:$D$254,AGENT_INPUT!D99)&gt;1,"DUPLICATE AGENT + PERIOD",IF(D99&lt;&gt;"READY","INPUT OR CONFIG REVIEW",IF(T99&lt;&gt;"READY",T99,""))))</f>
        <v>BLOCKED - ELIGIBILITY</v>
      </c>
    </row>
    <row r="100" spans="1:21">
      <c r="A100" s="4">
        <f>IF(AGENT_INPUT!A100="","",AGENT_INPUT!A100)</f>
        <v>228207</v>
      </c>
      <c r="B100" s="4" t="str">
        <f>IF($A100="","",AGENT_INPUT!B100)</f>
        <v>Imane LAHOUCINE</v>
      </c>
      <c r="C100" s="4" t="str">
        <f>IF($A100="","",AGENT_INPUT!C100)</f>
        <v>OEM FR</v>
      </c>
      <c r="D100" s="4" t="str">
        <f>IF($A100="","",IF(AND(COUNT(AGENT_INPUT!E100:J100)=6,COUNT(AGENT_INPUT!K100)=1,COUNTIF(BONUS_RULES!$A$5:$A$46,AGENT_INPUT!C100)&gt;0,OR(AGENT_INPUT!O100&gt;0,AND(AGENT_INPUT!M100&gt;0,AGENT_INPUT!N100&gt;0)),AGENT_INPUT!P100&gt;=0,AGENT_INPUT!Q100&gt;0,AGENT_INPUT!P100&lt;=AGENT_INPUT!Q100,AGENT_INPUT!H100&gt;=0,AGENT_INPUT!H100&lt;=1,AGENT_INPUT!I100&gt;=0,AGENT_INPUT!I100&lt;=1,AGENT_INPUT!J100&gt;=0,AGENT_INPUT!J100&lt;=1),"READY","BLOCKED"))</f>
        <v>READY</v>
      </c>
      <c r="E100" s="4" t="str">
        <f>IF($A100="","",IF(AGENT_INPUT!R100&lt;&gt;"Active","REVIEW",IF(OR(POLICY_APPROVAL!$B$9="Eligibility only",POLICY_APPROVAL!$B$9="Both"),IF(AGENT_INPUT!J100&lt;=SUMIFS(BONUS_RULES!$E$5:$E$46,BONUS_RULES!$A$5:$A$46,$C100,BONUS_RULES!$B$5:$B$46,"Abs%"),"ELIGIBLE","INELIGIBLE ABS"),"ELIGIBLE")))</f>
        <v>REVIEW</v>
      </c>
      <c r="F100" s="10">
        <f>IF(OR($A100="",$D100&lt;&gt;"READY"),"",IF(AGENT_INPUT!E100&lt;=SUMIFS(BONUS_RULES!$E$5:$E$46,BONUS_RULES!$A$5:$A$46,$C100,BONUS_RULES!$B$5:$B$46,"AHT"),SUMIFS(BONUS_RULES!$D$5:$D$46,BONUS_RULES!$A$5:$A$46,$C100,BONUS_RULES!$B$5:$B$46,"AHT"),IF(AGENT_INPUT!E100&lt;=SUMIFS(BONUS_RULES!$G$5:$G$46,BONUS_RULES!$A$5:$A$46,$C100,BONUS_RULES!$B$5:$B$46,"AHT"),SUMIFS(BONUS_RULES!$F$5:$F$46,BONUS_RULES!$A$5:$A$46,$C100,BONUS_RULES!$B$5:$B$46,"AHT"),0)))</f>
        <v>0.0</v>
      </c>
      <c r="G100" s="10">
        <f>IF(OR($A100="",$D100&lt;&gt;"READY"),"",IF(AGENT_INPUT!F100&gt;=SUMIFS(BONUS_RULES!$E$5:$E$46,BONUS_RULES!$A$5:$A$46,$C100,BONUS_RULES!$B$5:$B$46,"Productivity"),SUMIFS(BONUS_RULES!$D$5:$D$46,BONUS_RULES!$A$5:$A$46,$C100,BONUS_RULES!$B$5:$B$46,"Productivity"),IF(AGENT_INPUT!F100&gt;=SUMIFS(BONUS_RULES!$G$5:$G$46,BONUS_RULES!$A$5:$A$46,$C100,BONUS_RULES!$B$5:$B$46,"Productivity"),SUMIFS(BONUS_RULES!$F$5:$F$46,BONUS_RULES!$A$5:$A$46,$C100,BONUS_RULES!$B$5:$B$46,"Productivity"),0)))</f>
        <v>0.0</v>
      </c>
      <c r="H100" s="10">
        <f>IF(OR($A100="",$D100&lt;&gt;"READY"),"",IF(AGENT_INPUT!G100&gt;=SUMIFS(BONUS_RULES!$E$5:$E$46,BONUS_RULES!$A$5:$A$46,$C100,BONUS_RULES!$B$5:$B$46,"PCS Score"),SUMIFS(BONUS_RULES!$D$5:$D$46,BONUS_RULES!$A$5:$A$46,$C100,BONUS_RULES!$B$5:$B$46,"PCS Score"),IF(AGENT_INPUT!G100&gt;=SUMIFS(BONUS_RULES!$G$5:$G$46,BONUS_RULES!$A$5:$A$46,$C100,BONUS_RULES!$B$5:$B$46,"PCS Score"),SUMIFS(BONUS_RULES!$F$5:$F$46,BONUS_RULES!$A$5:$A$46,$C100,BONUS_RULES!$B$5:$B$46,"PCS Score"),0)))</f>
        <v>0.2</v>
      </c>
      <c r="I100" s="10">
        <f>IF(OR($A100="",$D100&lt;&gt;"READY"),"",IF(AGENT_INPUT!H100&gt;=SUMIFS(BONUS_RULES!$E$5:$E$46,BONUS_RULES!$A$5:$A$46,$C100,BONUS_RULES!$B$5:$B$46,"PCS % (Participation)"),SUMIFS(BONUS_RULES!$D$5:$D$46,BONUS_RULES!$A$5:$A$46,$C100,BONUS_RULES!$B$5:$B$46,"PCS % (Participation)"),IF(AGENT_INPUT!H100&gt;=SUMIFS(BONUS_RULES!$G$5:$G$46,BONUS_RULES!$A$5:$A$46,$C100,BONUS_RULES!$B$5:$B$46,"PCS % (Participation)"),SUMIFS(BONUS_RULES!$F$5:$F$46,BONUS_RULES!$A$5:$A$46,$C100,BONUS_RULES!$B$5:$B$46,"PCS % (Participation)"),0)))</f>
        <v>0.0</v>
      </c>
      <c r="J100" s="10">
        <f>IF(OR($A100="",$D100&lt;&gt;"READY"),"",IF(AGENT_INPUT!I100&gt;=SUMIFS(BONUS_RULES!$E$5:$E$46,BONUS_RULES!$A$5:$A$46,$C100,BONUS_RULES!$B$5:$B$46,"QM"),SUMIFS(BONUS_RULES!$D$5:$D$46,BONUS_RULES!$A$5:$A$46,$C100,BONUS_RULES!$B$5:$B$46,"QM"),IF(AGENT_INPUT!I100&gt;=SUMIFS(BONUS_RULES!$G$5:$G$46,BONUS_RULES!$A$5:$A$46,$C100,BONUS_RULES!$B$5:$B$46,"QM"),SUMIFS(BONUS_RULES!$F$5:$F$46,BONUS_RULES!$A$5:$A$46,$C100,BONUS_RULES!$B$5:$B$46,"QM"),0)))</f>
        <v>0.15</v>
      </c>
      <c r="K100" s="10">
        <f>IF(POLICY_APPROVAL!$B$9="Eligibility only",0,IF(OR($A100="",$D100&lt;&gt;"READY"),"",IF(AGENT_INPUT!J100&lt;=SUMIFS(BONUS_RULES!$E$5:$E$46,BONUS_RULES!$A$5:$A$46,$C100,BONUS_RULES!$B$5:$B$46,"Abs%"),SUMIFS(BONUS_RULES!$D$5:$D$46,BONUS_RULES!$A$5:$A$46,$C100,BONUS_RULES!$B$5:$B$46,"Abs%"),IF(AGENT_INPUT!J100&lt;=SUMIFS(BONUS_RULES!$G$5:$G$46,BONUS_RULES!$A$5:$A$46,$C100,BONUS_RULES!$B$5:$B$46,"Abs%"),SUMIFS(BONUS_RULES!$F$5:$F$46,BONUS_RULES!$A$5:$A$46,$C100,BONUS_RULES!$B$5:$B$46,"Abs%"),0))))</f>
        <v>0.15</v>
      </c>
      <c r="L100" s="10">
        <f>IF(OR($A100="",$D100&lt;&gt;"READY"),"",IF(AGENT_INPUT!G100&gt;=SUMIFS(BONUS_RULES!$E$5:$E$46,BONUS_RULES!$A$5:$A$46,$C100,BONUS_RULES!$B$5:$B$46,"Extra Bonus (PCS Score)"),SUMIFS(BONUS_RULES!$D$5:$D$46,BONUS_RULES!$A$5:$A$46,$C100,BONUS_RULES!$B$5:$B$46,"Extra Bonus (PCS Score)"),IF(AGENT_INPUT!G100&gt;=SUMIFS(BONUS_RULES!$G$5:$G$46,BONUS_RULES!$A$5:$A$46,$C100,BONUS_RULES!$B$5:$B$46,"Extra Bonus (PCS Score)"),SUMIFS(BONUS_RULES!$F$5:$F$46,BONUS_RULES!$A$5:$A$46,$C100,BONUS_RULES!$B$5:$B$46,"Extra Bonus (PCS Score)"),0)))</f>
        <v>0.3</v>
      </c>
      <c r="M100" s="10">
        <f>IF($A100="","",MIN(IF(POLICY_APPROVAL!$B$6="Replacement",SUM(F100:K100)-H100+MAX(H100,L100),SUM(F100:L100)),POLICY_APPROVAL!$B$10))</f>
        <v>0.8</v>
      </c>
      <c r="N100" s="10">
        <f>IF($A100="","",IFERROR(INDEX(BONUS_RULES!$J$5:$J$10,MATCH(MIN(MAX(AGENT_INPUT!K100,0),5),BONUS_RULES!$I$5:$I$10,0)),1))</f>
        <v>0</v>
      </c>
      <c r="O100" s="10">
        <f>IF(M100="","",MAX(0,IF(POLICY_APPROVAL!$B$5="Percentage points",M100-N100,M100*(1-N100))))</f>
        <v>0.8</v>
      </c>
      <c r="P100" s="11">
        <f>IF(D100&lt;&gt;"READY","",IF(AGENT_INPUT!O100&gt;0,AGENT_INPUT!O100,AGENT_INPUT!M100*AGENT_INPUT!N100/IF(POLICY_APPROVAL!$B$7="Annual",12,1)))</f>
        <v>2000.0</v>
      </c>
      <c r="Q100" s="10">
        <f>IF(D100&lt;&gt;"READY","",MIN(1,AGENT_INPUT!P100/AGENT_INPUT!Q100))</f>
        <v>1.0</v>
      </c>
      <c r="R100" s="11">
        <f>IF(D100&lt;&gt;"READY","",ROUND(P100*Q100*O100,IF(POLICY_APPROVAL!$B$11="Whole MAD",0,2)))</f>
        <v>1600.0</v>
      </c>
      <c r="S100" s="11">
        <f>IF(AND(SETUP!$B$9="READY",T100="READY"),R100,"")</f>
        <v/>
      </c>
      <c r="T100" s="4" t="str">
        <f>IF($A100="","",IF(D100&lt;&gt;"READY","BLOCKED - INPUT",IF(E100&lt;&gt;"ELIGIBLE","BLOCKED - ELIGIBILITY",IF(AGENT_INPUT!S100&lt;&gt;"VALIDATED","BLOCKED - DATA",IF(SETUP!$B$9&lt;&gt;"READY","BLOCKED - POLICY","READY")))))</f>
        <v>BLOCKED - ELIGIBILITY</v>
      </c>
      <c r="U100" s="4" t="str">
        <f>IF($A100="","",IF(COUNTIFS(AGENT_INPUT!$A$5:$A$254,$A100,AGENT_INPUT!$D$5:$D$254,AGENT_INPUT!D100)&gt;1,"DUPLICATE AGENT + PERIOD",IF(D100&lt;&gt;"READY","INPUT OR CONFIG REVIEW",IF(T100&lt;&gt;"READY",T100,""))))</f>
        <v>BLOCKED - ELIGIBILITY</v>
      </c>
    </row>
    <row r="101" spans="1:21">
      <c r="A101" s="4">
        <f>IF(AGENT_INPUT!A101="","",AGENT_INPUT!A101)</f>
        <v>228673</v>
      </c>
      <c r="B101" s="4" t="str">
        <f>IF($A101="","",AGENT_INPUT!B101)</f>
        <v>Imane Karoui</v>
      </c>
      <c r="C101" s="4" t="str">
        <f>IF($A101="","",AGENT_INPUT!C101)</f>
        <v>OEM FR</v>
      </c>
      <c r="D101" s="4" t="str">
        <f>IF($A101="","",IF(AND(COUNT(AGENT_INPUT!E101:J101)=6,COUNT(AGENT_INPUT!K101)=1,COUNTIF(BONUS_RULES!$A$5:$A$46,AGENT_INPUT!C101)&gt;0,OR(AGENT_INPUT!O101&gt;0,AND(AGENT_INPUT!M101&gt;0,AGENT_INPUT!N101&gt;0)),AGENT_INPUT!P101&gt;=0,AGENT_INPUT!Q101&gt;0,AGENT_INPUT!P101&lt;=AGENT_INPUT!Q101,AGENT_INPUT!H101&gt;=0,AGENT_INPUT!H101&lt;=1,AGENT_INPUT!I101&gt;=0,AGENT_INPUT!I101&lt;=1,AGENT_INPUT!J101&gt;=0,AGENT_INPUT!J101&lt;=1),"READY","BLOCKED"))</f>
        <v>READY</v>
      </c>
      <c r="E101" s="4" t="str">
        <f>IF($A101="","",IF(AGENT_INPUT!R101&lt;&gt;"Active","REVIEW",IF(OR(POLICY_APPROVAL!$B$9="Eligibility only",POLICY_APPROVAL!$B$9="Both"),IF(AGENT_INPUT!J101&lt;=SUMIFS(BONUS_RULES!$E$5:$E$46,BONUS_RULES!$A$5:$A$46,$C101,BONUS_RULES!$B$5:$B$46,"Abs%"),"ELIGIBLE","INELIGIBLE ABS"),"ELIGIBLE")))</f>
        <v>REVIEW</v>
      </c>
      <c r="F101" s="10">
        <f>IF(OR($A101="",$D101&lt;&gt;"READY"),"",IF(AGENT_INPUT!E101&lt;=SUMIFS(BONUS_RULES!$E$5:$E$46,BONUS_RULES!$A$5:$A$46,$C101,BONUS_RULES!$B$5:$B$46,"AHT"),SUMIFS(BONUS_RULES!$D$5:$D$46,BONUS_RULES!$A$5:$A$46,$C101,BONUS_RULES!$B$5:$B$46,"AHT"),IF(AGENT_INPUT!E101&lt;=SUMIFS(BONUS_RULES!$G$5:$G$46,BONUS_RULES!$A$5:$A$46,$C101,BONUS_RULES!$B$5:$B$46,"AHT"),SUMIFS(BONUS_RULES!$F$5:$F$46,BONUS_RULES!$A$5:$A$46,$C101,BONUS_RULES!$B$5:$B$46,"AHT"),0)))</f>
        <v>0.0</v>
      </c>
      <c r="G101" s="10">
        <f>IF(OR($A101="",$D101&lt;&gt;"READY"),"",IF(AGENT_INPUT!F101&gt;=SUMIFS(BONUS_RULES!$E$5:$E$46,BONUS_RULES!$A$5:$A$46,$C101,BONUS_RULES!$B$5:$B$46,"Productivity"),SUMIFS(BONUS_RULES!$D$5:$D$46,BONUS_RULES!$A$5:$A$46,$C101,BONUS_RULES!$B$5:$B$46,"Productivity"),IF(AGENT_INPUT!F101&gt;=SUMIFS(BONUS_RULES!$G$5:$G$46,BONUS_RULES!$A$5:$A$46,$C101,BONUS_RULES!$B$5:$B$46,"Productivity"),SUMIFS(BONUS_RULES!$F$5:$F$46,BONUS_RULES!$A$5:$A$46,$C101,BONUS_RULES!$B$5:$B$46,"Productivity"),0)))</f>
        <v>0.0</v>
      </c>
      <c r="H101" s="10">
        <f>IF(OR($A101="",$D101&lt;&gt;"READY"),"",IF(AGENT_INPUT!G101&gt;=SUMIFS(BONUS_RULES!$E$5:$E$46,BONUS_RULES!$A$5:$A$46,$C101,BONUS_RULES!$B$5:$B$46,"PCS Score"),SUMIFS(BONUS_RULES!$D$5:$D$46,BONUS_RULES!$A$5:$A$46,$C101,BONUS_RULES!$B$5:$B$46,"PCS Score"),IF(AGENT_INPUT!G101&gt;=SUMIFS(BONUS_RULES!$G$5:$G$46,BONUS_RULES!$A$5:$A$46,$C101,BONUS_RULES!$B$5:$B$46,"PCS Score"),SUMIFS(BONUS_RULES!$F$5:$F$46,BONUS_RULES!$A$5:$A$46,$C101,BONUS_RULES!$B$5:$B$46,"PCS Score"),0)))</f>
        <v>0.2</v>
      </c>
      <c r="I101" s="10">
        <f>IF(OR($A101="",$D101&lt;&gt;"READY"),"",IF(AGENT_INPUT!H101&gt;=SUMIFS(BONUS_RULES!$E$5:$E$46,BONUS_RULES!$A$5:$A$46,$C101,BONUS_RULES!$B$5:$B$46,"PCS % (Participation)"),SUMIFS(BONUS_RULES!$D$5:$D$46,BONUS_RULES!$A$5:$A$46,$C101,BONUS_RULES!$B$5:$B$46,"PCS % (Participation)"),IF(AGENT_INPUT!H101&gt;=SUMIFS(BONUS_RULES!$G$5:$G$46,BONUS_RULES!$A$5:$A$46,$C101,BONUS_RULES!$B$5:$B$46,"PCS % (Participation)"),SUMIFS(BONUS_RULES!$F$5:$F$46,BONUS_RULES!$A$5:$A$46,$C101,BONUS_RULES!$B$5:$B$46,"PCS % (Participation)"),0)))</f>
        <v>0.0</v>
      </c>
      <c r="J101" s="10">
        <f>IF(OR($A101="",$D101&lt;&gt;"READY"),"",IF(AGENT_INPUT!I101&gt;=SUMIFS(BONUS_RULES!$E$5:$E$46,BONUS_RULES!$A$5:$A$46,$C101,BONUS_RULES!$B$5:$B$46,"QM"),SUMIFS(BONUS_RULES!$D$5:$D$46,BONUS_RULES!$A$5:$A$46,$C101,BONUS_RULES!$B$5:$B$46,"QM"),IF(AGENT_INPUT!I101&gt;=SUMIFS(BONUS_RULES!$G$5:$G$46,BONUS_RULES!$A$5:$A$46,$C101,BONUS_RULES!$B$5:$B$46,"QM"),SUMIFS(BONUS_RULES!$F$5:$F$46,BONUS_RULES!$A$5:$A$46,$C101,BONUS_RULES!$B$5:$B$46,"QM"),0)))</f>
        <v>0.0</v>
      </c>
      <c r="K101" s="10">
        <f>IF(POLICY_APPROVAL!$B$9="Eligibility only",0,IF(OR($A101="",$D101&lt;&gt;"READY"),"",IF(AGENT_INPUT!J101&lt;=SUMIFS(BONUS_RULES!$E$5:$E$46,BONUS_RULES!$A$5:$A$46,$C101,BONUS_RULES!$B$5:$B$46,"Abs%"),SUMIFS(BONUS_RULES!$D$5:$D$46,BONUS_RULES!$A$5:$A$46,$C101,BONUS_RULES!$B$5:$B$46,"Abs%"),IF(AGENT_INPUT!J101&lt;=SUMIFS(BONUS_RULES!$G$5:$G$46,BONUS_RULES!$A$5:$A$46,$C101,BONUS_RULES!$B$5:$B$46,"Abs%"),SUMIFS(BONUS_RULES!$F$5:$F$46,BONUS_RULES!$A$5:$A$46,$C101,BONUS_RULES!$B$5:$B$46,"Abs%"),0))))</f>
        <v>0.15</v>
      </c>
      <c r="L101" s="10">
        <f>IF(OR($A101="",$D101&lt;&gt;"READY"),"",IF(AGENT_INPUT!G101&gt;=SUMIFS(BONUS_RULES!$E$5:$E$46,BONUS_RULES!$A$5:$A$46,$C101,BONUS_RULES!$B$5:$B$46,"Extra Bonus (PCS Score)"),SUMIFS(BONUS_RULES!$D$5:$D$46,BONUS_RULES!$A$5:$A$46,$C101,BONUS_RULES!$B$5:$B$46,"Extra Bonus (PCS Score)"),IF(AGENT_INPUT!G101&gt;=SUMIFS(BONUS_RULES!$G$5:$G$46,BONUS_RULES!$A$5:$A$46,$C101,BONUS_RULES!$B$5:$B$46,"Extra Bonus (PCS Score)"),SUMIFS(BONUS_RULES!$F$5:$F$46,BONUS_RULES!$A$5:$A$46,$C101,BONUS_RULES!$B$5:$B$46,"Extra Bonus (PCS Score)"),0)))</f>
        <v>0.3</v>
      </c>
      <c r="M101" s="10">
        <f>IF($A101="","",MIN(IF(POLICY_APPROVAL!$B$6="Replacement",SUM(F101:K101)-H101+MAX(H101,L101),SUM(F101:L101)),POLICY_APPROVAL!$B$10))</f>
        <v>0.6499999999999999</v>
      </c>
      <c r="N101" s="10">
        <f>IF($A101="","",IFERROR(INDEX(BONUS_RULES!$J$5:$J$10,MATCH(MIN(MAX(AGENT_INPUT!K101,0),5),BONUS_RULES!$I$5:$I$10,0)),1))</f>
        <v>0</v>
      </c>
      <c r="O101" s="10">
        <f>IF(M101="","",MAX(0,IF(POLICY_APPROVAL!$B$5="Percentage points",M101-N101,M101*(1-N101))))</f>
        <v>0.6499999999999999</v>
      </c>
      <c r="P101" s="11">
        <f>IF(D101&lt;&gt;"READY","",IF(AGENT_INPUT!O101&gt;0,AGENT_INPUT!O101,AGENT_INPUT!M101*AGENT_INPUT!N101/IF(POLICY_APPROVAL!$B$7="Annual",12,1)))</f>
        <v>2000.0</v>
      </c>
      <c r="Q101" s="10">
        <f>IF(D101&lt;&gt;"READY","",MIN(1,AGENT_INPUT!P101/AGENT_INPUT!Q101))</f>
        <v>1.0</v>
      </c>
      <c r="R101" s="11">
        <f>IF(D101&lt;&gt;"READY","",ROUND(P101*Q101*O101,IF(POLICY_APPROVAL!$B$11="Whole MAD",0,2)))</f>
        <v>1300.0</v>
      </c>
      <c r="S101" s="11">
        <f>IF(AND(SETUP!$B$9="READY",T101="READY"),R101,"")</f>
        <v/>
      </c>
      <c r="T101" s="4" t="str">
        <f>IF($A101="","",IF(D101&lt;&gt;"READY","BLOCKED - INPUT",IF(E101&lt;&gt;"ELIGIBLE","BLOCKED - ELIGIBILITY",IF(AGENT_INPUT!S101&lt;&gt;"VALIDATED","BLOCKED - DATA",IF(SETUP!$B$9&lt;&gt;"READY","BLOCKED - POLICY","READY")))))</f>
        <v>BLOCKED - ELIGIBILITY</v>
      </c>
      <c r="U101" s="4" t="str">
        <f>IF($A101="","",IF(COUNTIFS(AGENT_INPUT!$A$5:$A$254,$A101,AGENT_INPUT!$D$5:$D$254,AGENT_INPUT!D101)&gt;1,"DUPLICATE AGENT + PERIOD",IF(D101&lt;&gt;"READY","INPUT OR CONFIG REVIEW",IF(T101&lt;&gt;"READY",T101,""))))</f>
        <v>BLOCKED - ELIGIBILITY</v>
      </c>
    </row>
    <row r="102" spans="1:21">
      <c r="A102" s="4">
        <f>IF(AGENT_INPUT!A102="","",AGENT_INPUT!A102)</f>
        <v>96485</v>
      </c>
      <c r="B102" s="4" t="str">
        <f>IF($A102="","",AGENT_INPUT!B102)</f>
        <v>BANANE Imane</v>
      </c>
      <c r="C102" s="4" t="str">
        <f>IF($A102="","",AGENT_INPUT!C102)</f>
        <v>RSA FR</v>
      </c>
      <c r="D102" s="4" t="str">
        <f>IF($A102="","",IF(AND(COUNT(AGENT_INPUT!E102:J102)=6,COUNT(AGENT_INPUT!K102)=1,COUNTIF(BONUS_RULES!$A$5:$A$46,AGENT_INPUT!C102)&gt;0,OR(AGENT_INPUT!O102&gt;0,AND(AGENT_INPUT!M102&gt;0,AGENT_INPUT!N102&gt;0)),AGENT_INPUT!P102&gt;=0,AGENT_INPUT!Q102&gt;0,AGENT_INPUT!P102&lt;=AGENT_INPUT!Q102,AGENT_INPUT!H102&gt;=0,AGENT_INPUT!H102&lt;=1,AGENT_INPUT!I102&gt;=0,AGENT_INPUT!I102&lt;=1,AGENT_INPUT!J102&gt;=0,AGENT_INPUT!J102&lt;=1),"READY","BLOCKED"))</f>
        <v>BLOCKED</v>
      </c>
      <c r="E102" s="4">
        <f>IF($A102="","",IF(AGENT_INPUT!R102&lt;&gt;"Active","REVIEW",IF(OR(POLICY_APPROVAL!$B$9="Eligibility only",POLICY_APPROVAL!$B$9="Both"),IF(AGENT_INPUT!J102&lt;=SUMIFS(BONUS_RULES!$E$5:$E$46,BONUS_RULES!$A$5:$A$46,$C102,BONUS_RULES!$B$5:$B$46,"Abs%"),"ELIGIBLE","INELIGIBLE ABS"),"ELIGIBLE")))</f>
        <v/>
      </c>
      <c r="F102" s="10">
        <f>IF(OR($A102="",$D102&lt;&gt;"READY"),"",IF(AGENT_INPUT!E102&lt;=SUMIFS(BONUS_RULES!$E$5:$E$46,BONUS_RULES!$A$5:$A$46,$C102,BONUS_RULES!$B$5:$B$46,"AHT"),SUMIFS(BONUS_RULES!$D$5:$D$46,BONUS_RULES!$A$5:$A$46,$C102,BONUS_RULES!$B$5:$B$46,"AHT"),IF(AGENT_INPUT!E102&lt;=SUMIFS(BONUS_RULES!$G$5:$G$46,BONUS_RULES!$A$5:$A$46,$C102,BONUS_RULES!$B$5:$B$46,"AHT"),SUMIFS(BONUS_RULES!$F$5:$F$46,BONUS_RULES!$A$5:$A$46,$C102,BONUS_RULES!$B$5:$B$46,"AHT"),0)))</f>
        <v/>
      </c>
      <c r="G102" s="10">
        <f>IF(OR($A102="",$D102&lt;&gt;"READY"),"",IF(AGENT_INPUT!F102&gt;=SUMIFS(BONUS_RULES!$E$5:$E$46,BONUS_RULES!$A$5:$A$46,$C102,BONUS_RULES!$B$5:$B$46,"Productivity"),SUMIFS(BONUS_RULES!$D$5:$D$46,BONUS_RULES!$A$5:$A$46,$C102,BONUS_RULES!$B$5:$B$46,"Productivity"),IF(AGENT_INPUT!F102&gt;=SUMIFS(BONUS_RULES!$G$5:$G$46,BONUS_RULES!$A$5:$A$46,$C102,BONUS_RULES!$B$5:$B$46,"Productivity"),SUMIFS(BONUS_RULES!$F$5:$F$46,BONUS_RULES!$A$5:$A$46,$C102,BONUS_RULES!$B$5:$B$46,"Productivity"),0)))</f>
        <v/>
      </c>
      <c r="H102" s="10">
        <f>IF(OR($A102="",$D102&lt;&gt;"READY"),"",IF(AGENT_INPUT!G102&gt;=SUMIFS(BONUS_RULES!$E$5:$E$46,BONUS_RULES!$A$5:$A$46,$C102,BONUS_RULES!$B$5:$B$46,"PCS Score"),SUMIFS(BONUS_RULES!$D$5:$D$46,BONUS_RULES!$A$5:$A$46,$C102,BONUS_RULES!$B$5:$B$46,"PCS Score"),IF(AGENT_INPUT!G102&gt;=SUMIFS(BONUS_RULES!$G$5:$G$46,BONUS_RULES!$A$5:$A$46,$C102,BONUS_RULES!$B$5:$B$46,"PCS Score"),SUMIFS(BONUS_RULES!$F$5:$F$46,BONUS_RULES!$A$5:$A$46,$C102,BONUS_RULES!$B$5:$B$46,"PCS Score"),0)))</f>
        <v/>
      </c>
      <c r="I102" s="10">
        <f>IF(OR($A102="",$D102&lt;&gt;"READY"),"",IF(AGENT_INPUT!H102&gt;=SUMIFS(BONUS_RULES!$E$5:$E$46,BONUS_RULES!$A$5:$A$46,$C102,BONUS_RULES!$B$5:$B$46,"PCS % (Participation)"),SUMIFS(BONUS_RULES!$D$5:$D$46,BONUS_RULES!$A$5:$A$46,$C102,BONUS_RULES!$B$5:$B$46,"PCS % (Participation)"),IF(AGENT_INPUT!H102&gt;=SUMIFS(BONUS_RULES!$G$5:$G$46,BONUS_RULES!$A$5:$A$46,$C102,BONUS_RULES!$B$5:$B$46,"PCS % (Participation)"),SUMIFS(BONUS_RULES!$F$5:$F$46,BONUS_RULES!$A$5:$A$46,$C102,BONUS_RULES!$B$5:$B$46,"PCS % (Participation)"),0)))</f>
        <v/>
      </c>
      <c r="J102" s="10">
        <f>IF(OR($A102="",$D102&lt;&gt;"READY"),"",IF(AGENT_INPUT!I102&gt;=SUMIFS(BONUS_RULES!$E$5:$E$46,BONUS_RULES!$A$5:$A$46,$C102,BONUS_RULES!$B$5:$B$46,"QM"),SUMIFS(BONUS_RULES!$D$5:$D$46,BONUS_RULES!$A$5:$A$46,$C102,BONUS_RULES!$B$5:$B$46,"QM"),IF(AGENT_INPUT!I102&gt;=SUMIFS(BONUS_RULES!$G$5:$G$46,BONUS_RULES!$A$5:$A$46,$C102,BONUS_RULES!$B$5:$B$46,"QM"),SUMIFS(BONUS_RULES!$F$5:$F$46,BONUS_RULES!$A$5:$A$46,$C102,BONUS_RULES!$B$5:$B$46,"QM"),0)))</f>
        <v/>
      </c>
      <c r="K102" s="10">
        <f>IF(POLICY_APPROVAL!$B$9="Eligibility only",0,IF(OR($A102="",$D102&lt;&gt;"READY"),"",IF(AGENT_INPUT!J102&lt;=SUMIFS(BONUS_RULES!$E$5:$E$46,BONUS_RULES!$A$5:$A$46,$C102,BONUS_RULES!$B$5:$B$46,"Abs%"),SUMIFS(BONUS_RULES!$D$5:$D$46,BONUS_RULES!$A$5:$A$46,$C102,BONUS_RULES!$B$5:$B$46,"Abs%"),IF(AGENT_INPUT!J102&lt;=SUMIFS(BONUS_RULES!$G$5:$G$46,BONUS_RULES!$A$5:$A$46,$C102,BONUS_RULES!$B$5:$B$46,"Abs%"),SUMIFS(BONUS_RULES!$F$5:$F$46,BONUS_RULES!$A$5:$A$46,$C102,BONUS_RULES!$B$5:$B$46,"Abs%"),0))))</f>
        <v/>
      </c>
      <c r="L102" s="10">
        <f>IF(OR($A102="",$D102&lt;&gt;"READY"),"",IF(AGENT_INPUT!G102&gt;=SUMIFS(BONUS_RULES!$E$5:$E$46,BONUS_RULES!$A$5:$A$46,$C102,BONUS_RULES!$B$5:$B$46,"Extra Bonus (PCS Score)"),SUMIFS(BONUS_RULES!$D$5:$D$46,BONUS_RULES!$A$5:$A$46,$C102,BONUS_RULES!$B$5:$B$46,"Extra Bonus (PCS Score)"),IF(AGENT_INPUT!G102&gt;=SUMIFS(BONUS_RULES!$G$5:$G$46,BONUS_RULES!$A$5:$A$46,$C102,BONUS_RULES!$B$5:$B$46,"Extra Bonus (PCS Score)"),SUMIFS(BONUS_RULES!$F$5:$F$46,BONUS_RULES!$A$5:$A$46,$C102,BONUS_RULES!$B$5:$B$46,"Extra Bonus (PCS Score)"),0)))</f>
        <v/>
      </c>
      <c r="M102" s="10">
        <f>IF($A102="","",MIN(IF(POLICY_APPROVAL!$B$6="Replacement",SUM(F102:K102)-H102+MAX(H102,L102),SUM(F102:L102)),POLICY_APPROVAL!$B$10))</f>
        <v>0</v>
      </c>
      <c r="N102" s="10">
        <f>IF($A102="","",IFERROR(INDEX(BONUS_RULES!$J$5:$J$10,MATCH(MIN(MAX(AGENT_INPUT!K102,0),5),BONUS_RULES!$I$5:$I$10,0)),1))</f>
        <v>0</v>
      </c>
      <c r="O102" s="10">
        <f>IF(M102="","",MAX(0,IF(POLICY_APPROVAL!$B$5="Percentage points",M102-N102,M102*(1-N102))))</f>
        <v>0</v>
      </c>
      <c r="P102" s="11">
        <f>IF(D102&lt;&gt;"READY","",IF(AGENT_INPUT!O102&gt;0,AGENT_INPUT!O102,AGENT_INPUT!M102*AGENT_INPUT!N102/IF(POLICY_APPROVAL!$B$7="Annual",12,1)))</f>
        <v/>
      </c>
      <c r="Q102" s="10">
        <f>IF(D102&lt;&gt;"READY","",MIN(1,AGENT_INPUT!P102/AGENT_INPUT!Q102))</f>
        <v/>
      </c>
      <c r="R102" s="11">
        <f>IF(D102&lt;&gt;"READY","",ROUND(P102*Q102*O102,IF(POLICY_APPROVAL!$B$11="Whole MAD",0,2)))</f>
        <v/>
      </c>
      <c r="S102" s="11">
        <f>IF(AND(SETUP!$B$9="READY",T102="READY"),R102,"")</f>
        <v/>
      </c>
      <c r="T102" s="4" t="str">
        <f>IF($A102="","",IF(D102&lt;&gt;"READY","BLOCKED - INPUT",IF(E102&lt;&gt;"ELIGIBLE","BLOCKED - ELIGIBILITY",IF(AGENT_INPUT!S102&lt;&gt;"VALIDATED","BLOCKED - DATA",IF(SETUP!$B$9&lt;&gt;"READY","BLOCKED - POLICY","READY")))))</f>
        <v>BLOCKED - INPUT</v>
      </c>
      <c r="U102" s="4" t="str">
        <f>IF($A102="","",IF(COUNTIFS(AGENT_INPUT!$A$5:$A$254,$A102,AGENT_INPUT!$D$5:$D$254,AGENT_INPUT!D102)&gt;1,"DUPLICATE AGENT + PERIOD",IF(D102&lt;&gt;"READY","INPUT OR CONFIG REVIEW",IF(T102&lt;&gt;"READY",T102,""))))</f>
        <v>Missing, invalid, or unconfigured required input</v>
      </c>
    </row>
    <row r="103" spans="1:21">
      <c r="A103" s="4">
        <f>IF(AGENT_INPUT!A103="","",AGENT_INPUT!A103)</f>
        <v>250259</v>
      </c>
      <c r="B103" s="4" t="str">
        <f>IF($A103="","",AGENT_INPUT!B103)</f>
        <v>Moussaoui Ilias</v>
      </c>
      <c r="C103" s="4" t="str">
        <f>IF($A103="","",AGENT_INPUT!C103)</f>
        <v>RSA VL</v>
      </c>
      <c r="D103" s="4" t="str">
        <f>IF($A103="","",IF(AND(COUNT(AGENT_INPUT!E103:J103)=6,COUNT(AGENT_INPUT!K103)=1,COUNTIF(BONUS_RULES!$A$5:$A$46,AGENT_INPUT!C103)&gt;0,OR(AGENT_INPUT!O103&gt;0,AND(AGENT_INPUT!M103&gt;0,AGENT_INPUT!N103&gt;0)),AGENT_INPUT!P103&gt;=0,AGENT_INPUT!Q103&gt;0,AGENT_INPUT!P103&lt;=AGENT_INPUT!Q103,AGENT_INPUT!H103&gt;=0,AGENT_INPUT!H103&lt;=1,AGENT_INPUT!I103&gt;=0,AGENT_INPUT!I103&lt;=1,AGENT_INPUT!J103&gt;=0,AGENT_INPUT!J103&lt;=1),"READY","BLOCKED"))</f>
        <v>BLOCKED</v>
      </c>
      <c r="E103" s="4">
        <f>IF($A103="","",IF(AGENT_INPUT!R103&lt;&gt;"Active","REVIEW",IF(OR(POLICY_APPROVAL!$B$9="Eligibility only",POLICY_APPROVAL!$B$9="Both"),IF(AGENT_INPUT!J103&lt;=SUMIFS(BONUS_RULES!$E$5:$E$46,BONUS_RULES!$A$5:$A$46,$C103,BONUS_RULES!$B$5:$B$46,"Abs%"),"ELIGIBLE","INELIGIBLE ABS"),"ELIGIBLE")))</f>
        <v/>
      </c>
      <c r="F103" s="10">
        <f>IF(OR($A103="",$D103&lt;&gt;"READY"),"",IF(AGENT_INPUT!E103&lt;=SUMIFS(BONUS_RULES!$E$5:$E$46,BONUS_RULES!$A$5:$A$46,$C103,BONUS_RULES!$B$5:$B$46,"AHT"),SUMIFS(BONUS_RULES!$D$5:$D$46,BONUS_RULES!$A$5:$A$46,$C103,BONUS_RULES!$B$5:$B$46,"AHT"),IF(AGENT_INPUT!E103&lt;=SUMIFS(BONUS_RULES!$G$5:$G$46,BONUS_RULES!$A$5:$A$46,$C103,BONUS_RULES!$B$5:$B$46,"AHT"),SUMIFS(BONUS_RULES!$F$5:$F$46,BONUS_RULES!$A$5:$A$46,$C103,BONUS_RULES!$B$5:$B$46,"AHT"),0)))</f>
        <v/>
      </c>
      <c r="G103" s="10">
        <f>IF(OR($A103="",$D103&lt;&gt;"READY"),"",IF(AGENT_INPUT!F103&gt;=SUMIFS(BONUS_RULES!$E$5:$E$46,BONUS_RULES!$A$5:$A$46,$C103,BONUS_RULES!$B$5:$B$46,"Productivity"),SUMIFS(BONUS_RULES!$D$5:$D$46,BONUS_RULES!$A$5:$A$46,$C103,BONUS_RULES!$B$5:$B$46,"Productivity"),IF(AGENT_INPUT!F103&gt;=SUMIFS(BONUS_RULES!$G$5:$G$46,BONUS_RULES!$A$5:$A$46,$C103,BONUS_RULES!$B$5:$B$46,"Productivity"),SUMIFS(BONUS_RULES!$F$5:$F$46,BONUS_RULES!$A$5:$A$46,$C103,BONUS_RULES!$B$5:$B$46,"Productivity"),0)))</f>
        <v/>
      </c>
      <c r="H103" s="10">
        <f>IF(OR($A103="",$D103&lt;&gt;"READY"),"",IF(AGENT_INPUT!G103&gt;=SUMIFS(BONUS_RULES!$E$5:$E$46,BONUS_RULES!$A$5:$A$46,$C103,BONUS_RULES!$B$5:$B$46,"PCS Score"),SUMIFS(BONUS_RULES!$D$5:$D$46,BONUS_RULES!$A$5:$A$46,$C103,BONUS_RULES!$B$5:$B$46,"PCS Score"),IF(AGENT_INPUT!G103&gt;=SUMIFS(BONUS_RULES!$G$5:$G$46,BONUS_RULES!$A$5:$A$46,$C103,BONUS_RULES!$B$5:$B$46,"PCS Score"),SUMIFS(BONUS_RULES!$F$5:$F$46,BONUS_RULES!$A$5:$A$46,$C103,BONUS_RULES!$B$5:$B$46,"PCS Score"),0)))</f>
        <v/>
      </c>
      <c r="I103" s="10">
        <f>IF(OR($A103="",$D103&lt;&gt;"READY"),"",IF(AGENT_INPUT!H103&gt;=SUMIFS(BONUS_RULES!$E$5:$E$46,BONUS_RULES!$A$5:$A$46,$C103,BONUS_RULES!$B$5:$B$46,"PCS % (Participation)"),SUMIFS(BONUS_RULES!$D$5:$D$46,BONUS_RULES!$A$5:$A$46,$C103,BONUS_RULES!$B$5:$B$46,"PCS % (Participation)"),IF(AGENT_INPUT!H103&gt;=SUMIFS(BONUS_RULES!$G$5:$G$46,BONUS_RULES!$A$5:$A$46,$C103,BONUS_RULES!$B$5:$B$46,"PCS % (Participation)"),SUMIFS(BONUS_RULES!$F$5:$F$46,BONUS_RULES!$A$5:$A$46,$C103,BONUS_RULES!$B$5:$B$46,"PCS % (Participation)"),0)))</f>
        <v/>
      </c>
      <c r="J103" s="10">
        <f>IF(OR($A103="",$D103&lt;&gt;"READY"),"",IF(AGENT_INPUT!I103&gt;=SUMIFS(BONUS_RULES!$E$5:$E$46,BONUS_RULES!$A$5:$A$46,$C103,BONUS_RULES!$B$5:$B$46,"QM"),SUMIFS(BONUS_RULES!$D$5:$D$46,BONUS_RULES!$A$5:$A$46,$C103,BONUS_RULES!$B$5:$B$46,"QM"),IF(AGENT_INPUT!I103&gt;=SUMIFS(BONUS_RULES!$G$5:$G$46,BONUS_RULES!$A$5:$A$46,$C103,BONUS_RULES!$B$5:$B$46,"QM"),SUMIFS(BONUS_RULES!$F$5:$F$46,BONUS_RULES!$A$5:$A$46,$C103,BONUS_RULES!$B$5:$B$46,"QM"),0)))</f>
        <v/>
      </c>
      <c r="K103" s="10">
        <f>IF(POLICY_APPROVAL!$B$9="Eligibility only",0,IF(OR($A103="",$D103&lt;&gt;"READY"),"",IF(AGENT_INPUT!J103&lt;=SUMIFS(BONUS_RULES!$E$5:$E$46,BONUS_RULES!$A$5:$A$46,$C103,BONUS_RULES!$B$5:$B$46,"Abs%"),SUMIFS(BONUS_RULES!$D$5:$D$46,BONUS_RULES!$A$5:$A$46,$C103,BONUS_RULES!$B$5:$B$46,"Abs%"),IF(AGENT_INPUT!J103&lt;=SUMIFS(BONUS_RULES!$G$5:$G$46,BONUS_RULES!$A$5:$A$46,$C103,BONUS_RULES!$B$5:$B$46,"Abs%"),SUMIFS(BONUS_RULES!$F$5:$F$46,BONUS_RULES!$A$5:$A$46,$C103,BONUS_RULES!$B$5:$B$46,"Abs%"),0))))</f>
        <v/>
      </c>
      <c r="L103" s="10">
        <f>IF(OR($A103="",$D103&lt;&gt;"READY"),"",IF(AGENT_INPUT!G103&gt;=SUMIFS(BONUS_RULES!$E$5:$E$46,BONUS_RULES!$A$5:$A$46,$C103,BONUS_RULES!$B$5:$B$46,"Extra Bonus (PCS Score)"),SUMIFS(BONUS_RULES!$D$5:$D$46,BONUS_RULES!$A$5:$A$46,$C103,BONUS_RULES!$B$5:$B$46,"Extra Bonus (PCS Score)"),IF(AGENT_INPUT!G103&gt;=SUMIFS(BONUS_RULES!$G$5:$G$46,BONUS_RULES!$A$5:$A$46,$C103,BONUS_RULES!$B$5:$B$46,"Extra Bonus (PCS Score)"),SUMIFS(BONUS_RULES!$F$5:$F$46,BONUS_RULES!$A$5:$A$46,$C103,BONUS_RULES!$B$5:$B$46,"Extra Bonus (PCS Score)"),0)))</f>
        <v/>
      </c>
      <c r="M103" s="10">
        <f>IF($A103="","",MIN(IF(POLICY_APPROVAL!$B$6="Replacement",SUM(F103:K103)-H103+MAX(H103,L103),SUM(F103:L103)),POLICY_APPROVAL!$B$10))</f>
        <v>0</v>
      </c>
      <c r="N103" s="10">
        <f>IF($A103="","",IFERROR(INDEX(BONUS_RULES!$J$5:$J$10,MATCH(MIN(MAX(AGENT_INPUT!K103,0),5),BONUS_RULES!$I$5:$I$10,0)),1))</f>
        <v>0</v>
      </c>
      <c r="O103" s="10">
        <f>IF(M103="","",MAX(0,IF(POLICY_APPROVAL!$B$5="Percentage points",M103-N103,M103*(1-N103))))</f>
        <v>0</v>
      </c>
      <c r="P103" s="11">
        <f>IF(D103&lt;&gt;"READY","",IF(AGENT_INPUT!O103&gt;0,AGENT_INPUT!O103,AGENT_INPUT!M103*AGENT_INPUT!N103/IF(POLICY_APPROVAL!$B$7="Annual",12,1)))</f>
        <v/>
      </c>
      <c r="Q103" s="10">
        <f>IF(D103&lt;&gt;"READY","",MIN(1,AGENT_INPUT!P103/AGENT_INPUT!Q103))</f>
        <v/>
      </c>
      <c r="R103" s="11">
        <f>IF(D103&lt;&gt;"READY","",ROUND(P103*Q103*O103,IF(POLICY_APPROVAL!$B$11="Whole MAD",0,2)))</f>
        <v/>
      </c>
      <c r="S103" s="11">
        <f>IF(AND(SETUP!$B$9="READY",T103="READY"),R103,"")</f>
        <v/>
      </c>
      <c r="T103" s="4" t="str">
        <f>IF($A103="","",IF(D103&lt;&gt;"READY","BLOCKED - INPUT",IF(E103&lt;&gt;"ELIGIBLE","BLOCKED - ELIGIBILITY",IF(AGENT_INPUT!S103&lt;&gt;"VALIDATED","BLOCKED - DATA",IF(SETUP!$B$9&lt;&gt;"READY","BLOCKED - POLICY","READY")))))</f>
        <v>BLOCKED - INPUT</v>
      </c>
      <c r="U103" s="4" t="str">
        <f>IF($A103="","",IF(COUNTIFS(AGENT_INPUT!$A$5:$A$254,$A103,AGENT_INPUT!$D$5:$D$254,AGENT_INPUT!D103)&gt;1,"DUPLICATE AGENT + PERIOD",IF(D103&lt;&gt;"READY","INPUT OR CONFIG REVIEW",IF(T103&lt;&gt;"READY",T103,""))))</f>
        <v>Missing, invalid, or unconfigured required input</v>
      </c>
    </row>
    <row r="104" spans="1:21">
      <c r="A104" s="4">
        <f>IF(AGENT_INPUT!A104="","",AGENT_INPUT!A104)</f>
        <v>230824</v>
      </c>
      <c r="B104" s="4" t="str">
        <f>IF($A104="","",AGENT_INPUT!B104)</f>
        <v>Idriss Wardi</v>
      </c>
      <c r="C104" s="4" t="str">
        <f>IF($A104="","",AGENT_INPUT!C104)</f>
        <v>OEM FR</v>
      </c>
      <c r="D104" s="4" t="str">
        <f>IF($A104="","",IF(AND(COUNT(AGENT_INPUT!E104:J104)=6,COUNT(AGENT_INPUT!K104)=1,COUNTIF(BONUS_RULES!$A$5:$A$46,AGENT_INPUT!C104)&gt;0,OR(AGENT_INPUT!O104&gt;0,AND(AGENT_INPUT!M104&gt;0,AGENT_INPUT!N104&gt;0)),AGENT_INPUT!P104&gt;=0,AGENT_INPUT!Q104&gt;0,AGENT_INPUT!P104&lt;=AGENT_INPUT!Q104,AGENT_INPUT!H104&gt;=0,AGENT_INPUT!H104&lt;=1,AGENT_INPUT!I104&gt;=0,AGENT_INPUT!I104&lt;=1,AGENT_INPUT!J104&gt;=0,AGENT_INPUT!J104&lt;=1),"READY","BLOCKED"))</f>
        <v>READY</v>
      </c>
      <c r="E104" s="4" t="str">
        <f>IF($A104="","",IF(AGENT_INPUT!R104&lt;&gt;"Active","REVIEW",IF(OR(POLICY_APPROVAL!$B$9="Eligibility only",POLICY_APPROVAL!$B$9="Both"),IF(AGENT_INPUT!J104&lt;=SUMIFS(BONUS_RULES!$E$5:$E$46,BONUS_RULES!$A$5:$A$46,$C104,BONUS_RULES!$B$5:$B$46,"Abs%"),"ELIGIBLE","INELIGIBLE ABS"),"ELIGIBLE")))</f>
        <v>REVIEW</v>
      </c>
      <c r="F104" s="10">
        <f>IF(OR($A104="",$D104&lt;&gt;"READY"),"",IF(AGENT_INPUT!E104&lt;=SUMIFS(BONUS_RULES!$E$5:$E$46,BONUS_RULES!$A$5:$A$46,$C104,BONUS_RULES!$B$5:$B$46,"AHT"),SUMIFS(BONUS_RULES!$D$5:$D$46,BONUS_RULES!$A$5:$A$46,$C104,BONUS_RULES!$B$5:$B$46,"AHT"),IF(AGENT_INPUT!E104&lt;=SUMIFS(BONUS_RULES!$G$5:$G$46,BONUS_RULES!$A$5:$A$46,$C104,BONUS_RULES!$B$5:$B$46,"AHT"),SUMIFS(BONUS_RULES!$F$5:$F$46,BONUS_RULES!$A$5:$A$46,$C104,BONUS_RULES!$B$5:$B$46,"AHT"),0)))</f>
        <v>0.0</v>
      </c>
      <c r="G104" s="10">
        <f>IF(OR($A104="",$D104&lt;&gt;"READY"),"",IF(AGENT_INPUT!F104&gt;=SUMIFS(BONUS_RULES!$E$5:$E$46,BONUS_RULES!$A$5:$A$46,$C104,BONUS_RULES!$B$5:$B$46,"Productivity"),SUMIFS(BONUS_RULES!$D$5:$D$46,BONUS_RULES!$A$5:$A$46,$C104,BONUS_RULES!$B$5:$B$46,"Productivity"),IF(AGENT_INPUT!F104&gt;=SUMIFS(BONUS_RULES!$G$5:$G$46,BONUS_RULES!$A$5:$A$46,$C104,BONUS_RULES!$B$5:$B$46,"Productivity"),SUMIFS(BONUS_RULES!$F$5:$F$46,BONUS_RULES!$A$5:$A$46,$C104,BONUS_RULES!$B$5:$B$46,"Productivity"),0)))</f>
        <v>0.0</v>
      </c>
      <c r="H104" s="10">
        <f>IF(OR($A104="",$D104&lt;&gt;"READY"),"",IF(AGENT_INPUT!G104&gt;=SUMIFS(BONUS_RULES!$E$5:$E$46,BONUS_RULES!$A$5:$A$46,$C104,BONUS_RULES!$B$5:$B$46,"PCS Score"),SUMIFS(BONUS_RULES!$D$5:$D$46,BONUS_RULES!$A$5:$A$46,$C104,BONUS_RULES!$B$5:$B$46,"PCS Score"),IF(AGENT_INPUT!G104&gt;=SUMIFS(BONUS_RULES!$G$5:$G$46,BONUS_RULES!$A$5:$A$46,$C104,BONUS_RULES!$B$5:$B$46,"PCS Score"),SUMIFS(BONUS_RULES!$F$5:$F$46,BONUS_RULES!$A$5:$A$46,$C104,BONUS_RULES!$B$5:$B$46,"PCS Score"),0)))</f>
        <v>0.2</v>
      </c>
      <c r="I104" s="10">
        <f>IF(OR($A104="",$D104&lt;&gt;"READY"),"",IF(AGENT_INPUT!H104&gt;=SUMIFS(BONUS_RULES!$E$5:$E$46,BONUS_RULES!$A$5:$A$46,$C104,BONUS_RULES!$B$5:$B$46,"PCS % (Participation)"),SUMIFS(BONUS_RULES!$D$5:$D$46,BONUS_RULES!$A$5:$A$46,$C104,BONUS_RULES!$B$5:$B$46,"PCS % (Participation)"),IF(AGENT_INPUT!H104&gt;=SUMIFS(BONUS_RULES!$G$5:$G$46,BONUS_RULES!$A$5:$A$46,$C104,BONUS_RULES!$B$5:$B$46,"PCS % (Participation)"),SUMIFS(BONUS_RULES!$F$5:$F$46,BONUS_RULES!$A$5:$A$46,$C104,BONUS_RULES!$B$5:$B$46,"PCS % (Participation)"),0)))</f>
        <v>0.1</v>
      </c>
      <c r="J104" s="10">
        <f>IF(OR($A104="",$D104&lt;&gt;"READY"),"",IF(AGENT_INPUT!I104&gt;=SUMIFS(BONUS_RULES!$E$5:$E$46,BONUS_RULES!$A$5:$A$46,$C104,BONUS_RULES!$B$5:$B$46,"QM"),SUMIFS(BONUS_RULES!$D$5:$D$46,BONUS_RULES!$A$5:$A$46,$C104,BONUS_RULES!$B$5:$B$46,"QM"),IF(AGENT_INPUT!I104&gt;=SUMIFS(BONUS_RULES!$G$5:$G$46,BONUS_RULES!$A$5:$A$46,$C104,BONUS_RULES!$B$5:$B$46,"QM"),SUMIFS(BONUS_RULES!$F$5:$F$46,BONUS_RULES!$A$5:$A$46,$C104,BONUS_RULES!$B$5:$B$46,"QM"),0)))</f>
        <v>0.0</v>
      </c>
      <c r="K104" s="10">
        <f>IF(POLICY_APPROVAL!$B$9="Eligibility only",0,IF(OR($A104="",$D104&lt;&gt;"READY"),"",IF(AGENT_INPUT!J104&lt;=SUMIFS(BONUS_RULES!$E$5:$E$46,BONUS_RULES!$A$5:$A$46,$C104,BONUS_RULES!$B$5:$B$46,"Abs%"),SUMIFS(BONUS_RULES!$D$5:$D$46,BONUS_RULES!$A$5:$A$46,$C104,BONUS_RULES!$B$5:$B$46,"Abs%"),IF(AGENT_INPUT!J104&lt;=SUMIFS(BONUS_RULES!$G$5:$G$46,BONUS_RULES!$A$5:$A$46,$C104,BONUS_RULES!$B$5:$B$46,"Abs%"),SUMIFS(BONUS_RULES!$F$5:$F$46,BONUS_RULES!$A$5:$A$46,$C104,BONUS_RULES!$B$5:$B$46,"Abs%"),0))))</f>
        <v>0.15</v>
      </c>
      <c r="L104" s="10">
        <f>IF(OR($A104="",$D104&lt;&gt;"READY"),"",IF(AGENT_INPUT!G104&gt;=SUMIFS(BONUS_RULES!$E$5:$E$46,BONUS_RULES!$A$5:$A$46,$C104,BONUS_RULES!$B$5:$B$46,"Extra Bonus (PCS Score)"),SUMIFS(BONUS_RULES!$D$5:$D$46,BONUS_RULES!$A$5:$A$46,$C104,BONUS_RULES!$B$5:$B$46,"Extra Bonus (PCS Score)"),IF(AGENT_INPUT!G104&gt;=SUMIFS(BONUS_RULES!$G$5:$G$46,BONUS_RULES!$A$5:$A$46,$C104,BONUS_RULES!$B$5:$B$46,"Extra Bonus (PCS Score)"),SUMIFS(BONUS_RULES!$F$5:$F$46,BONUS_RULES!$A$5:$A$46,$C104,BONUS_RULES!$B$5:$B$46,"Extra Bonus (PCS Score)"),0)))</f>
        <v>0.3</v>
      </c>
      <c r="M104" s="10">
        <f>IF($A104="","",MIN(IF(POLICY_APPROVAL!$B$6="Replacement",SUM(F104:K104)-H104+MAX(H104,L104),SUM(F104:L104)),POLICY_APPROVAL!$B$10))</f>
        <v>0.75</v>
      </c>
      <c r="N104" s="10">
        <f>IF($A104="","",IFERROR(INDEX(BONUS_RULES!$J$5:$J$10,MATCH(MIN(MAX(AGENT_INPUT!K104,0),5),BONUS_RULES!$I$5:$I$10,0)),1))</f>
        <v>0</v>
      </c>
      <c r="O104" s="10">
        <f>IF(M104="","",MAX(0,IF(POLICY_APPROVAL!$B$5="Percentage points",M104-N104,M104*(1-N104))))</f>
        <v>0.75</v>
      </c>
      <c r="P104" s="11">
        <f>IF(D104&lt;&gt;"READY","",IF(AGENT_INPUT!O104&gt;0,AGENT_INPUT!O104,AGENT_INPUT!M104*AGENT_INPUT!N104/IF(POLICY_APPROVAL!$B$7="Annual",12,1)))</f>
        <v>2000.0</v>
      </c>
      <c r="Q104" s="10">
        <f>IF(D104&lt;&gt;"READY","",MIN(1,AGENT_INPUT!P104/AGENT_INPUT!Q104))</f>
        <v>1.0</v>
      </c>
      <c r="R104" s="11">
        <f>IF(D104&lt;&gt;"READY","",ROUND(P104*Q104*O104,IF(POLICY_APPROVAL!$B$11="Whole MAD",0,2)))</f>
        <v>1500.0</v>
      </c>
      <c r="S104" s="11">
        <f>IF(AND(SETUP!$B$9="READY",T104="READY"),R104,"")</f>
        <v/>
      </c>
      <c r="T104" s="4" t="str">
        <f>IF($A104="","",IF(D104&lt;&gt;"READY","BLOCKED - INPUT",IF(E104&lt;&gt;"ELIGIBLE","BLOCKED - ELIGIBILITY",IF(AGENT_INPUT!S104&lt;&gt;"VALIDATED","BLOCKED - DATA",IF(SETUP!$B$9&lt;&gt;"READY","BLOCKED - POLICY","READY")))))</f>
        <v>BLOCKED - ELIGIBILITY</v>
      </c>
      <c r="U104" s="4" t="str">
        <f>IF($A104="","",IF(COUNTIFS(AGENT_INPUT!$A$5:$A$254,$A104,AGENT_INPUT!$D$5:$D$254,AGENT_INPUT!D104)&gt;1,"DUPLICATE AGENT + PERIOD",IF(D104&lt;&gt;"READY","INPUT OR CONFIG REVIEW",IF(T104&lt;&gt;"READY",T104,""))))</f>
        <v>BLOCKED - ELIGIBILITY</v>
      </c>
    </row>
    <row r="105" spans="1:21">
      <c r="A105" s="4">
        <f>IF(AGENT_INPUT!A105="","",AGENT_INPUT!A105)</f>
        <v>203589</v>
      </c>
      <c r="B105" s="4" t="str">
        <f>IF($A105="","",AGENT_INPUT!B105)</f>
        <v>El Ayoubi Ichraf</v>
      </c>
      <c r="C105" s="4" t="str">
        <f>IF($A105="","",AGENT_INPUT!C105)</f>
        <v>Ford Dutch</v>
      </c>
      <c r="D105" s="4" t="str">
        <f>IF($A105="","",IF(AND(COUNT(AGENT_INPUT!E105:J105)=6,COUNT(AGENT_INPUT!K105)=1,COUNTIF(BONUS_RULES!$A$5:$A$46,AGENT_INPUT!C105)&gt;0,OR(AGENT_INPUT!O105&gt;0,AND(AGENT_INPUT!M105&gt;0,AGENT_INPUT!N105&gt;0)),AGENT_INPUT!P105&gt;=0,AGENT_INPUT!Q105&gt;0,AGENT_INPUT!P105&lt;=AGENT_INPUT!Q105,AGENT_INPUT!H105&gt;=0,AGENT_INPUT!H105&lt;=1,AGENT_INPUT!I105&gt;=0,AGENT_INPUT!I105&lt;=1,AGENT_INPUT!J105&gt;=0,AGENT_INPUT!J105&lt;=1),"READY","BLOCKED"))</f>
        <v>READY</v>
      </c>
      <c r="E105" s="4" t="str">
        <f>IF($A105="","",IF(AGENT_INPUT!R105&lt;&gt;"Active","REVIEW",IF(OR(POLICY_APPROVAL!$B$9="Eligibility only",POLICY_APPROVAL!$B$9="Both"),IF(AGENT_INPUT!J105&lt;=SUMIFS(BONUS_RULES!$E$5:$E$46,BONUS_RULES!$A$5:$A$46,$C105,BONUS_RULES!$B$5:$B$46,"Abs%"),"ELIGIBLE","INELIGIBLE ABS"),"ELIGIBLE")))</f>
        <v>REVIEW</v>
      </c>
      <c r="F105" s="10">
        <f>IF(OR($A105="",$D105&lt;&gt;"READY"),"",IF(AGENT_INPUT!E105&lt;=SUMIFS(BONUS_RULES!$E$5:$E$46,BONUS_RULES!$A$5:$A$46,$C105,BONUS_RULES!$B$5:$B$46,"AHT"),SUMIFS(BONUS_RULES!$D$5:$D$46,BONUS_RULES!$A$5:$A$46,$C105,BONUS_RULES!$B$5:$B$46,"AHT"),IF(AGENT_INPUT!E105&lt;=SUMIFS(BONUS_RULES!$G$5:$G$46,BONUS_RULES!$A$5:$A$46,$C105,BONUS_RULES!$B$5:$B$46,"AHT"),SUMIFS(BONUS_RULES!$F$5:$F$46,BONUS_RULES!$A$5:$A$46,$C105,BONUS_RULES!$B$5:$B$46,"AHT"),0)))</f>
        <v>0.15</v>
      </c>
      <c r="G105" s="10">
        <f>IF(OR($A105="",$D105&lt;&gt;"READY"),"",IF(AGENT_INPUT!F105&gt;=SUMIFS(BONUS_RULES!$E$5:$E$46,BONUS_RULES!$A$5:$A$46,$C105,BONUS_RULES!$B$5:$B$46,"Productivity"),SUMIFS(BONUS_RULES!$D$5:$D$46,BONUS_RULES!$A$5:$A$46,$C105,BONUS_RULES!$B$5:$B$46,"Productivity"),IF(AGENT_INPUT!F105&gt;=SUMIFS(BONUS_RULES!$G$5:$G$46,BONUS_RULES!$A$5:$A$46,$C105,BONUS_RULES!$B$5:$B$46,"Productivity"),SUMIFS(BONUS_RULES!$F$5:$F$46,BONUS_RULES!$A$5:$A$46,$C105,BONUS_RULES!$B$5:$B$46,"Productivity"),0)))</f>
        <v>0.15</v>
      </c>
      <c r="H105" s="10">
        <f>IF(OR($A105="",$D105&lt;&gt;"READY"),"",IF(AGENT_INPUT!G105&gt;=SUMIFS(BONUS_RULES!$E$5:$E$46,BONUS_RULES!$A$5:$A$46,$C105,BONUS_RULES!$B$5:$B$46,"PCS Score"),SUMIFS(BONUS_RULES!$D$5:$D$46,BONUS_RULES!$A$5:$A$46,$C105,BONUS_RULES!$B$5:$B$46,"PCS Score"),IF(AGENT_INPUT!G105&gt;=SUMIFS(BONUS_RULES!$G$5:$G$46,BONUS_RULES!$A$5:$A$46,$C105,BONUS_RULES!$B$5:$B$46,"PCS Score"),SUMIFS(BONUS_RULES!$F$5:$F$46,BONUS_RULES!$A$5:$A$46,$C105,BONUS_RULES!$B$5:$B$46,"PCS Score"),0)))</f>
        <v>0.0</v>
      </c>
      <c r="I105" s="10">
        <f>IF(OR($A105="",$D105&lt;&gt;"READY"),"",IF(AGENT_INPUT!H105&gt;=SUMIFS(BONUS_RULES!$E$5:$E$46,BONUS_RULES!$A$5:$A$46,$C105,BONUS_RULES!$B$5:$B$46,"PCS % (Participation)"),SUMIFS(BONUS_RULES!$D$5:$D$46,BONUS_RULES!$A$5:$A$46,$C105,BONUS_RULES!$B$5:$B$46,"PCS % (Participation)"),IF(AGENT_INPUT!H105&gt;=SUMIFS(BONUS_RULES!$G$5:$G$46,BONUS_RULES!$A$5:$A$46,$C105,BONUS_RULES!$B$5:$B$46,"PCS % (Participation)"),SUMIFS(BONUS_RULES!$F$5:$F$46,BONUS_RULES!$A$5:$A$46,$C105,BONUS_RULES!$B$5:$B$46,"PCS % (Participation)"),0)))</f>
        <v>0.0</v>
      </c>
      <c r="J105" s="10">
        <f>IF(OR($A105="",$D105&lt;&gt;"READY"),"",IF(AGENT_INPUT!I105&gt;=SUMIFS(BONUS_RULES!$E$5:$E$46,BONUS_RULES!$A$5:$A$46,$C105,BONUS_RULES!$B$5:$B$46,"QM"),SUMIFS(BONUS_RULES!$D$5:$D$46,BONUS_RULES!$A$5:$A$46,$C105,BONUS_RULES!$B$5:$B$46,"QM"),IF(AGENT_INPUT!I105&gt;=SUMIFS(BONUS_RULES!$G$5:$G$46,BONUS_RULES!$A$5:$A$46,$C105,BONUS_RULES!$B$5:$B$46,"QM"),SUMIFS(BONUS_RULES!$F$5:$F$46,BONUS_RULES!$A$5:$A$46,$C105,BONUS_RULES!$B$5:$B$46,"QM"),0)))</f>
        <v>0.0</v>
      </c>
      <c r="K105" s="10">
        <f>IF(POLICY_APPROVAL!$B$9="Eligibility only",0,IF(OR($A105="",$D105&lt;&gt;"READY"),"",IF(AGENT_INPUT!J105&lt;=SUMIFS(BONUS_RULES!$E$5:$E$46,BONUS_RULES!$A$5:$A$46,$C105,BONUS_RULES!$B$5:$B$46,"Abs%"),SUMIFS(BONUS_RULES!$D$5:$D$46,BONUS_RULES!$A$5:$A$46,$C105,BONUS_RULES!$B$5:$B$46,"Abs%"),IF(AGENT_INPUT!J105&lt;=SUMIFS(BONUS_RULES!$G$5:$G$46,BONUS_RULES!$A$5:$A$46,$C105,BONUS_RULES!$B$5:$B$46,"Abs%"),SUMIFS(BONUS_RULES!$F$5:$F$46,BONUS_RULES!$A$5:$A$46,$C105,BONUS_RULES!$B$5:$B$46,"Abs%"),0))))</f>
        <v>0.15</v>
      </c>
      <c r="L105" s="10">
        <f>IF(OR($A105="",$D105&lt;&gt;"READY"),"",IF(AGENT_INPUT!G105&gt;=SUMIFS(BONUS_RULES!$E$5:$E$46,BONUS_RULES!$A$5:$A$46,$C105,BONUS_RULES!$B$5:$B$46,"Extra Bonus (PCS Score)"),SUMIFS(BONUS_RULES!$D$5:$D$46,BONUS_RULES!$A$5:$A$46,$C105,BONUS_RULES!$B$5:$B$46,"Extra Bonus (PCS Score)"),IF(AGENT_INPUT!G105&gt;=SUMIFS(BONUS_RULES!$G$5:$G$46,BONUS_RULES!$A$5:$A$46,$C105,BONUS_RULES!$B$5:$B$46,"Extra Bonus (PCS Score)"),SUMIFS(BONUS_RULES!$F$5:$F$46,BONUS_RULES!$A$5:$A$46,$C105,BONUS_RULES!$B$5:$B$46,"Extra Bonus (PCS Score)"),0)))</f>
        <v>0.0</v>
      </c>
      <c r="M105" s="10">
        <f>IF($A105="","",MIN(IF(POLICY_APPROVAL!$B$6="Replacement",SUM(F105:K105)-H105+MAX(H105,L105),SUM(F105:L105)),POLICY_APPROVAL!$B$10))</f>
        <v>0.44999999999999996</v>
      </c>
      <c r="N105" s="10">
        <f>IF($A105="","",IFERROR(INDEX(BONUS_RULES!$J$5:$J$10,MATCH(MIN(MAX(AGENT_INPUT!K105,0),5),BONUS_RULES!$I$5:$I$10,0)),1))</f>
        <v>0</v>
      </c>
      <c r="O105" s="10">
        <f>IF(M105="","",MAX(0,IF(POLICY_APPROVAL!$B$5="Percentage points",M105-N105,M105*(1-N105))))</f>
        <v>0.44999999999999996</v>
      </c>
      <c r="P105" s="11">
        <f>IF(D105&lt;&gt;"READY","",IF(AGENT_INPUT!O105&gt;0,AGENT_INPUT!O105,AGENT_INPUT!M105*AGENT_INPUT!N105/IF(POLICY_APPROVAL!$B$7="Annual",12,1)))</f>
        <v>2000.0</v>
      </c>
      <c r="Q105" s="10">
        <f>IF(D105&lt;&gt;"READY","",MIN(1,AGENT_INPUT!P105/AGENT_INPUT!Q105))</f>
        <v>1.0</v>
      </c>
      <c r="R105" s="11">
        <f>IF(D105&lt;&gt;"READY","",ROUND(P105*Q105*O105,IF(POLICY_APPROVAL!$B$11="Whole MAD",0,2)))</f>
        <v>900.0</v>
      </c>
      <c r="S105" s="11">
        <f>IF(AND(SETUP!$B$9="READY",T105="READY"),R105,"")</f>
        <v/>
      </c>
      <c r="T105" s="4" t="str">
        <f>IF($A105="","",IF(D105&lt;&gt;"READY","BLOCKED - INPUT",IF(E105&lt;&gt;"ELIGIBLE","BLOCKED - ELIGIBILITY",IF(AGENT_INPUT!S105&lt;&gt;"VALIDATED","BLOCKED - DATA",IF(SETUP!$B$9&lt;&gt;"READY","BLOCKED - POLICY","READY")))))</f>
        <v>BLOCKED - ELIGIBILITY</v>
      </c>
      <c r="U105" s="4" t="str">
        <f>IF($A105="","",IF(COUNTIFS(AGENT_INPUT!$A$5:$A$254,$A105,AGENT_INPUT!$D$5:$D$254,AGENT_INPUT!D105)&gt;1,"DUPLICATE AGENT + PERIOD",IF(D105&lt;&gt;"READY","INPUT OR CONFIG REVIEW",IF(T105&lt;&gt;"READY",T105,""))))</f>
        <v>BLOCKED - ELIGIBILITY</v>
      </c>
    </row>
    <row r="106" spans="1:21">
      <c r="A106" s="4">
        <f>IF(AGENT_INPUT!A106="","",AGENT_INPUT!A106)</f>
        <v>228675</v>
      </c>
      <c r="B106" s="4" t="str">
        <f>IF($A106="","",AGENT_INPUT!B106)</f>
        <v>Houda  Rawis</v>
      </c>
      <c r="C106" s="4" t="str">
        <f>IF($A106="","",AGENT_INPUT!C106)</f>
        <v>OEM FR</v>
      </c>
      <c r="D106" s="4" t="str">
        <f>IF($A106="","",IF(AND(COUNT(AGENT_INPUT!E106:J106)=6,COUNT(AGENT_INPUT!K106)=1,COUNTIF(BONUS_RULES!$A$5:$A$46,AGENT_INPUT!C106)&gt;0,OR(AGENT_INPUT!O106&gt;0,AND(AGENT_INPUT!M106&gt;0,AGENT_INPUT!N106&gt;0)),AGENT_INPUT!P106&gt;=0,AGENT_INPUT!Q106&gt;0,AGENT_INPUT!P106&lt;=AGENT_INPUT!Q106,AGENT_INPUT!H106&gt;=0,AGENT_INPUT!H106&lt;=1,AGENT_INPUT!I106&gt;=0,AGENT_INPUT!I106&lt;=1,AGENT_INPUT!J106&gt;=0,AGENT_INPUT!J106&lt;=1),"READY","BLOCKED"))</f>
        <v>READY</v>
      </c>
      <c r="E106" s="4" t="str">
        <f>IF($A106="","",IF(AGENT_INPUT!R106&lt;&gt;"Active","REVIEW",IF(OR(POLICY_APPROVAL!$B$9="Eligibility only",POLICY_APPROVAL!$B$9="Both"),IF(AGENT_INPUT!J106&lt;=SUMIFS(BONUS_RULES!$E$5:$E$46,BONUS_RULES!$A$5:$A$46,$C106,BONUS_RULES!$B$5:$B$46,"Abs%"),"ELIGIBLE","INELIGIBLE ABS"),"ELIGIBLE")))</f>
        <v>REVIEW</v>
      </c>
      <c r="F106" s="10">
        <f>IF(OR($A106="",$D106&lt;&gt;"READY"),"",IF(AGENT_INPUT!E106&lt;=SUMIFS(BONUS_RULES!$E$5:$E$46,BONUS_RULES!$A$5:$A$46,$C106,BONUS_RULES!$B$5:$B$46,"AHT"),SUMIFS(BONUS_RULES!$D$5:$D$46,BONUS_RULES!$A$5:$A$46,$C106,BONUS_RULES!$B$5:$B$46,"AHT"),IF(AGENT_INPUT!E106&lt;=SUMIFS(BONUS_RULES!$G$5:$G$46,BONUS_RULES!$A$5:$A$46,$C106,BONUS_RULES!$B$5:$B$46,"AHT"),SUMIFS(BONUS_RULES!$F$5:$F$46,BONUS_RULES!$A$5:$A$46,$C106,BONUS_RULES!$B$5:$B$46,"AHT"),0)))</f>
        <v>0.0</v>
      </c>
      <c r="G106" s="10">
        <f>IF(OR($A106="",$D106&lt;&gt;"READY"),"",IF(AGENT_INPUT!F106&gt;=SUMIFS(BONUS_RULES!$E$5:$E$46,BONUS_RULES!$A$5:$A$46,$C106,BONUS_RULES!$B$5:$B$46,"Productivity"),SUMIFS(BONUS_RULES!$D$5:$D$46,BONUS_RULES!$A$5:$A$46,$C106,BONUS_RULES!$B$5:$B$46,"Productivity"),IF(AGENT_INPUT!F106&gt;=SUMIFS(BONUS_RULES!$G$5:$G$46,BONUS_RULES!$A$5:$A$46,$C106,BONUS_RULES!$B$5:$B$46,"Productivity"),SUMIFS(BONUS_RULES!$F$5:$F$46,BONUS_RULES!$A$5:$A$46,$C106,BONUS_RULES!$B$5:$B$46,"Productivity"),0)))</f>
        <v>0.0</v>
      </c>
      <c r="H106" s="10">
        <f>IF(OR($A106="",$D106&lt;&gt;"READY"),"",IF(AGENT_INPUT!G106&gt;=SUMIFS(BONUS_RULES!$E$5:$E$46,BONUS_RULES!$A$5:$A$46,$C106,BONUS_RULES!$B$5:$B$46,"PCS Score"),SUMIFS(BONUS_RULES!$D$5:$D$46,BONUS_RULES!$A$5:$A$46,$C106,BONUS_RULES!$B$5:$B$46,"PCS Score"),IF(AGENT_INPUT!G106&gt;=SUMIFS(BONUS_RULES!$G$5:$G$46,BONUS_RULES!$A$5:$A$46,$C106,BONUS_RULES!$B$5:$B$46,"PCS Score"),SUMIFS(BONUS_RULES!$F$5:$F$46,BONUS_RULES!$A$5:$A$46,$C106,BONUS_RULES!$B$5:$B$46,"PCS Score"),0)))</f>
        <v>0.2</v>
      </c>
      <c r="I106" s="10">
        <f>IF(OR($A106="",$D106&lt;&gt;"READY"),"",IF(AGENT_INPUT!H106&gt;=SUMIFS(BONUS_RULES!$E$5:$E$46,BONUS_RULES!$A$5:$A$46,$C106,BONUS_RULES!$B$5:$B$46,"PCS % (Participation)"),SUMIFS(BONUS_RULES!$D$5:$D$46,BONUS_RULES!$A$5:$A$46,$C106,BONUS_RULES!$B$5:$B$46,"PCS % (Participation)"),IF(AGENT_INPUT!H106&gt;=SUMIFS(BONUS_RULES!$G$5:$G$46,BONUS_RULES!$A$5:$A$46,$C106,BONUS_RULES!$B$5:$B$46,"PCS % (Participation)"),SUMIFS(BONUS_RULES!$F$5:$F$46,BONUS_RULES!$A$5:$A$46,$C106,BONUS_RULES!$B$5:$B$46,"PCS % (Participation)"),0)))</f>
        <v>0.0</v>
      </c>
      <c r="J106" s="10">
        <f>IF(OR($A106="",$D106&lt;&gt;"READY"),"",IF(AGENT_INPUT!I106&gt;=SUMIFS(BONUS_RULES!$E$5:$E$46,BONUS_RULES!$A$5:$A$46,$C106,BONUS_RULES!$B$5:$B$46,"QM"),SUMIFS(BONUS_RULES!$D$5:$D$46,BONUS_RULES!$A$5:$A$46,$C106,BONUS_RULES!$B$5:$B$46,"QM"),IF(AGENT_INPUT!I106&gt;=SUMIFS(BONUS_RULES!$G$5:$G$46,BONUS_RULES!$A$5:$A$46,$C106,BONUS_RULES!$B$5:$B$46,"QM"),SUMIFS(BONUS_RULES!$F$5:$F$46,BONUS_RULES!$A$5:$A$46,$C106,BONUS_RULES!$B$5:$B$46,"QM"),0)))</f>
        <v>0.0</v>
      </c>
      <c r="K106" s="10">
        <f>IF(POLICY_APPROVAL!$B$9="Eligibility only",0,IF(OR($A106="",$D106&lt;&gt;"READY"),"",IF(AGENT_INPUT!J106&lt;=SUMIFS(BONUS_RULES!$E$5:$E$46,BONUS_RULES!$A$5:$A$46,$C106,BONUS_RULES!$B$5:$B$46,"Abs%"),SUMIFS(BONUS_RULES!$D$5:$D$46,BONUS_RULES!$A$5:$A$46,$C106,BONUS_RULES!$B$5:$B$46,"Abs%"),IF(AGENT_INPUT!J106&lt;=SUMIFS(BONUS_RULES!$G$5:$G$46,BONUS_RULES!$A$5:$A$46,$C106,BONUS_RULES!$B$5:$B$46,"Abs%"),SUMIFS(BONUS_RULES!$F$5:$F$46,BONUS_RULES!$A$5:$A$46,$C106,BONUS_RULES!$B$5:$B$46,"Abs%"),0))))</f>
        <v>0.15</v>
      </c>
      <c r="L106" s="10">
        <f>IF(OR($A106="",$D106&lt;&gt;"READY"),"",IF(AGENT_INPUT!G106&gt;=SUMIFS(BONUS_RULES!$E$5:$E$46,BONUS_RULES!$A$5:$A$46,$C106,BONUS_RULES!$B$5:$B$46,"Extra Bonus (PCS Score)"),SUMIFS(BONUS_RULES!$D$5:$D$46,BONUS_RULES!$A$5:$A$46,$C106,BONUS_RULES!$B$5:$B$46,"Extra Bonus (PCS Score)"),IF(AGENT_INPUT!G106&gt;=SUMIFS(BONUS_RULES!$G$5:$G$46,BONUS_RULES!$A$5:$A$46,$C106,BONUS_RULES!$B$5:$B$46,"Extra Bonus (PCS Score)"),SUMIFS(BONUS_RULES!$F$5:$F$46,BONUS_RULES!$A$5:$A$46,$C106,BONUS_RULES!$B$5:$B$46,"Extra Bonus (PCS Score)"),0)))</f>
        <v>0.3</v>
      </c>
      <c r="M106" s="10">
        <f>IF($A106="","",MIN(IF(POLICY_APPROVAL!$B$6="Replacement",SUM(F106:K106)-H106+MAX(H106,L106),SUM(F106:L106)),POLICY_APPROVAL!$B$10))</f>
        <v>0.6499999999999999</v>
      </c>
      <c r="N106" s="10">
        <f>IF($A106="","",IFERROR(INDEX(BONUS_RULES!$J$5:$J$10,MATCH(MIN(MAX(AGENT_INPUT!K106,0),5),BONUS_RULES!$I$5:$I$10,0)),1))</f>
        <v>0</v>
      </c>
      <c r="O106" s="10">
        <f>IF(M106="","",MAX(0,IF(POLICY_APPROVAL!$B$5="Percentage points",M106-N106,M106*(1-N106))))</f>
        <v>0.6499999999999999</v>
      </c>
      <c r="P106" s="11">
        <f>IF(D106&lt;&gt;"READY","",IF(AGENT_INPUT!O106&gt;0,AGENT_INPUT!O106,AGENT_INPUT!M106*AGENT_INPUT!N106/IF(POLICY_APPROVAL!$B$7="Annual",12,1)))</f>
        <v>2000.0</v>
      </c>
      <c r="Q106" s="10">
        <f>IF(D106&lt;&gt;"READY","",MIN(1,AGENT_INPUT!P106/AGENT_INPUT!Q106))</f>
        <v>1.0</v>
      </c>
      <c r="R106" s="11">
        <f>IF(D106&lt;&gt;"READY","",ROUND(P106*Q106*O106,IF(POLICY_APPROVAL!$B$11="Whole MAD",0,2)))</f>
        <v>1300.0</v>
      </c>
      <c r="S106" s="11">
        <f>IF(AND(SETUP!$B$9="READY",T106="READY"),R106,"")</f>
        <v/>
      </c>
      <c r="T106" s="4" t="str">
        <f>IF($A106="","",IF(D106&lt;&gt;"READY","BLOCKED - INPUT",IF(E106&lt;&gt;"ELIGIBLE","BLOCKED - ELIGIBILITY",IF(AGENT_INPUT!S106&lt;&gt;"VALIDATED","BLOCKED - DATA",IF(SETUP!$B$9&lt;&gt;"READY","BLOCKED - POLICY","READY")))))</f>
        <v>BLOCKED - ELIGIBILITY</v>
      </c>
      <c r="U106" s="4" t="str">
        <f>IF($A106="","",IF(COUNTIFS(AGENT_INPUT!$A$5:$A$254,$A106,AGENT_INPUT!$D$5:$D$254,AGENT_INPUT!D106)&gt;1,"DUPLICATE AGENT + PERIOD",IF(D106&lt;&gt;"READY","INPUT OR CONFIG REVIEW",IF(T106&lt;&gt;"READY",T106,""))))</f>
        <v>BLOCKED - ELIGIBILITY</v>
      </c>
    </row>
    <row r="107" spans="1:21">
      <c r="A107" s="4">
        <f>IF(AGENT_INPUT!A107="","",AGENT_INPUT!A107)</f>
        <v>232194</v>
      </c>
      <c r="B107" s="4" t="str">
        <f>IF($A107="","",AGENT_INPUT!B107)</f>
        <v>Houcine Benhaddo</v>
      </c>
      <c r="C107" s="4" t="str">
        <f>IF($A107="","",AGENT_INPUT!C107)</f>
        <v>RSA NL</v>
      </c>
      <c r="D107" s="4" t="str">
        <f>IF($A107="","",IF(AND(COUNT(AGENT_INPUT!E107:J107)=6,COUNT(AGENT_INPUT!K107)=1,COUNTIF(BONUS_RULES!$A$5:$A$46,AGENT_INPUT!C107)&gt;0,OR(AGENT_INPUT!O107&gt;0,AND(AGENT_INPUT!M107&gt;0,AGENT_INPUT!N107&gt;0)),AGENT_INPUT!P107&gt;=0,AGENT_INPUT!Q107&gt;0,AGENT_INPUT!P107&lt;=AGENT_INPUT!Q107,AGENT_INPUT!H107&gt;=0,AGENT_INPUT!H107&lt;=1,AGENT_INPUT!I107&gt;=0,AGENT_INPUT!I107&lt;=1,AGENT_INPUT!J107&gt;=0,AGENT_INPUT!J107&lt;=1),"READY","BLOCKED"))</f>
        <v>READY</v>
      </c>
      <c r="E107" s="4" t="str">
        <f>IF($A107="","",IF(AGENT_INPUT!R107&lt;&gt;"Active","REVIEW",IF(OR(POLICY_APPROVAL!$B$9="Eligibility only",POLICY_APPROVAL!$B$9="Both"),IF(AGENT_INPUT!J107&lt;=SUMIFS(BONUS_RULES!$E$5:$E$46,BONUS_RULES!$A$5:$A$46,$C107,BONUS_RULES!$B$5:$B$46,"Abs%"),"ELIGIBLE","INELIGIBLE ABS"),"ELIGIBLE")))</f>
        <v>REVIEW</v>
      </c>
      <c r="F107" s="10">
        <f>IF(OR($A107="",$D107&lt;&gt;"READY"),"",IF(AGENT_INPUT!E107&lt;=SUMIFS(BONUS_RULES!$E$5:$E$46,BONUS_RULES!$A$5:$A$46,$C107,BONUS_RULES!$B$5:$B$46,"AHT"),SUMIFS(BONUS_RULES!$D$5:$D$46,BONUS_RULES!$A$5:$A$46,$C107,BONUS_RULES!$B$5:$B$46,"AHT"),IF(AGENT_INPUT!E107&lt;=SUMIFS(BONUS_RULES!$G$5:$G$46,BONUS_RULES!$A$5:$A$46,$C107,BONUS_RULES!$B$5:$B$46,"AHT"),SUMIFS(BONUS_RULES!$F$5:$F$46,BONUS_RULES!$A$5:$A$46,$C107,BONUS_RULES!$B$5:$B$46,"AHT"),0)))</f>
        <v>0.15</v>
      </c>
      <c r="G107" s="10">
        <f>IF(OR($A107="",$D107&lt;&gt;"READY"),"",IF(AGENT_INPUT!F107&gt;=SUMIFS(BONUS_RULES!$E$5:$E$46,BONUS_RULES!$A$5:$A$46,$C107,BONUS_RULES!$B$5:$B$46,"Productivity"),SUMIFS(BONUS_RULES!$D$5:$D$46,BONUS_RULES!$A$5:$A$46,$C107,BONUS_RULES!$B$5:$B$46,"Productivity"),IF(AGENT_INPUT!F107&gt;=SUMIFS(BONUS_RULES!$G$5:$G$46,BONUS_RULES!$A$5:$A$46,$C107,BONUS_RULES!$B$5:$B$46,"Productivity"),SUMIFS(BONUS_RULES!$F$5:$F$46,BONUS_RULES!$A$5:$A$46,$C107,BONUS_RULES!$B$5:$B$46,"Productivity"),0)))</f>
        <v>0.15</v>
      </c>
      <c r="H107" s="10">
        <f>IF(OR($A107="",$D107&lt;&gt;"READY"),"",IF(AGENT_INPUT!G107&gt;=SUMIFS(BONUS_RULES!$E$5:$E$46,BONUS_RULES!$A$5:$A$46,$C107,BONUS_RULES!$B$5:$B$46,"PCS Score"),SUMIFS(BONUS_RULES!$D$5:$D$46,BONUS_RULES!$A$5:$A$46,$C107,BONUS_RULES!$B$5:$B$46,"PCS Score"),IF(AGENT_INPUT!G107&gt;=SUMIFS(BONUS_RULES!$G$5:$G$46,BONUS_RULES!$A$5:$A$46,$C107,BONUS_RULES!$B$5:$B$46,"PCS Score"),SUMIFS(BONUS_RULES!$F$5:$F$46,BONUS_RULES!$A$5:$A$46,$C107,BONUS_RULES!$B$5:$B$46,"PCS Score"),0)))</f>
        <v>0.15</v>
      </c>
      <c r="I107" s="10">
        <f>IF(OR($A107="",$D107&lt;&gt;"READY"),"",IF(AGENT_INPUT!H107&gt;=SUMIFS(BONUS_RULES!$E$5:$E$46,BONUS_RULES!$A$5:$A$46,$C107,BONUS_RULES!$B$5:$B$46,"PCS % (Participation)"),SUMIFS(BONUS_RULES!$D$5:$D$46,BONUS_RULES!$A$5:$A$46,$C107,BONUS_RULES!$B$5:$B$46,"PCS % (Participation)"),IF(AGENT_INPUT!H107&gt;=SUMIFS(BONUS_RULES!$G$5:$G$46,BONUS_RULES!$A$5:$A$46,$C107,BONUS_RULES!$B$5:$B$46,"PCS % (Participation)"),SUMIFS(BONUS_RULES!$F$5:$F$46,BONUS_RULES!$A$5:$A$46,$C107,BONUS_RULES!$B$5:$B$46,"PCS % (Participation)"),0)))</f>
        <v>0.0</v>
      </c>
      <c r="J107" s="10">
        <f>IF(OR($A107="",$D107&lt;&gt;"READY"),"",IF(AGENT_INPUT!I107&gt;=SUMIFS(BONUS_RULES!$E$5:$E$46,BONUS_RULES!$A$5:$A$46,$C107,BONUS_RULES!$B$5:$B$46,"QM"),SUMIFS(BONUS_RULES!$D$5:$D$46,BONUS_RULES!$A$5:$A$46,$C107,BONUS_RULES!$B$5:$B$46,"QM"),IF(AGENT_INPUT!I107&gt;=SUMIFS(BONUS_RULES!$G$5:$G$46,BONUS_RULES!$A$5:$A$46,$C107,BONUS_RULES!$B$5:$B$46,"QM"),SUMIFS(BONUS_RULES!$F$5:$F$46,BONUS_RULES!$A$5:$A$46,$C107,BONUS_RULES!$B$5:$B$46,"QM"),0)))</f>
        <v>0.0</v>
      </c>
      <c r="K107" s="10">
        <f>IF(POLICY_APPROVAL!$B$9="Eligibility only",0,IF(OR($A107="",$D107&lt;&gt;"READY"),"",IF(AGENT_INPUT!J107&lt;=SUMIFS(BONUS_RULES!$E$5:$E$46,BONUS_RULES!$A$5:$A$46,$C107,BONUS_RULES!$B$5:$B$46,"Abs%"),SUMIFS(BONUS_RULES!$D$5:$D$46,BONUS_RULES!$A$5:$A$46,$C107,BONUS_RULES!$B$5:$B$46,"Abs%"),IF(AGENT_INPUT!J107&lt;=SUMIFS(BONUS_RULES!$G$5:$G$46,BONUS_RULES!$A$5:$A$46,$C107,BONUS_RULES!$B$5:$B$46,"Abs%"),SUMIFS(BONUS_RULES!$F$5:$F$46,BONUS_RULES!$A$5:$A$46,$C107,BONUS_RULES!$B$5:$B$46,"Abs%"),0))))</f>
        <v>0.15</v>
      </c>
      <c r="L107" s="10">
        <f>IF(OR($A107="",$D107&lt;&gt;"READY"),"",IF(AGENT_INPUT!G107&gt;=SUMIFS(BONUS_RULES!$E$5:$E$46,BONUS_RULES!$A$5:$A$46,$C107,BONUS_RULES!$B$5:$B$46,"Extra Bonus (PCS Score)"),SUMIFS(BONUS_RULES!$D$5:$D$46,BONUS_RULES!$A$5:$A$46,$C107,BONUS_RULES!$B$5:$B$46,"Extra Bonus (PCS Score)"),IF(AGENT_INPUT!G107&gt;=SUMIFS(BONUS_RULES!$G$5:$G$46,BONUS_RULES!$A$5:$A$46,$C107,BONUS_RULES!$B$5:$B$46,"Extra Bonus (PCS Score)"),SUMIFS(BONUS_RULES!$F$5:$F$46,BONUS_RULES!$A$5:$A$46,$C107,BONUS_RULES!$B$5:$B$46,"Extra Bonus (PCS Score)"),0)))</f>
        <v>0.0</v>
      </c>
      <c r="M107" s="10">
        <f>IF($A107="","",MIN(IF(POLICY_APPROVAL!$B$6="Replacement",SUM(F107:K107)-H107+MAX(H107,L107),SUM(F107:L107)),POLICY_APPROVAL!$B$10))</f>
        <v>0.6</v>
      </c>
      <c r="N107" s="10">
        <f>IF($A107="","",IFERROR(INDEX(BONUS_RULES!$J$5:$J$10,MATCH(MIN(MAX(AGENT_INPUT!K107,0),5),BONUS_RULES!$I$5:$I$10,0)),1))</f>
        <v>0</v>
      </c>
      <c r="O107" s="10">
        <f>IF(M107="","",MAX(0,IF(POLICY_APPROVAL!$B$5="Percentage points",M107-N107,M107*(1-N107))))</f>
        <v>0.6</v>
      </c>
      <c r="P107" s="11">
        <f>IF(D107&lt;&gt;"READY","",IF(AGENT_INPUT!O107&gt;0,AGENT_INPUT!O107,AGENT_INPUT!M107*AGENT_INPUT!N107/IF(POLICY_APPROVAL!$B$7="Annual",12,1)))</f>
        <v>2000.0</v>
      </c>
      <c r="Q107" s="10">
        <f>IF(D107&lt;&gt;"READY","",MIN(1,AGENT_INPUT!P107/AGENT_INPUT!Q107))</f>
        <v>1.0</v>
      </c>
      <c r="R107" s="11">
        <f>IF(D107&lt;&gt;"READY","",ROUND(P107*Q107*O107,IF(POLICY_APPROVAL!$B$11="Whole MAD",0,2)))</f>
        <v>1200.0</v>
      </c>
      <c r="S107" s="11">
        <f>IF(AND(SETUP!$B$9="READY",T107="READY"),R107,"")</f>
        <v/>
      </c>
      <c r="T107" s="4" t="str">
        <f>IF($A107="","",IF(D107&lt;&gt;"READY","BLOCKED - INPUT",IF(E107&lt;&gt;"ELIGIBLE","BLOCKED - ELIGIBILITY",IF(AGENT_INPUT!S107&lt;&gt;"VALIDATED","BLOCKED - DATA",IF(SETUP!$B$9&lt;&gt;"READY","BLOCKED - POLICY","READY")))))</f>
        <v>BLOCKED - ELIGIBILITY</v>
      </c>
      <c r="U107" s="4" t="str">
        <f>IF($A107="","",IF(COUNTIFS(AGENT_INPUT!$A$5:$A$254,$A107,AGENT_INPUT!$D$5:$D$254,AGENT_INPUT!D107)&gt;1,"DUPLICATE AGENT + PERIOD",IF(D107&lt;&gt;"READY","INPUT OR CONFIG REVIEW",IF(T107&lt;&gt;"READY",T107,""))))</f>
        <v>BLOCKED - ELIGIBILITY</v>
      </c>
    </row>
    <row r="108" spans="1:21">
      <c r="A108" s="4">
        <f>IF(AGENT_INPUT!A108="","",AGENT_INPUT!A108)</f>
        <v>232187</v>
      </c>
      <c r="B108" s="4" t="str">
        <f>IF($A108="","",AGENT_INPUT!B108)</f>
        <v>Haytham Mhafoudi </v>
      </c>
      <c r="C108" s="4" t="str">
        <f>IF($A108="","",AGENT_INPUT!C108)</f>
        <v>RSA VL</v>
      </c>
      <c r="D108" s="4" t="str">
        <f>IF($A108="","",IF(AND(COUNT(AGENT_INPUT!E108:J108)=6,COUNT(AGENT_INPUT!K108)=1,COUNTIF(BONUS_RULES!$A$5:$A$46,AGENT_INPUT!C108)&gt;0,OR(AGENT_INPUT!O108&gt;0,AND(AGENT_INPUT!M108&gt;0,AGENT_INPUT!N108&gt;0)),AGENT_INPUT!P108&gt;=0,AGENT_INPUT!Q108&gt;0,AGENT_INPUT!P108&lt;=AGENT_INPUT!Q108,AGENT_INPUT!H108&gt;=0,AGENT_INPUT!H108&lt;=1,AGENT_INPUT!I108&gt;=0,AGENT_INPUT!I108&lt;=1,AGENT_INPUT!J108&gt;=0,AGENT_INPUT!J108&lt;=1),"READY","BLOCKED"))</f>
        <v>READY</v>
      </c>
      <c r="E108" s="4" t="str">
        <f>IF($A108="","",IF(AGENT_INPUT!R108&lt;&gt;"Active","REVIEW",IF(OR(POLICY_APPROVAL!$B$9="Eligibility only",POLICY_APPROVAL!$B$9="Both"),IF(AGENT_INPUT!J108&lt;=SUMIFS(BONUS_RULES!$E$5:$E$46,BONUS_RULES!$A$5:$A$46,$C108,BONUS_RULES!$B$5:$B$46,"Abs%"),"ELIGIBLE","INELIGIBLE ABS"),"ELIGIBLE")))</f>
        <v>REVIEW</v>
      </c>
      <c r="F108" s="10">
        <f>IF(OR($A108="",$D108&lt;&gt;"READY"),"",IF(AGENT_INPUT!E108&lt;=SUMIFS(BONUS_RULES!$E$5:$E$46,BONUS_RULES!$A$5:$A$46,$C108,BONUS_RULES!$B$5:$B$46,"AHT"),SUMIFS(BONUS_RULES!$D$5:$D$46,BONUS_RULES!$A$5:$A$46,$C108,BONUS_RULES!$B$5:$B$46,"AHT"),IF(AGENT_INPUT!E108&lt;=SUMIFS(BONUS_RULES!$G$5:$G$46,BONUS_RULES!$A$5:$A$46,$C108,BONUS_RULES!$B$5:$B$46,"AHT"),SUMIFS(BONUS_RULES!$F$5:$F$46,BONUS_RULES!$A$5:$A$46,$C108,BONUS_RULES!$B$5:$B$46,"AHT"),0)))</f>
        <v>0.0</v>
      </c>
      <c r="G108" s="10">
        <f>IF(OR($A108="",$D108&lt;&gt;"READY"),"",IF(AGENT_INPUT!F108&gt;=SUMIFS(BONUS_RULES!$E$5:$E$46,BONUS_RULES!$A$5:$A$46,$C108,BONUS_RULES!$B$5:$B$46,"Productivity"),SUMIFS(BONUS_RULES!$D$5:$D$46,BONUS_RULES!$A$5:$A$46,$C108,BONUS_RULES!$B$5:$B$46,"Productivity"),IF(AGENT_INPUT!F108&gt;=SUMIFS(BONUS_RULES!$G$5:$G$46,BONUS_RULES!$A$5:$A$46,$C108,BONUS_RULES!$B$5:$B$46,"Productivity"),SUMIFS(BONUS_RULES!$F$5:$F$46,BONUS_RULES!$A$5:$A$46,$C108,BONUS_RULES!$B$5:$B$46,"Productivity"),0)))</f>
        <v>0.0</v>
      </c>
      <c r="H108" s="10">
        <f>IF(OR($A108="",$D108&lt;&gt;"READY"),"",IF(AGENT_INPUT!G108&gt;=SUMIFS(BONUS_RULES!$E$5:$E$46,BONUS_RULES!$A$5:$A$46,$C108,BONUS_RULES!$B$5:$B$46,"PCS Score"),SUMIFS(BONUS_RULES!$D$5:$D$46,BONUS_RULES!$A$5:$A$46,$C108,BONUS_RULES!$B$5:$B$46,"PCS Score"),IF(AGENT_INPUT!G108&gt;=SUMIFS(BONUS_RULES!$G$5:$G$46,BONUS_RULES!$A$5:$A$46,$C108,BONUS_RULES!$B$5:$B$46,"PCS Score"),SUMIFS(BONUS_RULES!$F$5:$F$46,BONUS_RULES!$A$5:$A$46,$C108,BONUS_RULES!$B$5:$B$46,"PCS Score"),0)))</f>
        <v>0.0</v>
      </c>
      <c r="I108" s="10">
        <f>IF(OR($A108="",$D108&lt;&gt;"READY"),"",IF(AGENT_INPUT!H108&gt;=SUMIFS(BONUS_RULES!$E$5:$E$46,BONUS_RULES!$A$5:$A$46,$C108,BONUS_RULES!$B$5:$B$46,"PCS % (Participation)"),SUMIFS(BONUS_RULES!$D$5:$D$46,BONUS_RULES!$A$5:$A$46,$C108,BONUS_RULES!$B$5:$B$46,"PCS % (Participation)"),IF(AGENT_INPUT!H108&gt;=SUMIFS(BONUS_RULES!$G$5:$G$46,BONUS_RULES!$A$5:$A$46,$C108,BONUS_RULES!$B$5:$B$46,"PCS % (Participation)"),SUMIFS(BONUS_RULES!$F$5:$F$46,BONUS_RULES!$A$5:$A$46,$C108,BONUS_RULES!$B$5:$B$46,"PCS % (Participation)"),0)))</f>
        <v>0.0</v>
      </c>
      <c r="J108" s="10">
        <f>IF(OR($A108="",$D108&lt;&gt;"READY"),"",IF(AGENT_INPUT!I108&gt;=SUMIFS(BONUS_RULES!$E$5:$E$46,BONUS_RULES!$A$5:$A$46,$C108,BONUS_RULES!$B$5:$B$46,"QM"),SUMIFS(BONUS_RULES!$D$5:$D$46,BONUS_RULES!$A$5:$A$46,$C108,BONUS_RULES!$B$5:$B$46,"QM"),IF(AGENT_INPUT!I108&gt;=SUMIFS(BONUS_RULES!$G$5:$G$46,BONUS_RULES!$A$5:$A$46,$C108,BONUS_RULES!$B$5:$B$46,"QM"),SUMIFS(BONUS_RULES!$F$5:$F$46,BONUS_RULES!$A$5:$A$46,$C108,BONUS_RULES!$B$5:$B$46,"QM"),0)))</f>
        <v>0.0</v>
      </c>
      <c r="K108" s="10">
        <f>IF(POLICY_APPROVAL!$B$9="Eligibility only",0,IF(OR($A108="",$D108&lt;&gt;"READY"),"",IF(AGENT_INPUT!J108&lt;=SUMIFS(BONUS_RULES!$E$5:$E$46,BONUS_RULES!$A$5:$A$46,$C108,BONUS_RULES!$B$5:$B$46,"Abs%"),SUMIFS(BONUS_RULES!$D$5:$D$46,BONUS_RULES!$A$5:$A$46,$C108,BONUS_RULES!$B$5:$B$46,"Abs%"),IF(AGENT_INPUT!J108&lt;=SUMIFS(BONUS_RULES!$G$5:$G$46,BONUS_RULES!$A$5:$A$46,$C108,BONUS_RULES!$B$5:$B$46,"Abs%"),SUMIFS(BONUS_RULES!$F$5:$F$46,BONUS_RULES!$A$5:$A$46,$C108,BONUS_RULES!$B$5:$B$46,"Abs%"),0))))</f>
        <v>0.0</v>
      </c>
      <c r="L108" s="10">
        <f>IF(OR($A108="",$D108&lt;&gt;"READY"),"",IF(AGENT_INPUT!G108&gt;=SUMIFS(BONUS_RULES!$E$5:$E$46,BONUS_RULES!$A$5:$A$46,$C108,BONUS_RULES!$B$5:$B$46,"Extra Bonus (PCS Score)"),SUMIFS(BONUS_RULES!$D$5:$D$46,BONUS_RULES!$A$5:$A$46,$C108,BONUS_RULES!$B$5:$B$46,"Extra Bonus (PCS Score)"),IF(AGENT_INPUT!G108&gt;=SUMIFS(BONUS_RULES!$G$5:$G$46,BONUS_RULES!$A$5:$A$46,$C108,BONUS_RULES!$B$5:$B$46,"Extra Bonus (PCS Score)"),SUMIFS(BONUS_RULES!$F$5:$F$46,BONUS_RULES!$A$5:$A$46,$C108,BONUS_RULES!$B$5:$B$46,"Extra Bonus (PCS Score)"),0)))</f>
        <v>0.0</v>
      </c>
      <c r="M108" s="10">
        <f>IF($A108="","",MIN(IF(POLICY_APPROVAL!$B$6="Replacement",SUM(F108:K108)-H108+MAX(H108,L108),SUM(F108:L108)),POLICY_APPROVAL!$B$10))</f>
        <v>0</v>
      </c>
      <c r="N108" s="10">
        <f>IF($A108="","",IFERROR(INDEX(BONUS_RULES!$J$5:$J$10,MATCH(MIN(MAX(AGENT_INPUT!K108,0),5),BONUS_RULES!$I$5:$I$10,0)),1))</f>
        <v>0</v>
      </c>
      <c r="O108" s="10">
        <f>IF(M108="","",MAX(0,IF(POLICY_APPROVAL!$B$5="Percentage points",M108-N108,M108*(1-N108))))</f>
        <v>0</v>
      </c>
      <c r="P108" s="11">
        <f>IF(D108&lt;&gt;"READY","",IF(AGENT_INPUT!O108&gt;0,AGENT_INPUT!O108,AGENT_INPUT!M108*AGENT_INPUT!N108/IF(POLICY_APPROVAL!$B$7="Annual",12,1)))</f>
        <v>2000.0</v>
      </c>
      <c r="Q108" s="10">
        <f>IF(D108&lt;&gt;"READY","",MIN(1,AGENT_INPUT!P108/AGENT_INPUT!Q108))</f>
        <v>1.0</v>
      </c>
      <c r="R108" s="11">
        <f>IF(D108&lt;&gt;"READY","",ROUND(P108*Q108*O108,IF(POLICY_APPROVAL!$B$11="Whole MAD",0,2)))</f>
        <v/>
      </c>
      <c r="S108" s="11">
        <f>IF(AND(SETUP!$B$9="READY",T108="READY"),R108,"")</f>
        <v/>
      </c>
      <c r="T108" s="4" t="str">
        <f>IF($A108="","",IF(D108&lt;&gt;"READY","BLOCKED - INPUT",IF(E108&lt;&gt;"ELIGIBLE","BLOCKED - ELIGIBILITY",IF(AGENT_INPUT!S108&lt;&gt;"VALIDATED","BLOCKED - DATA",IF(SETUP!$B$9&lt;&gt;"READY","BLOCKED - POLICY","READY")))))</f>
        <v>BLOCKED - ELIGIBILITY</v>
      </c>
      <c r="U108" s="4" t="str">
        <f>IF($A108="","",IF(COUNTIFS(AGENT_INPUT!$A$5:$A$254,$A108,AGENT_INPUT!$D$5:$D$254,AGENT_INPUT!D108)&gt;1,"DUPLICATE AGENT + PERIOD",IF(D108&lt;&gt;"READY","INPUT OR CONFIG REVIEW",IF(T108&lt;&gt;"READY",T108,""))))</f>
        <v>BLOCKED - ELIGIBILITY</v>
      </c>
    </row>
    <row r="109" spans="1:21">
      <c r="A109" s="4">
        <f>IF(AGENT_INPUT!A109="","",AGENT_INPUT!A109)</f>
        <v>96484</v>
      </c>
      <c r="B109" s="4" t="str">
        <f>IF($A109="","",AGENT_INPUT!B109)</f>
        <v>KHATIR Hassan</v>
      </c>
      <c r="C109" s="4" t="str">
        <f>IF($A109="","",AGENT_INPUT!C109)</f>
        <v>RSA NL</v>
      </c>
      <c r="D109" s="4" t="str">
        <f>IF($A109="","",IF(AND(COUNT(AGENT_INPUT!E109:J109)=6,COUNT(AGENT_INPUT!K109)=1,COUNTIF(BONUS_RULES!$A$5:$A$46,AGENT_INPUT!C109)&gt;0,OR(AGENT_INPUT!O109&gt;0,AND(AGENT_INPUT!M109&gt;0,AGENT_INPUT!N109&gt;0)),AGENT_INPUT!P109&gt;=0,AGENT_INPUT!Q109&gt;0,AGENT_INPUT!P109&lt;=AGENT_INPUT!Q109,AGENT_INPUT!H109&gt;=0,AGENT_INPUT!H109&lt;=1,AGENT_INPUT!I109&gt;=0,AGENT_INPUT!I109&lt;=1,AGENT_INPUT!J109&gt;=0,AGENT_INPUT!J109&lt;=1),"READY","BLOCKED"))</f>
        <v>BLOCKED</v>
      </c>
      <c r="E109" s="4">
        <f>IF($A109="","",IF(AGENT_INPUT!R109&lt;&gt;"Active","REVIEW",IF(OR(POLICY_APPROVAL!$B$9="Eligibility only",POLICY_APPROVAL!$B$9="Both"),IF(AGENT_INPUT!J109&lt;=SUMIFS(BONUS_RULES!$E$5:$E$46,BONUS_RULES!$A$5:$A$46,$C109,BONUS_RULES!$B$5:$B$46,"Abs%"),"ELIGIBLE","INELIGIBLE ABS"),"ELIGIBLE")))</f>
        <v/>
      </c>
      <c r="F109" s="10">
        <f>IF(OR($A109="",$D109&lt;&gt;"READY"),"",IF(AGENT_INPUT!E109&lt;=SUMIFS(BONUS_RULES!$E$5:$E$46,BONUS_RULES!$A$5:$A$46,$C109,BONUS_RULES!$B$5:$B$46,"AHT"),SUMIFS(BONUS_RULES!$D$5:$D$46,BONUS_RULES!$A$5:$A$46,$C109,BONUS_RULES!$B$5:$B$46,"AHT"),IF(AGENT_INPUT!E109&lt;=SUMIFS(BONUS_RULES!$G$5:$G$46,BONUS_RULES!$A$5:$A$46,$C109,BONUS_RULES!$B$5:$B$46,"AHT"),SUMIFS(BONUS_RULES!$F$5:$F$46,BONUS_RULES!$A$5:$A$46,$C109,BONUS_RULES!$B$5:$B$46,"AHT"),0)))</f>
        <v/>
      </c>
      <c r="G109" s="10">
        <f>IF(OR($A109="",$D109&lt;&gt;"READY"),"",IF(AGENT_INPUT!F109&gt;=SUMIFS(BONUS_RULES!$E$5:$E$46,BONUS_RULES!$A$5:$A$46,$C109,BONUS_RULES!$B$5:$B$46,"Productivity"),SUMIFS(BONUS_RULES!$D$5:$D$46,BONUS_RULES!$A$5:$A$46,$C109,BONUS_RULES!$B$5:$B$46,"Productivity"),IF(AGENT_INPUT!F109&gt;=SUMIFS(BONUS_RULES!$G$5:$G$46,BONUS_RULES!$A$5:$A$46,$C109,BONUS_RULES!$B$5:$B$46,"Productivity"),SUMIFS(BONUS_RULES!$F$5:$F$46,BONUS_RULES!$A$5:$A$46,$C109,BONUS_RULES!$B$5:$B$46,"Productivity"),0)))</f>
        <v/>
      </c>
      <c r="H109" s="10">
        <f>IF(OR($A109="",$D109&lt;&gt;"READY"),"",IF(AGENT_INPUT!G109&gt;=SUMIFS(BONUS_RULES!$E$5:$E$46,BONUS_RULES!$A$5:$A$46,$C109,BONUS_RULES!$B$5:$B$46,"PCS Score"),SUMIFS(BONUS_RULES!$D$5:$D$46,BONUS_RULES!$A$5:$A$46,$C109,BONUS_RULES!$B$5:$B$46,"PCS Score"),IF(AGENT_INPUT!G109&gt;=SUMIFS(BONUS_RULES!$G$5:$G$46,BONUS_RULES!$A$5:$A$46,$C109,BONUS_RULES!$B$5:$B$46,"PCS Score"),SUMIFS(BONUS_RULES!$F$5:$F$46,BONUS_RULES!$A$5:$A$46,$C109,BONUS_RULES!$B$5:$B$46,"PCS Score"),0)))</f>
        <v/>
      </c>
      <c r="I109" s="10">
        <f>IF(OR($A109="",$D109&lt;&gt;"READY"),"",IF(AGENT_INPUT!H109&gt;=SUMIFS(BONUS_RULES!$E$5:$E$46,BONUS_RULES!$A$5:$A$46,$C109,BONUS_RULES!$B$5:$B$46,"PCS % (Participation)"),SUMIFS(BONUS_RULES!$D$5:$D$46,BONUS_RULES!$A$5:$A$46,$C109,BONUS_RULES!$B$5:$B$46,"PCS % (Participation)"),IF(AGENT_INPUT!H109&gt;=SUMIFS(BONUS_RULES!$G$5:$G$46,BONUS_RULES!$A$5:$A$46,$C109,BONUS_RULES!$B$5:$B$46,"PCS % (Participation)"),SUMIFS(BONUS_RULES!$F$5:$F$46,BONUS_RULES!$A$5:$A$46,$C109,BONUS_RULES!$B$5:$B$46,"PCS % (Participation)"),0)))</f>
        <v/>
      </c>
      <c r="J109" s="10">
        <f>IF(OR($A109="",$D109&lt;&gt;"READY"),"",IF(AGENT_INPUT!I109&gt;=SUMIFS(BONUS_RULES!$E$5:$E$46,BONUS_RULES!$A$5:$A$46,$C109,BONUS_RULES!$B$5:$B$46,"QM"),SUMIFS(BONUS_RULES!$D$5:$D$46,BONUS_RULES!$A$5:$A$46,$C109,BONUS_RULES!$B$5:$B$46,"QM"),IF(AGENT_INPUT!I109&gt;=SUMIFS(BONUS_RULES!$G$5:$G$46,BONUS_RULES!$A$5:$A$46,$C109,BONUS_RULES!$B$5:$B$46,"QM"),SUMIFS(BONUS_RULES!$F$5:$F$46,BONUS_RULES!$A$5:$A$46,$C109,BONUS_RULES!$B$5:$B$46,"QM"),0)))</f>
        <v/>
      </c>
      <c r="K109" s="10">
        <f>IF(POLICY_APPROVAL!$B$9="Eligibility only",0,IF(OR($A109="",$D109&lt;&gt;"READY"),"",IF(AGENT_INPUT!J109&lt;=SUMIFS(BONUS_RULES!$E$5:$E$46,BONUS_RULES!$A$5:$A$46,$C109,BONUS_RULES!$B$5:$B$46,"Abs%"),SUMIFS(BONUS_RULES!$D$5:$D$46,BONUS_RULES!$A$5:$A$46,$C109,BONUS_RULES!$B$5:$B$46,"Abs%"),IF(AGENT_INPUT!J109&lt;=SUMIFS(BONUS_RULES!$G$5:$G$46,BONUS_RULES!$A$5:$A$46,$C109,BONUS_RULES!$B$5:$B$46,"Abs%"),SUMIFS(BONUS_RULES!$F$5:$F$46,BONUS_RULES!$A$5:$A$46,$C109,BONUS_RULES!$B$5:$B$46,"Abs%"),0))))</f>
        <v/>
      </c>
      <c r="L109" s="10">
        <f>IF(OR($A109="",$D109&lt;&gt;"READY"),"",IF(AGENT_INPUT!G109&gt;=SUMIFS(BONUS_RULES!$E$5:$E$46,BONUS_RULES!$A$5:$A$46,$C109,BONUS_RULES!$B$5:$B$46,"Extra Bonus (PCS Score)"),SUMIFS(BONUS_RULES!$D$5:$D$46,BONUS_RULES!$A$5:$A$46,$C109,BONUS_RULES!$B$5:$B$46,"Extra Bonus (PCS Score)"),IF(AGENT_INPUT!G109&gt;=SUMIFS(BONUS_RULES!$G$5:$G$46,BONUS_RULES!$A$5:$A$46,$C109,BONUS_RULES!$B$5:$B$46,"Extra Bonus (PCS Score)"),SUMIFS(BONUS_RULES!$F$5:$F$46,BONUS_RULES!$A$5:$A$46,$C109,BONUS_RULES!$B$5:$B$46,"Extra Bonus (PCS Score)"),0)))</f>
        <v/>
      </c>
      <c r="M109" s="10">
        <f>IF($A109="","",MIN(IF(POLICY_APPROVAL!$B$6="Replacement",SUM(F109:K109)-H109+MAX(H109,L109),SUM(F109:L109)),POLICY_APPROVAL!$B$10))</f>
        <v>0</v>
      </c>
      <c r="N109" s="10">
        <f>IF($A109="","",IFERROR(INDEX(BONUS_RULES!$J$5:$J$10,MATCH(MIN(MAX(AGENT_INPUT!K109,0),5),BONUS_RULES!$I$5:$I$10,0)),1))</f>
        <v>0</v>
      </c>
      <c r="O109" s="10">
        <f>IF(M109="","",MAX(0,IF(POLICY_APPROVAL!$B$5="Percentage points",M109-N109,M109*(1-N109))))</f>
        <v>0</v>
      </c>
      <c r="P109" s="11">
        <f>IF(D109&lt;&gt;"READY","",IF(AGENT_INPUT!O109&gt;0,AGENT_INPUT!O109,AGENT_INPUT!M109*AGENT_INPUT!N109/IF(POLICY_APPROVAL!$B$7="Annual",12,1)))</f>
        <v/>
      </c>
      <c r="Q109" s="10">
        <f>IF(D109&lt;&gt;"READY","",MIN(1,AGENT_INPUT!P109/AGENT_INPUT!Q109))</f>
        <v/>
      </c>
      <c r="R109" s="11">
        <f>IF(D109&lt;&gt;"READY","",ROUND(P109*Q109*O109,IF(POLICY_APPROVAL!$B$11="Whole MAD",0,2)))</f>
        <v/>
      </c>
      <c r="S109" s="11">
        <f>IF(AND(SETUP!$B$9="READY",T109="READY"),R109,"")</f>
        <v/>
      </c>
      <c r="T109" s="4" t="str">
        <f>IF($A109="","",IF(D109&lt;&gt;"READY","BLOCKED - INPUT",IF(E109&lt;&gt;"ELIGIBLE","BLOCKED - ELIGIBILITY",IF(AGENT_INPUT!S109&lt;&gt;"VALIDATED","BLOCKED - DATA",IF(SETUP!$B$9&lt;&gt;"READY","BLOCKED - POLICY","READY")))))</f>
        <v>BLOCKED - INPUT</v>
      </c>
      <c r="U109" s="4" t="str">
        <f>IF($A109="","",IF(COUNTIFS(AGENT_INPUT!$A$5:$A$254,$A109,AGENT_INPUT!$D$5:$D$254,AGENT_INPUT!D109)&gt;1,"DUPLICATE AGENT + PERIOD",IF(D109&lt;&gt;"READY","INPUT OR CONFIG REVIEW",IF(T109&lt;&gt;"READY",T109,""))))</f>
        <v>Missing, invalid, or unconfigured required input</v>
      </c>
    </row>
    <row r="110" spans="1:21">
      <c r="A110" s="4">
        <f>IF(AGENT_INPUT!A110="","",AGENT_INPUT!A110)</f>
        <v>228214</v>
      </c>
      <c r="B110" s="4" t="str">
        <f>IF($A110="","",AGENT_INPUT!B110)</f>
        <v>Hanane BADIR</v>
      </c>
      <c r="C110" s="4" t="str">
        <f>IF($A110="","",AGENT_INPUT!C110)</f>
        <v>OEM FR</v>
      </c>
      <c r="D110" s="4" t="str">
        <f>IF($A110="","",IF(AND(COUNT(AGENT_INPUT!E110:J110)=6,COUNT(AGENT_INPUT!K110)=1,COUNTIF(BONUS_RULES!$A$5:$A$46,AGENT_INPUT!C110)&gt;0,OR(AGENT_INPUT!O110&gt;0,AND(AGENT_INPUT!M110&gt;0,AGENT_INPUT!N110&gt;0)),AGENT_INPUT!P110&gt;=0,AGENT_INPUT!Q110&gt;0,AGENT_INPUT!P110&lt;=AGENT_INPUT!Q110,AGENT_INPUT!H110&gt;=0,AGENT_INPUT!H110&lt;=1,AGENT_INPUT!I110&gt;=0,AGENT_INPUT!I110&lt;=1,AGENT_INPUT!J110&gt;=0,AGENT_INPUT!J110&lt;=1),"READY","BLOCKED"))</f>
        <v>READY</v>
      </c>
      <c r="E110" s="4" t="str">
        <f>IF($A110="","",IF(AGENT_INPUT!R110&lt;&gt;"Active","REVIEW",IF(OR(POLICY_APPROVAL!$B$9="Eligibility only",POLICY_APPROVAL!$B$9="Both"),IF(AGENT_INPUT!J110&lt;=SUMIFS(BONUS_RULES!$E$5:$E$46,BONUS_RULES!$A$5:$A$46,$C110,BONUS_RULES!$B$5:$B$46,"Abs%"),"ELIGIBLE","INELIGIBLE ABS"),"ELIGIBLE")))</f>
        <v>REVIEW</v>
      </c>
      <c r="F110" s="10">
        <f>IF(OR($A110="",$D110&lt;&gt;"READY"),"",IF(AGENT_INPUT!E110&lt;=SUMIFS(BONUS_RULES!$E$5:$E$46,BONUS_RULES!$A$5:$A$46,$C110,BONUS_RULES!$B$5:$B$46,"AHT"),SUMIFS(BONUS_RULES!$D$5:$D$46,BONUS_RULES!$A$5:$A$46,$C110,BONUS_RULES!$B$5:$B$46,"AHT"),IF(AGENT_INPUT!E110&lt;=SUMIFS(BONUS_RULES!$G$5:$G$46,BONUS_RULES!$A$5:$A$46,$C110,BONUS_RULES!$B$5:$B$46,"AHT"),SUMIFS(BONUS_RULES!$F$5:$F$46,BONUS_RULES!$A$5:$A$46,$C110,BONUS_RULES!$B$5:$B$46,"AHT"),0)))</f>
        <v>0.0</v>
      </c>
      <c r="G110" s="10">
        <f>IF(OR($A110="",$D110&lt;&gt;"READY"),"",IF(AGENT_INPUT!F110&gt;=SUMIFS(BONUS_RULES!$E$5:$E$46,BONUS_RULES!$A$5:$A$46,$C110,BONUS_RULES!$B$5:$B$46,"Productivity"),SUMIFS(BONUS_RULES!$D$5:$D$46,BONUS_RULES!$A$5:$A$46,$C110,BONUS_RULES!$B$5:$B$46,"Productivity"),IF(AGENT_INPUT!F110&gt;=SUMIFS(BONUS_RULES!$G$5:$G$46,BONUS_RULES!$A$5:$A$46,$C110,BONUS_RULES!$B$5:$B$46,"Productivity"),SUMIFS(BONUS_RULES!$F$5:$F$46,BONUS_RULES!$A$5:$A$46,$C110,BONUS_RULES!$B$5:$B$46,"Productivity"),0)))</f>
        <v>0.0</v>
      </c>
      <c r="H110" s="10">
        <f>IF(OR($A110="",$D110&lt;&gt;"READY"),"",IF(AGENT_INPUT!G110&gt;=SUMIFS(BONUS_RULES!$E$5:$E$46,BONUS_RULES!$A$5:$A$46,$C110,BONUS_RULES!$B$5:$B$46,"PCS Score"),SUMIFS(BONUS_RULES!$D$5:$D$46,BONUS_RULES!$A$5:$A$46,$C110,BONUS_RULES!$B$5:$B$46,"PCS Score"),IF(AGENT_INPUT!G110&gt;=SUMIFS(BONUS_RULES!$G$5:$G$46,BONUS_RULES!$A$5:$A$46,$C110,BONUS_RULES!$B$5:$B$46,"PCS Score"),SUMIFS(BONUS_RULES!$F$5:$F$46,BONUS_RULES!$A$5:$A$46,$C110,BONUS_RULES!$B$5:$B$46,"PCS Score"),0)))</f>
        <v>0.2</v>
      </c>
      <c r="I110" s="10">
        <f>IF(OR($A110="",$D110&lt;&gt;"READY"),"",IF(AGENT_INPUT!H110&gt;=SUMIFS(BONUS_RULES!$E$5:$E$46,BONUS_RULES!$A$5:$A$46,$C110,BONUS_RULES!$B$5:$B$46,"PCS % (Participation)"),SUMIFS(BONUS_RULES!$D$5:$D$46,BONUS_RULES!$A$5:$A$46,$C110,BONUS_RULES!$B$5:$B$46,"PCS % (Participation)"),IF(AGENT_INPUT!H110&gt;=SUMIFS(BONUS_RULES!$G$5:$G$46,BONUS_RULES!$A$5:$A$46,$C110,BONUS_RULES!$B$5:$B$46,"PCS % (Participation)"),SUMIFS(BONUS_RULES!$F$5:$F$46,BONUS_RULES!$A$5:$A$46,$C110,BONUS_RULES!$B$5:$B$46,"PCS % (Participation)"),0)))</f>
        <v>0.0</v>
      </c>
      <c r="J110" s="10">
        <f>IF(OR($A110="",$D110&lt;&gt;"READY"),"",IF(AGENT_INPUT!I110&gt;=SUMIFS(BONUS_RULES!$E$5:$E$46,BONUS_RULES!$A$5:$A$46,$C110,BONUS_RULES!$B$5:$B$46,"QM"),SUMIFS(BONUS_RULES!$D$5:$D$46,BONUS_RULES!$A$5:$A$46,$C110,BONUS_RULES!$B$5:$B$46,"QM"),IF(AGENT_INPUT!I110&gt;=SUMIFS(BONUS_RULES!$G$5:$G$46,BONUS_RULES!$A$5:$A$46,$C110,BONUS_RULES!$B$5:$B$46,"QM"),SUMIFS(BONUS_RULES!$F$5:$F$46,BONUS_RULES!$A$5:$A$46,$C110,BONUS_RULES!$B$5:$B$46,"QM"),0)))</f>
        <v>0.0</v>
      </c>
      <c r="K110" s="10">
        <f>IF(POLICY_APPROVAL!$B$9="Eligibility only",0,IF(OR($A110="",$D110&lt;&gt;"READY"),"",IF(AGENT_INPUT!J110&lt;=SUMIFS(BONUS_RULES!$E$5:$E$46,BONUS_RULES!$A$5:$A$46,$C110,BONUS_RULES!$B$5:$B$46,"Abs%"),SUMIFS(BONUS_RULES!$D$5:$D$46,BONUS_RULES!$A$5:$A$46,$C110,BONUS_RULES!$B$5:$B$46,"Abs%"),IF(AGENT_INPUT!J110&lt;=SUMIFS(BONUS_RULES!$G$5:$G$46,BONUS_RULES!$A$5:$A$46,$C110,BONUS_RULES!$B$5:$B$46,"Abs%"),SUMIFS(BONUS_RULES!$F$5:$F$46,BONUS_RULES!$A$5:$A$46,$C110,BONUS_RULES!$B$5:$B$46,"Abs%"),0))))</f>
        <v>0.15</v>
      </c>
      <c r="L110" s="10">
        <f>IF(OR($A110="",$D110&lt;&gt;"READY"),"",IF(AGENT_INPUT!G110&gt;=SUMIFS(BONUS_RULES!$E$5:$E$46,BONUS_RULES!$A$5:$A$46,$C110,BONUS_RULES!$B$5:$B$46,"Extra Bonus (PCS Score)"),SUMIFS(BONUS_RULES!$D$5:$D$46,BONUS_RULES!$A$5:$A$46,$C110,BONUS_RULES!$B$5:$B$46,"Extra Bonus (PCS Score)"),IF(AGENT_INPUT!G110&gt;=SUMIFS(BONUS_RULES!$G$5:$G$46,BONUS_RULES!$A$5:$A$46,$C110,BONUS_RULES!$B$5:$B$46,"Extra Bonus (PCS Score)"),SUMIFS(BONUS_RULES!$F$5:$F$46,BONUS_RULES!$A$5:$A$46,$C110,BONUS_RULES!$B$5:$B$46,"Extra Bonus (PCS Score)"),0)))</f>
        <v>0.2</v>
      </c>
      <c r="M110" s="10">
        <f>IF($A110="","",MIN(IF(POLICY_APPROVAL!$B$6="Replacement",SUM(F110:K110)-H110+MAX(H110,L110),SUM(F110:L110)),POLICY_APPROVAL!$B$10))</f>
        <v>0.55</v>
      </c>
      <c r="N110" s="10">
        <f>IF($A110="","",IFERROR(INDEX(BONUS_RULES!$J$5:$J$10,MATCH(MIN(MAX(AGENT_INPUT!K110,0),5),BONUS_RULES!$I$5:$I$10,0)),1))</f>
        <v>0</v>
      </c>
      <c r="O110" s="10">
        <f>IF(M110="","",MAX(0,IF(POLICY_APPROVAL!$B$5="Percentage points",M110-N110,M110*(1-N110))))</f>
        <v>0.55</v>
      </c>
      <c r="P110" s="11">
        <f>IF(D110&lt;&gt;"READY","",IF(AGENT_INPUT!O110&gt;0,AGENT_INPUT!O110,AGENT_INPUT!M110*AGENT_INPUT!N110/IF(POLICY_APPROVAL!$B$7="Annual",12,1)))</f>
        <v>2000.0</v>
      </c>
      <c r="Q110" s="10">
        <f>IF(D110&lt;&gt;"READY","",MIN(1,AGENT_INPUT!P110/AGENT_INPUT!Q110))</f>
        <v>1.0</v>
      </c>
      <c r="R110" s="11">
        <f>IF(D110&lt;&gt;"READY","",ROUND(P110*Q110*O110,IF(POLICY_APPROVAL!$B$11="Whole MAD",0,2)))</f>
        <v>1100.0</v>
      </c>
      <c r="S110" s="11">
        <f>IF(AND(SETUP!$B$9="READY",T110="READY"),R110,"")</f>
        <v/>
      </c>
      <c r="T110" s="4" t="str">
        <f>IF($A110="","",IF(D110&lt;&gt;"READY","BLOCKED - INPUT",IF(E110&lt;&gt;"ELIGIBLE","BLOCKED - ELIGIBILITY",IF(AGENT_INPUT!S110&lt;&gt;"VALIDATED","BLOCKED - DATA",IF(SETUP!$B$9&lt;&gt;"READY","BLOCKED - POLICY","READY")))))</f>
        <v>BLOCKED - ELIGIBILITY</v>
      </c>
      <c r="U110" s="4" t="str">
        <f>IF($A110="","",IF(COUNTIFS(AGENT_INPUT!$A$5:$A$254,$A110,AGENT_INPUT!$D$5:$D$254,AGENT_INPUT!D110)&gt;1,"DUPLICATE AGENT + PERIOD",IF(D110&lt;&gt;"READY","INPUT OR CONFIG REVIEW",IF(T110&lt;&gt;"READY",T110,""))))</f>
        <v>BLOCKED - ELIGIBILITY</v>
      </c>
    </row>
    <row r="111" spans="1:21">
      <c r="A111" s="4">
        <f>IF(AGENT_INPUT!A111="","",AGENT_INPUT!A111)</f>
        <v>228209</v>
      </c>
      <c r="B111" s="4" t="str">
        <f>IF($A111="","",AGENT_INPUT!B111)</f>
        <v>Hamza TALBY</v>
      </c>
      <c r="C111" s="4" t="str">
        <f>IF($A111="","",AGENT_INPUT!C111)</f>
        <v>OEM FR</v>
      </c>
      <c r="D111" s="4" t="str">
        <f>IF($A111="","",IF(AND(COUNT(AGENT_INPUT!E111:J111)=6,COUNT(AGENT_INPUT!K111)=1,COUNTIF(BONUS_RULES!$A$5:$A$46,AGENT_INPUT!C111)&gt;0,OR(AGENT_INPUT!O111&gt;0,AND(AGENT_INPUT!M111&gt;0,AGENT_INPUT!N111&gt;0)),AGENT_INPUT!P111&gt;=0,AGENT_INPUT!Q111&gt;0,AGENT_INPUT!P111&lt;=AGENT_INPUT!Q111,AGENT_INPUT!H111&gt;=0,AGENT_INPUT!H111&lt;=1,AGENT_INPUT!I111&gt;=0,AGENT_INPUT!I111&lt;=1,AGENT_INPUT!J111&gt;=0,AGENT_INPUT!J111&lt;=1),"READY","BLOCKED"))</f>
        <v>READY</v>
      </c>
      <c r="E111" s="4" t="str">
        <f>IF($A111="","",IF(AGENT_INPUT!R111&lt;&gt;"Active","REVIEW",IF(OR(POLICY_APPROVAL!$B$9="Eligibility only",POLICY_APPROVAL!$B$9="Both"),IF(AGENT_INPUT!J111&lt;=SUMIFS(BONUS_RULES!$E$5:$E$46,BONUS_RULES!$A$5:$A$46,$C111,BONUS_RULES!$B$5:$B$46,"Abs%"),"ELIGIBLE","INELIGIBLE ABS"),"ELIGIBLE")))</f>
        <v>REVIEW</v>
      </c>
      <c r="F111" s="10">
        <f>IF(OR($A111="",$D111&lt;&gt;"READY"),"",IF(AGENT_INPUT!E111&lt;=SUMIFS(BONUS_RULES!$E$5:$E$46,BONUS_RULES!$A$5:$A$46,$C111,BONUS_RULES!$B$5:$B$46,"AHT"),SUMIFS(BONUS_RULES!$D$5:$D$46,BONUS_RULES!$A$5:$A$46,$C111,BONUS_RULES!$B$5:$B$46,"AHT"),IF(AGENT_INPUT!E111&lt;=SUMIFS(BONUS_RULES!$G$5:$G$46,BONUS_RULES!$A$5:$A$46,$C111,BONUS_RULES!$B$5:$B$46,"AHT"),SUMIFS(BONUS_RULES!$F$5:$F$46,BONUS_RULES!$A$5:$A$46,$C111,BONUS_RULES!$B$5:$B$46,"AHT"),0)))</f>
        <v>0.0</v>
      </c>
      <c r="G111" s="10">
        <f>IF(OR($A111="",$D111&lt;&gt;"READY"),"",IF(AGENT_INPUT!F111&gt;=SUMIFS(BONUS_RULES!$E$5:$E$46,BONUS_RULES!$A$5:$A$46,$C111,BONUS_RULES!$B$5:$B$46,"Productivity"),SUMIFS(BONUS_RULES!$D$5:$D$46,BONUS_RULES!$A$5:$A$46,$C111,BONUS_RULES!$B$5:$B$46,"Productivity"),IF(AGENT_INPUT!F111&gt;=SUMIFS(BONUS_RULES!$G$5:$G$46,BONUS_RULES!$A$5:$A$46,$C111,BONUS_RULES!$B$5:$B$46,"Productivity"),SUMIFS(BONUS_RULES!$F$5:$F$46,BONUS_RULES!$A$5:$A$46,$C111,BONUS_RULES!$B$5:$B$46,"Productivity"),0)))</f>
        <v>0.0</v>
      </c>
      <c r="H111" s="10">
        <f>IF(OR($A111="",$D111&lt;&gt;"READY"),"",IF(AGENT_INPUT!G111&gt;=SUMIFS(BONUS_RULES!$E$5:$E$46,BONUS_RULES!$A$5:$A$46,$C111,BONUS_RULES!$B$5:$B$46,"PCS Score"),SUMIFS(BONUS_RULES!$D$5:$D$46,BONUS_RULES!$A$5:$A$46,$C111,BONUS_RULES!$B$5:$B$46,"PCS Score"),IF(AGENT_INPUT!G111&gt;=SUMIFS(BONUS_RULES!$G$5:$G$46,BONUS_RULES!$A$5:$A$46,$C111,BONUS_RULES!$B$5:$B$46,"PCS Score"),SUMIFS(BONUS_RULES!$F$5:$F$46,BONUS_RULES!$A$5:$A$46,$C111,BONUS_RULES!$B$5:$B$46,"PCS Score"),0)))</f>
        <v>0.2</v>
      </c>
      <c r="I111" s="10">
        <f>IF(OR($A111="",$D111&lt;&gt;"READY"),"",IF(AGENT_INPUT!H111&gt;=SUMIFS(BONUS_RULES!$E$5:$E$46,BONUS_RULES!$A$5:$A$46,$C111,BONUS_RULES!$B$5:$B$46,"PCS % (Participation)"),SUMIFS(BONUS_RULES!$D$5:$D$46,BONUS_RULES!$A$5:$A$46,$C111,BONUS_RULES!$B$5:$B$46,"PCS % (Participation)"),IF(AGENT_INPUT!H111&gt;=SUMIFS(BONUS_RULES!$G$5:$G$46,BONUS_RULES!$A$5:$A$46,$C111,BONUS_RULES!$B$5:$B$46,"PCS % (Participation)"),SUMIFS(BONUS_RULES!$F$5:$F$46,BONUS_RULES!$A$5:$A$46,$C111,BONUS_RULES!$B$5:$B$46,"PCS % (Participation)"),0)))</f>
        <v>0.0</v>
      </c>
      <c r="J111" s="10">
        <f>IF(OR($A111="",$D111&lt;&gt;"READY"),"",IF(AGENT_INPUT!I111&gt;=SUMIFS(BONUS_RULES!$E$5:$E$46,BONUS_RULES!$A$5:$A$46,$C111,BONUS_RULES!$B$5:$B$46,"QM"),SUMIFS(BONUS_RULES!$D$5:$D$46,BONUS_RULES!$A$5:$A$46,$C111,BONUS_RULES!$B$5:$B$46,"QM"),IF(AGENT_INPUT!I111&gt;=SUMIFS(BONUS_RULES!$G$5:$G$46,BONUS_RULES!$A$5:$A$46,$C111,BONUS_RULES!$B$5:$B$46,"QM"),SUMIFS(BONUS_RULES!$F$5:$F$46,BONUS_RULES!$A$5:$A$46,$C111,BONUS_RULES!$B$5:$B$46,"QM"),0)))</f>
        <v>0.2</v>
      </c>
      <c r="K111" s="10">
        <f>IF(POLICY_APPROVAL!$B$9="Eligibility only",0,IF(OR($A111="",$D111&lt;&gt;"READY"),"",IF(AGENT_INPUT!J111&lt;=SUMIFS(BONUS_RULES!$E$5:$E$46,BONUS_RULES!$A$5:$A$46,$C111,BONUS_RULES!$B$5:$B$46,"Abs%"),SUMIFS(BONUS_RULES!$D$5:$D$46,BONUS_RULES!$A$5:$A$46,$C111,BONUS_RULES!$B$5:$B$46,"Abs%"),IF(AGENT_INPUT!J111&lt;=SUMIFS(BONUS_RULES!$G$5:$G$46,BONUS_RULES!$A$5:$A$46,$C111,BONUS_RULES!$B$5:$B$46,"Abs%"),SUMIFS(BONUS_RULES!$F$5:$F$46,BONUS_RULES!$A$5:$A$46,$C111,BONUS_RULES!$B$5:$B$46,"Abs%"),0))))</f>
        <v>0.15</v>
      </c>
      <c r="L111" s="10">
        <f>IF(OR($A111="",$D111&lt;&gt;"READY"),"",IF(AGENT_INPUT!G111&gt;=SUMIFS(BONUS_RULES!$E$5:$E$46,BONUS_RULES!$A$5:$A$46,$C111,BONUS_RULES!$B$5:$B$46,"Extra Bonus (PCS Score)"),SUMIFS(BONUS_RULES!$D$5:$D$46,BONUS_RULES!$A$5:$A$46,$C111,BONUS_RULES!$B$5:$B$46,"Extra Bonus (PCS Score)"),IF(AGENT_INPUT!G111&gt;=SUMIFS(BONUS_RULES!$G$5:$G$46,BONUS_RULES!$A$5:$A$46,$C111,BONUS_RULES!$B$5:$B$46,"Extra Bonus (PCS Score)"),SUMIFS(BONUS_RULES!$F$5:$F$46,BONUS_RULES!$A$5:$A$46,$C111,BONUS_RULES!$B$5:$B$46,"Extra Bonus (PCS Score)"),0)))</f>
        <v>0.3</v>
      </c>
      <c r="M111" s="10">
        <f>IF($A111="","",MIN(IF(POLICY_APPROVAL!$B$6="Replacement",SUM(F111:K111)-H111+MAX(H111,L111),SUM(F111:L111)),POLICY_APPROVAL!$B$10))</f>
        <v>0.8500000000000001</v>
      </c>
      <c r="N111" s="10">
        <f>IF($A111="","",IFERROR(INDEX(BONUS_RULES!$J$5:$J$10,MATCH(MIN(MAX(AGENT_INPUT!K111,0),5),BONUS_RULES!$I$5:$I$10,0)),1))</f>
        <v>0</v>
      </c>
      <c r="O111" s="10">
        <f>IF(M111="","",MAX(0,IF(POLICY_APPROVAL!$B$5="Percentage points",M111-N111,M111*(1-N111))))</f>
        <v>0.8500000000000001</v>
      </c>
      <c r="P111" s="11">
        <f>IF(D111&lt;&gt;"READY","",IF(AGENT_INPUT!O111&gt;0,AGENT_INPUT!O111,AGENT_INPUT!M111*AGENT_INPUT!N111/IF(POLICY_APPROVAL!$B$7="Annual",12,1)))</f>
        <v>2000.0</v>
      </c>
      <c r="Q111" s="10">
        <f>IF(D111&lt;&gt;"READY","",MIN(1,AGENT_INPUT!P111/AGENT_INPUT!Q111))</f>
        <v>1.0</v>
      </c>
      <c r="R111" s="11">
        <f>IF(D111&lt;&gt;"READY","",ROUND(P111*Q111*O111,IF(POLICY_APPROVAL!$B$11="Whole MAD",0,2)))</f>
        <v>1700.0</v>
      </c>
      <c r="S111" s="11">
        <f>IF(AND(SETUP!$B$9="READY",T111="READY"),R111,"")</f>
        <v/>
      </c>
      <c r="T111" s="4" t="str">
        <f>IF($A111="","",IF(D111&lt;&gt;"READY","BLOCKED - INPUT",IF(E111&lt;&gt;"ELIGIBLE","BLOCKED - ELIGIBILITY",IF(AGENT_INPUT!S111&lt;&gt;"VALIDATED","BLOCKED - DATA",IF(SETUP!$B$9&lt;&gt;"READY","BLOCKED - POLICY","READY")))))</f>
        <v>BLOCKED - ELIGIBILITY</v>
      </c>
      <c r="U111" s="4" t="str">
        <f>IF($A111="","",IF(COUNTIFS(AGENT_INPUT!$A$5:$A$254,$A111,AGENT_INPUT!$D$5:$D$254,AGENT_INPUT!D111)&gt;1,"DUPLICATE AGENT + PERIOD",IF(D111&lt;&gt;"READY","INPUT OR CONFIG REVIEW",IF(T111&lt;&gt;"READY",T111,""))))</f>
        <v>BLOCKED - ELIGIBILITY</v>
      </c>
    </row>
    <row r="112" spans="1:21">
      <c r="A112" s="4">
        <f>IF(AGENT_INPUT!A112="","",AGENT_INPUT!A112)</f>
        <v>250745</v>
      </c>
      <c r="B112" s="4" t="str">
        <f>IF($A112="","",AGENT_INPUT!B112)</f>
        <v>Hamza  OUABI</v>
      </c>
      <c r="C112" s="4" t="str">
        <f>IF($A112="","",AGENT_INPUT!C112)</f>
        <v>OEM FR</v>
      </c>
      <c r="D112" s="4" t="str">
        <f>IF($A112="","",IF(AND(COUNT(AGENT_INPUT!E112:J112)=6,COUNT(AGENT_INPUT!K112)=1,COUNTIF(BONUS_RULES!$A$5:$A$46,AGENT_INPUT!C112)&gt;0,OR(AGENT_INPUT!O112&gt;0,AND(AGENT_INPUT!M112&gt;0,AGENT_INPUT!N112&gt;0)),AGENT_INPUT!P112&gt;=0,AGENT_INPUT!Q112&gt;0,AGENT_INPUT!P112&lt;=AGENT_INPUT!Q112,AGENT_INPUT!H112&gt;=0,AGENT_INPUT!H112&lt;=1,AGENT_INPUT!I112&gt;=0,AGENT_INPUT!I112&lt;=1,AGENT_INPUT!J112&gt;=0,AGENT_INPUT!J112&lt;=1),"READY","BLOCKED"))</f>
        <v>BLOCKED</v>
      </c>
      <c r="E112" s="4">
        <f>IF($A112="","",IF(AGENT_INPUT!R112&lt;&gt;"Active","REVIEW",IF(OR(POLICY_APPROVAL!$B$9="Eligibility only",POLICY_APPROVAL!$B$9="Both"),IF(AGENT_INPUT!J112&lt;=SUMIFS(BONUS_RULES!$E$5:$E$46,BONUS_RULES!$A$5:$A$46,$C112,BONUS_RULES!$B$5:$B$46,"Abs%"),"ELIGIBLE","INELIGIBLE ABS"),"ELIGIBLE")))</f>
        <v/>
      </c>
      <c r="F112" s="10">
        <f>IF(OR($A112="",$D112&lt;&gt;"READY"),"",IF(AGENT_INPUT!E112&lt;=SUMIFS(BONUS_RULES!$E$5:$E$46,BONUS_RULES!$A$5:$A$46,$C112,BONUS_RULES!$B$5:$B$46,"AHT"),SUMIFS(BONUS_RULES!$D$5:$D$46,BONUS_RULES!$A$5:$A$46,$C112,BONUS_RULES!$B$5:$B$46,"AHT"),IF(AGENT_INPUT!E112&lt;=SUMIFS(BONUS_RULES!$G$5:$G$46,BONUS_RULES!$A$5:$A$46,$C112,BONUS_RULES!$B$5:$B$46,"AHT"),SUMIFS(BONUS_RULES!$F$5:$F$46,BONUS_RULES!$A$5:$A$46,$C112,BONUS_RULES!$B$5:$B$46,"AHT"),0)))</f>
        <v/>
      </c>
      <c r="G112" s="10">
        <f>IF(OR($A112="",$D112&lt;&gt;"READY"),"",IF(AGENT_INPUT!F112&gt;=SUMIFS(BONUS_RULES!$E$5:$E$46,BONUS_RULES!$A$5:$A$46,$C112,BONUS_RULES!$B$5:$B$46,"Productivity"),SUMIFS(BONUS_RULES!$D$5:$D$46,BONUS_RULES!$A$5:$A$46,$C112,BONUS_RULES!$B$5:$B$46,"Productivity"),IF(AGENT_INPUT!F112&gt;=SUMIFS(BONUS_RULES!$G$5:$G$46,BONUS_RULES!$A$5:$A$46,$C112,BONUS_RULES!$B$5:$B$46,"Productivity"),SUMIFS(BONUS_RULES!$F$5:$F$46,BONUS_RULES!$A$5:$A$46,$C112,BONUS_RULES!$B$5:$B$46,"Productivity"),0)))</f>
        <v/>
      </c>
      <c r="H112" s="10">
        <f>IF(OR($A112="",$D112&lt;&gt;"READY"),"",IF(AGENT_INPUT!G112&gt;=SUMIFS(BONUS_RULES!$E$5:$E$46,BONUS_RULES!$A$5:$A$46,$C112,BONUS_RULES!$B$5:$B$46,"PCS Score"),SUMIFS(BONUS_RULES!$D$5:$D$46,BONUS_RULES!$A$5:$A$46,$C112,BONUS_RULES!$B$5:$B$46,"PCS Score"),IF(AGENT_INPUT!G112&gt;=SUMIFS(BONUS_RULES!$G$5:$G$46,BONUS_RULES!$A$5:$A$46,$C112,BONUS_RULES!$B$5:$B$46,"PCS Score"),SUMIFS(BONUS_RULES!$F$5:$F$46,BONUS_RULES!$A$5:$A$46,$C112,BONUS_RULES!$B$5:$B$46,"PCS Score"),0)))</f>
        <v/>
      </c>
      <c r="I112" s="10">
        <f>IF(OR($A112="",$D112&lt;&gt;"READY"),"",IF(AGENT_INPUT!H112&gt;=SUMIFS(BONUS_RULES!$E$5:$E$46,BONUS_RULES!$A$5:$A$46,$C112,BONUS_RULES!$B$5:$B$46,"PCS % (Participation)"),SUMIFS(BONUS_RULES!$D$5:$D$46,BONUS_RULES!$A$5:$A$46,$C112,BONUS_RULES!$B$5:$B$46,"PCS % (Participation)"),IF(AGENT_INPUT!H112&gt;=SUMIFS(BONUS_RULES!$G$5:$G$46,BONUS_RULES!$A$5:$A$46,$C112,BONUS_RULES!$B$5:$B$46,"PCS % (Participation)"),SUMIFS(BONUS_RULES!$F$5:$F$46,BONUS_RULES!$A$5:$A$46,$C112,BONUS_RULES!$B$5:$B$46,"PCS % (Participation)"),0)))</f>
        <v/>
      </c>
      <c r="J112" s="10">
        <f>IF(OR($A112="",$D112&lt;&gt;"READY"),"",IF(AGENT_INPUT!I112&gt;=SUMIFS(BONUS_RULES!$E$5:$E$46,BONUS_RULES!$A$5:$A$46,$C112,BONUS_RULES!$B$5:$B$46,"QM"),SUMIFS(BONUS_RULES!$D$5:$D$46,BONUS_RULES!$A$5:$A$46,$C112,BONUS_RULES!$B$5:$B$46,"QM"),IF(AGENT_INPUT!I112&gt;=SUMIFS(BONUS_RULES!$G$5:$G$46,BONUS_RULES!$A$5:$A$46,$C112,BONUS_RULES!$B$5:$B$46,"QM"),SUMIFS(BONUS_RULES!$F$5:$F$46,BONUS_RULES!$A$5:$A$46,$C112,BONUS_RULES!$B$5:$B$46,"QM"),0)))</f>
        <v/>
      </c>
      <c r="K112" s="10">
        <f>IF(POLICY_APPROVAL!$B$9="Eligibility only",0,IF(OR($A112="",$D112&lt;&gt;"READY"),"",IF(AGENT_INPUT!J112&lt;=SUMIFS(BONUS_RULES!$E$5:$E$46,BONUS_RULES!$A$5:$A$46,$C112,BONUS_RULES!$B$5:$B$46,"Abs%"),SUMIFS(BONUS_RULES!$D$5:$D$46,BONUS_RULES!$A$5:$A$46,$C112,BONUS_RULES!$B$5:$B$46,"Abs%"),IF(AGENT_INPUT!J112&lt;=SUMIFS(BONUS_RULES!$G$5:$G$46,BONUS_RULES!$A$5:$A$46,$C112,BONUS_RULES!$B$5:$B$46,"Abs%"),SUMIFS(BONUS_RULES!$F$5:$F$46,BONUS_RULES!$A$5:$A$46,$C112,BONUS_RULES!$B$5:$B$46,"Abs%"),0))))</f>
        <v/>
      </c>
      <c r="L112" s="10">
        <f>IF(OR($A112="",$D112&lt;&gt;"READY"),"",IF(AGENT_INPUT!G112&gt;=SUMIFS(BONUS_RULES!$E$5:$E$46,BONUS_RULES!$A$5:$A$46,$C112,BONUS_RULES!$B$5:$B$46,"Extra Bonus (PCS Score)"),SUMIFS(BONUS_RULES!$D$5:$D$46,BONUS_RULES!$A$5:$A$46,$C112,BONUS_RULES!$B$5:$B$46,"Extra Bonus (PCS Score)"),IF(AGENT_INPUT!G112&gt;=SUMIFS(BONUS_RULES!$G$5:$G$46,BONUS_RULES!$A$5:$A$46,$C112,BONUS_RULES!$B$5:$B$46,"Extra Bonus (PCS Score)"),SUMIFS(BONUS_RULES!$F$5:$F$46,BONUS_RULES!$A$5:$A$46,$C112,BONUS_RULES!$B$5:$B$46,"Extra Bonus (PCS Score)"),0)))</f>
        <v/>
      </c>
      <c r="M112" s="10">
        <f>IF($A112="","",MIN(IF(POLICY_APPROVAL!$B$6="Replacement",SUM(F112:K112)-H112+MAX(H112,L112),SUM(F112:L112)),POLICY_APPROVAL!$B$10))</f>
        <v>0</v>
      </c>
      <c r="N112" s="10">
        <f>IF($A112="","",IFERROR(INDEX(BONUS_RULES!$J$5:$J$10,MATCH(MIN(MAX(AGENT_INPUT!K112,0),5),BONUS_RULES!$I$5:$I$10,0)),1))</f>
        <v>0</v>
      </c>
      <c r="O112" s="10">
        <f>IF(M112="","",MAX(0,IF(POLICY_APPROVAL!$B$5="Percentage points",M112-N112,M112*(1-N112))))</f>
        <v>0</v>
      </c>
      <c r="P112" s="11">
        <f>IF(D112&lt;&gt;"READY","",IF(AGENT_INPUT!O112&gt;0,AGENT_INPUT!O112,AGENT_INPUT!M112*AGENT_INPUT!N112/IF(POLICY_APPROVAL!$B$7="Annual",12,1)))</f>
        <v/>
      </c>
      <c r="Q112" s="10">
        <f>IF(D112&lt;&gt;"READY","",MIN(1,AGENT_INPUT!P112/AGENT_INPUT!Q112))</f>
        <v/>
      </c>
      <c r="R112" s="11">
        <f>IF(D112&lt;&gt;"READY","",ROUND(P112*Q112*O112,IF(POLICY_APPROVAL!$B$11="Whole MAD",0,2)))</f>
        <v/>
      </c>
      <c r="S112" s="11">
        <f>IF(AND(SETUP!$B$9="READY",T112="READY"),R112,"")</f>
        <v/>
      </c>
      <c r="T112" s="4" t="str">
        <f>IF($A112="","",IF(D112&lt;&gt;"READY","BLOCKED - INPUT",IF(E112&lt;&gt;"ELIGIBLE","BLOCKED - ELIGIBILITY",IF(AGENT_INPUT!S112&lt;&gt;"VALIDATED","BLOCKED - DATA",IF(SETUP!$B$9&lt;&gt;"READY","BLOCKED - POLICY","READY")))))</f>
        <v>BLOCKED - INPUT</v>
      </c>
      <c r="U112" s="4" t="str">
        <f>IF($A112="","",IF(COUNTIFS(AGENT_INPUT!$A$5:$A$254,$A112,AGENT_INPUT!$D$5:$D$254,AGENT_INPUT!D112)&gt;1,"DUPLICATE AGENT + PERIOD",IF(D112&lt;&gt;"READY","INPUT OR CONFIG REVIEW",IF(T112&lt;&gt;"READY",T112,""))))</f>
        <v>Missing, invalid, or unconfigured required input</v>
      </c>
    </row>
    <row r="113" spans="1:21">
      <c r="A113" s="4">
        <f>IF(AGENT_INPUT!A113="","",AGENT_INPUT!A113)</f>
        <v>228666</v>
      </c>
      <c r="B113" s="4" t="str">
        <f>IF($A113="","",AGENT_INPUT!B113)</f>
        <v>Hamza Mellak</v>
      </c>
      <c r="C113" s="4" t="str">
        <f>IF($A113="","",AGENT_INPUT!C113)</f>
        <v>OEM FR</v>
      </c>
      <c r="D113" s="4" t="str">
        <f>IF($A113="","",IF(AND(COUNT(AGENT_INPUT!E113:J113)=6,COUNT(AGENT_INPUT!K113)=1,COUNTIF(BONUS_RULES!$A$5:$A$46,AGENT_INPUT!C113)&gt;0,OR(AGENT_INPUT!O113&gt;0,AND(AGENT_INPUT!M113&gt;0,AGENT_INPUT!N113&gt;0)),AGENT_INPUT!P113&gt;=0,AGENT_INPUT!Q113&gt;0,AGENT_INPUT!P113&lt;=AGENT_INPUT!Q113,AGENT_INPUT!H113&gt;=0,AGENT_INPUT!H113&lt;=1,AGENT_INPUT!I113&gt;=0,AGENT_INPUT!I113&lt;=1,AGENT_INPUT!J113&gt;=0,AGENT_INPUT!J113&lt;=1),"READY","BLOCKED"))</f>
        <v>READY</v>
      </c>
      <c r="E113" s="4" t="str">
        <f>IF($A113="","",IF(AGENT_INPUT!R113&lt;&gt;"Active","REVIEW",IF(OR(POLICY_APPROVAL!$B$9="Eligibility only",POLICY_APPROVAL!$B$9="Both"),IF(AGENT_INPUT!J113&lt;=SUMIFS(BONUS_RULES!$E$5:$E$46,BONUS_RULES!$A$5:$A$46,$C113,BONUS_RULES!$B$5:$B$46,"Abs%"),"ELIGIBLE","INELIGIBLE ABS"),"ELIGIBLE")))</f>
        <v>REVIEW</v>
      </c>
      <c r="F113" s="10">
        <f>IF(OR($A113="",$D113&lt;&gt;"READY"),"",IF(AGENT_INPUT!E113&lt;=SUMIFS(BONUS_RULES!$E$5:$E$46,BONUS_RULES!$A$5:$A$46,$C113,BONUS_RULES!$B$5:$B$46,"AHT"),SUMIFS(BONUS_RULES!$D$5:$D$46,BONUS_RULES!$A$5:$A$46,$C113,BONUS_RULES!$B$5:$B$46,"AHT"),IF(AGENT_INPUT!E113&lt;=SUMIFS(BONUS_RULES!$G$5:$G$46,BONUS_RULES!$A$5:$A$46,$C113,BONUS_RULES!$B$5:$B$46,"AHT"),SUMIFS(BONUS_RULES!$F$5:$F$46,BONUS_RULES!$A$5:$A$46,$C113,BONUS_RULES!$B$5:$B$46,"AHT"),0)))</f>
        <v>0.0</v>
      </c>
      <c r="G113" s="10">
        <f>IF(OR($A113="",$D113&lt;&gt;"READY"),"",IF(AGENT_INPUT!F113&gt;=SUMIFS(BONUS_RULES!$E$5:$E$46,BONUS_RULES!$A$5:$A$46,$C113,BONUS_RULES!$B$5:$B$46,"Productivity"),SUMIFS(BONUS_RULES!$D$5:$D$46,BONUS_RULES!$A$5:$A$46,$C113,BONUS_RULES!$B$5:$B$46,"Productivity"),IF(AGENT_INPUT!F113&gt;=SUMIFS(BONUS_RULES!$G$5:$G$46,BONUS_RULES!$A$5:$A$46,$C113,BONUS_RULES!$B$5:$B$46,"Productivity"),SUMIFS(BONUS_RULES!$F$5:$F$46,BONUS_RULES!$A$5:$A$46,$C113,BONUS_RULES!$B$5:$B$46,"Productivity"),0)))</f>
        <v>0.0</v>
      </c>
      <c r="H113" s="10">
        <f>IF(OR($A113="",$D113&lt;&gt;"READY"),"",IF(AGENT_INPUT!G113&gt;=SUMIFS(BONUS_RULES!$E$5:$E$46,BONUS_RULES!$A$5:$A$46,$C113,BONUS_RULES!$B$5:$B$46,"PCS Score"),SUMIFS(BONUS_RULES!$D$5:$D$46,BONUS_RULES!$A$5:$A$46,$C113,BONUS_RULES!$B$5:$B$46,"PCS Score"),IF(AGENT_INPUT!G113&gt;=SUMIFS(BONUS_RULES!$G$5:$G$46,BONUS_RULES!$A$5:$A$46,$C113,BONUS_RULES!$B$5:$B$46,"PCS Score"),SUMIFS(BONUS_RULES!$F$5:$F$46,BONUS_RULES!$A$5:$A$46,$C113,BONUS_RULES!$B$5:$B$46,"PCS Score"),0)))</f>
        <v>0.2</v>
      </c>
      <c r="I113" s="10">
        <f>IF(OR($A113="",$D113&lt;&gt;"READY"),"",IF(AGENT_INPUT!H113&gt;=SUMIFS(BONUS_RULES!$E$5:$E$46,BONUS_RULES!$A$5:$A$46,$C113,BONUS_RULES!$B$5:$B$46,"PCS % (Participation)"),SUMIFS(BONUS_RULES!$D$5:$D$46,BONUS_RULES!$A$5:$A$46,$C113,BONUS_RULES!$B$5:$B$46,"PCS % (Participation)"),IF(AGENT_INPUT!H113&gt;=SUMIFS(BONUS_RULES!$G$5:$G$46,BONUS_RULES!$A$5:$A$46,$C113,BONUS_RULES!$B$5:$B$46,"PCS % (Participation)"),SUMIFS(BONUS_RULES!$F$5:$F$46,BONUS_RULES!$A$5:$A$46,$C113,BONUS_RULES!$B$5:$B$46,"PCS % (Participation)"),0)))</f>
        <v>0.0</v>
      </c>
      <c r="J113" s="10">
        <f>IF(OR($A113="",$D113&lt;&gt;"READY"),"",IF(AGENT_INPUT!I113&gt;=SUMIFS(BONUS_RULES!$E$5:$E$46,BONUS_RULES!$A$5:$A$46,$C113,BONUS_RULES!$B$5:$B$46,"QM"),SUMIFS(BONUS_RULES!$D$5:$D$46,BONUS_RULES!$A$5:$A$46,$C113,BONUS_RULES!$B$5:$B$46,"QM"),IF(AGENT_INPUT!I113&gt;=SUMIFS(BONUS_RULES!$G$5:$G$46,BONUS_RULES!$A$5:$A$46,$C113,BONUS_RULES!$B$5:$B$46,"QM"),SUMIFS(BONUS_RULES!$F$5:$F$46,BONUS_RULES!$A$5:$A$46,$C113,BONUS_RULES!$B$5:$B$46,"QM"),0)))</f>
        <v>0.0</v>
      </c>
      <c r="K113" s="10">
        <f>IF(POLICY_APPROVAL!$B$9="Eligibility only",0,IF(OR($A113="",$D113&lt;&gt;"READY"),"",IF(AGENT_INPUT!J113&lt;=SUMIFS(BONUS_RULES!$E$5:$E$46,BONUS_RULES!$A$5:$A$46,$C113,BONUS_RULES!$B$5:$B$46,"Abs%"),SUMIFS(BONUS_RULES!$D$5:$D$46,BONUS_RULES!$A$5:$A$46,$C113,BONUS_RULES!$B$5:$B$46,"Abs%"),IF(AGENT_INPUT!J113&lt;=SUMIFS(BONUS_RULES!$G$5:$G$46,BONUS_RULES!$A$5:$A$46,$C113,BONUS_RULES!$B$5:$B$46,"Abs%"),SUMIFS(BONUS_RULES!$F$5:$F$46,BONUS_RULES!$A$5:$A$46,$C113,BONUS_RULES!$B$5:$B$46,"Abs%"),0))))</f>
        <v>0.15</v>
      </c>
      <c r="L113" s="10">
        <f>IF(OR($A113="",$D113&lt;&gt;"READY"),"",IF(AGENT_INPUT!G113&gt;=SUMIFS(BONUS_RULES!$E$5:$E$46,BONUS_RULES!$A$5:$A$46,$C113,BONUS_RULES!$B$5:$B$46,"Extra Bonus (PCS Score)"),SUMIFS(BONUS_RULES!$D$5:$D$46,BONUS_RULES!$A$5:$A$46,$C113,BONUS_RULES!$B$5:$B$46,"Extra Bonus (PCS Score)"),IF(AGENT_INPUT!G113&gt;=SUMIFS(BONUS_RULES!$G$5:$G$46,BONUS_RULES!$A$5:$A$46,$C113,BONUS_RULES!$B$5:$B$46,"Extra Bonus (PCS Score)"),SUMIFS(BONUS_RULES!$F$5:$F$46,BONUS_RULES!$A$5:$A$46,$C113,BONUS_RULES!$B$5:$B$46,"Extra Bonus (PCS Score)"),0)))</f>
        <v>0.3</v>
      </c>
      <c r="M113" s="10">
        <f>IF($A113="","",MIN(IF(POLICY_APPROVAL!$B$6="Replacement",SUM(F113:K113)-H113+MAX(H113,L113),SUM(F113:L113)),POLICY_APPROVAL!$B$10))</f>
        <v>0.6499999999999999</v>
      </c>
      <c r="N113" s="10">
        <f>IF($A113="","",IFERROR(INDEX(BONUS_RULES!$J$5:$J$10,MATCH(MIN(MAX(AGENT_INPUT!K113,0),5),BONUS_RULES!$I$5:$I$10,0)),1))</f>
        <v>0</v>
      </c>
      <c r="O113" s="10">
        <f>IF(M113="","",MAX(0,IF(POLICY_APPROVAL!$B$5="Percentage points",M113-N113,M113*(1-N113))))</f>
        <v>0.6499999999999999</v>
      </c>
      <c r="P113" s="11">
        <f>IF(D113&lt;&gt;"READY","",IF(AGENT_INPUT!O113&gt;0,AGENT_INPUT!O113,AGENT_INPUT!M113*AGENT_INPUT!N113/IF(POLICY_APPROVAL!$B$7="Annual",12,1)))</f>
        <v>2000.0</v>
      </c>
      <c r="Q113" s="10">
        <f>IF(D113&lt;&gt;"READY","",MIN(1,AGENT_INPUT!P113/AGENT_INPUT!Q113))</f>
        <v>1.0</v>
      </c>
      <c r="R113" s="11">
        <f>IF(D113&lt;&gt;"READY","",ROUND(P113*Q113*O113,IF(POLICY_APPROVAL!$B$11="Whole MAD",0,2)))</f>
        <v>1300.0</v>
      </c>
      <c r="S113" s="11">
        <f>IF(AND(SETUP!$B$9="READY",T113="READY"),R113,"")</f>
        <v/>
      </c>
      <c r="T113" s="4" t="str">
        <f>IF($A113="","",IF(D113&lt;&gt;"READY","BLOCKED - INPUT",IF(E113&lt;&gt;"ELIGIBLE","BLOCKED - ELIGIBILITY",IF(AGENT_INPUT!S113&lt;&gt;"VALIDATED","BLOCKED - DATA",IF(SETUP!$B$9&lt;&gt;"READY","BLOCKED - POLICY","READY")))))</f>
        <v>BLOCKED - ELIGIBILITY</v>
      </c>
      <c r="U113" s="4" t="str">
        <f>IF($A113="","",IF(COUNTIFS(AGENT_INPUT!$A$5:$A$254,$A113,AGENT_INPUT!$D$5:$D$254,AGENT_INPUT!D113)&gt;1,"DUPLICATE AGENT + PERIOD",IF(D113&lt;&gt;"READY","INPUT OR CONFIG REVIEW",IF(T113&lt;&gt;"READY",T113,""))))</f>
        <v>BLOCKED - ELIGIBILITY</v>
      </c>
    </row>
    <row r="114" spans="1:21">
      <c r="A114" s="4">
        <f>IF(AGENT_INPUT!A114="","",AGENT_INPUT!A114)</f>
        <v>205266</v>
      </c>
      <c r="B114" s="4" t="str">
        <f>IF($A114="","",AGENT_INPUT!B114)</f>
        <v>Jadda Hamza</v>
      </c>
      <c r="C114" s="4" t="str">
        <f>IF($A114="","",AGENT_INPUT!C114)</f>
        <v>OEM FR</v>
      </c>
      <c r="D114" s="4" t="str">
        <f>IF($A114="","",IF(AND(COUNT(AGENT_INPUT!E114:J114)=6,COUNT(AGENT_INPUT!K114)=1,COUNTIF(BONUS_RULES!$A$5:$A$46,AGENT_INPUT!C114)&gt;0,OR(AGENT_INPUT!O114&gt;0,AND(AGENT_INPUT!M114&gt;0,AGENT_INPUT!N114&gt;0)),AGENT_INPUT!P114&gt;=0,AGENT_INPUT!Q114&gt;0,AGENT_INPUT!P114&lt;=AGENT_INPUT!Q114,AGENT_INPUT!H114&gt;=0,AGENT_INPUT!H114&lt;=1,AGENT_INPUT!I114&gt;=0,AGENT_INPUT!I114&lt;=1,AGENT_INPUT!J114&gt;=0,AGENT_INPUT!J114&lt;=1),"READY","BLOCKED"))</f>
        <v>BLOCKED</v>
      </c>
      <c r="E114" s="4">
        <f>IF($A114="","",IF(AGENT_INPUT!R114&lt;&gt;"Active","REVIEW",IF(OR(POLICY_APPROVAL!$B$9="Eligibility only",POLICY_APPROVAL!$B$9="Both"),IF(AGENT_INPUT!J114&lt;=SUMIFS(BONUS_RULES!$E$5:$E$46,BONUS_RULES!$A$5:$A$46,$C114,BONUS_RULES!$B$5:$B$46,"Abs%"),"ELIGIBLE","INELIGIBLE ABS"),"ELIGIBLE")))</f>
        <v/>
      </c>
      <c r="F114" s="10">
        <f>IF(OR($A114="",$D114&lt;&gt;"READY"),"",IF(AGENT_INPUT!E114&lt;=SUMIFS(BONUS_RULES!$E$5:$E$46,BONUS_RULES!$A$5:$A$46,$C114,BONUS_RULES!$B$5:$B$46,"AHT"),SUMIFS(BONUS_RULES!$D$5:$D$46,BONUS_RULES!$A$5:$A$46,$C114,BONUS_RULES!$B$5:$B$46,"AHT"),IF(AGENT_INPUT!E114&lt;=SUMIFS(BONUS_RULES!$G$5:$G$46,BONUS_RULES!$A$5:$A$46,$C114,BONUS_RULES!$B$5:$B$46,"AHT"),SUMIFS(BONUS_RULES!$F$5:$F$46,BONUS_RULES!$A$5:$A$46,$C114,BONUS_RULES!$B$5:$B$46,"AHT"),0)))</f>
        <v/>
      </c>
      <c r="G114" s="10">
        <f>IF(OR($A114="",$D114&lt;&gt;"READY"),"",IF(AGENT_INPUT!F114&gt;=SUMIFS(BONUS_RULES!$E$5:$E$46,BONUS_RULES!$A$5:$A$46,$C114,BONUS_RULES!$B$5:$B$46,"Productivity"),SUMIFS(BONUS_RULES!$D$5:$D$46,BONUS_RULES!$A$5:$A$46,$C114,BONUS_RULES!$B$5:$B$46,"Productivity"),IF(AGENT_INPUT!F114&gt;=SUMIFS(BONUS_RULES!$G$5:$G$46,BONUS_RULES!$A$5:$A$46,$C114,BONUS_RULES!$B$5:$B$46,"Productivity"),SUMIFS(BONUS_RULES!$F$5:$F$46,BONUS_RULES!$A$5:$A$46,$C114,BONUS_RULES!$B$5:$B$46,"Productivity"),0)))</f>
        <v/>
      </c>
      <c r="H114" s="10">
        <f>IF(OR($A114="",$D114&lt;&gt;"READY"),"",IF(AGENT_INPUT!G114&gt;=SUMIFS(BONUS_RULES!$E$5:$E$46,BONUS_RULES!$A$5:$A$46,$C114,BONUS_RULES!$B$5:$B$46,"PCS Score"),SUMIFS(BONUS_RULES!$D$5:$D$46,BONUS_RULES!$A$5:$A$46,$C114,BONUS_RULES!$B$5:$B$46,"PCS Score"),IF(AGENT_INPUT!G114&gt;=SUMIFS(BONUS_RULES!$G$5:$G$46,BONUS_RULES!$A$5:$A$46,$C114,BONUS_RULES!$B$5:$B$46,"PCS Score"),SUMIFS(BONUS_RULES!$F$5:$F$46,BONUS_RULES!$A$5:$A$46,$C114,BONUS_RULES!$B$5:$B$46,"PCS Score"),0)))</f>
        <v/>
      </c>
      <c r="I114" s="10">
        <f>IF(OR($A114="",$D114&lt;&gt;"READY"),"",IF(AGENT_INPUT!H114&gt;=SUMIFS(BONUS_RULES!$E$5:$E$46,BONUS_RULES!$A$5:$A$46,$C114,BONUS_RULES!$B$5:$B$46,"PCS % (Participation)"),SUMIFS(BONUS_RULES!$D$5:$D$46,BONUS_RULES!$A$5:$A$46,$C114,BONUS_RULES!$B$5:$B$46,"PCS % (Participation)"),IF(AGENT_INPUT!H114&gt;=SUMIFS(BONUS_RULES!$G$5:$G$46,BONUS_RULES!$A$5:$A$46,$C114,BONUS_RULES!$B$5:$B$46,"PCS % (Participation)"),SUMIFS(BONUS_RULES!$F$5:$F$46,BONUS_RULES!$A$5:$A$46,$C114,BONUS_RULES!$B$5:$B$46,"PCS % (Participation)"),0)))</f>
        <v/>
      </c>
      <c r="J114" s="10">
        <f>IF(OR($A114="",$D114&lt;&gt;"READY"),"",IF(AGENT_INPUT!I114&gt;=SUMIFS(BONUS_RULES!$E$5:$E$46,BONUS_RULES!$A$5:$A$46,$C114,BONUS_RULES!$B$5:$B$46,"QM"),SUMIFS(BONUS_RULES!$D$5:$D$46,BONUS_RULES!$A$5:$A$46,$C114,BONUS_RULES!$B$5:$B$46,"QM"),IF(AGENT_INPUT!I114&gt;=SUMIFS(BONUS_RULES!$G$5:$G$46,BONUS_RULES!$A$5:$A$46,$C114,BONUS_RULES!$B$5:$B$46,"QM"),SUMIFS(BONUS_RULES!$F$5:$F$46,BONUS_RULES!$A$5:$A$46,$C114,BONUS_RULES!$B$5:$B$46,"QM"),0)))</f>
        <v/>
      </c>
      <c r="K114" s="10">
        <f>IF(POLICY_APPROVAL!$B$9="Eligibility only",0,IF(OR($A114="",$D114&lt;&gt;"READY"),"",IF(AGENT_INPUT!J114&lt;=SUMIFS(BONUS_RULES!$E$5:$E$46,BONUS_RULES!$A$5:$A$46,$C114,BONUS_RULES!$B$5:$B$46,"Abs%"),SUMIFS(BONUS_RULES!$D$5:$D$46,BONUS_RULES!$A$5:$A$46,$C114,BONUS_RULES!$B$5:$B$46,"Abs%"),IF(AGENT_INPUT!J114&lt;=SUMIFS(BONUS_RULES!$G$5:$G$46,BONUS_RULES!$A$5:$A$46,$C114,BONUS_RULES!$B$5:$B$46,"Abs%"),SUMIFS(BONUS_RULES!$F$5:$F$46,BONUS_RULES!$A$5:$A$46,$C114,BONUS_RULES!$B$5:$B$46,"Abs%"),0))))</f>
        <v/>
      </c>
      <c r="L114" s="10">
        <f>IF(OR($A114="",$D114&lt;&gt;"READY"),"",IF(AGENT_INPUT!G114&gt;=SUMIFS(BONUS_RULES!$E$5:$E$46,BONUS_RULES!$A$5:$A$46,$C114,BONUS_RULES!$B$5:$B$46,"Extra Bonus (PCS Score)"),SUMIFS(BONUS_RULES!$D$5:$D$46,BONUS_RULES!$A$5:$A$46,$C114,BONUS_RULES!$B$5:$B$46,"Extra Bonus (PCS Score)"),IF(AGENT_INPUT!G114&gt;=SUMIFS(BONUS_RULES!$G$5:$G$46,BONUS_RULES!$A$5:$A$46,$C114,BONUS_RULES!$B$5:$B$46,"Extra Bonus (PCS Score)"),SUMIFS(BONUS_RULES!$F$5:$F$46,BONUS_RULES!$A$5:$A$46,$C114,BONUS_RULES!$B$5:$B$46,"Extra Bonus (PCS Score)"),0)))</f>
        <v/>
      </c>
      <c r="M114" s="10">
        <f>IF($A114="","",MIN(IF(POLICY_APPROVAL!$B$6="Replacement",SUM(F114:K114)-H114+MAX(H114,L114),SUM(F114:L114)),POLICY_APPROVAL!$B$10))</f>
        <v>0</v>
      </c>
      <c r="N114" s="10">
        <f>IF($A114="","",IFERROR(INDEX(BONUS_RULES!$J$5:$J$10,MATCH(MIN(MAX(AGENT_INPUT!K114,0),5),BONUS_RULES!$I$5:$I$10,0)),1))</f>
        <v>0</v>
      </c>
      <c r="O114" s="10">
        <f>IF(M114="","",MAX(0,IF(POLICY_APPROVAL!$B$5="Percentage points",M114-N114,M114*(1-N114))))</f>
        <v>0</v>
      </c>
      <c r="P114" s="11">
        <f>IF(D114&lt;&gt;"READY","",IF(AGENT_INPUT!O114&gt;0,AGENT_INPUT!O114,AGENT_INPUT!M114*AGENT_INPUT!N114/IF(POLICY_APPROVAL!$B$7="Annual",12,1)))</f>
        <v/>
      </c>
      <c r="Q114" s="10">
        <f>IF(D114&lt;&gt;"READY","",MIN(1,AGENT_INPUT!P114/AGENT_INPUT!Q114))</f>
        <v/>
      </c>
      <c r="R114" s="11">
        <f>IF(D114&lt;&gt;"READY","",ROUND(P114*Q114*O114,IF(POLICY_APPROVAL!$B$11="Whole MAD",0,2)))</f>
        <v/>
      </c>
      <c r="S114" s="11">
        <f>IF(AND(SETUP!$B$9="READY",T114="READY"),R114,"")</f>
        <v/>
      </c>
      <c r="T114" s="4" t="str">
        <f>IF($A114="","",IF(D114&lt;&gt;"READY","BLOCKED - INPUT",IF(E114&lt;&gt;"ELIGIBLE","BLOCKED - ELIGIBILITY",IF(AGENT_INPUT!S114&lt;&gt;"VALIDATED","BLOCKED - DATA",IF(SETUP!$B$9&lt;&gt;"READY","BLOCKED - POLICY","READY")))))</f>
        <v>BLOCKED - INPUT</v>
      </c>
      <c r="U114" s="4" t="str">
        <f>IF($A114="","",IF(COUNTIFS(AGENT_INPUT!$A$5:$A$254,$A114,AGENT_INPUT!$D$5:$D$254,AGENT_INPUT!D114)&gt;1,"DUPLICATE AGENT + PERIOD",IF(D114&lt;&gt;"READY","INPUT OR CONFIG REVIEW",IF(T114&lt;&gt;"READY",T114,""))))</f>
        <v>Missing, invalid, or unconfigured required input</v>
      </c>
    </row>
    <row r="115" spans="1:21">
      <c r="A115" s="4">
        <f>IF(AGENT_INPUT!A115="","",AGENT_INPUT!A115)</f>
        <v>244556</v>
      </c>
      <c r="B115" s="4" t="str">
        <f>IF($A115="","",AGENT_INPUT!B115)</f>
        <v>Hamza Ghazi</v>
      </c>
      <c r="C115" s="4" t="str">
        <f>IF($A115="","",AGENT_INPUT!C115)</f>
        <v>RSA NL</v>
      </c>
      <c r="D115" s="4" t="str">
        <f>IF($A115="","",IF(AND(COUNT(AGENT_INPUT!E115:J115)=6,COUNT(AGENT_INPUT!K115)=1,COUNTIF(BONUS_RULES!$A$5:$A$46,AGENT_INPUT!C115)&gt;0,OR(AGENT_INPUT!O115&gt;0,AND(AGENT_INPUT!M115&gt;0,AGENT_INPUT!N115&gt;0)),AGENT_INPUT!P115&gt;=0,AGENT_INPUT!Q115&gt;0,AGENT_INPUT!P115&lt;=AGENT_INPUT!Q115,AGENT_INPUT!H115&gt;=0,AGENT_INPUT!H115&lt;=1,AGENT_INPUT!I115&gt;=0,AGENT_INPUT!I115&lt;=1,AGENT_INPUT!J115&gt;=0,AGENT_INPUT!J115&lt;=1),"READY","BLOCKED"))</f>
        <v>BLOCKED</v>
      </c>
      <c r="E115" s="4">
        <f>IF($A115="","",IF(AGENT_INPUT!R115&lt;&gt;"Active","REVIEW",IF(OR(POLICY_APPROVAL!$B$9="Eligibility only",POLICY_APPROVAL!$B$9="Both"),IF(AGENT_INPUT!J115&lt;=SUMIFS(BONUS_RULES!$E$5:$E$46,BONUS_RULES!$A$5:$A$46,$C115,BONUS_RULES!$B$5:$B$46,"Abs%"),"ELIGIBLE","INELIGIBLE ABS"),"ELIGIBLE")))</f>
        <v/>
      </c>
      <c r="F115" s="10">
        <f>IF(OR($A115="",$D115&lt;&gt;"READY"),"",IF(AGENT_INPUT!E115&lt;=SUMIFS(BONUS_RULES!$E$5:$E$46,BONUS_RULES!$A$5:$A$46,$C115,BONUS_RULES!$B$5:$B$46,"AHT"),SUMIFS(BONUS_RULES!$D$5:$D$46,BONUS_RULES!$A$5:$A$46,$C115,BONUS_RULES!$B$5:$B$46,"AHT"),IF(AGENT_INPUT!E115&lt;=SUMIFS(BONUS_RULES!$G$5:$G$46,BONUS_RULES!$A$5:$A$46,$C115,BONUS_RULES!$B$5:$B$46,"AHT"),SUMIFS(BONUS_RULES!$F$5:$F$46,BONUS_RULES!$A$5:$A$46,$C115,BONUS_RULES!$B$5:$B$46,"AHT"),0)))</f>
        <v/>
      </c>
      <c r="G115" s="10">
        <f>IF(OR($A115="",$D115&lt;&gt;"READY"),"",IF(AGENT_INPUT!F115&gt;=SUMIFS(BONUS_RULES!$E$5:$E$46,BONUS_RULES!$A$5:$A$46,$C115,BONUS_RULES!$B$5:$B$46,"Productivity"),SUMIFS(BONUS_RULES!$D$5:$D$46,BONUS_RULES!$A$5:$A$46,$C115,BONUS_RULES!$B$5:$B$46,"Productivity"),IF(AGENT_INPUT!F115&gt;=SUMIFS(BONUS_RULES!$G$5:$G$46,BONUS_RULES!$A$5:$A$46,$C115,BONUS_RULES!$B$5:$B$46,"Productivity"),SUMIFS(BONUS_RULES!$F$5:$F$46,BONUS_RULES!$A$5:$A$46,$C115,BONUS_RULES!$B$5:$B$46,"Productivity"),0)))</f>
        <v/>
      </c>
      <c r="H115" s="10">
        <f>IF(OR($A115="",$D115&lt;&gt;"READY"),"",IF(AGENT_INPUT!G115&gt;=SUMIFS(BONUS_RULES!$E$5:$E$46,BONUS_RULES!$A$5:$A$46,$C115,BONUS_RULES!$B$5:$B$46,"PCS Score"),SUMIFS(BONUS_RULES!$D$5:$D$46,BONUS_RULES!$A$5:$A$46,$C115,BONUS_RULES!$B$5:$B$46,"PCS Score"),IF(AGENT_INPUT!G115&gt;=SUMIFS(BONUS_RULES!$G$5:$G$46,BONUS_RULES!$A$5:$A$46,$C115,BONUS_RULES!$B$5:$B$46,"PCS Score"),SUMIFS(BONUS_RULES!$F$5:$F$46,BONUS_RULES!$A$5:$A$46,$C115,BONUS_RULES!$B$5:$B$46,"PCS Score"),0)))</f>
        <v/>
      </c>
      <c r="I115" s="10">
        <f>IF(OR($A115="",$D115&lt;&gt;"READY"),"",IF(AGENT_INPUT!H115&gt;=SUMIFS(BONUS_RULES!$E$5:$E$46,BONUS_RULES!$A$5:$A$46,$C115,BONUS_RULES!$B$5:$B$46,"PCS % (Participation)"),SUMIFS(BONUS_RULES!$D$5:$D$46,BONUS_RULES!$A$5:$A$46,$C115,BONUS_RULES!$B$5:$B$46,"PCS % (Participation)"),IF(AGENT_INPUT!H115&gt;=SUMIFS(BONUS_RULES!$G$5:$G$46,BONUS_RULES!$A$5:$A$46,$C115,BONUS_RULES!$B$5:$B$46,"PCS % (Participation)"),SUMIFS(BONUS_RULES!$F$5:$F$46,BONUS_RULES!$A$5:$A$46,$C115,BONUS_RULES!$B$5:$B$46,"PCS % (Participation)"),0)))</f>
        <v/>
      </c>
      <c r="J115" s="10">
        <f>IF(OR($A115="",$D115&lt;&gt;"READY"),"",IF(AGENT_INPUT!I115&gt;=SUMIFS(BONUS_RULES!$E$5:$E$46,BONUS_RULES!$A$5:$A$46,$C115,BONUS_RULES!$B$5:$B$46,"QM"),SUMIFS(BONUS_RULES!$D$5:$D$46,BONUS_RULES!$A$5:$A$46,$C115,BONUS_RULES!$B$5:$B$46,"QM"),IF(AGENT_INPUT!I115&gt;=SUMIFS(BONUS_RULES!$G$5:$G$46,BONUS_RULES!$A$5:$A$46,$C115,BONUS_RULES!$B$5:$B$46,"QM"),SUMIFS(BONUS_RULES!$F$5:$F$46,BONUS_RULES!$A$5:$A$46,$C115,BONUS_RULES!$B$5:$B$46,"QM"),0)))</f>
        <v/>
      </c>
      <c r="K115" s="10">
        <f>IF(POLICY_APPROVAL!$B$9="Eligibility only",0,IF(OR($A115="",$D115&lt;&gt;"READY"),"",IF(AGENT_INPUT!J115&lt;=SUMIFS(BONUS_RULES!$E$5:$E$46,BONUS_RULES!$A$5:$A$46,$C115,BONUS_RULES!$B$5:$B$46,"Abs%"),SUMIFS(BONUS_RULES!$D$5:$D$46,BONUS_RULES!$A$5:$A$46,$C115,BONUS_RULES!$B$5:$B$46,"Abs%"),IF(AGENT_INPUT!J115&lt;=SUMIFS(BONUS_RULES!$G$5:$G$46,BONUS_RULES!$A$5:$A$46,$C115,BONUS_RULES!$B$5:$B$46,"Abs%"),SUMIFS(BONUS_RULES!$F$5:$F$46,BONUS_RULES!$A$5:$A$46,$C115,BONUS_RULES!$B$5:$B$46,"Abs%"),0))))</f>
        <v/>
      </c>
      <c r="L115" s="10">
        <f>IF(OR($A115="",$D115&lt;&gt;"READY"),"",IF(AGENT_INPUT!G115&gt;=SUMIFS(BONUS_RULES!$E$5:$E$46,BONUS_RULES!$A$5:$A$46,$C115,BONUS_RULES!$B$5:$B$46,"Extra Bonus (PCS Score)"),SUMIFS(BONUS_RULES!$D$5:$D$46,BONUS_RULES!$A$5:$A$46,$C115,BONUS_RULES!$B$5:$B$46,"Extra Bonus (PCS Score)"),IF(AGENT_INPUT!G115&gt;=SUMIFS(BONUS_RULES!$G$5:$G$46,BONUS_RULES!$A$5:$A$46,$C115,BONUS_RULES!$B$5:$B$46,"Extra Bonus (PCS Score)"),SUMIFS(BONUS_RULES!$F$5:$F$46,BONUS_RULES!$A$5:$A$46,$C115,BONUS_RULES!$B$5:$B$46,"Extra Bonus (PCS Score)"),0)))</f>
        <v/>
      </c>
      <c r="M115" s="10">
        <f>IF($A115="","",MIN(IF(POLICY_APPROVAL!$B$6="Replacement",SUM(F115:K115)-H115+MAX(H115,L115),SUM(F115:L115)),POLICY_APPROVAL!$B$10))</f>
        <v>0</v>
      </c>
      <c r="N115" s="10">
        <f>IF($A115="","",IFERROR(INDEX(BONUS_RULES!$J$5:$J$10,MATCH(MIN(MAX(AGENT_INPUT!K115,0),5),BONUS_RULES!$I$5:$I$10,0)),1))</f>
        <v>0</v>
      </c>
      <c r="O115" s="10">
        <f>IF(M115="","",MAX(0,IF(POLICY_APPROVAL!$B$5="Percentage points",M115-N115,M115*(1-N115))))</f>
        <v>0</v>
      </c>
      <c r="P115" s="11">
        <f>IF(D115&lt;&gt;"READY","",IF(AGENT_INPUT!O115&gt;0,AGENT_INPUT!O115,AGENT_INPUT!M115*AGENT_INPUT!N115/IF(POLICY_APPROVAL!$B$7="Annual",12,1)))</f>
        <v/>
      </c>
      <c r="Q115" s="10">
        <f>IF(D115&lt;&gt;"READY","",MIN(1,AGENT_INPUT!P115/AGENT_INPUT!Q115))</f>
        <v/>
      </c>
      <c r="R115" s="11">
        <f>IF(D115&lt;&gt;"READY","",ROUND(P115*Q115*O115,IF(POLICY_APPROVAL!$B$11="Whole MAD",0,2)))</f>
        <v/>
      </c>
      <c r="S115" s="11">
        <f>IF(AND(SETUP!$B$9="READY",T115="READY"),R115,"")</f>
        <v/>
      </c>
      <c r="T115" s="4" t="str">
        <f>IF($A115="","",IF(D115&lt;&gt;"READY","BLOCKED - INPUT",IF(E115&lt;&gt;"ELIGIBLE","BLOCKED - ELIGIBILITY",IF(AGENT_INPUT!S115&lt;&gt;"VALIDATED","BLOCKED - DATA",IF(SETUP!$B$9&lt;&gt;"READY","BLOCKED - POLICY","READY")))))</f>
        <v>BLOCKED - INPUT</v>
      </c>
      <c r="U115" s="4" t="str">
        <f>IF($A115="","",IF(COUNTIFS(AGENT_INPUT!$A$5:$A$254,$A115,AGENT_INPUT!$D$5:$D$254,AGENT_INPUT!D115)&gt;1,"DUPLICATE AGENT + PERIOD",IF(D115&lt;&gt;"READY","INPUT OR CONFIG REVIEW",IF(T115&lt;&gt;"READY",T115,""))))</f>
        <v>Missing, invalid, or unconfigured required input</v>
      </c>
    </row>
    <row r="116" spans="1:21">
      <c r="A116" s="4">
        <f>IF(AGENT_INPUT!A116="","",AGENT_INPUT!A116)</f>
        <v>250748</v>
      </c>
      <c r="B116" s="4" t="str">
        <f>IF($A116="","",AGENT_INPUT!B116)</f>
        <v>Hamza  BOUWAB</v>
      </c>
      <c r="C116" s="4" t="str">
        <f>IF($A116="","",AGENT_INPUT!C116)</f>
        <v>OEM FR</v>
      </c>
      <c r="D116" s="4" t="str">
        <f>IF($A116="","",IF(AND(COUNT(AGENT_INPUT!E116:J116)=6,COUNT(AGENT_INPUT!K116)=1,COUNTIF(BONUS_RULES!$A$5:$A$46,AGENT_INPUT!C116)&gt;0,OR(AGENT_INPUT!O116&gt;0,AND(AGENT_INPUT!M116&gt;0,AGENT_INPUT!N116&gt;0)),AGENT_INPUT!P116&gt;=0,AGENT_INPUT!Q116&gt;0,AGENT_INPUT!P116&lt;=AGENT_INPUT!Q116,AGENT_INPUT!H116&gt;=0,AGENT_INPUT!H116&lt;=1,AGENT_INPUT!I116&gt;=0,AGENT_INPUT!I116&lt;=1,AGENT_INPUT!J116&gt;=0,AGENT_INPUT!J116&lt;=1),"READY","BLOCKED"))</f>
        <v>BLOCKED</v>
      </c>
      <c r="E116" s="4">
        <f>IF($A116="","",IF(AGENT_INPUT!R116&lt;&gt;"Active","REVIEW",IF(OR(POLICY_APPROVAL!$B$9="Eligibility only",POLICY_APPROVAL!$B$9="Both"),IF(AGENT_INPUT!J116&lt;=SUMIFS(BONUS_RULES!$E$5:$E$46,BONUS_RULES!$A$5:$A$46,$C116,BONUS_RULES!$B$5:$B$46,"Abs%"),"ELIGIBLE","INELIGIBLE ABS"),"ELIGIBLE")))</f>
        <v/>
      </c>
      <c r="F116" s="10">
        <f>IF(OR($A116="",$D116&lt;&gt;"READY"),"",IF(AGENT_INPUT!E116&lt;=SUMIFS(BONUS_RULES!$E$5:$E$46,BONUS_RULES!$A$5:$A$46,$C116,BONUS_RULES!$B$5:$B$46,"AHT"),SUMIFS(BONUS_RULES!$D$5:$D$46,BONUS_RULES!$A$5:$A$46,$C116,BONUS_RULES!$B$5:$B$46,"AHT"),IF(AGENT_INPUT!E116&lt;=SUMIFS(BONUS_RULES!$G$5:$G$46,BONUS_RULES!$A$5:$A$46,$C116,BONUS_RULES!$B$5:$B$46,"AHT"),SUMIFS(BONUS_RULES!$F$5:$F$46,BONUS_RULES!$A$5:$A$46,$C116,BONUS_RULES!$B$5:$B$46,"AHT"),0)))</f>
        <v/>
      </c>
      <c r="G116" s="10">
        <f>IF(OR($A116="",$D116&lt;&gt;"READY"),"",IF(AGENT_INPUT!F116&gt;=SUMIFS(BONUS_RULES!$E$5:$E$46,BONUS_RULES!$A$5:$A$46,$C116,BONUS_RULES!$B$5:$B$46,"Productivity"),SUMIFS(BONUS_RULES!$D$5:$D$46,BONUS_RULES!$A$5:$A$46,$C116,BONUS_RULES!$B$5:$B$46,"Productivity"),IF(AGENT_INPUT!F116&gt;=SUMIFS(BONUS_RULES!$G$5:$G$46,BONUS_RULES!$A$5:$A$46,$C116,BONUS_RULES!$B$5:$B$46,"Productivity"),SUMIFS(BONUS_RULES!$F$5:$F$46,BONUS_RULES!$A$5:$A$46,$C116,BONUS_RULES!$B$5:$B$46,"Productivity"),0)))</f>
        <v/>
      </c>
      <c r="H116" s="10">
        <f>IF(OR($A116="",$D116&lt;&gt;"READY"),"",IF(AGENT_INPUT!G116&gt;=SUMIFS(BONUS_RULES!$E$5:$E$46,BONUS_RULES!$A$5:$A$46,$C116,BONUS_RULES!$B$5:$B$46,"PCS Score"),SUMIFS(BONUS_RULES!$D$5:$D$46,BONUS_RULES!$A$5:$A$46,$C116,BONUS_RULES!$B$5:$B$46,"PCS Score"),IF(AGENT_INPUT!G116&gt;=SUMIFS(BONUS_RULES!$G$5:$G$46,BONUS_RULES!$A$5:$A$46,$C116,BONUS_RULES!$B$5:$B$46,"PCS Score"),SUMIFS(BONUS_RULES!$F$5:$F$46,BONUS_RULES!$A$5:$A$46,$C116,BONUS_RULES!$B$5:$B$46,"PCS Score"),0)))</f>
        <v/>
      </c>
      <c r="I116" s="10">
        <f>IF(OR($A116="",$D116&lt;&gt;"READY"),"",IF(AGENT_INPUT!H116&gt;=SUMIFS(BONUS_RULES!$E$5:$E$46,BONUS_RULES!$A$5:$A$46,$C116,BONUS_RULES!$B$5:$B$46,"PCS % (Participation)"),SUMIFS(BONUS_RULES!$D$5:$D$46,BONUS_RULES!$A$5:$A$46,$C116,BONUS_RULES!$B$5:$B$46,"PCS % (Participation)"),IF(AGENT_INPUT!H116&gt;=SUMIFS(BONUS_RULES!$G$5:$G$46,BONUS_RULES!$A$5:$A$46,$C116,BONUS_RULES!$B$5:$B$46,"PCS % (Participation)"),SUMIFS(BONUS_RULES!$F$5:$F$46,BONUS_RULES!$A$5:$A$46,$C116,BONUS_RULES!$B$5:$B$46,"PCS % (Participation)"),0)))</f>
        <v/>
      </c>
      <c r="J116" s="10">
        <f>IF(OR($A116="",$D116&lt;&gt;"READY"),"",IF(AGENT_INPUT!I116&gt;=SUMIFS(BONUS_RULES!$E$5:$E$46,BONUS_RULES!$A$5:$A$46,$C116,BONUS_RULES!$B$5:$B$46,"QM"),SUMIFS(BONUS_RULES!$D$5:$D$46,BONUS_RULES!$A$5:$A$46,$C116,BONUS_RULES!$B$5:$B$46,"QM"),IF(AGENT_INPUT!I116&gt;=SUMIFS(BONUS_RULES!$G$5:$G$46,BONUS_RULES!$A$5:$A$46,$C116,BONUS_RULES!$B$5:$B$46,"QM"),SUMIFS(BONUS_RULES!$F$5:$F$46,BONUS_RULES!$A$5:$A$46,$C116,BONUS_RULES!$B$5:$B$46,"QM"),0)))</f>
        <v/>
      </c>
      <c r="K116" s="10">
        <f>IF(POLICY_APPROVAL!$B$9="Eligibility only",0,IF(OR($A116="",$D116&lt;&gt;"READY"),"",IF(AGENT_INPUT!J116&lt;=SUMIFS(BONUS_RULES!$E$5:$E$46,BONUS_RULES!$A$5:$A$46,$C116,BONUS_RULES!$B$5:$B$46,"Abs%"),SUMIFS(BONUS_RULES!$D$5:$D$46,BONUS_RULES!$A$5:$A$46,$C116,BONUS_RULES!$B$5:$B$46,"Abs%"),IF(AGENT_INPUT!J116&lt;=SUMIFS(BONUS_RULES!$G$5:$G$46,BONUS_RULES!$A$5:$A$46,$C116,BONUS_RULES!$B$5:$B$46,"Abs%"),SUMIFS(BONUS_RULES!$F$5:$F$46,BONUS_RULES!$A$5:$A$46,$C116,BONUS_RULES!$B$5:$B$46,"Abs%"),0))))</f>
        <v/>
      </c>
      <c r="L116" s="10">
        <f>IF(OR($A116="",$D116&lt;&gt;"READY"),"",IF(AGENT_INPUT!G116&gt;=SUMIFS(BONUS_RULES!$E$5:$E$46,BONUS_RULES!$A$5:$A$46,$C116,BONUS_RULES!$B$5:$B$46,"Extra Bonus (PCS Score)"),SUMIFS(BONUS_RULES!$D$5:$D$46,BONUS_RULES!$A$5:$A$46,$C116,BONUS_RULES!$B$5:$B$46,"Extra Bonus (PCS Score)"),IF(AGENT_INPUT!G116&gt;=SUMIFS(BONUS_RULES!$G$5:$G$46,BONUS_RULES!$A$5:$A$46,$C116,BONUS_RULES!$B$5:$B$46,"Extra Bonus (PCS Score)"),SUMIFS(BONUS_RULES!$F$5:$F$46,BONUS_RULES!$A$5:$A$46,$C116,BONUS_RULES!$B$5:$B$46,"Extra Bonus (PCS Score)"),0)))</f>
        <v/>
      </c>
      <c r="M116" s="10">
        <f>IF($A116="","",MIN(IF(POLICY_APPROVAL!$B$6="Replacement",SUM(F116:K116)-H116+MAX(H116,L116),SUM(F116:L116)),POLICY_APPROVAL!$B$10))</f>
        <v>0</v>
      </c>
      <c r="N116" s="10">
        <f>IF($A116="","",IFERROR(INDEX(BONUS_RULES!$J$5:$J$10,MATCH(MIN(MAX(AGENT_INPUT!K116,0),5),BONUS_RULES!$I$5:$I$10,0)),1))</f>
        <v>0</v>
      </c>
      <c r="O116" s="10">
        <f>IF(M116="","",MAX(0,IF(POLICY_APPROVAL!$B$5="Percentage points",M116-N116,M116*(1-N116))))</f>
        <v>0</v>
      </c>
      <c r="P116" s="11">
        <f>IF(D116&lt;&gt;"READY","",IF(AGENT_INPUT!O116&gt;0,AGENT_INPUT!O116,AGENT_INPUT!M116*AGENT_INPUT!N116/IF(POLICY_APPROVAL!$B$7="Annual",12,1)))</f>
        <v/>
      </c>
      <c r="Q116" s="10">
        <f>IF(D116&lt;&gt;"READY","",MIN(1,AGENT_INPUT!P116/AGENT_INPUT!Q116))</f>
        <v/>
      </c>
      <c r="R116" s="11">
        <f>IF(D116&lt;&gt;"READY","",ROUND(P116*Q116*O116,IF(POLICY_APPROVAL!$B$11="Whole MAD",0,2)))</f>
        <v/>
      </c>
      <c r="S116" s="11">
        <f>IF(AND(SETUP!$B$9="READY",T116="READY"),R116,"")</f>
        <v/>
      </c>
      <c r="T116" s="4" t="str">
        <f>IF($A116="","",IF(D116&lt;&gt;"READY","BLOCKED - INPUT",IF(E116&lt;&gt;"ELIGIBLE","BLOCKED - ELIGIBILITY",IF(AGENT_INPUT!S116&lt;&gt;"VALIDATED","BLOCKED - DATA",IF(SETUP!$B$9&lt;&gt;"READY","BLOCKED - POLICY","READY")))))</f>
        <v>BLOCKED - INPUT</v>
      </c>
      <c r="U116" s="4" t="str">
        <f>IF($A116="","",IF(COUNTIFS(AGENT_INPUT!$A$5:$A$254,$A116,AGENT_INPUT!$D$5:$D$254,AGENT_INPUT!D116)&gt;1,"DUPLICATE AGENT + PERIOD",IF(D116&lt;&gt;"READY","INPUT OR CONFIG REVIEW",IF(T116&lt;&gt;"READY",T116,""))))</f>
        <v>Missing, invalid, or unconfigured required input</v>
      </c>
    </row>
    <row r="117" spans="1:21">
      <c r="A117" s="4">
        <f>IF(AGENT_INPUT!A117="","",AGENT_INPUT!A117)</f>
        <v>249779</v>
      </c>
      <c r="B117" s="4" t="str">
        <f>IF($A117="","",AGENT_INPUT!B117)</f>
        <v>Hamza BOUJIDI</v>
      </c>
      <c r="C117" s="4" t="str">
        <f>IF($A117="","",AGENT_INPUT!C117)</f>
        <v>RSA FR</v>
      </c>
      <c r="D117" s="4" t="str">
        <f>IF($A117="","",IF(AND(COUNT(AGENT_INPUT!E117:J117)=6,COUNT(AGENT_INPUT!K117)=1,COUNTIF(BONUS_RULES!$A$5:$A$46,AGENT_INPUT!C117)&gt;0,OR(AGENT_INPUT!O117&gt;0,AND(AGENT_INPUT!M117&gt;0,AGENT_INPUT!N117&gt;0)),AGENT_INPUT!P117&gt;=0,AGENT_INPUT!Q117&gt;0,AGENT_INPUT!P117&lt;=AGENT_INPUT!Q117,AGENT_INPUT!H117&gt;=0,AGENT_INPUT!H117&lt;=1,AGENT_INPUT!I117&gt;=0,AGENT_INPUT!I117&lt;=1,AGENT_INPUT!J117&gt;=0,AGENT_INPUT!J117&lt;=1),"READY","BLOCKED"))</f>
        <v>BLOCKED</v>
      </c>
      <c r="E117" s="4">
        <f>IF($A117="","",IF(AGENT_INPUT!R117&lt;&gt;"Active","REVIEW",IF(OR(POLICY_APPROVAL!$B$9="Eligibility only",POLICY_APPROVAL!$B$9="Both"),IF(AGENT_INPUT!J117&lt;=SUMIFS(BONUS_RULES!$E$5:$E$46,BONUS_RULES!$A$5:$A$46,$C117,BONUS_RULES!$B$5:$B$46,"Abs%"),"ELIGIBLE","INELIGIBLE ABS"),"ELIGIBLE")))</f>
        <v/>
      </c>
      <c r="F117" s="10">
        <f>IF(OR($A117="",$D117&lt;&gt;"READY"),"",IF(AGENT_INPUT!E117&lt;=SUMIFS(BONUS_RULES!$E$5:$E$46,BONUS_RULES!$A$5:$A$46,$C117,BONUS_RULES!$B$5:$B$46,"AHT"),SUMIFS(BONUS_RULES!$D$5:$D$46,BONUS_RULES!$A$5:$A$46,$C117,BONUS_RULES!$B$5:$B$46,"AHT"),IF(AGENT_INPUT!E117&lt;=SUMIFS(BONUS_RULES!$G$5:$G$46,BONUS_RULES!$A$5:$A$46,$C117,BONUS_RULES!$B$5:$B$46,"AHT"),SUMIFS(BONUS_RULES!$F$5:$F$46,BONUS_RULES!$A$5:$A$46,$C117,BONUS_RULES!$B$5:$B$46,"AHT"),0)))</f>
        <v/>
      </c>
      <c r="G117" s="10">
        <f>IF(OR($A117="",$D117&lt;&gt;"READY"),"",IF(AGENT_INPUT!F117&gt;=SUMIFS(BONUS_RULES!$E$5:$E$46,BONUS_RULES!$A$5:$A$46,$C117,BONUS_RULES!$B$5:$B$46,"Productivity"),SUMIFS(BONUS_RULES!$D$5:$D$46,BONUS_RULES!$A$5:$A$46,$C117,BONUS_RULES!$B$5:$B$46,"Productivity"),IF(AGENT_INPUT!F117&gt;=SUMIFS(BONUS_RULES!$G$5:$G$46,BONUS_RULES!$A$5:$A$46,$C117,BONUS_RULES!$B$5:$B$46,"Productivity"),SUMIFS(BONUS_RULES!$F$5:$F$46,BONUS_RULES!$A$5:$A$46,$C117,BONUS_RULES!$B$5:$B$46,"Productivity"),0)))</f>
        <v/>
      </c>
      <c r="H117" s="10">
        <f>IF(OR($A117="",$D117&lt;&gt;"READY"),"",IF(AGENT_INPUT!G117&gt;=SUMIFS(BONUS_RULES!$E$5:$E$46,BONUS_RULES!$A$5:$A$46,$C117,BONUS_RULES!$B$5:$B$46,"PCS Score"),SUMIFS(BONUS_RULES!$D$5:$D$46,BONUS_RULES!$A$5:$A$46,$C117,BONUS_RULES!$B$5:$B$46,"PCS Score"),IF(AGENT_INPUT!G117&gt;=SUMIFS(BONUS_RULES!$G$5:$G$46,BONUS_RULES!$A$5:$A$46,$C117,BONUS_RULES!$B$5:$B$46,"PCS Score"),SUMIFS(BONUS_RULES!$F$5:$F$46,BONUS_RULES!$A$5:$A$46,$C117,BONUS_RULES!$B$5:$B$46,"PCS Score"),0)))</f>
        <v/>
      </c>
      <c r="I117" s="10">
        <f>IF(OR($A117="",$D117&lt;&gt;"READY"),"",IF(AGENT_INPUT!H117&gt;=SUMIFS(BONUS_RULES!$E$5:$E$46,BONUS_RULES!$A$5:$A$46,$C117,BONUS_RULES!$B$5:$B$46,"PCS % (Participation)"),SUMIFS(BONUS_RULES!$D$5:$D$46,BONUS_RULES!$A$5:$A$46,$C117,BONUS_RULES!$B$5:$B$46,"PCS % (Participation)"),IF(AGENT_INPUT!H117&gt;=SUMIFS(BONUS_RULES!$G$5:$G$46,BONUS_RULES!$A$5:$A$46,$C117,BONUS_RULES!$B$5:$B$46,"PCS % (Participation)"),SUMIFS(BONUS_RULES!$F$5:$F$46,BONUS_RULES!$A$5:$A$46,$C117,BONUS_RULES!$B$5:$B$46,"PCS % (Participation)"),0)))</f>
        <v/>
      </c>
      <c r="J117" s="10">
        <f>IF(OR($A117="",$D117&lt;&gt;"READY"),"",IF(AGENT_INPUT!I117&gt;=SUMIFS(BONUS_RULES!$E$5:$E$46,BONUS_RULES!$A$5:$A$46,$C117,BONUS_RULES!$B$5:$B$46,"QM"),SUMIFS(BONUS_RULES!$D$5:$D$46,BONUS_RULES!$A$5:$A$46,$C117,BONUS_RULES!$B$5:$B$46,"QM"),IF(AGENT_INPUT!I117&gt;=SUMIFS(BONUS_RULES!$G$5:$G$46,BONUS_RULES!$A$5:$A$46,$C117,BONUS_RULES!$B$5:$B$46,"QM"),SUMIFS(BONUS_RULES!$F$5:$F$46,BONUS_RULES!$A$5:$A$46,$C117,BONUS_RULES!$B$5:$B$46,"QM"),0)))</f>
        <v/>
      </c>
      <c r="K117" s="10">
        <f>IF(POLICY_APPROVAL!$B$9="Eligibility only",0,IF(OR($A117="",$D117&lt;&gt;"READY"),"",IF(AGENT_INPUT!J117&lt;=SUMIFS(BONUS_RULES!$E$5:$E$46,BONUS_RULES!$A$5:$A$46,$C117,BONUS_RULES!$B$5:$B$46,"Abs%"),SUMIFS(BONUS_RULES!$D$5:$D$46,BONUS_RULES!$A$5:$A$46,$C117,BONUS_RULES!$B$5:$B$46,"Abs%"),IF(AGENT_INPUT!J117&lt;=SUMIFS(BONUS_RULES!$G$5:$G$46,BONUS_RULES!$A$5:$A$46,$C117,BONUS_RULES!$B$5:$B$46,"Abs%"),SUMIFS(BONUS_RULES!$F$5:$F$46,BONUS_RULES!$A$5:$A$46,$C117,BONUS_RULES!$B$5:$B$46,"Abs%"),0))))</f>
        <v/>
      </c>
      <c r="L117" s="10">
        <f>IF(OR($A117="",$D117&lt;&gt;"READY"),"",IF(AGENT_INPUT!G117&gt;=SUMIFS(BONUS_RULES!$E$5:$E$46,BONUS_RULES!$A$5:$A$46,$C117,BONUS_RULES!$B$5:$B$46,"Extra Bonus (PCS Score)"),SUMIFS(BONUS_RULES!$D$5:$D$46,BONUS_RULES!$A$5:$A$46,$C117,BONUS_RULES!$B$5:$B$46,"Extra Bonus (PCS Score)"),IF(AGENT_INPUT!G117&gt;=SUMIFS(BONUS_RULES!$G$5:$G$46,BONUS_RULES!$A$5:$A$46,$C117,BONUS_RULES!$B$5:$B$46,"Extra Bonus (PCS Score)"),SUMIFS(BONUS_RULES!$F$5:$F$46,BONUS_RULES!$A$5:$A$46,$C117,BONUS_RULES!$B$5:$B$46,"Extra Bonus (PCS Score)"),0)))</f>
        <v/>
      </c>
      <c r="M117" s="10">
        <f>IF($A117="","",MIN(IF(POLICY_APPROVAL!$B$6="Replacement",SUM(F117:K117)-H117+MAX(H117,L117),SUM(F117:L117)),POLICY_APPROVAL!$B$10))</f>
        <v>0</v>
      </c>
      <c r="N117" s="10">
        <f>IF($A117="","",IFERROR(INDEX(BONUS_RULES!$J$5:$J$10,MATCH(MIN(MAX(AGENT_INPUT!K117,0),5),BONUS_RULES!$I$5:$I$10,0)),1))</f>
        <v>0</v>
      </c>
      <c r="O117" s="10">
        <f>IF(M117="","",MAX(0,IF(POLICY_APPROVAL!$B$5="Percentage points",M117-N117,M117*(1-N117))))</f>
        <v>0</v>
      </c>
      <c r="P117" s="11">
        <f>IF(D117&lt;&gt;"READY","",IF(AGENT_INPUT!O117&gt;0,AGENT_INPUT!O117,AGENT_INPUT!M117*AGENT_INPUT!N117/IF(POLICY_APPROVAL!$B$7="Annual",12,1)))</f>
        <v/>
      </c>
      <c r="Q117" s="10">
        <f>IF(D117&lt;&gt;"READY","",MIN(1,AGENT_INPUT!P117/AGENT_INPUT!Q117))</f>
        <v/>
      </c>
      <c r="R117" s="11">
        <f>IF(D117&lt;&gt;"READY","",ROUND(P117*Q117*O117,IF(POLICY_APPROVAL!$B$11="Whole MAD",0,2)))</f>
        <v/>
      </c>
      <c r="S117" s="11">
        <f>IF(AND(SETUP!$B$9="READY",T117="READY"),R117,"")</f>
        <v/>
      </c>
      <c r="T117" s="4" t="str">
        <f>IF($A117="","",IF(D117&lt;&gt;"READY","BLOCKED - INPUT",IF(E117&lt;&gt;"ELIGIBLE","BLOCKED - ELIGIBILITY",IF(AGENT_INPUT!S117&lt;&gt;"VALIDATED","BLOCKED - DATA",IF(SETUP!$B$9&lt;&gt;"READY","BLOCKED - POLICY","READY")))))</f>
        <v>BLOCKED - INPUT</v>
      </c>
      <c r="U117" s="4" t="str">
        <f>IF($A117="","",IF(COUNTIFS(AGENT_INPUT!$A$5:$A$254,$A117,AGENT_INPUT!$D$5:$D$254,AGENT_INPUT!D117)&gt;1,"DUPLICATE AGENT + PERIOD",IF(D117&lt;&gt;"READY","INPUT OR CONFIG REVIEW",IF(T117&lt;&gt;"READY",T117,""))))</f>
        <v>Missing, invalid, or unconfigured required input</v>
      </c>
    </row>
    <row r="118" spans="1:21">
      <c r="A118" s="4">
        <f>IF(AGENT_INPUT!A118="","",AGENT_INPUT!A118)</f>
        <v>250741</v>
      </c>
      <c r="B118" s="4" t="str">
        <f>IF($A118="","",AGENT_INPUT!B118)</f>
        <v>Hamza BOUAMAL</v>
      </c>
      <c r="C118" s="4" t="str">
        <f>IF($A118="","",AGENT_INPUT!C118)</f>
        <v>OEM FR</v>
      </c>
      <c r="D118" s="4" t="str">
        <f>IF($A118="","",IF(AND(COUNT(AGENT_INPUT!E118:J118)=6,COUNT(AGENT_INPUT!K118)=1,COUNTIF(BONUS_RULES!$A$5:$A$46,AGENT_INPUT!C118)&gt;0,OR(AGENT_INPUT!O118&gt;0,AND(AGENT_INPUT!M118&gt;0,AGENT_INPUT!N118&gt;0)),AGENT_INPUT!P118&gt;=0,AGENT_INPUT!Q118&gt;0,AGENT_INPUT!P118&lt;=AGENT_INPUT!Q118,AGENT_INPUT!H118&gt;=0,AGENT_INPUT!H118&lt;=1,AGENT_INPUT!I118&gt;=0,AGENT_INPUT!I118&lt;=1,AGENT_INPUT!J118&gt;=0,AGENT_INPUT!J118&lt;=1),"READY","BLOCKED"))</f>
        <v>BLOCKED</v>
      </c>
      <c r="E118" s="4">
        <f>IF($A118="","",IF(AGENT_INPUT!R118&lt;&gt;"Active","REVIEW",IF(OR(POLICY_APPROVAL!$B$9="Eligibility only",POLICY_APPROVAL!$B$9="Both"),IF(AGENT_INPUT!J118&lt;=SUMIFS(BONUS_RULES!$E$5:$E$46,BONUS_RULES!$A$5:$A$46,$C118,BONUS_RULES!$B$5:$B$46,"Abs%"),"ELIGIBLE","INELIGIBLE ABS"),"ELIGIBLE")))</f>
        <v/>
      </c>
      <c r="F118" s="10">
        <f>IF(OR($A118="",$D118&lt;&gt;"READY"),"",IF(AGENT_INPUT!E118&lt;=SUMIFS(BONUS_RULES!$E$5:$E$46,BONUS_RULES!$A$5:$A$46,$C118,BONUS_RULES!$B$5:$B$46,"AHT"),SUMIFS(BONUS_RULES!$D$5:$D$46,BONUS_RULES!$A$5:$A$46,$C118,BONUS_RULES!$B$5:$B$46,"AHT"),IF(AGENT_INPUT!E118&lt;=SUMIFS(BONUS_RULES!$G$5:$G$46,BONUS_RULES!$A$5:$A$46,$C118,BONUS_RULES!$B$5:$B$46,"AHT"),SUMIFS(BONUS_RULES!$F$5:$F$46,BONUS_RULES!$A$5:$A$46,$C118,BONUS_RULES!$B$5:$B$46,"AHT"),0)))</f>
        <v/>
      </c>
      <c r="G118" s="10">
        <f>IF(OR($A118="",$D118&lt;&gt;"READY"),"",IF(AGENT_INPUT!F118&gt;=SUMIFS(BONUS_RULES!$E$5:$E$46,BONUS_RULES!$A$5:$A$46,$C118,BONUS_RULES!$B$5:$B$46,"Productivity"),SUMIFS(BONUS_RULES!$D$5:$D$46,BONUS_RULES!$A$5:$A$46,$C118,BONUS_RULES!$B$5:$B$46,"Productivity"),IF(AGENT_INPUT!F118&gt;=SUMIFS(BONUS_RULES!$G$5:$G$46,BONUS_RULES!$A$5:$A$46,$C118,BONUS_RULES!$B$5:$B$46,"Productivity"),SUMIFS(BONUS_RULES!$F$5:$F$46,BONUS_RULES!$A$5:$A$46,$C118,BONUS_RULES!$B$5:$B$46,"Productivity"),0)))</f>
        <v/>
      </c>
      <c r="H118" s="10">
        <f>IF(OR($A118="",$D118&lt;&gt;"READY"),"",IF(AGENT_INPUT!G118&gt;=SUMIFS(BONUS_RULES!$E$5:$E$46,BONUS_RULES!$A$5:$A$46,$C118,BONUS_RULES!$B$5:$B$46,"PCS Score"),SUMIFS(BONUS_RULES!$D$5:$D$46,BONUS_RULES!$A$5:$A$46,$C118,BONUS_RULES!$B$5:$B$46,"PCS Score"),IF(AGENT_INPUT!G118&gt;=SUMIFS(BONUS_RULES!$G$5:$G$46,BONUS_RULES!$A$5:$A$46,$C118,BONUS_RULES!$B$5:$B$46,"PCS Score"),SUMIFS(BONUS_RULES!$F$5:$F$46,BONUS_RULES!$A$5:$A$46,$C118,BONUS_RULES!$B$5:$B$46,"PCS Score"),0)))</f>
        <v/>
      </c>
      <c r="I118" s="10">
        <f>IF(OR($A118="",$D118&lt;&gt;"READY"),"",IF(AGENT_INPUT!H118&gt;=SUMIFS(BONUS_RULES!$E$5:$E$46,BONUS_RULES!$A$5:$A$46,$C118,BONUS_RULES!$B$5:$B$46,"PCS % (Participation)"),SUMIFS(BONUS_RULES!$D$5:$D$46,BONUS_RULES!$A$5:$A$46,$C118,BONUS_RULES!$B$5:$B$46,"PCS % (Participation)"),IF(AGENT_INPUT!H118&gt;=SUMIFS(BONUS_RULES!$G$5:$G$46,BONUS_RULES!$A$5:$A$46,$C118,BONUS_RULES!$B$5:$B$46,"PCS % (Participation)"),SUMIFS(BONUS_RULES!$F$5:$F$46,BONUS_RULES!$A$5:$A$46,$C118,BONUS_RULES!$B$5:$B$46,"PCS % (Participation)"),0)))</f>
        <v/>
      </c>
      <c r="J118" s="10">
        <f>IF(OR($A118="",$D118&lt;&gt;"READY"),"",IF(AGENT_INPUT!I118&gt;=SUMIFS(BONUS_RULES!$E$5:$E$46,BONUS_RULES!$A$5:$A$46,$C118,BONUS_RULES!$B$5:$B$46,"QM"),SUMIFS(BONUS_RULES!$D$5:$D$46,BONUS_RULES!$A$5:$A$46,$C118,BONUS_RULES!$B$5:$B$46,"QM"),IF(AGENT_INPUT!I118&gt;=SUMIFS(BONUS_RULES!$G$5:$G$46,BONUS_RULES!$A$5:$A$46,$C118,BONUS_RULES!$B$5:$B$46,"QM"),SUMIFS(BONUS_RULES!$F$5:$F$46,BONUS_RULES!$A$5:$A$46,$C118,BONUS_RULES!$B$5:$B$46,"QM"),0)))</f>
        <v/>
      </c>
      <c r="K118" s="10">
        <f>IF(POLICY_APPROVAL!$B$9="Eligibility only",0,IF(OR($A118="",$D118&lt;&gt;"READY"),"",IF(AGENT_INPUT!J118&lt;=SUMIFS(BONUS_RULES!$E$5:$E$46,BONUS_RULES!$A$5:$A$46,$C118,BONUS_RULES!$B$5:$B$46,"Abs%"),SUMIFS(BONUS_RULES!$D$5:$D$46,BONUS_RULES!$A$5:$A$46,$C118,BONUS_RULES!$B$5:$B$46,"Abs%"),IF(AGENT_INPUT!J118&lt;=SUMIFS(BONUS_RULES!$G$5:$G$46,BONUS_RULES!$A$5:$A$46,$C118,BONUS_RULES!$B$5:$B$46,"Abs%"),SUMIFS(BONUS_RULES!$F$5:$F$46,BONUS_RULES!$A$5:$A$46,$C118,BONUS_RULES!$B$5:$B$46,"Abs%"),0))))</f>
        <v/>
      </c>
      <c r="L118" s="10">
        <f>IF(OR($A118="",$D118&lt;&gt;"READY"),"",IF(AGENT_INPUT!G118&gt;=SUMIFS(BONUS_RULES!$E$5:$E$46,BONUS_RULES!$A$5:$A$46,$C118,BONUS_RULES!$B$5:$B$46,"Extra Bonus (PCS Score)"),SUMIFS(BONUS_RULES!$D$5:$D$46,BONUS_RULES!$A$5:$A$46,$C118,BONUS_RULES!$B$5:$B$46,"Extra Bonus (PCS Score)"),IF(AGENT_INPUT!G118&gt;=SUMIFS(BONUS_RULES!$G$5:$G$46,BONUS_RULES!$A$5:$A$46,$C118,BONUS_RULES!$B$5:$B$46,"Extra Bonus (PCS Score)"),SUMIFS(BONUS_RULES!$F$5:$F$46,BONUS_RULES!$A$5:$A$46,$C118,BONUS_RULES!$B$5:$B$46,"Extra Bonus (PCS Score)"),0)))</f>
        <v/>
      </c>
      <c r="M118" s="10">
        <f>IF($A118="","",MIN(IF(POLICY_APPROVAL!$B$6="Replacement",SUM(F118:K118)-H118+MAX(H118,L118),SUM(F118:L118)),POLICY_APPROVAL!$B$10))</f>
        <v>0</v>
      </c>
      <c r="N118" s="10">
        <f>IF($A118="","",IFERROR(INDEX(BONUS_RULES!$J$5:$J$10,MATCH(MIN(MAX(AGENT_INPUT!K118,0),5),BONUS_RULES!$I$5:$I$10,0)),1))</f>
        <v>0</v>
      </c>
      <c r="O118" s="10">
        <f>IF(M118="","",MAX(0,IF(POLICY_APPROVAL!$B$5="Percentage points",M118-N118,M118*(1-N118))))</f>
        <v>0</v>
      </c>
      <c r="P118" s="11">
        <f>IF(D118&lt;&gt;"READY","",IF(AGENT_INPUT!O118&gt;0,AGENT_INPUT!O118,AGENT_INPUT!M118*AGENT_INPUT!N118/IF(POLICY_APPROVAL!$B$7="Annual",12,1)))</f>
        <v/>
      </c>
      <c r="Q118" s="10">
        <f>IF(D118&lt;&gt;"READY","",MIN(1,AGENT_INPUT!P118/AGENT_INPUT!Q118))</f>
        <v/>
      </c>
      <c r="R118" s="11">
        <f>IF(D118&lt;&gt;"READY","",ROUND(P118*Q118*O118,IF(POLICY_APPROVAL!$B$11="Whole MAD",0,2)))</f>
        <v/>
      </c>
      <c r="S118" s="11">
        <f>IF(AND(SETUP!$B$9="READY",T118="READY"),R118,"")</f>
        <v/>
      </c>
      <c r="T118" s="4" t="str">
        <f>IF($A118="","",IF(D118&lt;&gt;"READY","BLOCKED - INPUT",IF(E118&lt;&gt;"ELIGIBLE","BLOCKED - ELIGIBILITY",IF(AGENT_INPUT!S118&lt;&gt;"VALIDATED","BLOCKED - DATA",IF(SETUP!$B$9&lt;&gt;"READY","BLOCKED - POLICY","READY")))))</f>
        <v>BLOCKED - INPUT</v>
      </c>
      <c r="U118" s="4" t="str">
        <f>IF($A118="","",IF(COUNTIFS(AGENT_INPUT!$A$5:$A$254,$A118,AGENT_INPUT!$D$5:$D$254,AGENT_INPUT!D118)&gt;1,"DUPLICATE AGENT + PERIOD",IF(D118&lt;&gt;"READY","INPUT OR CONFIG REVIEW",IF(T118&lt;&gt;"READY",T118,""))))</f>
        <v>Missing, invalid, or unconfigured required input</v>
      </c>
    </row>
    <row r="119" spans="1:21">
      <c r="A119" s="4">
        <f>IF(AGENT_INPUT!A119="","",AGENT_INPUT!A119)</f>
        <v>144564</v>
      </c>
      <c r="B119" s="4" t="str">
        <f>IF($A119="","",AGENT_INPUT!B119)</f>
        <v>BENSIF Hamza</v>
      </c>
      <c r="C119" s="4" t="str">
        <f>IF($A119="","",AGENT_INPUT!C119)</f>
        <v>RSA FR</v>
      </c>
      <c r="D119" s="4" t="str">
        <f>IF($A119="","",IF(AND(COUNT(AGENT_INPUT!E119:J119)=6,COUNT(AGENT_INPUT!K119)=1,COUNTIF(BONUS_RULES!$A$5:$A$46,AGENT_INPUT!C119)&gt;0,OR(AGENT_INPUT!O119&gt;0,AND(AGENT_INPUT!M119&gt;0,AGENT_INPUT!N119&gt;0)),AGENT_INPUT!P119&gt;=0,AGENT_INPUT!Q119&gt;0,AGENT_INPUT!P119&lt;=AGENT_INPUT!Q119,AGENT_INPUT!H119&gt;=0,AGENT_INPUT!H119&lt;=1,AGENT_INPUT!I119&gt;=0,AGENT_INPUT!I119&lt;=1,AGENT_INPUT!J119&gt;=0,AGENT_INPUT!J119&lt;=1),"READY","BLOCKED"))</f>
        <v>READY</v>
      </c>
      <c r="E119" s="4" t="str">
        <f>IF($A119="","",IF(AGENT_INPUT!R119&lt;&gt;"Active","REVIEW",IF(OR(POLICY_APPROVAL!$B$9="Eligibility only",POLICY_APPROVAL!$B$9="Both"),IF(AGENT_INPUT!J119&lt;=SUMIFS(BONUS_RULES!$E$5:$E$46,BONUS_RULES!$A$5:$A$46,$C119,BONUS_RULES!$B$5:$B$46,"Abs%"),"ELIGIBLE","INELIGIBLE ABS"),"ELIGIBLE")))</f>
        <v>REVIEW</v>
      </c>
      <c r="F119" s="10">
        <f>IF(OR($A119="",$D119&lt;&gt;"READY"),"",IF(AGENT_INPUT!E119&lt;=SUMIFS(BONUS_RULES!$E$5:$E$46,BONUS_RULES!$A$5:$A$46,$C119,BONUS_RULES!$B$5:$B$46,"AHT"),SUMIFS(BONUS_RULES!$D$5:$D$46,BONUS_RULES!$A$5:$A$46,$C119,BONUS_RULES!$B$5:$B$46,"AHT"),IF(AGENT_INPUT!E119&lt;=SUMIFS(BONUS_RULES!$G$5:$G$46,BONUS_RULES!$A$5:$A$46,$C119,BONUS_RULES!$B$5:$B$46,"AHT"),SUMIFS(BONUS_RULES!$F$5:$F$46,BONUS_RULES!$A$5:$A$46,$C119,BONUS_RULES!$B$5:$B$46,"AHT"),0)))</f>
        <v>0.15</v>
      </c>
      <c r="G119" s="10">
        <f>IF(OR($A119="",$D119&lt;&gt;"READY"),"",IF(AGENT_INPUT!F119&gt;=SUMIFS(BONUS_RULES!$E$5:$E$46,BONUS_RULES!$A$5:$A$46,$C119,BONUS_RULES!$B$5:$B$46,"Productivity"),SUMIFS(BONUS_RULES!$D$5:$D$46,BONUS_RULES!$A$5:$A$46,$C119,BONUS_RULES!$B$5:$B$46,"Productivity"),IF(AGENT_INPUT!F119&gt;=SUMIFS(BONUS_RULES!$G$5:$G$46,BONUS_RULES!$A$5:$A$46,$C119,BONUS_RULES!$B$5:$B$46,"Productivity"),SUMIFS(BONUS_RULES!$F$5:$F$46,BONUS_RULES!$A$5:$A$46,$C119,BONUS_RULES!$B$5:$B$46,"Productivity"),0)))</f>
        <v>0.15</v>
      </c>
      <c r="H119" s="10">
        <f>IF(OR($A119="",$D119&lt;&gt;"READY"),"",IF(AGENT_INPUT!G119&gt;=SUMIFS(BONUS_RULES!$E$5:$E$46,BONUS_RULES!$A$5:$A$46,$C119,BONUS_RULES!$B$5:$B$46,"PCS Score"),SUMIFS(BONUS_RULES!$D$5:$D$46,BONUS_RULES!$A$5:$A$46,$C119,BONUS_RULES!$B$5:$B$46,"PCS Score"),IF(AGENT_INPUT!G119&gt;=SUMIFS(BONUS_RULES!$G$5:$G$46,BONUS_RULES!$A$5:$A$46,$C119,BONUS_RULES!$B$5:$B$46,"PCS Score"),SUMIFS(BONUS_RULES!$F$5:$F$46,BONUS_RULES!$A$5:$A$46,$C119,BONUS_RULES!$B$5:$B$46,"PCS Score"),0)))</f>
        <v>0.0</v>
      </c>
      <c r="I119" s="10">
        <f>IF(OR($A119="",$D119&lt;&gt;"READY"),"",IF(AGENT_INPUT!H119&gt;=SUMIFS(BONUS_RULES!$E$5:$E$46,BONUS_RULES!$A$5:$A$46,$C119,BONUS_RULES!$B$5:$B$46,"PCS % (Participation)"),SUMIFS(BONUS_RULES!$D$5:$D$46,BONUS_RULES!$A$5:$A$46,$C119,BONUS_RULES!$B$5:$B$46,"PCS % (Participation)"),IF(AGENT_INPUT!H119&gt;=SUMIFS(BONUS_RULES!$G$5:$G$46,BONUS_RULES!$A$5:$A$46,$C119,BONUS_RULES!$B$5:$B$46,"PCS % (Participation)"),SUMIFS(BONUS_RULES!$F$5:$F$46,BONUS_RULES!$A$5:$A$46,$C119,BONUS_RULES!$B$5:$B$46,"PCS % (Participation)"),0)))</f>
        <v>0.0</v>
      </c>
      <c r="J119" s="10">
        <f>IF(OR($A119="",$D119&lt;&gt;"READY"),"",IF(AGENT_INPUT!I119&gt;=SUMIFS(BONUS_RULES!$E$5:$E$46,BONUS_RULES!$A$5:$A$46,$C119,BONUS_RULES!$B$5:$B$46,"QM"),SUMIFS(BONUS_RULES!$D$5:$D$46,BONUS_RULES!$A$5:$A$46,$C119,BONUS_RULES!$B$5:$B$46,"QM"),IF(AGENT_INPUT!I119&gt;=SUMIFS(BONUS_RULES!$G$5:$G$46,BONUS_RULES!$A$5:$A$46,$C119,BONUS_RULES!$B$5:$B$46,"QM"),SUMIFS(BONUS_RULES!$F$5:$F$46,BONUS_RULES!$A$5:$A$46,$C119,BONUS_RULES!$B$5:$B$46,"QM"),0)))</f>
        <v>0.15</v>
      </c>
      <c r="K119" s="10">
        <f>IF(POLICY_APPROVAL!$B$9="Eligibility only",0,IF(OR($A119="",$D119&lt;&gt;"READY"),"",IF(AGENT_INPUT!J119&lt;=SUMIFS(BONUS_RULES!$E$5:$E$46,BONUS_RULES!$A$5:$A$46,$C119,BONUS_RULES!$B$5:$B$46,"Abs%"),SUMIFS(BONUS_RULES!$D$5:$D$46,BONUS_RULES!$A$5:$A$46,$C119,BONUS_RULES!$B$5:$B$46,"Abs%"),IF(AGENT_INPUT!J119&lt;=SUMIFS(BONUS_RULES!$G$5:$G$46,BONUS_RULES!$A$5:$A$46,$C119,BONUS_RULES!$B$5:$B$46,"Abs%"),SUMIFS(BONUS_RULES!$F$5:$F$46,BONUS_RULES!$A$5:$A$46,$C119,BONUS_RULES!$B$5:$B$46,"Abs%"),0))))</f>
        <v>0.0</v>
      </c>
      <c r="L119" s="10">
        <f>IF(OR($A119="",$D119&lt;&gt;"READY"),"",IF(AGENT_INPUT!G119&gt;=SUMIFS(BONUS_RULES!$E$5:$E$46,BONUS_RULES!$A$5:$A$46,$C119,BONUS_RULES!$B$5:$B$46,"Extra Bonus (PCS Score)"),SUMIFS(BONUS_RULES!$D$5:$D$46,BONUS_RULES!$A$5:$A$46,$C119,BONUS_RULES!$B$5:$B$46,"Extra Bonus (PCS Score)"),IF(AGENT_INPUT!G119&gt;=SUMIFS(BONUS_RULES!$G$5:$G$46,BONUS_RULES!$A$5:$A$46,$C119,BONUS_RULES!$B$5:$B$46,"Extra Bonus (PCS Score)"),SUMIFS(BONUS_RULES!$F$5:$F$46,BONUS_RULES!$A$5:$A$46,$C119,BONUS_RULES!$B$5:$B$46,"Extra Bonus (PCS Score)"),0)))</f>
        <v>0.0</v>
      </c>
      <c r="M119" s="10">
        <f>IF($A119="","",MIN(IF(POLICY_APPROVAL!$B$6="Replacement",SUM(F119:K119)-H119+MAX(H119,L119),SUM(F119:L119)),POLICY_APPROVAL!$B$10))</f>
        <v>0.44999999999999996</v>
      </c>
      <c r="N119" s="10">
        <f>IF($A119="","",IFERROR(INDEX(BONUS_RULES!$J$5:$J$10,MATCH(MIN(MAX(AGENT_INPUT!K119,0),5),BONUS_RULES!$I$5:$I$10,0)),1))</f>
        <v>0</v>
      </c>
      <c r="O119" s="10">
        <f>IF(M119="","",MAX(0,IF(POLICY_APPROVAL!$B$5="Percentage points",M119-N119,M119*(1-N119))))</f>
        <v>0.44999999999999996</v>
      </c>
      <c r="P119" s="11">
        <f>IF(D119&lt;&gt;"READY","",IF(AGENT_INPUT!O119&gt;0,AGENT_INPUT!O119,AGENT_INPUT!M119*AGENT_INPUT!N119/IF(POLICY_APPROVAL!$B$7="Annual",12,1)))</f>
        <v>2000.0</v>
      </c>
      <c r="Q119" s="10">
        <f>IF(D119&lt;&gt;"READY","",MIN(1,AGENT_INPUT!P119/AGENT_INPUT!Q119))</f>
        <v>1.0</v>
      </c>
      <c r="R119" s="11">
        <f>IF(D119&lt;&gt;"READY","",ROUND(P119*Q119*O119,IF(POLICY_APPROVAL!$B$11="Whole MAD",0,2)))</f>
        <v>900.0</v>
      </c>
      <c r="S119" s="11">
        <f>IF(AND(SETUP!$B$9="READY",T119="READY"),R119,"")</f>
        <v/>
      </c>
      <c r="T119" s="4" t="str">
        <f>IF($A119="","",IF(D119&lt;&gt;"READY","BLOCKED - INPUT",IF(E119&lt;&gt;"ELIGIBLE","BLOCKED - ELIGIBILITY",IF(AGENT_INPUT!S119&lt;&gt;"VALIDATED","BLOCKED - DATA",IF(SETUP!$B$9&lt;&gt;"READY","BLOCKED - POLICY","READY")))))</f>
        <v>BLOCKED - ELIGIBILITY</v>
      </c>
      <c r="U119" s="4" t="str">
        <f>IF($A119="","",IF(COUNTIFS(AGENT_INPUT!$A$5:$A$254,$A119,AGENT_INPUT!$D$5:$D$254,AGENT_INPUT!D119)&gt;1,"DUPLICATE AGENT + PERIOD",IF(D119&lt;&gt;"READY","INPUT OR CONFIG REVIEW",IF(T119&lt;&gt;"READY",T119,""))))</f>
        <v>BLOCKED - ELIGIBILITY</v>
      </c>
    </row>
    <row r="120" spans="1:21">
      <c r="A120" s="4">
        <f>IF(AGENT_INPUT!A120="","",AGENT_INPUT!A120)</f>
        <v>224099</v>
      </c>
      <c r="B120" s="4" t="str">
        <f>IF($A120="","",AGENT_INPUT!B120)</f>
        <v>Hakim Mohamed Harhour</v>
      </c>
      <c r="C120" s="4" t="str">
        <f>IF($A120="","",AGENT_INPUT!C120)</f>
        <v>RSA NL</v>
      </c>
      <c r="D120" s="4" t="str">
        <f>IF($A120="","",IF(AND(COUNT(AGENT_INPUT!E120:J120)=6,COUNT(AGENT_INPUT!K120)=1,COUNTIF(BONUS_RULES!$A$5:$A$46,AGENT_INPUT!C120)&gt;0,OR(AGENT_INPUT!O120&gt;0,AND(AGENT_INPUT!M120&gt;0,AGENT_INPUT!N120&gt;0)),AGENT_INPUT!P120&gt;=0,AGENT_INPUT!Q120&gt;0,AGENT_INPUT!P120&lt;=AGENT_INPUT!Q120,AGENT_INPUT!H120&gt;=0,AGENT_INPUT!H120&lt;=1,AGENT_INPUT!I120&gt;=0,AGENT_INPUT!I120&lt;=1,AGENT_INPUT!J120&gt;=0,AGENT_INPUT!J120&lt;=1),"READY","BLOCKED"))</f>
        <v>READY</v>
      </c>
      <c r="E120" s="4" t="str">
        <f>IF($A120="","",IF(AGENT_INPUT!R120&lt;&gt;"Active","REVIEW",IF(OR(POLICY_APPROVAL!$B$9="Eligibility only",POLICY_APPROVAL!$B$9="Both"),IF(AGENT_INPUT!J120&lt;=SUMIFS(BONUS_RULES!$E$5:$E$46,BONUS_RULES!$A$5:$A$46,$C120,BONUS_RULES!$B$5:$B$46,"Abs%"),"ELIGIBLE","INELIGIBLE ABS"),"ELIGIBLE")))</f>
        <v>REVIEW</v>
      </c>
      <c r="F120" s="10">
        <f>IF(OR($A120="",$D120&lt;&gt;"READY"),"",IF(AGENT_INPUT!E120&lt;=SUMIFS(BONUS_RULES!$E$5:$E$46,BONUS_RULES!$A$5:$A$46,$C120,BONUS_RULES!$B$5:$B$46,"AHT"),SUMIFS(BONUS_RULES!$D$5:$D$46,BONUS_RULES!$A$5:$A$46,$C120,BONUS_RULES!$B$5:$B$46,"AHT"),IF(AGENT_INPUT!E120&lt;=SUMIFS(BONUS_RULES!$G$5:$G$46,BONUS_RULES!$A$5:$A$46,$C120,BONUS_RULES!$B$5:$B$46,"AHT"),SUMIFS(BONUS_RULES!$F$5:$F$46,BONUS_RULES!$A$5:$A$46,$C120,BONUS_RULES!$B$5:$B$46,"AHT"),0)))</f>
        <v>0.15</v>
      </c>
      <c r="G120" s="10">
        <f>IF(OR($A120="",$D120&lt;&gt;"READY"),"",IF(AGENT_INPUT!F120&gt;=SUMIFS(BONUS_RULES!$E$5:$E$46,BONUS_RULES!$A$5:$A$46,$C120,BONUS_RULES!$B$5:$B$46,"Productivity"),SUMIFS(BONUS_RULES!$D$5:$D$46,BONUS_RULES!$A$5:$A$46,$C120,BONUS_RULES!$B$5:$B$46,"Productivity"),IF(AGENT_INPUT!F120&gt;=SUMIFS(BONUS_RULES!$G$5:$G$46,BONUS_RULES!$A$5:$A$46,$C120,BONUS_RULES!$B$5:$B$46,"Productivity"),SUMIFS(BONUS_RULES!$F$5:$F$46,BONUS_RULES!$A$5:$A$46,$C120,BONUS_RULES!$B$5:$B$46,"Productivity"),0)))</f>
        <v>0.15</v>
      </c>
      <c r="H120" s="10">
        <f>IF(OR($A120="",$D120&lt;&gt;"READY"),"",IF(AGENT_INPUT!G120&gt;=SUMIFS(BONUS_RULES!$E$5:$E$46,BONUS_RULES!$A$5:$A$46,$C120,BONUS_RULES!$B$5:$B$46,"PCS Score"),SUMIFS(BONUS_RULES!$D$5:$D$46,BONUS_RULES!$A$5:$A$46,$C120,BONUS_RULES!$B$5:$B$46,"PCS Score"),IF(AGENT_INPUT!G120&gt;=SUMIFS(BONUS_RULES!$G$5:$G$46,BONUS_RULES!$A$5:$A$46,$C120,BONUS_RULES!$B$5:$B$46,"PCS Score"),SUMIFS(BONUS_RULES!$F$5:$F$46,BONUS_RULES!$A$5:$A$46,$C120,BONUS_RULES!$B$5:$B$46,"PCS Score"),0)))</f>
        <v>0.0</v>
      </c>
      <c r="I120" s="10">
        <f>IF(OR($A120="",$D120&lt;&gt;"READY"),"",IF(AGENT_INPUT!H120&gt;=SUMIFS(BONUS_RULES!$E$5:$E$46,BONUS_RULES!$A$5:$A$46,$C120,BONUS_RULES!$B$5:$B$46,"PCS % (Participation)"),SUMIFS(BONUS_RULES!$D$5:$D$46,BONUS_RULES!$A$5:$A$46,$C120,BONUS_RULES!$B$5:$B$46,"PCS % (Participation)"),IF(AGENT_INPUT!H120&gt;=SUMIFS(BONUS_RULES!$G$5:$G$46,BONUS_RULES!$A$5:$A$46,$C120,BONUS_RULES!$B$5:$B$46,"PCS % (Participation)"),SUMIFS(BONUS_RULES!$F$5:$F$46,BONUS_RULES!$A$5:$A$46,$C120,BONUS_RULES!$B$5:$B$46,"PCS % (Participation)"),0)))</f>
        <v>0.0</v>
      </c>
      <c r="J120" s="10">
        <f>IF(OR($A120="",$D120&lt;&gt;"READY"),"",IF(AGENT_INPUT!I120&gt;=SUMIFS(BONUS_RULES!$E$5:$E$46,BONUS_RULES!$A$5:$A$46,$C120,BONUS_RULES!$B$5:$B$46,"QM"),SUMIFS(BONUS_RULES!$D$5:$D$46,BONUS_RULES!$A$5:$A$46,$C120,BONUS_RULES!$B$5:$B$46,"QM"),IF(AGENT_INPUT!I120&gt;=SUMIFS(BONUS_RULES!$G$5:$G$46,BONUS_RULES!$A$5:$A$46,$C120,BONUS_RULES!$B$5:$B$46,"QM"),SUMIFS(BONUS_RULES!$F$5:$F$46,BONUS_RULES!$A$5:$A$46,$C120,BONUS_RULES!$B$5:$B$46,"QM"),0)))</f>
        <v>0.0</v>
      </c>
      <c r="K120" s="10">
        <f>IF(POLICY_APPROVAL!$B$9="Eligibility only",0,IF(OR($A120="",$D120&lt;&gt;"READY"),"",IF(AGENT_INPUT!J120&lt;=SUMIFS(BONUS_RULES!$E$5:$E$46,BONUS_RULES!$A$5:$A$46,$C120,BONUS_RULES!$B$5:$B$46,"Abs%"),SUMIFS(BONUS_RULES!$D$5:$D$46,BONUS_RULES!$A$5:$A$46,$C120,BONUS_RULES!$B$5:$B$46,"Abs%"),IF(AGENT_INPUT!J120&lt;=SUMIFS(BONUS_RULES!$G$5:$G$46,BONUS_RULES!$A$5:$A$46,$C120,BONUS_RULES!$B$5:$B$46,"Abs%"),SUMIFS(BONUS_RULES!$F$5:$F$46,BONUS_RULES!$A$5:$A$46,$C120,BONUS_RULES!$B$5:$B$46,"Abs%"),0))))</f>
        <v>0.15</v>
      </c>
      <c r="L120" s="10">
        <f>IF(OR($A120="",$D120&lt;&gt;"READY"),"",IF(AGENT_INPUT!G120&gt;=SUMIFS(BONUS_RULES!$E$5:$E$46,BONUS_RULES!$A$5:$A$46,$C120,BONUS_RULES!$B$5:$B$46,"Extra Bonus (PCS Score)"),SUMIFS(BONUS_RULES!$D$5:$D$46,BONUS_RULES!$A$5:$A$46,$C120,BONUS_RULES!$B$5:$B$46,"Extra Bonus (PCS Score)"),IF(AGENT_INPUT!G120&gt;=SUMIFS(BONUS_RULES!$G$5:$G$46,BONUS_RULES!$A$5:$A$46,$C120,BONUS_RULES!$B$5:$B$46,"Extra Bonus (PCS Score)"),SUMIFS(BONUS_RULES!$F$5:$F$46,BONUS_RULES!$A$5:$A$46,$C120,BONUS_RULES!$B$5:$B$46,"Extra Bonus (PCS Score)"),0)))</f>
        <v>0.0</v>
      </c>
      <c r="M120" s="10">
        <f>IF($A120="","",MIN(IF(POLICY_APPROVAL!$B$6="Replacement",SUM(F120:K120)-H120+MAX(H120,L120),SUM(F120:L120)),POLICY_APPROVAL!$B$10))</f>
        <v>0.44999999999999996</v>
      </c>
      <c r="N120" s="10">
        <f>IF($A120="","",IFERROR(INDEX(BONUS_RULES!$J$5:$J$10,MATCH(MIN(MAX(AGENT_INPUT!K120,0),5),BONUS_RULES!$I$5:$I$10,0)),1))</f>
        <v>0</v>
      </c>
      <c r="O120" s="10">
        <f>IF(M120="","",MAX(0,IF(POLICY_APPROVAL!$B$5="Percentage points",M120-N120,M120*(1-N120))))</f>
        <v>0.44999999999999996</v>
      </c>
      <c r="P120" s="11">
        <f>IF(D120&lt;&gt;"READY","",IF(AGENT_INPUT!O120&gt;0,AGENT_INPUT!O120,AGENT_INPUT!M120*AGENT_INPUT!N120/IF(POLICY_APPROVAL!$B$7="Annual",12,1)))</f>
        <v>2000.0</v>
      </c>
      <c r="Q120" s="10">
        <f>IF(D120&lt;&gt;"READY","",MIN(1,AGENT_INPUT!P120/AGENT_INPUT!Q120))</f>
        <v>1.0</v>
      </c>
      <c r="R120" s="11">
        <f>IF(D120&lt;&gt;"READY","",ROUND(P120*Q120*O120,IF(POLICY_APPROVAL!$B$11="Whole MAD",0,2)))</f>
        <v>900.0</v>
      </c>
      <c r="S120" s="11">
        <f>IF(AND(SETUP!$B$9="READY",T120="READY"),R120,"")</f>
        <v/>
      </c>
      <c r="T120" s="4" t="str">
        <f>IF($A120="","",IF(D120&lt;&gt;"READY","BLOCKED - INPUT",IF(E120&lt;&gt;"ELIGIBLE","BLOCKED - ELIGIBILITY",IF(AGENT_INPUT!S120&lt;&gt;"VALIDATED","BLOCKED - DATA",IF(SETUP!$B$9&lt;&gt;"READY","BLOCKED - POLICY","READY")))))</f>
        <v>BLOCKED - ELIGIBILITY</v>
      </c>
      <c r="U120" s="4" t="str">
        <f>IF($A120="","",IF(COUNTIFS(AGENT_INPUT!$A$5:$A$254,$A120,AGENT_INPUT!$D$5:$D$254,AGENT_INPUT!D120)&gt;1,"DUPLICATE AGENT + PERIOD",IF(D120&lt;&gt;"READY","INPUT OR CONFIG REVIEW",IF(T120&lt;&gt;"READY",T120,""))))</f>
        <v>BLOCKED - ELIGIBILITY</v>
      </c>
    </row>
    <row r="121" spans="1:21">
      <c r="A121" s="4">
        <f>IF(AGENT_INPUT!A121="","",AGENT_INPUT!A121)</f>
        <v>203079</v>
      </c>
      <c r="B121" s="4" t="str">
        <f>IF($A121="","",AGENT_INPUT!B121)</f>
        <v>Ghali Haddad</v>
      </c>
      <c r="C121" s="4" t="str">
        <f>IF($A121="","",AGENT_INPUT!C121)</f>
        <v>RSA FR</v>
      </c>
      <c r="D121" s="4" t="str">
        <f>IF($A121="","",IF(AND(COUNT(AGENT_INPUT!E121:J121)=6,COUNT(AGENT_INPUT!K121)=1,COUNTIF(BONUS_RULES!$A$5:$A$46,AGENT_INPUT!C121)&gt;0,OR(AGENT_INPUT!O121&gt;0,AND(AGENT_INPUT!M121&gt;0,AGENT_INPUT!N121&gt;0)),AGENT_INPUT!P121&gt;=0,AGENT_INPUT!Q121&gt;0,AGENT_INPUT!P121&lt;=AGENT_INPUT!Q121,AGENT_INPUT!H121&gt;=0,AGENT_INPUT!H121&lt;=1,AGENT_INPUT!I121&gt;=0,AGENT_INPUT!I121&lt;=1,AGENT_INPUT!J121&gt;=0,AGENT_INPUT!J121&lt;=1),"READY","BLOCKED"))</f>
        <v>READY</v>
      </c>
      <c r="E121" s="4" t="str">
        <f>IF($A121="","",IF(AGENT_INPUT!R121&lt;&gt;"Active","REVIEW",IF(OR(POLICY_APPROVAL!$B$9="Eligibility only",POLICY_APPROVAL!$B$9="Both"),IF(AGENT_INPUT!J121&lt;=SUMIFS(BONUS_RULES!$E$5:$E$46,BONUS_RULES!$A$5:$A$46,$C121,BONUS_RULES!$B$5:$B$46,"Abs%"),"ELIGIBLE","INELIGIBLE ABS"),"ELIGIBLE")))</f>
        <v>REVIEW</v>
      </c>
      <c r="F121" s="10">
        <f>IF(OR($A121="",$D121&lt;&gt;"READY"),"",IF(AGENT_INPUT!E121&lt;=SUMIFS(BONUS_RULES!$E$5:$E$46,BONUS_RULES!$A$5:$A$46,$C121,BONUS_RULES!$B$5:$B$46,"AHT"),SUMIFS(BONUS_RULES!$D$5:$D$46,BONUS_RULES!$A$5:$A$46,$C121,BONUS_RULES!$B$5:$B$46,"AHT"),IF(AGENT_INPUT!E121&lt;=SUMIFS(BONUS_RULES!$G$5:$G$46,BONUS_RULES!$A$5:$A$46,$C121,BONUS_RULES!$B$5:$B$46,"AHT"),SUMIFS(BONUS_RULES!$F$5:$F$46,BONUS_RULES!$A$5:$A$46,$C121,BONUS_RULES!$B$5:$B$46,"AHT"),0)))</f>
        <v>0.15</v>
      </c>
      <c r="G121" s="10">
        <f>IF(OR($A121="",$D121&lt;&gt;"READY"),"",IF(AGENT_INPUT!F121&gt;=SUMIFS(BONUS_RULES!$E$5:$E$46,BONUS_RULES!$A$5:$A$46,$C121,BONUS_RULES!$B$5:$B$46,"Productivity"),SUMIFS(BONUS_RULES!$D$5:$D$46,BONUS_RULES!$A$5:$A$46,$C121,BONUS_RULES!$B$5:$B$46,"Productivity"),IF(AGENT_INPUT!F121&gt;=SUMIFS(BONUS_RULES!$G$5:$G$46,BONUS_RULES!$A$5:$A$46,$C121,BONUS_RULES!$B$5:$B$46,"Productivity"),SUMIFS(BONUS_RULES!$F$5:$F$46,BONUS_RULES!$A$5:$A$46,$C121,BONUS_RULES!$B$5:$B$46,"Productivity"),0)))</f>
        <v>0.15</v>
      </c>
      <c r="H121" s="10">
        <f>IF(OR($A121="",$D121&lt;&gt;"READY"),"",IF(AGENT_INPUT!G121&gt;=SUMIFS(BONUS_RULES!$E$5:$E$46,BONUS_RULES!$A$5:$A$46,$C121,BONUS_RULES!$B$5:$B$46,"PCS Score"),SUMIFS(BONUS_RULES!$D$5:$D$46,BONUS_RULES!$A$5:$A$46,$C121,BONUS_RULES!$B$5:$B$46,"PCS Score"),IF(AGENT_INPUT!G121&gt;=SUMIFS(BONUS_RULES!$G$5:$G$46,BONUS_RULES!$A$5:$A$46,$C121,BONUS_RULES!$B$5:$B$46,"PCS Score"),SUMIFS(BONUS_RULES!$F$5:$F$46,BONUS_RULES!$A$5:$A$46,$C121,BONUS_RULES!$B$5:$B$46,"PCS Score"),0)))</f>
        <v>0.0</v>
      </c>
      <c r="I121" s="10">
        <f>IF(OR($A121="",$D121&lt;&gt;"READY"),"",IF(AGENT_INPUT!H121&gt;=SUMIFS(BONUS_RULES!$E$5:$E$46,BONUS_RULES!$A$5:$A$46,$C121,BONUS_RULES!$B$5:$B$46,"PCS % (Participation)"),SUMIFS(BONUS_RULES!$D$5:$D$46,BONUS_RULES!$A$5:$A$46,$C121,BONUS_RULES!$B$5:$B$46,"PCS % (Participation)"),IF(AGENT_INPUT!H121&gt;=SUMIFS(BONUS_RULES!$G$5:$G$46,BONUS_RULES!$A$5:$A$46,$C121,BONUS_RULES!$B$5:$B$46,"PCS % (Participation)"),SUMIFS(BONUS_RULES!$F$5:$F$46,BONUS_RULES!$A$5:$A$46,$C121,BONUS_RULES!$B$5:$B$46,"PCS % (Participation)"),0)))</f>
        <v>0.0</v>
      </c>
      <c r="J121" s="10">
        <f>IF(OR($A121="",$D121&lt;&gt;"READY"),"",IF(AGENT_INPUT!I121&gt;=SUMIFS(BONUS_RULES!$E$5:$E$46,BONUS_RULES!$A$5:$A$46,$C121,BONUS_RULES!$B$5:$B$46,"QM"),SUMIFS(BONUS_RULES!$D$5:$D$46,BONUS_RULES!$A$5:$A$46,$C121,BONUS_RULES!$B$5:$B$46,"QM"),IF(AGENT_INPUT!I121&gt;=SUMIFS(BONUS_RULES!$G$5:$G$46,BONUS_RULES!$A$5:$A$46,$C121,BONUS_RULES!$B$5:$B$46,"QM"),SUMIFS(BONUS_RULES!$F$5:$F$46,BONUS_RULES!$A$5:$A$46,$C121,BONUS_RULES!$B$5:$B$46,"QM"),0)))</f>
        <v>0.15</v>
      </c>
      <c r="K121" s="10">
        <f>IF(POLICY_APPROVAL!$B$9="Eligibility only",0,IF(OR($A121="",$D121&lt;&gt;"READY"),"",IF(AGENT_INPUT!J121&lt;=SUMIFS(BONUS_RULES!$E$5:$E$46,BONUS_RULES!$A$5:$A$46,$C121,BONUS_RULES!$B$5:$B$46,"Abs%"),SUMIFS(BONUS_RULES!$D$5:$D$46,BONUS_RULES!$A$5:$A$46,$C121,BONUS_RULES!$B$5:$B$46,"Abs%"),IF(AGENT_INPUT!J121&lt;=SUMIFS(BONUS_RULES!$G$5:$G$46,BONUS_RULES!$A$5:$A$46,$C121,BONUS_RULES!$B$5:$B$46,"Abs%"),SUMIFS(BONUS_RULES!$F$5:$F$46,BONUS_RULES!$A$5:$A$46,$C121,BONUS_RULES!$B$5:$B$46,"Abs%"),0))))</f>
        <v>0.15</v>
      </c>
      <c r="L121" s="10">
        <f>IF(OR($A121="",$D121&lt;&gt;"READY"),"",IF(AGENT_INPUT!G121&gt;=SUMIFS(BONUS_RULES!$E$5:$E$46,BONUS_RULES!$A$5:$A$46,$C121,BONUS_RULES!$B$5:$B$46,"Extra Bonus (PCS Score)"),SUMIFS(BONUS_RULES!$D$5:$D$46,BONUS_RULES!$A$5:$A$46,$C121,BONUS_RULES!$B$5:$B$46,"Extra Bonus (PCS Score)"),IF(AGENT_INPUT!G121&gt;=SUMIFS(BONUS_RULES!$G$5:$G$46,BONUS_RULES!$A$5:$A$46,$C121,BONUS_RULES!$B$5:$B$46,"Extra Bonus (PCS Score)"),SUMIFS(BONUS_RULES!$F$5:$F$46,BONUS_RULES!$A$5:$A$46,$C121,BONUS_RULES!$B$5:$B$46,"Extra Bonus (PCS Score)"),0)))</f>
        <v>0.0</v>
      </c>
      <c r="M121" s="10">
        <f>IF($A121="","",MIN(IF(POLICY_APPROVAL!$B$6="Replacement",SUM(F121:K121)-H121+MAX(H121,L121),SUM(F121:L121)),POLICY_APPROVAL!$B$10))</f>
        <v>0.6</v>
      </c>
      <c r="N121" s="10">
        <f>IF($A121="","",IFERROR(INDEX(BONUS_RULES!$J$5:$J$10,MATCH(MIN(MAX(AGENT_INPUT!K121,0),5),BONUS_RULES!$I$5:$I$10,0)),1))</f>
        <v>0</v>
      </c>
      <c r="O121" s="10">
        <f>IF(M121="","",MAX(0,IF(POLICY_APPROVAL!$B$5="Percentage points",M121-N121,M121*(1-N121))))</f>
        <v>0.6</v>
      </c>
      <c r="P121" s="11">
        <f>IF(D121&lt;&gt;"READY","",IF(AGENT_INPUT!O121&gt;0,AGENT_INPUT!O121,AGENT_INPUT!M121*AGENT_INPUT!N121/IF(POLICY_APPROVAL!$B$7="Annual",12,1)))</f>
        <v>2000.0</v>
      </c>
      <c r="Q121" s="10">
        <f>IF(D121&lt;&gt;"READY","",MIN(1,AGENT_INPUT!P121/AGENT_INPUT!Q121))</f>
        <v>1.0</v>
      </c>
      <c r="R121" s="11">
        <f>IF(D121&lt;&gt;"READY","",ROUND(P121*Q121*O121,IF(POLICY_APPROVAL!$B$11="Whole MAD",0,2)))</f>
        <v>1200.0</v>
      </c>
      <c r="S121" s="11">
        <f>IF(AND(SETUP!$B$9="READY",T121="READY"),R121,"")</f>
        <v/>
      </c>
      <c r="T121" s="4" t="str">
        <f>IF($A121="","",IF(D121&lt;&gt;"READY","BLOCKED - INPUT",IF(E121&lt;&gt;"ELIGIBLE","BLOCKED - ELIGIBILITY",IF(AGENT_INPUT!S121&lt;&gt;"VALIDATED","BLOCKED - DATA",IF(SETUP!$B$9&lt;&gt;"READY","BLOCKED - POLICY","READY")))))</f>
        <v>BLOCKED - ELIGIBILITY</v>
      </c>
      <c r="U121" s="4" t="str">
        <f>IF($A121="","",IF(COUNTIFS(AGENT_INPUT!$A$5:$A$254,$A121,AGENT_INPUT!$D$5:$D$254,AGENT_INPUT!D121)&gt;1,"DUPLICATE AGENT + PERIOD",IF(D121&lt;&gt;"READY","INPUT OR CONFIG REVIEW",IF(T121&lt;&gt;"READY",T121,""))))</f>
        <v>BLOCKED - ELIGIBILITY</v>
      </c>
    </row>
    <row r="122" spans="1:21">
      <c r="A122" s="4">
        <f>IF(AGENT_INPUT!A122="","",AGENT_INPUT!A122)</f>
        <v>204048</v>
      </c>
      <c r="B122" s="4" t="str">
        <f>IF($A122="","",AGENT_INPUT!B122)</f>
        <v>Van Driesche Freya</v>
      </c>
      <c r="C122" s="4" t="str">
        <f>IF($A122="","",AGENT_INPUT!C122)</f>
        <v>Ford Dutch</v>
      </c>
      <c r="D122" s="4" t="str">
        <f>IF($A122="","",IF(AND(COUNT(AGENT_INPUT!E122:J122)=6,COUNT(AGENT_INPUT!K122)=1,COUNTIF(BONUS_RULES!$A$5:$A$46,AGENT_INPUT!C122)&gt;0,OR(AGENT_INPUT!O122&gt;0,AND(AGENT_INPUT!M122&gt;0,AGENT_INPUT!N122&gt;0)),AGENT_INPUT!P122&gt;=0,AGENT_INPUT!Q122&gt;0,AGENT_INPUT!P122&lt;=AGENT_INPUT!Q122,AGENT_INPUT!H122&gt;=0,AGENT_INPUT!H122&lt;=1,AGENT_INPUT!I122&gt;=0,AGENT_INPUT!I122&lt;=1,AGENT_INPUT!J122&gt;=0,AGENT_INPUT!J122&lt;=1),"READY","BLOCKED"))</f>
        <v>READY</v>
      </c>
      <c r="E122" s="4" t="str">
        <f>IF($A122="","",IF(AGENT_INPUT!R122&lt;&gt;"Active","REVIEW",IF(OR(POLICY_APPROVAL!$B$9="Eligibility only",POLICY_APPROVAL!$B$9="Both"),IF(AGENT_INPUT!J122&lt;=SUMIFS(BONUS_RULES!$E$5:$E$46,BONUS_RULES!$A$5:$A$46,$C122,BONUS_RULES!$B$5:$B$46,"Abs%"),"ELIGIBLE","INELIGIBLE ABS"),"ELIGIBLE")))</f>
        <v>REVIEW</v>
      </c>
      <c r="F122" s="10">
        <f>IF(OR($A122="",$D122&lt;&gt;"READY"),"",IF(AGENT_INPUT!E122&lt;=SUMIFS(BONUS_RULES!$E$5:$E$46,BONUS_RULES!$A$5:$A$46,$C122,BONUS_RULES!$B$5:$B$46,"AHT"),SUMIFS(BONUS_RULES!$D$5:$D$46,BONUS_RULES!$A$5:$A$46,$C122,BONUS_RULES!$B$5:$B$46,"AHT"),IF(AGENT_INPUT!E122&lt;=SUMIFS(BONUS_RULES!$G$5:$G$46,BONUS_RULES!$A$5:$A$46,$C122,BONUS_RULES!$B$5:$B$46,"AHT"),SUMIFS(BONUS_RULES!$F$5:$F$46,BONUS_RULES!$A$5:$A$46,$C122,BONUS_RULES!$B$5:$B$46,"AHT"),0)))</f>
        <v>0.0</v>
      </c>
      <c r="G122" s="10">
        <f>IF(OR($A122="",$D122&lt;&gt;"READY"),"",IF(AGENT_INPUT!F122&gt;=SUMIFS(BONUS_RULES!$E$5:$E$46,BONUS_RULES!$A$5:$A$46,$C122,BONUS_RULES!$B$5:$B$46,"Productivity"),SUMIFS(BONUS_RULES!$D$5:$D$46,BONUS_RULES!$A$5:$A$46,$C122,BONUS_RULES!$B$5:$B$46,"Productivity"),IF(AGENT_INPUT!F122&gt;=SUMIFS(BONUS_RULES!$G$5:$G$46,BONUS_RULES!$A$5:$A$46,$C122,BONUS_RULES!$B$5:$B$46,"Productivity"),SUMIFS(BONUS_RULES!$F$5:$F$46,BONUS_RULES!$A$5:$A$46,$C122,BONUS_RULES!$B$5:$B$46,"Productivity"),0)))</f>
        <v>0.0</v>
      </c>
      <c r="H122" s="10">
        <f>IF(OR($A122="",$D122&lt;&gt;"READY"),"",IF(AGENT_INPUT!G122&gt;=SUMIFS(BONUS_RULES!$E$5:$E$46,BONUS_RULES!$A$5:$A$46,$C122,BONUS_RULES!$B$5:$B$46,"PCS Score"),SUMIFS(BONUS_RULES!$D$5:$D$46,BONUS_RULES!$A$5:$A$46,$C122,BONUS_RULES!$B$5:$B$46,"PCS Score"),IF(AGENT_INPUT!G122&gt;=SUMIFS(BONUS_RULES!$G$5:$G$46,BONUS_RULES!$A$5:$A$46,$C122,BONUS_RULES!$B$5:$B$46,"PCS Score"),SUMIFS(BONUS_RULES!$F$5:$F$46,BONUS_RULES!$A$5:$A$46,$C122,BONUS_RULES!$B$5:$B$46,"PCS Score"),0)))</f>
        <v>0.2</v>
      </c>
      <c r="I122" s="10">
        <f>IF(OR($A122="",$D122&lt;&gt;"READY"),"",IF(AGENT_INPUT!H122&gt;=SUMIFS(BONUS_RULES!$E$5:$E$46,BONUS_RULES!$A$5:$A$46,$C122,BONUS_RULES!$B$5:$B$46,"PCS % (Participation)"),SUMIFS(BONUS_RULES!$D$5:$D$46,BONUS_RULES!$A$5:$A$46,$C122,BONUS_RULES!$B$5:$B$46,"PCS % (Participation)"),IF(AGENT_INPUT!H122&gt;=SUMIFS(BONUS_RULES!$G$5:$G$46,BONUS_RULES!$A$5:$A$46,$C122,BONUS_RULES!$B$5:$B$46,"PCS % (Participation)"),SUMIFS(BONUS_RULES!$F$5:$F$46,BONUS_RULES!$A$5:$A$46,$C122,BONUS_RULES!$B$5:$B$46,"PCS % (Participation)"),0)))</f>
        <v>0.0</v>
      </c>
      <c r="J122" s="10">
        <f>IF(OR($A122="",$D122&lt;&gt;"READY"),"",IF(AGENT_INPUT!I122&gt;=SUMIFS(BONUS_RULES!$E$5:$E$46,BONUS_RULES!$A$5:$A$46,$C122,BONUS_RULES!$B$5:$B$46,"QM"),SUMIFS(BONUS_RULES!$D$5:$D$46,BONUS_RULES!$A$5:$A$46,$C122,BONUS_RULES!$B$5:$B$46,"QM"),IF(AGENT_INPUT!I122&gt;=SUMIFS(BONUS_RULES!$G$5:$G$46,BONUS_RULES!$A$5:$A$46,$C122,BONUS_RULES!$B$5:$B$46,"QM"),SUMIFS(BONUS_RULES!$F$5:$F$46,BONUS_RULES!$A$5:$A$46,$C122,BONUS_RULES!$B$5:$B$46,"QM"),0)))</f>
        <v>0.0</v>
      </c>
      <c r="K122" s="10">
        <f>IF(POLICY_APPROVAL!$B$9="Eligibility only",0,IF(OR($A122="",$D122&lt;&gt;"READY"),"",IF(AGENT_INPUT!J122&lt;=SUMIFS(BONUS_RULES!$E$5:$E$46,BONUS_RULES!$A$5:$A$46,$C122,BONUS_RULES!$B$5:$B$46,"Abs%"),SUMIFS(BONUS_RULES!$D$5:$D$46,BONUS_RULES!$A$5:$A$46,$C122,BONUS_RULES!$B$5:$B$46,"Abs%"),IF(AGENT_INPUT!J122&lt;=SUMIFS(BONUS_RULES!$G$5:$G$46,BONUS_RULES!$A$5:$A$46,$C122,BONUS_RULES!$B$5:$B$46,"Abs%"),SUMIFS(BONUS_RULES!$F$5:$F$46,BONUS_RULES!$A$5:$A$46,$C122,BONUS_RULES!$B$5:$B$46,"Abs%"),0))))</f>
        <v>0.15</v>
      </c>
      <c r="L122" s="10">
        <f>IF(OR($A122="",$D122&lt;&gt;"READY"),"",IF(AGENT_INPUT!G122&gt;=SUMIFS(BONUS_RULES!$E$5:$E$46,BONUS_RULES!$A$5:$A$46,$C122,BONUS_RULES!$B$5:$B$46,"Extra Bonus (PCS Score)"),SUMIFS(BONUS_RULES!$D$5:$D$46,BONUS_RULES!$A$5:$A$46,$C122,BONUS_RULES!$B$5:$B$46,"Extra Bonus (PCS Score)"),IF(AGENT_INPUT!G122&gt;=SUMIFS(BONUS_RULES!$G$5:$G$46,BONUS_RULES!$A$5:$A$46,$C122,BONUS_RULES!$B$5:$B$46,"Extra Bonus (PCS Score)"),SUMIFS(BONUS_RULES!$F$5:$F$46,BONUS_RULES!$A$5:$A$46,$C122,BONUS_RULES!$B$5:$B$46,"Extra Bonus (PCS Score)"),0)))</f>
        <v>0.3</v>
      </c>
      <c r="M122" s="10">
        <f>IF($A122="","",MIN(IF(POLICY_APPROVAL!$B$6="Replacement",SUM(F122:K122)-H122+MAX(H122,L122),SUM(F122:L122)),POLICY_APPROVAL!$B$10))</f>
        <v>0.6499999999999999</v>
      </c>
      <c r="N122" s="10">
        <f>IF($A122="","",IFERROR(INDEX(BONUS_RULES!$J$5:$J$10,MATCH(MIN(MAX(AGENT_INPUT!K122,0),5),BONUS_RULES!$I$5:$I$10,0)),1))</f>
        <v>0</v>
      </c>
      <c r="O122" s="10">
        <f>IF(M122="","",MAX(0,IF(POLICY_APPROVAL!$B$5="Percentage points",M122-N122,M122*(1-N122))))</f>
        <v>0.6499999999999999</v>
      </c>
      <c r="P122" s="11">
        <f>IF(D122&lt;&gt;"READY","",IF(AGENT_INPUT!O122&gt;0,AGENT_INPUT!O122,AGENT_INPUT!M122*AGENT_INPUT!N122/IF(POLICY_APPROVAL!$B$7="Annual",12,1)))</f>
        <v>2000.0</v>
      </c>
      <c r="Q122" s="10">
        <f>IF(D122&lt;&gt;"READY","",MIN(1,AGENT_INPUT!P122/AGENT_INPUT!Q122))</f>
        <v>1.0</v>
      </c>
      <c r="R122" s="11">
        <f>IF(D122&lt;&gt;"READY","",ROUND(P122*Q122*O122,IF(POLICY_APPROVAL!$B$11="Whole MAD",0,2)))</f>
        <v>1300.0</v>
      </c>
      <c r="S122" s="11">
        <f>IF(AND(SETUP!$B$9="READY",T122="READY"),R122,"")</f>
        <v/>
      </c>
      <c r="T122" s="4" t="str">
        <f>IF($A122="","",IF(D122&lt;&gt;"READY","BLOCKED - INPUT",IF(E122&lt;&gt;"ELIGIBLE","BLOCKED - ELIGIBILITY",IF(AGENT_INPUT!S122&lt;&gt;"VALIDATED","BLOCKED - DATA",IF(SETUP!$B$9&lt;&gt;"READY","BLOCKED - POLICY","READY")))))</f>
        <v>BLOCKED - ELIGIBILITY</v>
      </c>
      <c r="U122" s="4" t="str">
        <f>IF($A122="","",IF(COUNTIFS(AGENT_INPUT!$A$5:$A$254,$A122,AGENT_INPUT!$D$5:$D$254,AGENT_INPUT!D122)&gt;1,"DUPLICATE AGENT + PERIOD",IF(D122&lt;&gt;"READY","INPUT OR CONFIG REVIEW",IF(T122&lt;&gt;"READY",T122,""))))</f>
        <v>BLOCKED - ELIGIBILITY</v>
      </c>
    </row>
    <row r="123" spans="1:21">
      <c r="A123" s="4">
        <f>IF(AGENT_INPUT!A123="","",AGENT_INPUT!A123)</f>
        <v>248342</v>
      </c>
      <c r="B123" s="4" t="str">
        <f>IF($A123="","",AGENT_INPUT!B123)</f>
        <v>Fouad Talbi</v>
      </c>
      <c r="C123" s="4" t="str">
        <f>IF($A123="","",AGENT_INPUT!C123)</f>
        <v>RSA NL</v>
      </c>
      <c r="D123" s="4" t="str">
        <f>IF($A123="","",IF(AND(COUNT(AGENT_INPUT!E123:J123)=6,COUNT(AGENT_INPUT!K123)=1,COUNTIF(BONUS_RULES!$A$5:$A$46,AGENT_INPUT!C123)&gt;0,OR(AGENT_INPUT!O123&gt;0,AND(AGENT_INPUT!M123&gt;0,AGENT_INPUT!N123&gt;0)),AGENT_INPUT!P123&gt;=0,AGENT_INPUT!Q123&gt;0,AGENT_INPUT!P123&lt;=AGENT_INPUT!Q123,AGENT_INPUT!H123&gt;=0,AGENT_INPUT!H123&lt;=1,AGENT_INPUT!I123&gt;=0,AGENT_INPUT!I123&lt;=1,AGENT_INPUT!J123&gt;=0,AGENT_INPUT!J123&lt;=1),"READY","BLOCKED"))</f>
        <v>BLOCKED</v>
      </c>
      <c r="E123" s="4">
        <f>IF($A123="","",IF(AGENT_INPUT!R123&lt;&gt;"Active","REVIEW",IF(OR(POLICY_APPROVAL!$B$9="Eligibility only",POLICY_APPROVAL!$B$9="Both"),IF(AGENT_INPUT!J123&lt;=SUMIFS(BONUS_RULES!$E$5:$E$46,BONUS_RULES!$A$5:$A$46,$C123,BONUS_RULES!$B$5:$B$46,"Abs%"),"ELIGIBLE","INELIGIBLE ABS"),"ELIGIBLE")))</f>
        <v/>
      </c>
      <c r="F123" s="10">
        <f>IF(OR($A123="",$D123&lt;&gt;"READY"),"",IF(AGENT_INPUT!E123&lt;=SUMIFS(BONUS_RULES!$E$5:$E$46,BONUS_RULES!$A$5:$A$46,$C123,BONUS_RULES!$B$5:$B$46,"AHT"),SUMIFS(BONUS_RULES!$D$5:$D$46,BONUS_RULES!$A$5:$A$46,$C123,BONUS_RULES!$B$5:$B$46,"AHT"),IF(AGENT_INPUT!E123&lt;=SUMIFS(BONUS_RULES!$G$5:$G$46,BONUS_RULES!$A$5:$A$46,$C123,BONUS_RULES!$B$5:$B$46,"AHT"),SUMIFS(BONUS_RULES!$F$5:$F$46,BONUS_RULES!$A$5:$A$46,$C123,BONUS_RULES!$B$5:$B$46,"AHT"),0)))</f>
        <v/>
      </c>
      <c r="G123" s="10">
        <f>IF(OR($A123="",$D123&lt;&gt;"READY"),"",IF(AGENT_INPUT!F123&gt;=SUMIFS(BONUS_RULES!$E$5:$E$46,BONUS_RULES!$A$5:$A$46,$C123,BONUS_RULES!$B$5:$B$46,"Productivity"),SUMIFS(BONUS_RULES!$D$5:$D$46,BONUS_RULES!$A$5:$A$46,$C123,BONUS_RULES!$B$5:$B$46,"Productivity"),IF(AGENT_INPUT!F123&gt;=SUMIFS(BONUS_RULES!$G$5:$G$46,BONUS_RULES!$A$5:$A$46,$C123,BONUS_RULES!$B$5:$B$46,"Productivity"),SUMIFS(BONUS_RULES!$F$5:$F$46,BONUS_RULES!$A$5:$A$46,$C123,BONUS_RULES!$B$5:$B$46,"Productivity"),0)))</f>
        <v/>
      </c>
      <c r="H123" s="10">
        <f>IF(OR($A123="",$D123&lt;&gt;"READY"),"",IF(AGENT_INPUT!G123&gt;=SUMIFS(BONUS_RULES!$E$5:$E$46,BONUS_RULES!$A$5:$A$46,$C123,BONUS_RULES!$B$5:$B$46,"PCS Score"),SUMIFS(BONUS_RULES!$D$5:$D$46,BONUS_RULES!$A$5:$A$46,$C123,BONUS_RULES!$B$5:$B$46,"PCS Score"),IF(AGENT_INPUT!G123&gt;=SUMIFS(BONUS_RULES!$G$5:$G$46,BONUS_RULES!$A$5:$A$46,$C123,BONUS_RULES!$B$5:$B$46,"PCS Score"),SUMIFS(BONUS_RULES!$F$5:$F$46,BONUS_RULES!$A$5:$A$46,$C123,BONUS_RULES!$B$5:$B$46,"PCS Score"),0)))</f>
        <v/>
      </c>
      <c r="I123" s="10">
        <f>IF(OR($A123="",$D123&lt;&gt;"READY"),"",IF(AGENT_INPUT!H123&gt;=SUMIFS(BONUS_RULES!$E$5:$E$46,BONUS_RULES!$A$5:$A$46,$C123,BONUS_RULES!$B$5:$B$46,"PCS % (Participation)"),SUMIFS(BONUS_RULES!$D$5:$D$46,BONUS_RULES!$A$5:$A$46,$C123,BONUS_RULES!$B$5:$B$46,"PCS % (Participation)"),IF(AGENT_INPUT!H123&gt;=SUMIFS(BONUS_RULES!$G$5:$G$46,BONUS_RULES!$A$5:$A$46,$C123,BONUS_RULES!$B$5:$B$46,"PCS % (Participation)"),SUMIFS(BONUS_RULES!$F$5:$F$46,BONUS_RULES!$A$5:$A$46,$C123,BONUS_RULES!$B$5:$B$46,"PCS % (Participation)"),0)))</f>
        <v/>
      </c>
      <c r="J123" s="10">
        <f>IF(OR($A123="",$D123&lt;&gt;"READY"),"",IF(AGENT_INPUT!I123&gt;=SUMIFS(BONUS_RULES!$E$5:$E$46,BONUS_RULES!$A$5:$A$46,$C123,BONUS_RULES!$B$5:$B$46,"QM"),SUMIFS(BONUS_RULES!$D$5:$D$46,BONUS_RULES!$A$5:$A$46,$C123,BONUS_RULES!$B$5:$B$46,"QM"),IF(AGENT_INPUT!I123&gt;=SUMIFS(BONUS_RULES!$G$5:$G$46,BONUS_RULES!$A$5:$A$46,$C123,BONUS_RULES!$B$5:$B$46,"QM"),SUMIFS(BONUS_RULES!$F$5:$F$46,BONUS_RULES!$A$5:$A$46,$C123,BONUS_RULES!$B$5:$B$46,"QM"),0)))</f>
        <v/>
      </c>
      <c r="K123" s="10">
        <f>IF(POLICY_APPROVAL!$B$9="Eligibility only",0,IF(OR($A123="",$D123&lt;&gt;"READY"),"",IF(AGENT_INPUT!J123&lt;=SUMIFS(BONUS_RULES!$E$5:$E$46,BONUS_RULES!$A$5:$A$46,$C123,BONUS_RULES!$B$5:$B$46,"Abs%"),SUMIFS(BONUS_RULES!$D$5:$D$46,BONUS_RULES!$A$5:$A$46,$C123,BONUS_RULES!$B$5:$B$46,"Abs%"),IF(AGENT_INPUT!J123&lt;=SUMIFS(BONUS_RULES!$G$5:$G$46,BONUS_RULES!$A$5:$A$46,$C123,BONUS_RULES!$B$5:$B$46,"Abs%"),SUMIFS(BONUS_RULES!$F$5:$F$46,BONUS_RULES!$A$5:$A$46,$C123,BONUS_RULES!$B$5:$B$46,"Abs%"),0))))</f>
        <v/>
      </c>
      <c r="L123" s="10">
        <f>IF(OR($A123="",$D123&lt;&gt;"READY"),"",IF(AGENT_INPUT!G123&gt;=SUMIFS(BONUS_RULES!$E$5:$E$46,BONUS_RULES!$A$5:$A$46,$C123,BONUS_RULES!$B$5:$B$46,"Extra Bonus (PCS Score)"),SUMIFS(BONUS_RULES!$D$5:$D$46,BONUS_RULES!$A$5:$A$46,$C123,BONUS_RULES!$B$5:$B$46,"Extra Bonus (PCS Score)"),IF(AGENT_INPUT!G123&gt;=SUMIFS(BONUS_RULES!$G$5:$G$46,BONUS_RULES!$A$5:$A$46,$C123,BONUS_RULES!$B$5:$B$46,"Extra Bonus (PCS Score)"),SUMIFS(BONUS_RULES!$F$5:$F$46,BONUS_RULES!$A$5:$A$46,$C123,BONUS_RULES!$B$5:$B$46,"Extra Bonus (PCS Score)"),0)))</f>
        <v/>
      </c>
      <c r="M123" s="10">
        <f>IF($A123="","",MIN(IF(POLICY_APPROVAL!$B$6="Replacement",SUM(F123:K123)-H123+MAX(H123,L123),SUM(F123:L123)),POLICY_APPROVAL!$B$10))</f>
        <v>0</v>
      </c>
      <c r="N123" s="10">
        <f>IF($A123="","",IFERROR(INDEX(BONUS_RULES!$J$5:$J$10,MATCH(MIN(MAX(AGENT_INPUT!K123,0),5),BONUS_RULES!$I$5:$I$10,0)),1))</f>
        <v>0</v>
      </c>
      <c r="O123" s="10">
        <f>IF(M123="","",MAX(0,IF(POLICY_APPROVAL!$B$5="Percentage points",M123-N123,M123*(1-N123))))</f>
        <v>0</v>
      </c>
      <c r="P123" s="11">
        <f>IF(D123&lt;&gt;"READY","",IF(AGENT_INPUT!O123&gt;0,AGENT_INPUT!O123,AGENT_INPUT!M123*AGENT_INPUT!N123/IF(POLICY_APPROVAL!$B$7="Annual",12,1)))</f>
        <v/>
      </c>
      <c r="Q123" s="10">
        <f>IF(D123&lt;&gt;"READY","",MIN(1,AGENT_INPUT!P123/AGENT_INPUT!Q123))</f>
        <v/>
      </c>
      <c r="R123" s="11">
        <f>IF(D123&lt;&gt;"READY","",ROUND(P123*Q123*O123,IF(POLICY_APPROVAL!$B$11="Whole MAD",0,2)))</f>
        <v/>
      </c>
      <c r="S123" s="11">
        <f>IF(AND(SETUP!$B$9="READY",T123="READY"),R123,"")</f>
        <v/>
      </c>
      <c r="T123" s="4" t="str">
        <f>IF($A123="","",IF(D123&lt;&gt;"READY","BLOCKED - INPUT",IF(E123&lt;&gt;"ELIGIBLE","BLOCKED - ELIGIBILITY",IF(AGENT_INPUT!S123&lt;&gt;"VALIDATED","BLOCKED - DATA",IF(SETUP!$B$9&lt;&gt;"READY","BLOCKED - POLICY","READY")))))</f>
        <v>BLOCKED - INPUT</v>
      </c>
      <c r="U123" s="4" t="str">
        <f>IF($A123="","",IF(COUNTIFS(AGENT_INPUT!$A$5:$A$254,$A123,AGENT_INPUT!$D$5:$D$254,AGENT_INPUT!D123)&gt;1,"DUPLICATE AGENT + PERIOD",IF(D123&lt;&gt;"READY","INPUT OR CONFIG REVIEW",IF(T123&lt;&gt;"READY",T123,""))))</f>
        <v>Missing, invalid, or unconfigured required input</v>
      </c>
    </row>
    <row r="124" spans="1:21">
      <c r="A124" s="4">
        <f>IF(AGENT_INPUT!A124="","",AGENT_INPUT!A124)</f>
        <v>204043</v>
      </c>
      <c r="B124" s="4" t="str">
        <f>IF($A124="","",AGENT_INPUT!B124)</f>
        <v>El Yakhloufi Fouad</v>
      </c>
      <c r="C124" s="4" t="str">
        <f>IF($A124="","",AGENT_INPUT!C124)</f>
        <v>Ford Dutch</v>
      </c>
      <c r="D124" s="4" t="str">
        <f>IF($A124="","",IF(AND(COUNT(AGENT_INPUT!E124:J124)=6,COUNT(AGENT_INPUT!K124)=1,COUNTIF(BONUS_RULES!$A$5:$A$46,AGENT_INPUT!C124)&gt;0,OR(AGENT_INPUT!O124&gt;0,AND(AGENT_INPUT!M124&gt;0,AGENT_INPUT!N124&gt;0)),AGENT_INPUT!P124&gt;=0,AGENT_INPUT!Q124&gt;0,AGENT_INPUT!P124&lt;=AGENT_INPUT!Q124,AGENT_INPUT!H124&gt;=0,AGENT_INPUT!H124&lt;=1,AGENT_INPUT!I124&gt;=0,AGENT_INPUT!I124&lt;=1,AGENT_INPUT!J124&gt;=0,AGENT_INPUT!J124&lt;=1),"READY","BLOCKED"))</f>
        <v>READY</v>
      </c>
      <c r="E124" s="4" t="str">
        <f>IF($A124="","",IF(AGENT_INPUT!R124&lt;&gt;"Active","REVIEW",IF(OR(POLICY_APPROVAL!$B$9="Eligibility only",POLICY_APPROVAL!$B$9="Both"),IF(AGENT_INPUT!J124&lt;=SUMIFS(BONUS_RULES!$E$5:$E$46,BONUS_RULES!$A$5:$A$46,$C124,BONUS_RULES!$B$5:$B$46,"Abs%"),"ELIGIBLE","INELIGIBLE ABS"),"ELIGIBLE")))</f>
        <v>REVIEW</v>
      </c>
      <c r="F124" s="10">
        <f>IF(OR($A124="",$D124&lt;&gt;"READY"),"",IF(AGENT_INPUT!E124&lt;=SUMIFS(BONUS_RULES!$E$5:$E$46,BONUS_RULES!$A$5:$A$46,$C124,BONUS_RULES!$B$5:$B$46,"AHT"),SUMIFS(BONUS_RULES!$D$5:$D$46,BONUS_RULES!$A$5:$A$46,$C124,BONUS_RULES!$B$5:$B$46,"AHT"),IF(AGENT_INPUT!E124&lt;=SUMIFS(BONUS_RULES!$G$5:$G$46,BONUS_RULES!$A$5:$A$46,$C124,BONUS_RULES!$B$5:$B$46,"AHT"),SUMIFS(BONUS_RULES!$F$5:$F$46,BONUS_RULES!$A$5:$A$46,$C124,BONUS_RULES!$B$5:$B$46,"AHT"),0)))</f>
        <v>0.0</v>
      </c>
      <c r="G124" s="10">
        <f>IF(OR($A124="",$D124&lt;&gt;"READY"),"",IF(AGENT_INPUT!F124&gt;=SUMIFS(BONUS_RULES!$E$5:$E$46,BONUS_RULES!$A$5:$A$46,$C124,BONUS_RULES!$B$5:$B$46,"Productivity"),SUMIFS(BONUS_RULES!$D$5:$D$46,BONUS_RULES!$A$5:$A$46,$C124,BONUS_RULES!$B$5:$B$46,"Productivity"),IF(AGENT_INPUT!F124&gt;=SUMIFS(BONUS_RULES!$G$5:$G$46,BONUS_RULES!$A$5:$A$46,$C124,BONUS_RULES!$B$5:$B$46,"Productivity"),SUMIFS(BONUS_RULES!$F$5:$F$46,BONUS_RULES!$A$5:$A$46,$C124,BONUS_RULES!$B$5:$B$46,"Productivity"),0)))</f>
        <v>0.15</v>
      </c>
      <c r="H124" s="10">
        <f>IF(OR($A124="",$D124&lt;&gt;"READY"),"",IF(AGENT_INPUT!G124&gt;=SUMIFS(BONUS_RULES!$E$5:$E$46,BONUS_RULES!$A$5:$A$46,$C124,BONUS_RULES!$B$5:$B$46,"PCS Score"),SUMIFS(BONUS_RULES!$D$5:$D$46,BONUS_RULES!$A$5:$A$46,$C124,BONUS_RULES!$B$5:$B$46,"PCS Score"),IF(AGENT_INPUT!G124&gt;=SUMIFS(BONUS_RULES!$G$5:$G$46,BONUS_RULES!$A$5:$A$46,$C124,BONUS_RULES!$B$5:$B$46,"PCS Score"),SUMIFS(BONUS_RULES!$F$5:$F$46,BONUS_RULES!$A$5:$A$46,$C124,BONUS_RULES!$B$5:$B$46,"PCS Score"),0)))</f>
        <v>0.15</v>
      </c>
      <c r="I124" s="10">
        <f>IF(OR($A124="",$D124&lt;&gt;"READY"),"",IF(AGENT_INPUT!H124&gt;=SUMIFS(BONUS_RULES!$E$5:$E$46,BONUS_RULES!$A$5:$A$46,$C124,BONUS_RULES!$B$5:$B$46,"PCS % (Participation)"),SUMIFS(BONUS_RULES!$D$5:$D$46,BONUS_RULES!$A$5:$A$46,$C124,BONUS_RULES!$B$5:$B$46,"PCS % (Participation)"),IF(AGENT_INPUT!H124&gt;=SUMIFS(BONUS_RULES!$G$5:$G$46,BONUS_RULES!$A$5:$A$46,$C124,BONUS_RULES!$B$5:$B$46,"PCS % (Participation)"),SUMIFS(BONUS_RULES!$F$5:$F$46,BONUS_RULES!$A$5:$A$46,$C124,BONUS_RULES!$B$5:$B$46,"PCS % (Participation)"),0)))</f>
        <v>0.0</v>
      </c>
      <c r="J124" s="10">
        <f>IF(OR($A124="",$D124&lt;&gt;"READY"),"",IF(AGENT_INPUT!I124&gt;=SUMIFS(BONUS_RULES!$E$5:$E$46,BONUS_RULES!$A$5:$A$46,$C124,BONUS_RULES!$B$5:$B$46,"QM"),SUMIFS(BONUS_RULES!$D$5:$D$46,BONUS_RULES!$A$5:$A$46,$C124,BONUS_RULES!$B$5:$B$46,"QM"),IF(AGENT_INPUT!I124&gt;=SUMIFS(BONUS_RULES!$G$5:$G$46,BONUS_RULES!$A$5:$A$46,$C124,BONUS_RULES!$B$5:$B$46,"QM"),SUMIFS(BONUS_RULES!$F$5:$F$46,BONUS_RULES!$A$5:$A$46,$C124,BONUS_RULES!$B$5:$B$46,"QM"),0)))</f>
        <v>0.0</v>
      </c>
      <c r="K124" s="10">
        <f>IF(POLICY_APPROVAL!$B$9="Eligibility only",0,IF(OR($A124="",$D124&lt;&gt;"READY"),"",IF(AGENT_INPUT!J124&lt;=SUMIFS(BONUS_RULES!$E$5:$E$46,BONUS_RULES!$A$5:$A$46,$C124,BONUS_RULES!$B$5:$B$46,"Abs%"),SUMIFS(BONUS_RULES!$D$5:$D$46,BONUS_RULES!$A$5:$A$46,$C124,BONUS_RULES!$B$5:$B$46,"Abs%"),IF(AGENT_INPUT!J124&lt;=SUMIFS(BONUS_RULES!$G$5:$G$46,BONUS_RULES!$A$5:$A$46,$C124,BONUS_RULES!$B$5:$B$46,"Abs%"),SUMIFS(BONUS_RULES!$F$5:$F$46,BONUS_RULES!$A$5:$A$46,$C124,BONUS_RULES!$B$5:$B$46,"Abs%"),0))))</f>
        <v>0.0</v>
      </c>
      <c r="L124" s="10">
        <f>IF(OR($A124="",$D124&lt;&gt;"READY"),"",IF(AGENT_INPUT!G124&gt;=SUMIFS(BONUS_RULES!$E$5:$E$46,BONUS_RULES!$A$5:$A$46,$C124,BONUS_RULES!$B$5:$B$46,"Extra Bonus (PCS Score)"),SUMIFS(BONUS_RULES!$D$5:$D$46,BONUS_RULES!$A$5:$A$46,$C124,BONUS_RULES!$B$5:$B$46,"Extra Bonus (PCS Score)"),IF(AGENT_INPUT!G124&gt;=SUMIFS(BONUS_RULES!$G$5:$G$46,BONUS_RULES!$A$5:$A$46,$C124,BONUS_RULES!$B$5:$B$46,"Extra Bonus (PCS Score)"),SUMIFS(BONUS_RULES!$F$5:$F$46,BONUS_RULES!$A$5:$A$46,$C124,BONUS_RULES!$B$5:$B$46,"Extra Bonus (PCS Score)"),0)))</f>
        <v>0.0</v>
      </c>
      <c r="M124" s="10">
        <f>IF($A124="","",MIN(IF(POLICY_APPROVAL!$B$6="Replacement",SUM(F124:K124)-H124+MAX(H124,L124),SUM(F124:L124)),POLICY_APPROVAL!$B$10))</f>
        <v>0.3</v>
      </c>
      <c r="N124" s="10">
        <f>IF($A124="","",IFERROR(INDEX(BONUS_RULES!$J$5:$J$10,MATCH(MIN(MAX(AGENT_INPUT!K124,0),5),BONUS_RULES!$I$5:$I$10,0)),1))</f>
        <v>0</v>
      </c>
      <c r="O124" s="10">
        <f>IF(M124="","",MAX(0,IF(POLICY_APPROVAL!$B$5="Percentage points",M124-N124,M124*(1-N124))))</f>
        <v>0.3</v>
      </c>
      <c r="P124" s="11">
        <f>IF(D124&lt;&gt;"READY","",IF(AGENT_INPUT!O124&gt;0,AGENT_INPUT!O124,AGENT_INPUT!M124*AGENT_INPUT!N124/IF(POLICY_APPROVAL!$B$7="Annual",12,1)))</f>
        <v>2000.0</v>
      </c>
      <c r="Q124" s="10">
        <f>IF(D124&lt;&gt;"READY","",MIN(1,AGENT_INPUT!P124/AGENT_INPUT!Q124))</f>
        <v>1.0</v>
      </c>
      <c r="R124" s="11">
        <f>IF(D124&lt;&gt;"READY","",ROUND(P124*Q124*O124,IF(POLICY_APPROVAL!$B$11="Whole MAD",0,2)))</f>
        <v>600.0</v>
      </c>
      <c r="S124" s="11">
        <f>IF(AND(SETUP!$B$9="READY",T124="READY"),R124,"")</f>
        <v/>
      </c>
      <c r="T124" s="4" t="str">
        <f>IF($A124="","",IF(D124&lt;&gt;"READY","BLOCKED - INPUT",IF(E124&lt;&gt;"ELIGIBLE","BLOCKED - ELIGIBILITY",IF(AGENT_INPUT!S124&lt;&gt;"VALIDATED","BLOCKED - DATA",IF(SETUP!$B$9&lt;&gt;"READY","BLOCKED - POLICY","READY")))))</f>
        <v>BLOCKED - ELIGIBILITY</v>
      </c>
      <c r="U124" s="4" t="str">
        <f>IF($A124="","",IF(COUNTIFS(AGENT_INPUT!$A$5:$A$254,$A124,AGENT_INPUT!$D$5:$D$254,AGENT_INPUT!D124)&gt;1,"DUPLICATE AGENT + PERIOD",IF(D124&lt;&gt;"READY","INPUT OR CONFIG REVIEW",IF(T124&lt;&gt;"READY",T124,""))))</f>
        <v>BLOCKED - ELIGIBILITY</v>
      </c>
    </row>
    <row r="125" spans="1:21">
      <c r="A125" s="4">
        <f>IF(AGENT_INPUT!A125="","",AGENT_INPUT!A125)</f>
        <v>232197</v>
      </c>
      <c r="B125" s="4" t="str">
        <f>IF($A125="","",AGENT_INPUT!B125)</f>
        <v>Firdaouss  EL Battay </v>
      </c>
      <c r="C125" s="4" t="str">
        <f>IF($A125="","",AGENT_INPUT!C125)</f>
        <v>RSA NL</v>
      </c>
      <c r="D125" s="4" t="str">
        <f>IF($A125="","",IF(AND(COUNT(AGENT_INPUT!E125:J125)=6,COUNT(AGENT_INPUT!K125)=1,COUNTIF(BONUS_RULES!$A$5:$A$46,AGENT_INPUT!C125)&gt;0,OR(AGENT_INPUT!O125&gt;0,AND(AGENT_INPUT!M125&gt;0,AGENT_INPUT!N125&gt;0)),AGENT_INPUT!P125&gt;=0,AGENT_INPUT!Q125&gt;0,AGENT_INPUT!P125&lt;=AGENT_INPUT!Q125,AGENT_INPUT!H125&gt;=0,AGENT_INPUT!H125&lt;=1,AGENT_INPUT!I125&gt;=0,AGENT_INPUT!I125&lt;=1,AGENT_INPUT!J125&gt;=0,AGENT_INPUT!J125&lt;=1),"READY","BLOCKED"))</f>
        <v>READY</v>
      </c>
      <c r="E125" s="4" t="str">
        <f>IF($A125="","",IF(AGENT_INPUT!R125&lt;&gt;"Active","REVIEW",IF(OR(POLICY_APPROVAL!$B$9="Eligibility only",POLICY_APPROVAL!$B$9="Both"),IF(AGENT_INPUT!J125&lt;=SUMIFS(BONUS_RULES!$E$5:$E$46,BONUS_RULES!$A$5:$A$46,$C125,BONUS_RULES!$B$5:$B$46,"Abs%"),"ELIGIBLE","INELIGIBLE ABS"),"ELIGIBLE")))</f>
        <v>REVIEW</v>
      </c>
      <c r="F125" s="10">
        <f>IF(OR($A125="",$D125&lt;&gt;"READY"),"",IF(AGENT_INPUT!E125&lt;=SUMIFS(BONUS_RULES!$E$5:$E$46,BONUS_RULES!$A$5:$A$46,$C125,BONUS_RULES!$B$5:$B$46,"AHT"),SUMIFS(BONUS_RULES!$D$5:$D$46,BONUS_RULES!$A$5:$A$46,$C125,BONUS_RULES!$B$5:$B$46,"AHT"),IF(AGENT_INPUT!E125&lt;=SUMIFS(BONUS_RULES!$G$5:$G$46,BONUS_RULES!$A$5:$A$46,$C125,BONUS_RULES!$B$5:$B$46,"AHT"),SUMIFS(BONUS_RULES!$F$5:$F$46,BONUS_RULES!$A$5:$A$46,$C125,BONUS_RULES!$B$5:$B$46,"AHT"),0)))</f>
        <v>0.15</v>
      </c>
      <c r="G125" s="10">
        <f>IF(OR($A125="",$D125&lt;&gt;"READY"),"",IF(AGENT_INPUT!F125&gt;=SUMIFS(BONUS_RULES!$E$5:$E$46,BONUS_RULES!$A$5:$A$46,$C125,BONUS_RULES!$B$5:$B$46,"Productivity"),SUMIFS(BONUS_RULES!$D$5:$D$46,BONUS_RULES!$A$5:$A$46,$C125,BONUS_RULES!$B$5:$B$46,"Productivity"),IF(AGENT_INPUT!F125&gt;=SUMIFS(BONUS_RULES!$G$5:$G$46,BONUS_RULES!$A$5:$A$46,$C125,BONUS_RULES!$B$5:$B$46,"Productivity"),SUMIFS(BONUS_RULES!$F$5:$F$46,BONUS_RULES!$A$5:$A$46,$C125,BONUS_RULES!$B$5:$B$46,"Productivity"),0)))</f>
        <v>0.15</v>
      </c>
      <c r="H125" s="10">
        <f>IF(OR($A125="",$D125&lt;&gt;"READY"),"",IF(AGENT_INPUT!G125&gt;=SUMIFS(BONUS_RULES!$E$5:$E$46,BONUS_RULES!$A$5:$A$46,$C125,BONUS_RULES!$B$5:$B$46,"PCS Score"),SUMIFS(BONUS_RULES!$D$5:$D$46,BONUS_RULES!$A$5:$A$46,$C125,BONUS_RULES!$B$5:$B$46,"PCS Score"),IF(AGENT_INPUT!G125&gt;=SUMIFS(BONUS_RULES!$G$5:$G$46,BONUS_RULES!$A$5:$A$46,$C125,BONUS_RULES!$B$5:$B$46,"PCS Score"),SUMIFS(BONUS_RULES!$F$5:$F$46,BONUS_RULES!$A$5:$A$46,$C125,BONUS_RULES!$B$5:$B$46,"PCS Score"),0)))</f>
        <v>0.0</v>
      </c>
      <c r="I125" s="10">
        <f>IF(OR($A125="",$D125&lt;&gt;"READY"),"",IF(AGENT_INPUT!H125&gt;=SUMIFS(BONUS_RULES!$E$5:$E$46,BONUS_RULES!$A$5:$A$46,$C125,BONUS_RULES!$B$5:$B$46,"PCS % (Participation)"),SUMIFS(BONUS_RULES!$D$5:$D$46,BONUS_RULES!$A$5:$A$46,$C125,BONUS_RULES!$B$5:$B$46,"PCS % (Participation)"),IF(AGENT_INPUT!H125&gt;=SUMIFS(BONUS_RULES!$G$5:$G$46,BONUS_RULES!$A$5:$A$46,$C125,BONUS_RULES!$B$5:$B$46,"PCS % (Participation)"),SUMIFS(BONUS_RULES!$F$5:$F$46,BONUS_RULES!$A$5:$A$46,$C125,BONUS_RULES!$B$5:$B$46,"PCS % (Participation)"),0)))</f>
        <v>0.0</v>
      </c>
      <c r="J125" s="10">
        <f>IF(OR($A125="",$D125&lt;&gt;"READY"),"",IF(AGENT_INPUT!I125&gt;=SUMIFS(BONUS_RULES!$E$5:$E$46,BONUS_RULES!$A$5:$A$46,$C125,BONUS_RULES!$B$5:$B$46,"QM"),SUMIFS(BONUS_RULES!$D$5:$D$46,BONUS_RULES!$A$5:$A$46,$C125,BONUS_RULES!$B$5:$B$46,"QM"),IF(AGENT_INPUT!I125&gt;=SUMIFS(BONUS_RULES!$G$5:$G$46,BONUS_RULES!$A$5:$A$46,$C125,BONUS_RULES!$B$5:$B$46,"QM"),SUMIFS(BONUS_RULES!$F$5:$F$46,BONUS_RULES!$A$5:$A$46,$C125,BONUS_RULES!$B$5:$B$46,"QM"),0)))</f>
        <v>0.0</v>
      </c>
      <c r="K125" s="10">
        <f>IF(POLICY_APPROVAL!$B$9="Eligibility only",0,IF(OR($A125="",$D125&lt;&gt;"READY"),"",IF(AGENT_INPUT!J125&lt;=SUMIFS(BONUS_RULES!$E$5:$E$46,BONUS_RULES!$A$5:$A$46,$C125,BONUS_RULES!$B$5:$B$46,"Abs%"),SUMIFS(BONUS_RULES!$D$5:$D$46,BONUS_RULES!$A$5:$A$46,$C125,BONUS_RULES!$B$5:$B$46,"Abs%"),IF(AGENT_INPUT!J125&lt;=SUMIFS(BONUS_RULES!$G$5:$G$46,BONUS_RULES!$A$5:$A$46,$C125,BONUS_RULES!$B$5:$B$46,"Abs%"),SUMIFS(BONUS_RULES!$F$5:$F$46,BONUS_RULES!$A$5:$A$46,$C125,BONUS_RULES!$B$5:$B$46,"Abs%"),0))))</f>
        <v>0.0</v>
      </c>
      <c r="L125" s="10">
        <f>IF(OR($A125="",$D125&lt;&gt;"READY"),"",IF(AGENT_INPUT!G125&gt;=SUMIFS(BONUS_RULES!$E$5:$E$46,BONUS_RULES!$A$5:$A$46,$C125,BONUS_RULES!$B$5:$B$46,"Extra Bonus (PCS Score)"),SUMIFS(BONUS_RULES!$D$5:$D$46,BONUS_RULES!$A$5:$A$46,$C125,BONUS_RULES!$B$5:$B$46,"Extra Bonus (PCS Score)"),IF(AGENT_INPUT!G125&gt;=SUMIFS(BONUS_RULES!$G$5:$G$46,BONUS_RULES!$A$5:$A$46,$C125,BONUS_RULES!$B$5:$B$46,"Extra Bonus (PCS Score)"),SUMIFS(BONUS_RULES!$F$5:$F$46,BONUS_RULES!$A$5:$A$46,$C125,BONUS_RULES!$B$5:$B$46,"Extra Bonus (PCS Score)"),0)))</f>
        <v>0.0</v>
      </c>
      <c r="M125" s="10">
        <f>IF($A125="","",MIN(IF(POLICY_APPROVAL!$B$6="Replacement",SUM(F125:K125)-H125+MAX(H125,L125),SUM(F125:L125)),POLICY_APPROVAL!$B$10))</f>
        <v>0.3</v>
      </c>
      <c r="N125" s="10">
        <f>IF($A125="","",IFERROR(INDEX(BONUS_RULES!$J$5:$J$10,MATCH(MIN(MAX(AGENT_INPUT!K125,0),5),BONUS_RULES!$I$5:$I$10,0)),1))</f>
        <v>0</v>
      </c>
      <c r="O125" s="10">
        <f>IF(M125="","",MAX(0,IF(POLICY_APPROVAL!$B$5="Percentage points",M125-N125,M125*(1-N125))))</f>
        <v>0.3</v>
      </c>
      <c r="P125" s="11">
        <f>IF(D125&lt;&gt;"READY","",IF(AGENT_INPUT!O125&gt;0,AGENT_INPUT!O125,AGENT_INPUT!M125*AGENT_INPUT!N125/IF(POLICY_APPROVAL!$B$7="Annual",12,1)))</f>
        <v>2000.0</v>
      </c>
      <c r="Q125" s="10">
        <f>IF(D125&lt;&gt;"READY","",MIN(1,AGENT_INPUT!P125/AGENT_INPUT!Q125))</f>
        <v>1.0</v>
      </c>
      <c r="R125" s="11">
        <f>IF(D125&lt;&gt;"READY","",ROUND(P125*Q125*O125,IF(POLICY_APPROVAL!$B$11="Whole MAD",0,2)))</f>
        <v>600.0</v>
      </c>
      <c r="S125" s="11">
        <f>IF(AND(SETUP!$B$9="READY",T125="READY"),R125,"")</f>
        <v/>
      </c>
      <c r="T125" s="4" t="str">
        <f>IF($A125="","",IF(D125&lt;&gt;"READY","BLOCKED - INPUT",IF(E125&lt;&gt;"ELIGIBLE","BLOCKED - ELIGIBILITY",IF(AGENT_INPUT!S125&lt;&gt;"VALIDATED","BLOCKED - DATA",IF(SETUP!$B$9&lt;&gt;"READY","BLOCKED - POLICY","READY")))))</f>
        <v>BLOCKED - ELIGIBILITY</v>
      </c>
      <c r="U125" s="4" t="str">
        <f>IF($A125="","",IF(COUNTIFS(AGENT_INPUT!$A$5:$A$254,$A125,AGENT_INPUT!$D$5:$D$254,AGENT_INPUT!D125)&gt;1,"DUPLICATE AGENT + PERIOD",IF(D125&lt;&gt;"READY","INPUT OR CONFIG REVIEW",IF(T125&lt;&gt;"READY",T125,""))))</f>
        <v>BLOCKED - ELIGIBILITY</v>
      </c>
    </row>
    <row r="126" spans="1:21">
      <c r="A126" s="4">
        <f>IF(AGENT_INPUT!A126="","",AGENT_INPUT!A126)</f>
        <v>228210</v>
      </c>
      <c r="B126" s="4" t="str">
        <f>IF($A126="","",AGENT_INPUT!B126)</f>
        <v>Fatima SOUALA</v>
      </c>
      <c r="C126" s="4" t="str">
        <f>IF($A126="","",AGENT_INPUT!C126)</f>
        <v>OEM FR</v>
      </c>
      <c r="D126" s="4" t="str">
        <f>IF($A126="","",IF(AND(COUNT(AGENT_INPUT!E126:J126)=6,COUNT(AGENT_INPUT!K126)=1,COUNTIF(BONUS_RULES!$A$5:$A$46,AGENT_INPUT!C126)&gt;0,OR(AGENT_INPUT!O126&gt;0,AND(AGENT_INPUT!M126&gt;0,AGENT_INPUT!N126&gt;0)),AGENT_INPUT!P126&gt;=0,AGENT_INPUT!Q126&gt;0,AGENT_INPUT!P126&lt;=AGENT_INPUT!Q126,AGENT_INPUT!H126&gt;=0,AGENT_INPUT!H126&lt;=1,AGENT_INPUT!I126&gt;=0,AGENT_INPUT!I126&lt;=1,AGENT_INPUT!J126&gt;=0,AGENT_INPUT!J126&lt;=1),"READY","BLOCKED"))</f>
        <v>READY</v>
      </c>
      <c r="E126" s="4" t="str">
        <f>IF($A126="","",IF(AGENT_INPUT!R126&lt;&gt;"Active","REVIEW",IF(OR(POLICY_APPROVAL!$B$9="Eligibility only",POLICY_APPROVAL!$B$9="Both"),IF(AGENT_INPUT!J126&lt;=SUMIFS(BONUS_RULES!$E$5:$E$46,BONUS_RULES!$A$5:$A$46,$C126,BONUS_RULES!$B$5:$B$46,"Abs%"),"ELIGIBLE","INELIGIBLE ABS"),"ELIGIBLE")))</f>
        <v>REVIEW</v>
      </c>
      <c r="F126" s="10">
        <f>IF(OR($A126="",$D126&lt;&gt;"READY"),"",IF(AGENT_INPUT!E126&lt;=SUMIFS(BONUS_RULES!$E$5:$E$46,BONUS_RULES!$A$5:$A$46,$C126,BONUS_RULES!$B$5:$B$46,"AHT"),SUMIFS(BONUS_RULES!$D$5:$D$46,BONUS_RULES!$A$5:$A$46,$C126,BONUS_RULES!$B$5:$B$46,"AHT"),IF(AGENT_INPUT!E126&lt;=SUMIFS(BONUS_RULES!$G$5:$G$46,BONUS_RULES!$A$5:$A$46,$C126,BONUS_RULES!$B$5:$B$46,"AHT"),SUMIFS(BONUS_RULES!$F$5:$F$46,BONUS_RULES!$A$5:$A$46,$C126,BONUS_RULES!$B$5:$B$46,"AHT"),0)))</f>
        <v>0.0</v>
      </c>
      <c r="G126" s="10">
        <f>IF(OR($A126="",$D126&lt;&gt;"READY"),"",IF(AGENT_INPUT!F126&gt;=SUMIFS(BONUS_RULES!$E$5:$E$46,BONUS_RULES!$A$5:$A$46,$C126,BONUS_RULES!$B$5:$B$46,"Productivity"),SUMIFS(BONUS_RULES!$D$5:$D$46,BONUS_RULES!$A$5:$A$46,$C126,BONUS_RULES!$B$5:$B$46,"Productivity"),IF(AGENT_INPUT!F126&gt;=SUMIFS(BONUS_RULES!$G$5:$G$46,BONUS_RULES!$A$5:$A$46,$C126,BONUS_RULES!$B$5:$B$46,"Productivity"),SUMIFS(BONUS_RULES!$F$5:$F$46,BONUS_RULES!$A$5:$A$46,$C126,BONUS_RULES!$B$5:$B$46,"Productivity"),0)))</f>
        <v>0.0</v>
      </c>
      <c r="H126" s="10">
        <f>IF(OR($A126="",$D126&lt;&gt;"READY"),"",IF(AGENT_INPUT!G126&gt;=SUMIFS(BONUS_RULES!$E$5:$E$46,BONUS_RULES!$A$5:$A$46,$C126,BONUS_RULES!$B$5:$B$46,"PCS Score"),SUMIFS(BONUS_RULES!$D$5:$D$46,BONUS_RULES!$A$5:$A$46,$C126,BONUS_RULES!$B$5:$B$46,"PCS Score"),IF(AGENT_INPUT!G126&gt;=SUMIFS(BONUS_RULES!$G$5:$G$46,BONUS_RULES!$A$5:$A$46,$C126,BONUS_RULES!$B$5:$B$46,"PCS Score"),SUMIFS(BONUS_RULES!$F$5:$F$46,BONUS_RULES!$A$5:$A$46,$C126,BONUS_RULES!$B$5:$B$46,"PCS Score"),0)))</f>
        <v>0.2</v>
      </c>
      <c r="I126" s="10">
        <f>IF(OR($A126="",$D126&lt;&gt;"READY"),"",IF(AGENT_INPUT!H126&gt;=SUMIFS(BONUS_RULES!$E$5:$E$46,BONUS_RULES!$A$5:$A$46,$C126,BONUS_RULES!$B$5:$B$46,"PCS % (Participation)"),SUMIFS(BONUS_RULES!$D$5:$D$46,BONUS_RULES!$A$5:$A$46,$C126,BONUS_RULES!$B$5:$B$46,"PCS % (Participation)"),IF(AGENT_INPUT!H126&gt;=SUMIFS(BONUS_RULES!$G$5:$G$46,BONUS_RULES!$A$5:$A$46,$C126,BONUS_RULES!$B$5:$B$46,"PCS % (Participation)"),SUMIFS(BONUS_RULES!$F$5:$F$46,BONUS_RULES!$A$5:$A$46,$C126,BONUS_RULES!$B$5:$B$46,"PCS % (Participation)"),0)))</f>
        <v>0.0</v>
      </c>
      <c r="J126" s="10">
        <f>IF(OR($A126="",$D126&lt;&gt;"READY"),"",IF(AGENT_INPUT!I126&gt;=SUMIFS(BONUS_RULES!$E$5:$E$46,BONUS_RULES!$A$5:$A$46,$C126,BONUS_RULES!$B$5:$B$46,"QM"),SUMIFS(BONUS_RULES!$D$5:$D$46,BONUS_RULES!$A$5:$A$46,$C126,BONUS_RULES!$B$5:$B$46,"QM"),IF(AGENT_INPUT!I126&gt;=SUMIFS(BONUS_RULES!$G$5:$G$46,BONUS_RULES!$A$5:$A$46,$C126,BONUS_RULES!$B$5:$B$46,"QM"),SUMIFS(BONUS_RULES!$F$5:$F$46,BONUS_RULES!$A$5:$A$46,$C126,BONUS_RULES!$B$5:$B$46,"QM"),0)))</f>
        <v>0.0</v>
      </c>
      <c r="K126" s="10">
        <f>IF(POLICY_APPROVAL!$B$9="Eligibility only",0,IF(OR($A126="",$D126&lt;&gt;"READY"),"",IF(AGENT_INPUT!J126&lt;=SUMIFS(BONUS_RULES!$E$5:$E$46,BONUS_RULES!$A$5:$A$46,$C126,BONUS_RULES!$B$5:$B$46,"Abs%"),SUMIFS(BONUS_RULES!$D$5:$D$46,BONUS_RULES!$A$5:$A$46,$C126,BONUS_RULES!$B$5:$B$46,"Abs%"),IF(AGENT_INPUT!J126&lt;=SUMIFS(BONUS_RULES!$G$5:$G$46,BONUS_RULES!$A$5:$A$46,$C126,BONUS_RULES!$B$5:$B$46,"Abs%"),SUMIFS(BONUS_RULES!$F$5:$F$46,BONUS_RULES!$A$5:$A$46,$C126,BONUS_RULES!$B$5:$B$46,"Abs%"),0))))</f>
        <v>0.15</v>
      </c>
      <c r="L126" s="10">
        <f>IF(OR($A126="",$D126&lt;&gt;"READY"),"",IF(AGENT_INPUT!G126&gt;=SUMIFS(BONUS_RULES!$E$5:$E$46,BONUS_RULES!$A$5:$A$46,$C126,BONUS_RULES!$B$5:$B$46,"Extra Bonus (PCS Score)"),SUMIFS(BONUS_RULES!$D$5:$D$46,BONUS_RULES!$A$5:$A$46,$C126,BONUS_RULES!$B$5:$B$46,"Extra Bonus (PCS Score)"),IF(AGENT_INPUT!G126&gt;=SUMIFS(BONUS_RULES!$G$5:$G$46,BONUS_RULES!$A$5:$A$46,$C126,BONUS_RULES!$B$5:$B$46,"Extra Bonus (PCS Score)"),SUMIFS(BONUS_RULES!$F$5:$F$46,BONUS_RULES!$A$5:$A$46,$C126,BONUS_RULES!$B$5:$B$46,"Extra Bonus (PCS Score)"),0)))</f>
        <v>0.3</v>
      </c>
      <c r="M126" s="10">
        <f>IF($A126="","",MIN(IF(POLICY_APPROVAL!$B$6="Replacement",SUM(F126:K126)-H126+MAX(H126,L126),SUM(F126:L126)),POLICY_APPROVAL!$B$10))</f>
        <v>0.6499999999999999</v>
      </c>
      <c r="N126" s="10">
        <f>IF($A126="","",IFERROR(INDEX(BONUS_RULES!$J$5:$J$10,MATCH(MIN(MAX(AGENT_INPUT!K126,0),5),BONUS_RULES!$I$5:$I$10,0)),1))</f>
        <v>0</v>
      </c>
      <c r="O126" s="10">
        <f>IF(M126="","",MAX(0,IF(POLICY_APPROVAL!$B$5="Percentage points",M126-N126,M126*(1-N126))))</f>
        <v>0.6499999999999999</v>
      </c>
      <c r="P126" s="11">
        <f>IF(D126&lt;&gt;"READY","",IF(AGENT_INPUT!O126&gt;0,AGENT_INPUT!O126,AGENT_INPUT!M126*AGENT_INPUT!N126/IF(POLICY_APPROVAL!$B$7="Annual",12,1)))</f>
        <v>2000.0</v>
      </c>
      <c r="Q126" s="10">
        <f>IF(D126&lt;&gt;"READY","",MIN(1,AGENT_INPUT!P126/AGENT_INPUT!Q126))</f>
        <v>1.0</v>
      </c>
      <c r="R126" s="11">
        <f>IF(D126&lt;&gt;"READY","",ROUND(P126*Q126*O126,IF(POLICY_APPROVAL!$B$11="Whole MAD",0,2)))</f>
        <v>1300.0</v>
      </c>
      <c r="S126" s="11">
        <f>IF(AND(SETUP!$B$9="READY",T126="READY"),R126,"")</f>
        <v/>
      </c>
      <c r="T126" s="4" t="str">
        <f>IF($A126="","",IF(D126&lt;&gt;"READY","BLOCKED - INPUT",IF(E126&lt;&gt;"ELIGIBLE","BLOCKED - ELIGIBILITY",IF(AGENT_INPUT!S126&lt;&gt;"VALIDATED","BLOCKED - DATA",IF(SETUP!$B$9&lt;&gt;"READY","BLOCKED - POLICY","READY")))))</f>
        <v>BLOCKED - ELIGIBILITY</v>
      </c>
      <c r="U126" s="4" t="str">
        <f>IF($A126="","",IF(COUNTIFS(AGENT_INPUT!$A$5:$A$254,$A126,AGENT_INPUT!$D$5:$D$254,AGENT_INPUT!D126)&gt;1,"DUPLICATE AGENT + PERIOD",IF(D126&lt;&gt;"READY","INPUT OR CONFIG REVIEW",IF(T126&lt;&gt;"READY",T126,""))))</f>
        <v>BLOCKED - ELIGIBILITY</v>
      </c>
    </row>
    <row r="127" spans="1:21">
      <c r="A127" s="4">
        <f>IF(AGENT_INPUT!A127="","",AGENT_INPUT!A127)</f>
        <v>96465</v>
      </c>
      <c r="B127" s="4" t="str">
        <f>IF($A127="","",AGENT_INPUT!B127)</f>
        <v>EL OUASGHIRI Farid</v>
      </c>
      <c r="C127" s="4" t="str">
        <f>IF($A127="","",AGENT_INPUT!C127)</f>
        <v>RSA NL</v>
      </c>
      <c r="D127" s="4" t="str">
        <f>IF($A127="","",IF(AND(COUNT(AGENT_INPUT!E127:J127)=6,COUNT(AGENT_INPUT!K127)=1,COUNTIF(BONUS_RULES!$A$5:$A$46,AGENT_INPUT!C127)&gt;0,OR(AGENT_INPUT!O127&gt;0,AND(AGENT_INPUT!M127&gt;0,AGENT_INPUT!N127&gt;0)),AGENT_INPUT!P127&gt;=0,AGENT_INPUT!Q127&gt;0,AGENT_INPUT!P127&lt;=AGENT_INPUT!Q127,AGENT_INPUT!H127&gt;=0,AGENT_INPUT!H127&lt;=1,AGENT_INPUT!I127&gt;=0,AGENT_INPUT!I127&lt;=1,AGENT_INPUT!J127&gt;=0,AGENT_INPUT!J127&lt;=1),"READY","BLOCKED"))</f>
        <v>READY</v>
      </c>
      <c r="E127" s="4" t="str">
        <f>IF($A127="","",IF(AGENT_INPUT!R127&lt;&gt;"Active","REVIEW",IF(OR(POLICY_APPROVAL!$B$9="Eligibility only",POLICY_APPROVAL!$B$9="Both"),IF(AGENT_INPUT!J127&lt;=SUMIFS(BONUS_RULES!$E$5:$E$46,BONUS_RULES!$A$5:$A$46,$C127,BONUS_RULES!$B$5:$B$46,"Abs%"),"ELIGIBLE","INELIGIBLE ABS"),"ELIGIBLE")))</f>
        <v>REVIEW</v>
      </c>
      <c r="F127" s="10">
        <f>IF(OR($A127="",$D127&lt;&gt;"READY"),"",IF(AGENT_INPUT!E127&lt;=SUMIFS(BONUS_RULES!$E$5:$E$46,BONUS_RULES!$A$5:$A$46,$C127,BONUS_RULES!$B$5:$B$46,"AHT"),SUMIFS(BONUS_RULES!$D$5:$D$46,BONUS_RULES!$A$5:$A$46,$C127,BONUS_RULES!$B$5:$B$46,"AHT"),IF(AGENT_INPUT!E127&lt;=SUMIFS(BONUS_RULES!$G$5:$G$46,BONUS_RULES!$A$5:$A$46,$C127,BONUS_RULES!$B$5:$B$46,"AHT"),SUMIFS(BONUS_RULES!$F$5:$F$46,BONUS_RULES!$A$5:$A$46,$C127,BONUS_RULES!$B$5:$B$46,"AHT"),0)))</f>
        <v>0.15</v>
      </c>
      <c r="G127" s="10">
        <f>IF(OR($A127="",$D127&lt;&gt;"READY"),"",IF(AGENT_INPUT!F127&gt;=SUMIFS(BONUS_RULES!$E$5:$E$46,BONUS_RULES!$A$5:$A$46,$C127,BONUS_RULES!$B$5:$B$46,"Productivity"),SUMIFS(BONUS_RULES!$D$5:$D$46,BONUS_RULES!$A$5:$A$46,$C127,BONUS_RULES!$B$5:$B$46,"Productivity"),IF(AGENT_INPUT!F127&gt;=SUMIFS(BONUS_RULES!$G$5:$G$46,BONUS_RULES!$A$5:$A$46,$C127,BONUS_RULES!$B$5:$B$46,"Productivity"),SUMIFS(BONUS_RULES!$F$5:$F$46,BONUS_RULES!$A$5:$A$46,$C127,BONUS_RULES!$B$5:$B$46,"Productivity"),0)))</f>
        <v>0.15</v>
      </c>
      <c r="H127" s="10">
        <f>IF(OR($A127="",$D127&lt;&gt;"READY"),"",IF(AGENT_INPUT!G127&gt;=SUMIFS(BONUS_RULES!$E$5:$E$46,BONUS_RULES!$A$5:$A$46,$C127,BONUS_RULES!$B$5:$B$46,"PCS Score"),SUMIFS(BONUS_RULES!$D$5:$D$46,BONUS_RULES!$A$5:$A$46,$C127,BONUS_RULES!$B$5:$B$46,"PCS Score"),IF(AGENT_INPUT!G127&gt;=SUMIFS(BONUS_RULES!$G$5:$G$46,BONUS_RULES!$A$5:$A$46,$C127,BONUS_RULES!$B$5:$B$46,"PCS Score"),SUMIFS(BONUS_RULES!$F$5:$F$46,BONUS_RULES!$A$5:$A$46,$C127,BONUS_RULES!$B$5:$B$46,"PCS Score"),0)))</f>
        <v>0.2</v>
      </c>
      <c r="I127" s="10">
        <f>IF(OR($A127="",$D127&lt;&gt;"READY"),"",IF(AGENT_INPUT!H127&gt;=SUMIFS(BONUS_RULES!$E$5:$E$46,BONUS_RULES!$A$5:$A$46,$C127,BONUS_RULES!$B$5:$B$46,"PCS % (Participation)"),SUMIFS(BONUS_RULES!$D$5:$D$46,BONUS_RULES!$A$5:$A$46,$C127,BONUS_RULES!$B$5:$B$46,"PCS % (Participation)"),IF(AGENT_INPUT!H127&gt;=SUMIFS(BONUS_RULES!$G$5:$G$46,BONUS_RULES!$A$5:$A$46,$C127,BONUS_RULES!$B$5:$B$46,"PCS % (Participation)"),SUMIFS(BONUS_RULES!$F$5:$F$46,BONUS_RULES!$A$5:$A$46,$C127,BONUS_RULES!$B$5:$B$46,"PCS % (Participation)"),0)))</f>
        <v>0.0</v>
      </c>
      <c r="J127" s="10">
        <f>IF(OR($A127="",$D127&lt;&gt;"READY"),"",IF(AGENT_INPUT!I127&gt;=SUMIFS(BONUS_RULES!$E$5:$E$46,BONUS_RULES!$A$5:$A$46,$C127,BONUS_RULES!$B$5:$B$46,"QM"),SUMIFS(BONUS_RULES!$D$5:$D$46,BONUS_RULES!$A$5:$A$46,$C127,BONUS_RULES!$B$5:$B$46,"QM"),IF(AGENT_INPUT!I127&gt;=SUMIFS(BONUS_RULES!$G$5:$G$46,BONUS_RULES!$A$5:$A$46,$C127,BONUS_RULES!$B$5:$B$46,"QM"),SUMIFS(BONUS_RULES!$F$5:$F$46,BONUS_RULES!$A$5:$A$46,$C127,BONUS_RULES!$B$5:$B$46,"QM"),0)))</f>
        <v>0.0</v>
      </c>
      <c r="K127" s="10">
        <f>IF(POLICY_APPROVAL!$B$9="Eligibility only",0,IF(OR($A127="",$D127&lt;&gt;"READY"),"",IF(AGENT_INPUT!J127&lt;=SUMIFS(BONUS_RULES!$E$5:$E$46,BONUS_RULES!$A$5:$A$46,$C127,BONUS_RULES!$B$5:$B$46,"Abs%"),SUMIFS(BONUS_RULES!$D$5:$D$46,BONUS_RULES!$A$5:$A$46,$C127,BONUS_RULES!$B$5:$B$46,"Abs%"),IF(AGENT_INPUT!J127&lt;=SUMIFS(BONUS_RULES!$G$5:$G$46,BONUS_RULES!$A$5:$A$46,$C127,BONUS_RULES!$B$5:$B$46,"Abs%"),SUMIFS(BONUS_RULES!$F$5:$F$46,BONUS_RULES!$A$5:$A$46,$C127,BONUS_RULES!$B$5:$B$46,"Abs%"),0))))</f>
        <v>0.15</v>
      </c>
      <c r="L127" s="10">
        <f>IF(OR($A127="",$D127&lt;&gt;"READY"),"",IF(AGENT_INPUT!G127&gt;=SUMIFS(BONUS_RULES!$E$5:$E$46,BONUS_RULES!$A$5:$A$46,$C127,BONUS_RULES!$B$5:$B$46,"Extra Bonus (PCS Score)"),SUMIFS(BONUS_RULES!$D$5:$D$46,BONUS_RULES!$A$5:$A$46,$C127,BONUS_RULES!$B$5:$B$46,"Extra Bonus (PCS Score)"),IF(AGENT_INPUT!G127&gt;=SUMIFS(BONUS_RULES!$G$5:$G$46,BONUS_RULES!$A$5:$A$46,$C127,BONUS_RULES!$B$5:$B$46,"Extra Bonus (PCS Score)"),SUMIFS(BONUS_RULES!$F$5:$F$46,BONUS_RULES!$A$5:$A$46,$C127,BONUS_RULES!$B$5:$B$46,"Extra Bonus (PCS Score)"),0)))</f>
        <v>0.2</v>
      </c>
      <c r="M127" s="10">
        <f>IF($A127="","",MIN(IF(POLICY_APPROVAL!$B$6="Replacement",SUM(F127:K127)-H127+MAX(H127,L127),SUM(F127:L127)),POLICY_APPROVAL!$B$10))</f>
        <v>0.8500000000000001</v>
      </c>
      <c r="N127" s="10">
        <f>IF($A127="","",IFERROR(INDEX(BONUS_RULES!$J$5:$J$10,MATCH(MIN(MAX(AGENT_INPUT!K127,0),5),BONUS_RULES!$I$5:$I$10,0)),1))</f>
        <v>0</v>
      </c>
      <c r="O127" s="10">
        <f>IF(M127="","",MAX(0,IF(POLICY_APPROVAL!$B$5="Percentage points",M127-N127,M127*(1-N127))))</f>
        <v>0.8500000000000001</v>
      </c>
      <c r="P127" s="11">
        <f>IF(D127&lt;&gt;"READY","",IF(AGENT_INPUT!O127&gt;0,AGENT_INPUT!O127,AGENT_INPUT!M127*AGENT_INPUT!N127/IF(POLICY_APPROVAL!$B$7="Annual",12,1)))</f>
        <v>2000.0</v>
      </c>
      <c r="Q127" s="10">
        <f>IF(D127&lt;&gt;"READY","",MIN(1,AGENT_INPUT!P127/AGENT_INPUT!Q127))</f>
        <v>1.0</v>
      </c>
      <c r="R127" s="11">
        <f>IF(D127&lt;&gt;"READY","",ROUND(P127*Q127*O127,IF(POLICY_APPROVAL!$B$11="Whole MAD",0,2)))</f>
        <v>1700.0</v>
      </c>
      <c r="S127" s="11">
        <f>IF(AND(SETUP!$B$9="READY",T127="READY"),R127,"")</f>
        <v/>
      </c>
      <c r="T127" s="4" t="str">
        <f>IF($A127="","",IF(D127&lt;&gt;"READY","BLOCKED - INPUT",IF(E127&lt;&gt;"ELIGIBLE","BLOCKED - ELIGIBILITY",IF(AGENT_INPUT!S127&lt;&gt;"VALIDATED","BLOCKED - DATA",IF(SETUP!$B$9&lt;&gt;"READY","BLOCKED - POLICY","READY")))))</f>
        <v>BLOCKED - ELIGIBILITY</v>
      </c>
      <c r="U127" s="4" t="str">
        <f>IF($A127="","",IF(COUNTIFS(AGENT_INPUT!$A$5:$A$254,$A127,AGENT_INPUT!$D$5:$D$254,AGENT_INPUT!D127)&gt;1,"DUPLICATE AGENT + PERIOD",IF(D127&lt;&gt;"READY","INPUT OR CONFIG REVIEW",IF(T127&lt;&gt;"READY",T127,""))))</f>
        <v>BLOCKED - ELIGIBILITY</v>
      </c>
    </row>
    <row r="128" spans="1:21">
      <c r="A128" s="4">
        <f>IF(AGENT_INPUT!A128="","",AGENT_INPUT!A128)</f>
        <v>203620</v>
      </c>
      <c r="B128" s="4" t="str">
        <f>IF($A128="","",AGENT_INPUT!B128)</f>
        <v>Channane Fadwa</v>
      </c>
      <c r="C128" s="4" t="str">
        <f>IF($A128="","",AGENT_INPUT!C128)</f>
        <v>OEM FR</v>
      </c>
      <c r="D128" s="4" t="str">
        <f>IF($A128="","",IF(AND(COUNT(AGENT_INPUT!E128:J128)=6,COUNT(AGENT_INPUT!K128)=1,COUNTIF(BONUS_RULES!$A$5:$A$46,AGENT_INPUT!C128)&gt;0,OR(AGENT_INPUT!O128&gt;0,AND(AGENT_INPUT!M128&gt;0,AGENT_INPUT!N128&gt;0)),AGENT_INPUT!P128&gt;=0,AGENT_INPUT!Q128&gt;0,AGENT_INPUT!P128&lt;=AGENT_INPUT!Q128,AGENT_INPUT!H128&gt;=0,AGENT_INPUT!H128&lt;=1,AGENT_INPUT!I128&gt;=0,AGENT_INPUT!I128&lt;=1,AGENT_INPUT!J128&gt;=0,AGENT_INPUT!J128&lt;=1),"READY","BLOCKED"))</f>
        <v>READY</v>
      </c>
      <c r="E128" s="4" t="str">
        <f>IF($A128="","",IF(AGENT_INPUT!R128&lt;&gt;"Active","REVIEW",IF(OR(POLICY_APPROVAL!$B$9="Eligibility only",POLICY_APPROVAL!$B$9="Both"),IF(AGENT_INPUT!J128&lt;=SUMIFS(BONUS_RULES!$E$5:$E$46,BONUS_RULES!$A$5:$A$46,$C128,BONUS_RULES!$B$5:$B$46,"Abs%"),"ELIGIBLE","INELIGIBLE ABS"),"ELIGIBLE")))</f>
        <v>REVIEW</v>
      </c>
      <c r="F128" s="10">
        <f>IF(OR($A128="",$D128&lt;&gt;"READY"),"",IF(AGENT_INPUT!E128&lt;=SUMIFS(BONUS_RULES!$E$5:$E$46,BONUS_RULES!$A$5:$A$46,$C128,BONUS_RULES!$B$5:$B$46,"AHT"),SUMIFS(BONUS_RULES!$D$5:$D$46,BONUS_RULES!$A$5:$A$46,$C128,BONUS_RULES!$B$5:$B$46,"AHT"),IF(AGENT_INPUT!E128&lt;=SUMIFS(BONUS_RULES!$G$5:$G$46,BONUS_RULES!$A$5:$A$46,$C128,BONUS_RULES!$B$5:$B$46,"AHT"),SUMIFS(BONUS_RULES!$F$5:$F$46,BONUS_RULES!$A$5:$A$46,$C128,BONUS_RULES!$B$5:$B$46,"AHT"),0)))</f>
        <v>0.15</v>
      </c>
      <c r="G128" s="10">
        <f>IF(OR($A128="",$D128&lt;&gt;"READY"),"",IF(AGENT_INPUT!F128&gt;=SUMIFS(BONUS_RULES!$E$5:$E$46,BONUS_RULES!$A$5:$A$46,$C128,BONUS_RULES!$B$5:$B$46,"Productivity"),SUMIFS(BONUS_RULES!$D$5:$D$46,BONUS_RULES!$A$5:$A$46,$C128,BONUS_RULES!$B$5:$B$46,"Productivity"),IF(AGENT_INPUT!F128&gt;=SUMIFS(BONUS_RULES!$G$5:$G$46,BONUS_RULES!$A$5:$A$46,$C128,BONUS_RULES!$B$5:$B$46,"Productivity"),SUMIFS(BONUS_RULES!$F$5:$F$46,BONUS_RULES!$A$5:$A$46,$C128,BONUS_RULES!$B$5:$B$46,"Productivity"),0)))</f>
        <v>0.15</v>
      </c>
      <c r="H128" s="10">
        <f>IF(OR($A128="",$D128&lt;&gt;"READY"),"",IF(AGENT_INPUT!G128&gt;=SUMIFS(BONUS_RULES!$E$5:$E$46,BONUS_RULES!$A$5:$A$46,$C128,BONUS_RULES!$B$5:$B$46,"PCS Score"),SUMIFS(BONUS_RULES!$D$5:$D$46,BONUS_RULES!$A$5:$A$46,$C128,BONUS_RULES!$B$5:$B$46,"PCS Score"),IF(AGENT_INPUT!G128&gt;=SUMIFS(BONUS_RULES!$G$5:$G$46,BONUS_RULES!$A$5:$A$46,$C128,BONUS_RULES!$B$5:$B$46,"PCS Score"),SUMIFS(BONUS_RULES!$F$5:$F$46,BONUS_RULES!$A$5:$A$46,$C128,BONUS_RULES!$B$5:$B$46,"PCS Score"),0)))</f>
        <v>0.0</v>
      </c>
      <c r="I128" s="10">
        <f>IF(OR($A128="",$D128&lt;&gt;"READY"),"",IF(AGENT_INPUT!H128&gt;=SUMIFS(BONUS_RULES!$E$5:$E$46,BONUS_RULES!$A$5:$A$46,$C128,BONUS_RULES!$B$5:$B$46,"PCS % (Participation)"),SUMIFS(BONUS_RULES!$D$5:$D$46,BONUS_RULES!$A$5:$A$46,$C128,BONUS_RULES!$B$5:$B$46,"PCS % (Participation)"),IF(AGENT_INPUT!H128&gt;=SUMIFS(BONUS_RULES!$G$5:$G$46,BONUS_RULES!$A$5:$A$46,$C128,BONUS_RULES!$B$5:$B$46,"PCS % (Participation)"),SUMIFS(BONUS_RULES!$F$5:$F$46,BONUS_RULES!$A$5:$A$46,$C128,BONUS_RULES!$B$5:$B$46,"PCS % (Participation)"),0)))</f>
        <v>0.0</v>
      </c>
      <c r="J128" s="10">
        <f>IF(OR($A128="",$D128&lt;&gt;"READY"),"",IF(AGENT_INPUT!I128&gt;=SUMIFS(BONUS_RULES!$E$5:$E$46,BONUS_RULES!$A$5:$A$46,$C128,BONUS_RULES!$B$5:$B$46,"QM"),SUMIFS(BONUS_RULES!$D$5:$D$46,BONUS_RULES!$A$5:$A$46,$C128,BONUS_RULES!$B$5:$B$46,"QM"),IF(AGENT_INPUT!I128&gt;=SUMIFS(BONUS_RULES!$G$5:$G$46,BONUS_RULES!$A$5:$A$46,$C128,BONUS_RULES!$B$5:$B$46,"QM"),SUMIFS(BONUS_RULES!$F$5:$F$46,BONUS_RULES!$A$5:$A$46,$C128,BONUS_RULES!$B$5:$B$46,"QM"),0)))</f>
        <v>0.0</v>
      </c>
      <c r="K128" s="10">
        <f>IF(POLICY_APPROVAL!$B$9="Eligibility only",0,IF(OR($A128="",$D128&lt;&gt;"READY"),"",IF(AGENT_INPUT!J128&lt;=SUMIFS(BONUS_RULES!$E$5:$E$46,BONUS_RULES!$A$5:$A$46,$C128,BONUS_RULES!$B$5:$B$46,"Abs%"),SUMIFS(BONUS_RULES!$D$5:$D$46,BONUS_RULES!$A$5:$A$46,$C128,BONUS_RULES!$B$5:$B$46,"Abs%"),IF(AGENT_INPUT!J128&lt;=SUMIFS(BONUS_RULES!$G$5:$G$46,BONUS_RULES!$A$5:$A$46,$C128,BONUS_RULES!$B$5:$B$46,"Abs%"),SUMIFS(BONUS_RULES!$F$5:$F$46,BONUS_RULES!$A$5:$A$46,$C128,BONUS_RULES!$B$5:$B$46,"Abs%"),0))))</f>
        <v>0.15</v>
      </c>
      <c r="L128" s="10">
        <f>IF(OR($A128="",$D128&lt;&gt;"READY"),"",IF(AGENT_INPUT!G128&gt;=SUMIFS(BONUS_RULES!$E$5:$E$46,BONUS_RULES!$A$5:$A$46,$C128,BONUS_RULES!$B$5:$B$46,"Extra Bonus (PCS Score)"),SUMIFS(BONUS_RULES!$D$5:$D$46,BONUS_RULES!$A$5:$A$46,$C128,BONUS_RULES!$B$5:$B$46,"Extra Bonus (PCS Score)"),IF(AGENT_INPUT!G128&gt;=SUMIFS(BONUS_RULES!$G$5:$G$46,BONUS_RULES!$A$5:$A$46,$C128,BONUS_RULES!$B$5:$B$46,"Extra Bonus (PCS Score)"),SUMIFS(BONUS_RULES!$F$5:$F$46,BONUS_RULES!$A$5:$A$46,$C128,BONUS_RULES!$B$5:$B$46,"Extra Bonus (PCS Score)"),0)))</f>
        <v>0.0</v>
      </c>
      <c r="M128" s="10">
        <f>IF($A128="","",MIN(IF(POLICY_APPROVAL!$B$6="Replacement",SUM(F128:K128)-H128+MAX(H128,L128),SUM(F128:L128)),POLICY_APPROVAL!$B$10))</f>
        <v>0.44999999999999996</v>
      </c>
      <c r="N128" s="10">
        <f>IF($A128="","",IFERROR(INDEX(BONUS_RULES!$J$5:$J$10,MATCH(MIN(MAX(AGENT_INPUT!K128,0),5),BONUS_RULES!$I$5:$I$10,0)),1))</f>
        <v>0</v>
      </c>
      <c r="O128" s="10">
        <f>IF(M128="","",MAX(0,IF(POLICY_APPROVAL!$B$5="Percentage points",M128-N128,M128*(1-N128))))</f>
        <v>0.44999999999999996</v>
      </c>
      <c r="P128" s="11">
        <f>IF(D128&lt;&gt;"READY","",IF(AGENT_INPUT!O128&gt;0,AGENT_INPUT!O128,AGENT_INPUT!M128*AGENT_INPUT!N128/IF(POLICY_APPROVAL!$B$7="Annual",12,1)))</f>
        <v>2000.0</v>
      </c>
      <c r="Q128" s="10">
        <f>IF(D128&lt;&gt;"READY","",MIN(1,AGENT_INPUT!P128/AGENT_INPUT!Q128))</f>
        <v>1.0</v>
      </c>
      <c r="R128" s="11">
        <f>IF(D128&lt;&gt;"READY","",ROUND(P128*Q128*O128,IF(POLICY_APPROVAL!$B$11="Whole MAD",0,2)))</f>
        <v>900.0</v>
      </c>
      <c r="S128" s="11">
        <f>IF(AND(SETUP!$B$9="READY",T128="READY"),R128,"")</f>
        <v/>
      </c>
      <c r="T128" s="4" t="str">
        <f>IF($A128="","",IF(D128&lt;&gt;"READY","BLOCKED - INPUT",IF(E128&lt;&gt;"ELIGIBLE","BLOCKED - ELIGIBILITY",IF(AGENT_INPUT!S128&lt;&gt;"VALIDATED","BLOCKED - DATA",IF(SETUP!$B$9&lt;&gt;"READY","BLOCKED - POLICY","READY")))))</f>
        <v>BLOCKED - ELIGIBILITY</v>
      </c>
      <c r="U128" s="4" t="str">
        <f>IF($A128="","",IF(COUNTIFS(AGENT_INPUT!$A$5:$A$254,$A128,AGENT_INPUT!$D$5:$D$254,AGENT_INPUT!D128)&gt;1,"DUPLICATE AGENT + PERIOD",IF(D128&lt;&gt;"READY","INPUT OR CONFIG REVIEW",IF(T128&lt;&gt;"READY",T128,""))))</f>
        <v>BLOCKED - ELIGIBILITY</v>
      </c>
    </row>
    <row r="129" spans="1:21">
      <c r="A129" s="4">
        <f>IF(AGENT_INPUT!A129="","",AGENT_INPUT!A129)</f>
        <v>96476</v>
      </c>
      <c r="B129" s="4" t="str">
        <f>IF($A129="","",AGENT_INPUT!B129)</f>
        <v>ULUDAG Erkan</v>
      </c>
      <c r="C129" s="4" t="str">
        <f>IF($A129="","",AGENT_INPUT!C129)</f>
        <v>RSA NL</v>
      </c>
      <c r="D129" s="4" t="str">
        <f>IF($A129="","",IF(AND(COUNT(AGENT_INPUT!E129:J129)=6,COUNT(AGENT_INPUT!K129)=1,COUNTIF(BONUS_RULES!$A$5:$A$46,AGENT_INPUT!C129)&gt;0,OR(AGENT_INPUT!O129&gt;0,AND(AGENT_INPUT!M129&gt;0,AGENT_INPUT!N129&gt;0)),AGENT_INPUT!P129&gt;=0,AGENT_INPUT!Q129&gt;0,AGENT_INPUT!P129&lt;=AGENT_INPUT!Q129,AGENT_INPUT!H129&gt;=0,AGENT_INPUT!H129&lt;=1,AGENT_INPUT!I129&gt;=0,AGENT_INPUT!I129&lt;=1,AGENT_INPUT!J129&gt;=0,AGENT_INPUT!J129&lt;=1),"READY","BLOCKED"))</f>
        <v>BLOCKED</v>
      </c>
      <c r="E129" s="4">
        <f>IF($A129="","",IF(AGENT_INPUT!R129&lt;&gt;"Active","REVIEW",IF(OR(POLICY_APPROVAL!$B$9="Eligibility only",POLICY_APPROVAL!$B$9="Both"),IF(AGENT_INPUT!J129&lt;=SUMIFS(BONUS_RULES!$E$5:$E$46,BONUS_RULES!$A$5:$A$46,$C129,BONUS_RULES!$B$5:$B$46,"Abs%"),"ELIGIBLE","INELIGIBLE ABS"),"ELIGIBLE")))</f>
        <v/>
      </c>
      <c r="F129" s="10">
        <f>IF(OR($A129="",$D129&lt;&gt;"READY"),"",IF(AGENT_INPUT!E129&lt;=SUMIFS(BONUS_RULES!$E$5:$E$46,BONUS_RULES!$A$5:$A$46,$C129,BONUS_RULES!$B$5:$B$46,"AHT"),SUMIFS(BONUS_RULES!$D$5:$D$46,BONUS_RULES!$A$5:$A$46,$C129,BONUS_RULES!$B$5:$B$46,"AHT"),IF(AGENT_INPUT!E129&lt;=SUMIFS(BONUS_RULES!$G$5:$G$46,BONUS_RULES!$A$5:$A$46,$C129,BONUS_RULES!$B$5:$B$46,"AHT"),SUMIFS(BONUS_RULES!$F$5:$F$46,BONUS_RULES!$A$5:$A$46,$C129,BONUS_RULES!$B$5:$B$46,"AHT"),0)))</f>
        <v/>
      </c>
      <c r="G129" s="10">
        <f>IF(OR($A129="",$D129&lt;&gt;"READY"),"",IF(AGENT_INPUT!F129&gt;=SUMIFS(BONUS_RULES!$E$5:$E$46,BONUS_RULES!$A$5:$A$46,$C129,BONUS_RULES!$B$5:$B$46,"Productivity"),SUMIFS(BONUS_RULES!$D$5:$D$46,BONUS_RULES!$A$5:$A$46,$C129,BONUS_RULES!$B$5:$B$46,"Productivity"),IF(AGENT_INPUT!F129&gt;=SUMIFS(BONUS_RULES!$G$5:$G$46,BONUS_RULES!$A$5:$A$46,$C129,BONUS_RULES!$B$5:$B$46,"Productivity"),SUMIFS(BONUS_RULES!$F$5:$F$46,BONUS_RULES!$A$5:$A$46,$C129,BONUS_RULES!$B$5:$B$46,"Productivity"),0)))</f>
        <v/>
      </c>
      <c r="H129" s="10">
        <f>IF(OR($A129="",$D129&lt;&gt;"READY"),"",IF(AGENT_INPUT!G129&gt;=SUMIFS(BONUS_RULES!$E$5:$E$46,BONUS_RULES!$A$5:$A$46,$C129,BONUS_RULES!$B$5:$B$46,"PCS Score"),SUMIFS(BONUS_RULES!$D$5:$D$46,BONUS_RULES!$A$5:$A$46,$C129,BONUS_RULES!$B$5:$B$46,"PCS Score"),IF(AGENT_INPUT!G129&gt;=SUMIFS(BONUS_RULES!$G$5:$G$46,BONUS_RULES!$A$5:$A$46,$C129,BONUS_RULES!$B$5:$B$46,"PCS Score"),SUMIFS(BONUS_RULES!$F$5:$F$46,BONUS_RULES!$A$5:$A$46,$C129,BONUS_RULES!$B$5:$B$46,"PCS Score"),0)))</f>
        <v/>
      </c>
      <c r="I129" s="10">
        <f>IF(OR($A129="",$D129&lt;&gt;"READY"),"",IF(AGENT_INPUT!H129&gt;=SUMIFS(BONUS_RULES!$E$5:$E$46,BONUS_RULES!$A$5:$A$46,$C129,BONUS_RULES!$B$5:$B$46,"PCS % (Participation)"),SUMIFS(BONUS_RULES!$D$5:$D$46,BONUS_RULES!$A$5:$A$46,$C129,BONUS_RULES!$B$5:$B$46,"PCS % (Participation)"),IF(AGENT_INPUT!H129&gt;=SUMIFS(BONUS_RULES!$G$5:$G$46,BONUS_RULES!$A$5:$A$46,$C129,BONUS_RULES!$B$5:$B$46,"PCS % (Participation)"),SUMIFS(BONUS_RULES!$F$5:$F$46,BONUS_RULES!$A$5:$A$46,$C129,BONUS_RULES!$B$5:$B$46,"PCS % (Participation)"),0)))</f>
        <v/>
      </c>
      <c r="J129" s="10">
        <f>IF(OR($A129="",$D129&lt;&gt;"READY"),"",IF(AGENT_INPUT!I129&gt;=SUMIFS(BONUS_RULES!$E$5:$E$46,BONUS_RULES!$A$5:$A$46,$C129,BONUS_RULES!$B$5:$B$46,"QM"),SUMIFS(BONUS_RULES!$D$5:$D$46,BONUS_RULES!$A$5:$A$46,$C129,BONUS_RULES!$B$5:$B$46,"QM"),IF(AGENT_INPUT!I129&gt;=SUMIFS(BONUS_RULES!$G$5:$G$46,BONUS_RULES!$A$5:$A$46,$C129,BONUS_RULES!$B$5:$B$46,"QM"),SUMIFS(BONUS_RULES!$F$5:$F$46,BONUS_RULES!$A$5:$A$46,$C129,BONUS_RULES!$B$5:$B$46,"QM"),0)))</f>
        <v/>
      </c>
      <c r="K129" s="10">
        <f>IF(POLICY_APPROVAL!$B$9="Eligibility only",0,IF(OR($A129="",$D129&lt;&gt;"READY"),"",IF(AGENT_INPUT!J129&lt;=SUMIFS(BONUS_RULES!$E$5:$E$46,BONUS_RULES!$A$5:$A$46,$C129,BONUS_RULES!$B$5:$B$46,"Abs%"),SUMIFS(BONUS_RULES!$D$5:$D$46,BONUS_RULES!$A$5:$A$46,$C129,BONUS_RULES!$B$5:$B$46,"Abs%"),IF(AGENT_INPUT!J129&lt;=SUMIFS(BONUS_RULES!$G$5:$G$46,BONUS_RULES!$A$5:$A$46,$C129,BONUS_RULES!$B$5:$B$46,"Abs%"),SUMIFS(BONUS_RULES!$F$5:$F$46,BONUS_RULES!$A$5:$A$46,$C129,BONUS_RULES!$B$5:$B$46,"Abs%"),0))))</f>
        <v/>
      </c>
      <c r="L129" s="10">
        <f>IF(OR($A129="",$D129&lt;&gt;"READY"),"",IF(AGENT_INPUT!G129&gt;=SUMIFS(BONUS_RULES!$E$5:$E$46,BONUS_RULES!$A$5:$A$46,$C129,BONUS_RULES!$B$5:$B$46,"Extra Bonus (PCS Score)"),SUMIFS(BONUS_RULES!$D$5:$D$46,BONUS_RULES!$A$5:$A$46,$C129,BONUS_RULES!$B$5:$B$46,"Extra Bonus (PCS Score)"),IF(AGENT_INPUT!G129&gt;=SUMIFS(BONUS_RULES!$G$5:$G$46,BONUS_RULES!$A$5:$A$46,$C129,BONUS_RULES!$B$5:$B$46,"Extra Bonus (PCS Score)"),SUMIFS(BONUS_RULES!$F$5:$F$46,BONUS_RULES!$A$5:$A$46,$C129,BONUS_RULES!$B$5:$B$46,"Extra Bonus (PCS Score)"),0)))</f>
        <v/>
      </c>
      <c r="M129" s="10">
        <f>IF($A129="","",MIN(IF(POLICY_APPROVAL!$B$6="Replacement",SUM(F129:K129)-H129+MAX(H129,L129),SUM(F129:L129)),POLICY_APPROVAL!$B$10))</f>
        <v>0</v>
      </c>
      <c r="N129" s="10">
        <f>IF($A129="","",IFERROR(INDEX(BONUS_RULES!$J$5:$J$10,MATCH(MIN(MAX(AGENT_INPUT!K129,0),5),BONUS_RULES!$I$5:$I$10,0)),1))</f>
        <v>0</v>
      </c>
      <c r="O129" s="10">
        <f>IF(M129="","",MAX(0,IF(POLICY_APPROVAL!$B$5="Percentage points",M129-N129,M129*(1-N129))))</f>
        <v>0</v>
      </c>
      <c r="P129" s="11">
        <f>IF(D129&lt;&gt;"READY","",IF(AGENT_INPUT!O129&gt;0,AGENT_INPUT!O129,AGENT_INPUT!M129*AGENT_INPUT!N129/IF(POLICY_APPROVAL!$B$7="Annual",12,1)))</f>
        <v/>
      </c>
      <c r="Q129" s="10">
        <f>IF(D129&lt;&gt;"READY","",MIN(1,AGENT_INPUT!P129/AGENT_INPUT!Q129))</f>
        <v/>
      </c>
      <c r="R129" s="11">
        <f>IF(D129&lt;&gt;"READY","",ROUND(P129*Q129*O129,IF(POLICY_APPROVAL!$B$11="Whole MAD",0,2)))</f>
        <v/>
      </c>
      <c r="S129" s="11">
        <f>IF(AND(SETUP!$B$9="READY",T129="READY"),R129,"")</f>
        <v/>
      </c>
      <c r="T129" s="4" t="str">
        <f>IF($A129="","",IF(D129&lt;&gt;"READY","BLOCKED - INPUT",IF(E129&lt;&gt;"ELIGIBLE","BLOCKED - ELIGIBILITY",IF(AGENT_INPUT!S129&lt;&gt;"VALIDATED","BLOCKED - DATA",IF(SETUP!$B$9&lt;&gt;"READY","BLOCKED - POLICY","READY")))))</f>
        <v>BLOCKED - INPUT</v>
      </c>
      <c r="U129" s="4" t="str">
        <f>IF($A129="","",IF(COUNTIFS(AGENT_INPUT!$A$5:$A$254,$A129,AGENT_INPUT!$D$5:$D$254,AGENT_INPUT!D129)&gt;1,"DUPLICATE AGENT + PERIOD",IF(D129&lt;&gt;"READY","INPUT OR CONFIG REVIEW",IF(T129&lt;&gt;"READY",T129,""))))</f>
        <v>Missing, invalid, or unconfigured required input</v>
      </c>
    </row>
    <row r="130" spans="1:21">
      <c r="A130" s="4">
        <f>IF(AGENT_INPUT!A130="","",AGENT_INPUT!A130)</f>
        <v>223879</v>
      </c>
      <c r="B130" s="4" t="str">
        <f>IF($A130="","",AGENT_INPUT!B130)</f>
        <v>Meftaha Elfahry-Elfassi</v>
      </c>
      <c r="C130" s="4" t="str">
        <f>IF($A130="","",AGENT_INPUT!C130)</f>
        <v>RSA FR</v>
      </c>
      <c r="D130" s="4" t="str">
        <f>IF($A130="","",IF(AND(COUNT(AGENT_INPUT!E130:J130)=6,COUNT(AGENT_INPUT!K130)=1,COUNTIF(BONUS_RULES!$A$5:$A$46,AGENT_INPUT!C130)&gt;0,OR(AGENT_INPUT!O130&gt;0,AND(AGENT_INPUT!M130&gt;0,AGENT_INPUT!N130&gt;0)),AGENT_INPUT!P130&gt;=0,AGENT_INPUT!Q130&gt;0,AGENT_INPUT!P130&lt;=AGENT_INPUT!Q130,AGENT_INPUT!H130&gt;=0,AGENT_INPUT!H130&lt;=1,AGENT_INPUT!I130&gt;=0,AGENT_INPUT!I130&lt;=1,AGENT_INPUT!J130&gt;=0,AGENT_INPUT!J130&lt;=1),"READY","BLOCKED"))</f>
        <v>READY</v>
      </c>
      <c r="E130" s="4" t="str">
        <f>IF($A130="","",IF(AGENT_INPUT!R130&lt;&gt;"Active","REVIEW",IF(OR(POLICY_APPROVAL!$B$9="Eligibility only",POLICY_APPROVAL!$B$9="Both"),IF(AGENT_INPUT!J130&lt;=SUMIFS(BONUS_RULES!$E$5:$E$46,BONUS_RULES!$A$5:$A$46,$C130,BONUS_RULES!$B$5:$B$46,"Abs%"),"ELIGIBLE","INELIGIBLE ABS"),"ELIGIBLE")))</f>
        <v>REVIEW</v>
      </c>
      <c r="F130" s="10">
        <f>IF(OR($A130="",$D130&lt;&gt;"READY"),"",IF(AGENT_INPUT!E130&lt;=SUMIFS(BONUS_RULES!$E$5:$E$46,BONUS_RULES!$A$5:$A$46,$C130,BONUS_RULES!$B$5:$B$46,"AHT"),SUMIFS(BONUS_RULES!$D$5:$D$46,BONUS_RULES!$A$5:$A$46,$C130,BONUS_RULES!$B$5:$B$46,"AHT"),IF(AGENT_INPUT!E130&lt;=SUMIFS(BONUS_RULES!$G$5:$G$46,BONUS_RULES!$A$5:$A$46,$C130,BONUS_RULES!$B$5:$B$46,"AHT"),SUMIFS(BONUS_RULES!$F$5:$F$46,BONUS_RULES!$A$5:$A$46,$C130,BONUS_RULES!$B$5:$B$46,"AHT"),0)))</f>
        <v>0.15</v>
      </c>
      <c r="G130" s="10">
        <f>IF(OR($A130="",$D130&lt;&gt;"READY"),"",IF(AGENT_INPUT!F130&gt;=SUMIFS(BONUS_RULES!$E$5:$E$46,BONUS_RULES!$A$5:$A$46,$C130,BONUS_RULES!$B$5:$B$46,"Productivity"),SUMIFS(BONUS_RULES!$D$5:$D$46,BONUS_RULES!$A$5:$A$46,$C130,BONUS_RULES!$B$5:$B$46,"Productivity"),IF(AGENT_INPUT!F130&gt;=SUMIFS(BONUS_RULES!$G$5:$G$46,BONUS_RULES!$A$5:$A$46,$C130,BONUS_RULES!$B$5:$B$46,"Productivity"),SUMIFS(BONUS_RULES!$F$5:$F$46,BONUS_RULES!$A$5:$A$46,$C130,BONUS_RULES!$B$5:$B$46,"Productivity"),0)))</f>
        <v>0.15</v>
      </c>
      <c r="H130" s="10">
        <f>IF(OR($A130="",$D130&lt;&gt;"READY"),"",IF(AGENT_INPUT!G130&gt;=SUMIFS(BONUS_RULES!$E$5:$E$46,BONUS_RULES!$A$5:$A$46,$C130,BONUS_RULES!$B$5:$B$46,"PCS Score"),SUMIFS(BONUS_RULES!$D$5:$D$46,BONUS_RULES!$A$5:$A$46,$C130,BONUS_RULES!$B$5:$B$46,"PCS Score"),IF(AGENT_INPUT!G130&gt;=SUMIFS(BONUS_RULES!$G$5:$G$46,BONUS_RULES!$A$5:$A$46,$C130,BONUS_RULES!$B$5:$B$46,"PCS Score"),SUMIFS(BONUS_RULES!$F$5:$F$46,BONUS_RULES!$A$5:$A$46,$C130,BONUS_RULES!$B$5:$B$46,"PCS Score"),0)))</f>
        <v>0.0</v>
      </c>
      <c r="I130" s="10">
        <f>IF(OR($A130="",$D130&lt;&gt;"READY"),"",IF(AGENT_INPUT!H130&gt;=SUMIFS(BONUS_RULES!$E$5:$E$46,BONUS_RULES!$A$5:$A$46,$C130,BONUS_RULES!$B$5:$B$46,"PCS % (Participation)"),SUMIFS(BONUS_RULES!$D$5:$D$46,BONUS_RULES!$A$5:$A$46,$C130,BONUS_RULES!$B$5:$B$46,"PCS % (Participation)"),IF(AGENT_INPUT!H130&gt;=SUMIFS(BONUS_RULES!$G$5:$G$46,BONUS_RULES!$A$5:$A$46,$C130,BONUS_RULES!$B$5:$B$46,"PCS % (Participation)"),SUMIFS(BONUS_RULES!$F$5:$F$46,BONUS_RULES!$A$5:$A$46,$C130,BONUS_RULES!$B$5:$B$46,"PCS % (Participation)"),0)))</f>
        <v>0.0</v>
      </c>
      <c r="J130" s="10">
        <f>IF(OR($A130="",$D130&lt;&gt;"READY"),"",IF(AGENT_INPUT!I130&gt;=SUMIFS(BONUS_RULES!$E$5:$E$46,BONUS_RULES!$A$5:$A$46,$C130,BONUS_RULES!$B$5:$B$46,"QM"),SUMIFS(BONUS_RULES!$D$5:$D$46,BONUS_RULES!$A$5:$A$46,$C130,BONUS_RULES!$B$5:$B$46,"QM"),IF(AGENT_INPUT!I130&gt;=SUMIFS(BONUS_RULES!$G$5:$G$46,BONUS_RULES!$A$5:$A$46,$C130,BONUS_RULES!$B$5:$B$46,"QM"),SUMIFS(BONUS_RULES!$F$5:$F$46,BONUS_RULES!$A$5:$A$46,$C130,BONUS_RULES!$B$5:$B$46,"QM"),0)))</f>
        <v>0.0</v>
      </c>
      <c r="K130" s="10">
        <f>IF(POLICY_APPROVAL!$B$9="Eligibility only",0,IF(OR($A130="",$D130&lt;&gt;"READY"),"",IF(AGENT_INPUT!J130&lt;=SUMIFS(BONUS_RULES!$E$5:$E$46,BONUS_RULES!$A$5:$A$46,$C130,BONUS_RULES!$B$5:$B$46,"Abs%"),SUMIFS(BONUS_RULES!$D$5:$D$46,BONUS_RULES!$A$5:$A$46,$C130,BONUS_RULES!$B$5:$B$46,"Abs%"),IF(AGENT_INPUT!J130&lt;=SUMIFS(BONUS_RULES!$G$5:$G$46,BONUS_RULES!$A$5:$A$46,$C130,BONUS_RULES!$B$5:$B$46,"Abs%"),SUMIFS(BONUS_RULES!$F$5:$F$46,BONUS_RULES!$A$5:$A$46,$C130,BONUS_RULES!$B$5:$B$46,"Abs%"),0))))</f>
        <v>0.15</v>
      </c>
      <c r="L130" s="10">
        <f>IF(OR($A130="",$D130&lt;&gt;"READY"),"",IF(AGENT_INPUT!G130&gt;=SUMIFS(BONUS_RULES!$E$5:$E$46,BONUS_RULES!$A$5:$A$46,$C130,BONUS_RULES!$B$5:$B$46,"Extra Bonus (PCS Score)"),SUMIFS(BONUS_RULES!$D$5:$D$46,BONUS_RULES!$A$5:$A$46,$C130,BONUS_RULES!$B$5:$B$46,"Extra Bonus (PCS Score)"),IF(AGENT_INPUT!G130&gt;=SUMIFS(BONUS_RULES!$G$5:$G$46,BONUS_RULES!$A$5:$A$46,$C130,BONUS_RULES!$B$5:$B$46,"Extra Bonus (PCS Score)"),SUMIFS(BONUS_RULES!$F$5:$F$46,BONUS_RULES!$A$5:$A$46,$C130,BONUS_RULES!$B$5:$B$46,"Extra Bonus (PCS Score)"),0)))</f>
        <v>0.0</v>
      </c>
      <c r="M130" s="10">
        <f>IF($A130="","",MIN(IF(POLICY_APPROVAL!$B$6="Replacement",SUM(F130:K130)-H130+MAX(H130,L130),SUM(F130:L130)),POLICY_APPROVAL!$B$10))</f>
        <v>0.44999999999999996</v>
      </c>
      <c r="N130" s="10">
        <f>IF($A130="","",IFERROR(INDEX(BONUS_RULES!$J$5:$J$10,MATCH(MIN(MAX(AGENT_INPUT!K130,0),5),BONUS_RULES!$I$5:$I$10,0)),1))</f>
        <v>0</v>
      </c>
      <c r="O130" s="10">
        <f>IF(M130="","",MAX(0,IF(POLICY_APPROVAL!$B$5="Percentage points",M130-N130,M130*(1-N130))))</f>
        <v>0.44999999999999996</v>
      </c>
      <c r="P130" s="11">
        <f>IF(D130&lt;&gt;"READY","",IF(AGENT_INPUT!O130&gt;0,AGENT_INPUT!O130,AGENT_INPUT!M130*AGENT_INPUT!N130/IF(POLICY_APPROVAL!$B$7="Annual",12,1)))</f>
        <v>2000.0</v>
      </c>
      <c r="Q130" s="10">
        <f>IF(D130&lt;&gt;"READY","",MIN(1,AGENT_INPUT!P130/AGENT_INPUT!Q130))</f>
        <v>1.0</v>
      </c>
      <c r="R130" s="11">
        <f>IF(D130&lt;&gt;"READY","",ROUND(P130*Q130*O130,IF(POLICY_APPROVAL!$B$11="Whole MAD",0,2)))</f>
        <v>900.0</v>
      </c>
      <c r="S130" s="11">
        <f>IF(AND(SETUP!$B$9="READY",T130="READY"),R130,"")</f>
        <v/>
      </c>
      <c r="T130" s="4" t="str">
        <f>IF($A130="","",IF(D130&lt;&gt;"READY","BLOCKED - INPUT",IF(E130&lt;&gt;"ELIGIBLE","BLOCKED - ELIGIBILITY",IF(AGENT_INPUT!S130&lt;&gt;"VALIDATED","BLOCKED - DATA",IF(SETUP!$B$9&lt;&gt;"READY","BLOCKED - POLICY","READY")))))</f>
        <v>BLOCKED - ELIGIBILITY</v>
      </c>
      <c r="U130" s="4" t="str">
        <f>IF($A130="","",IF(COUNTIFS(AGENT_INPUT!$A$5:$A$254,$A130,AGENT_INPUT!$D$5:$D$254,AGENT_INPUT!D130)&gt;1,"DUPLICATE AGENT + PERIOD",IF(D130&lt;&gt;"READY","INPUT OR CONFIG REVIEW",IF(T130&lt;&gt;"READY",T130,""))))</f>
        <v>BLOCKED - ELIGIBILITY</v>
      </c>
    </row>
    <row r="131" spans="1:21">
      <c r="A131" s="4">
        <f>IF(AGENT_INPUT!A131="","",AGENT_INPUT!A131)</f>
        <v>206139</v>
      </c>
      <c r="B131" s="4" t="str">
        <f>IF($A131="","",AGENT_INPUT!B131)</f>
        <v>El Mehdi El Guiri</v>
      </c>
      <c r="C131" s="4" t="str">
        <f>IF($A131="","",AGENT_INPUT!C131)</f>
        <v>OEM FR</v>
      </c>
      <c r="D131" s="4" t="str">
        <f>IF($A131="","",IF(AND(COUNT(AGENT_INPUT!E131:J131)=6,COUNT(AGENT_INPUT!K131)=1,COUNTIF(BONUS_RULES!$A$5:$A$46,AGENT_INPUT!C131)&gt;0,OR(AGENT_INPUT!O131&gt;0,AND(AGENT_INPUT!M131&gt;0,AGENT_INPUT!N131&gt;0)),AGENT_INPUT!P131&gt;=0,AGENT_INPUT!Q131&gt;0,AGENT_INPUT!P131&lt;=AGENT_INPUT!Q131,AGENT_INPUT!H131&gt;=0,AGENT_INPUT!H131&lt;=1,AGENT_INPUT!I131&gt;=0,AGENT_INPUT!I131&lt;=1,AGENT_INPUT!J131&gt;=0,AGENT_INPUT!J131&lt;=1),"READY","BLOCKED"))</f>
        <v>BLOCKED</v>
      </c>
      <c r="E131" s="4">
        <f>IF($A131="","",IF(AGENT_INPUT!R131&lt;&gt;"Active","REVIEW",IF(OR(POLICY_APPROVAL!$B$9="Eligibility only",POLICY_APPROVAL!$B$9="Both"),IF(AGENT_INPUT!J131&lt;=SUMIFS(BONUS_RULES!$E$5:$E$46,BONUS_RULES!$A$5:$A$46,$C131,BONUS_RULES!$B$5:$B$46,"Abs%"),"ELIGIBLE","INELIGIBLE ABS"),"ELIGIBLE")))</f>
        <v/>
      </c>
      <c r="F131" s="10">
        <f>IF(OR($A131="",$D131&lt;&gt;"READY"),"",IF(AGENT_INPUT!E131&lt;=SUMIFS(BONUS_RULES!$E$5:$E$46,BONUS_RULES!$A$5:$A$46,$C131,BONUS_RULES!$B$5:$B$46,"AHT"),SUMIFS(BONUS_RULES!$D$5:$D$46,BONUS_RULES!$A$5:$A$46,$C131,BONUS_RULES!$B$5:$B$46,"AHT"),IF(AGENT_INPUT!E131&lt;=SUMIFS(BONUS_RULES!$G$5:$G$46,BONUS_RULES!$A$5:$A$46,$C131,BONUS_RULES!$B$5:$B$46,"AHT"),SUMIFS(BONUS_RULES!$F$5:$F$46,BONUS_RULES!$A$5:$A$46,$C131,BONUS_RULES!$B$5:$B$46,"AHT"),0)))</f>
        <v/>
      </c>
      <c r="G131" s="10">
        <f>IF(OR($A131="",$D131&lt;&gt;"READY"),"",IF(AGENT_INPUT!F131&gt;=SUMIFS(BONUS_RULES!$E$5:$E$46,BONUS_RULES!$A$5:$A$46,$C131,BONUS_RULES!$B$5:$B$46,"Productivity"),SUMIFS(BONUS_RULES!$D$5:$D$46,BONUS_RULES!$A$5:$A$46,$C131,BONUS_RULES!$B$5:$B$46,"Productivity"),IF(AGENT_INPUT!F131&gt;=SUMIFS(BONUS_RULES!$G$5:$G$46,BONUS_RULES!$A$5:$A$46,$C131,BONUS_RULES!$B$5:$B$46,"Productivity"),SUMIFS(BONUS_RULES!$F$5:$F$46,BONUS_RULES!$A$5:$A$46,$C131,BONUS_RULES!$B$5:$B$46,"Productivity"),0)))</f>
        <v/>
      </c>
      <c r="H131" s="10">
        <f>IF(OR($A131="",$D131&lt;&gt;"READY"),"",IF(AGENT_INPUT!G131&gt;=SUMIFS(BONUS_RULES!$E$5:$E$46,BONUS_RULES!$A$5:$A$46,$C131,BONUS_RULES!$B$5:$B$46,"PCS Score"),SUMIFS(BONUS_RULES!$D$5:$D$46,BONUS_RULES!$A$5:$A$46,$C131,BONUS_RULES!$B$5:$B$46,"PCS Score"),IF(AGENT_INPUT!G131&gt;=SUMIFS(BONUS_RULES!$G$5:$G$46,BONUS_RULES!$A$5:$A$46,$C131,BONUS_RULES!$B$5:$B$46,"PCS Score"),SUMIFS(BONUS_RULES!$F$5:$F$46,BONUS_RULES!$A$5:$A$46,$C131,BONUS_RULES!$B$5:$B$46,"PCS Score"),0)))</f>
        <v/>
      </c>
      <c r="I131" s="10">
        <f>IF(OR($A131="",$D131&lt;&gt;"READY"),"",IF(AGENT_INPUT!H131&gt;=SUMIFS(BONUS_RULES!$E$5:$E$46,BONUS_RULES!$A$5:$A$46,$C131,BONUS_RULES!$B$5:$B$46,"PCS % (Participation)"),SUMIFS(BONUS_RULES!$D$5:$D$46,BONUS_RULES!$A$5:$A$46,$C131,BONUS_RULES!$B$5:$B$46,"PCS % (Participation)"),IF(AGENT_INPUT!H131&gt;=SUMIFS(BONUS_RULES!$G$5:$G$46,BONUS_RULES!$A$5:$A$46,$C131,BONUS_RULES!$B$5:$B$46,"PCS % (Participation)"),SUMIFS(BONUS_RULES!$F$5:$F$46,BONUS_RULES!$A$5:$A$46,$C131,BONUS_RULES!$B$5:$B$46,"PCS % (Participation)"),0)))</f>
        <v/>
      </c>
      <c r="J131" s="10">
        <f>IF(OR($A131="",$D131&lt;&gt;"READY"),"",IF(AGENT_INPUT!I131&gt;=SUMIFS(BONUS_RULES!$E$5:$E$46,BONUS_RULES!$A$5:$A$46,$C131,BONUS_RULES!$B$5:$B$46,"QM"),SUMIFS(BONUS_RULES!$D$5:$D$46,BONUS_RULES!$A$5:$A$46,$C131,BONUS_RULES!$B$5:$B$46,"QM"),IF(AGENT_INPUT!I131&gt;=SUMIFS(BONUS_RULES!$G$5:$G$46,BONUS_RULES!$A$5:$A$46,$C131,BONUS_RULES!$B$5:$B$46,"QM"),SUMIFS(BONUS_RULES!$F$5:$F$46,BONUS_RULES!$A$5:$A$46,$C131,BONUS_RULES!$B$5:$B$46,"QM"),0)))</f>
        <v/>
      </c>
      <c r="K131" s="10">
        <f>IF(POLICY_APPROVAL!$B$9="Eligibility only",0,IF(OR($A131="",$D131&lt;&gt;"READY"),"",IF(AGENT_INPUT!J131&lt;=SUMIFS(BONUS_RULES!$E$5:$E$46,BONUS_RULES!$A$5:$A$46,$C131,BONUS_RULES!$B$5:$B$46,"Abs%"),SUMIFS(BONUS_RULES!$D$5:$D$46,BONUS_RULES!$A$5:$A$46,$C131,BONUS_RULES!$B$5:$B$46,"Abs%"),IF(AGENT_INPUT!J131&lt;=SUMIFS(BONUS_RULES!$G$5:$G$46,BONUS_RULES!$A$5:$A$46,$C131,BONUS_RULES!$B$5:$B$46,"Abs%"),SUMIFS(BONUS_RULES!$F$5:$F$46,BONUS_RULES!$A$5:$A$46,$C131,BONUS_RULES!$B$5:$B$46,"Abs%"),0))))</f>
        <v/>
      </c>
      <c r="L131" s="10">
        <f>IF(OR($A131="",$D131&lt;&gt;"READY"),"",IF(AGENT_INPUT!G131&gt;=SUMIFS(BONUS_RULES!$E$5:$E$46,BONUS_RULES!$A$5:$A$46,$C131,BONUS_RULES!$B$5:$B$46,"Extra Bonus (PCS Score)"),SUMIFS(BONUS_RULES!$D$5:$D$46,BONUS_RULES!$A$5:$A$46,$C131,BONUS_RULES!$B$5:$B$46,"Extra Bonus (PCS Score)"),IF(AGENT_INPUT!G131&gt;=SUMIFS(BONUS_RULES!$G$5:$G$46,BONUS_RULES!$A$5:$A$46,$C131,BONUS_RULES!$B$5:$B$46,"Extra Bonus (PCS Score)"),SUMIFS(BONUS_RULES!$F$5:$F$46,BONUS_RULES!$A$5:$A$46,$C131,BONUS_RULES!$B$5:$B$46,"Extra Bonus (PCS Score)"),0)))</f>
        <v/>
      </c>
      <c r="M131" s="10">
        <f>IF($A131="","",MIN(IF(POLICY_APPROVAL!$B$6="Replacement",SUM(F131:K131)-H131+MAX(H131,L131),SUM(F131:L131)),POLICY_APPROVAL!$B$10))</f>
        <v>0</v>
      </c>
      <c r="N131" s="10">
        <f>IF($A131="","",IFERROR(INDEX(BONUS_RULES!$J$5:$J$10,MATCH(MIN(MAX(AGENT_INPUT!K131,0),5),BONUS_RULES!$I$5:$I$10,0)),1))</f>
        <v>0</v>
      </c>
      <c r="O131" s="10">
        <f>IF(M131="","",MAX(0,IF(POLICY_APPROVAL!$B$5="Percentage points",M131-N131,M131*(1-N131))))</f>
        <v>0</v>
      </c>
      <c r="P131" s="11">
        <f>IF(D131&lt;&gt;"READY","",IF(AGENT_INPUT!O131&gt;0,AGENT_INPUT!O131,AGENT_INPUT!M131*AGENT_INPUT!N131/IF(POLICY_APPROVAL!$B$7="Annual",12,1)))</f>
        <v/>
      </c>
      <c r="Q131" s="10">
        <f>IF(D131&lt;&gt;"READY","",MIN(1,AGENT_INPUT!P131/AGENT_INPUT!Q131))</f>
        <v/>
      </c>
      <c r="R131" s="11">
        <f>IF(D131&lt;&gt;"READY","",ROUND(P131*Q131*O131,IF(POLICY_APPROVAL!$B$11="Whole MAD",0,2)))</f>
        <v/>
      </c>
      <c r="S131" s="11">
        <f>IF(AND(SETUP!$B$9="READY",T131="READY"),R131,"")</f>
        <v/>
      </c>
      <c r="T131" s="4" t="str">
        <f>IF($A131="","",IF(D131&lt;&gt;"READY","BLOCKED - INPUT",IF(E131&lt;&gt;"ELIGIBLE","BLOCKED - ELIGIBILITY",IF(AGENT_INPUT!S131&lt;&gt;"VALIDATED","BLOCKED - DATA",IF(SETUP!$B$9&lt;&gt;"READY","BLOCKED - POLICY","READY")))))</f>
        <v>BLOCKED - INPUT</v>
      </c>
      <c r="U131" s="4" t="str">
        <f>IF($A131="","",IF(COUNTIFS(AGENT_INPUT!$A$5:$A$254,$A131,AGENT_INPUT!$D$5:$D$254,AGENT_INPUT!D131)&gt;1,"DUPLICATE AGENT + PERIOD",IF(D131&lt;&gt;"READY","INPUT OR CONFIG REVIEW",IF(T131&lt;&gt;"READY",T131,""))))</f>
        <v>Missing, invalid, or unconfigured required input</v>
      </c>
    </row>
    <row r="132" spans="1:21">
      <c r="A132" s="4">
        <f>IF(AGENT_INPUT!A132="","",AGENT_INPUT!A132)</f>
        <v>204042</v>
      </c>
      <c r="B132" s="4" t="str">
        <f>IF($A132="","",AGENT_INPUT!B132)</f>
        <v>Moslyh El Mahdi</v>
      </c>
      <c r="C132" s="4" t="str">
        <f>IF($A132="","",AGENT_INPUT!C132)</f>
        <v>Ford Dutch</v>
      </c>
      <c r="D132" s="4" t="str">
        <f>IF($A132="","",IF(AND(COUNT(AGENT_INPUT!E132:J132)=6,COUNT(AGENT_INPUT!K132)=1,COUNTIF(BONUS_RULES!$A$5:$A$46,AGENT_INPUT!C132)&gt;0,OR(AGENT_INPUT!O132&gt;0,AND(AGENT_INPUT!M132&gt;0,AGENT_INPUT!N132&gt;0)),AGENT_INPUT!P132&gt;=0,AGENT_INPUT!Q132&gt;0,AGENT_INPUT!P132&lt;=AGENT_INPUT!Q132,AGENT_INPUT!H132&gt;=0,AGENT_INPUT!H132&lt;=1,AGENT_INPUT!I132&gt;=0,AGENT_INPUT!I132&lt;=1,AGENT_INPUT!J132&gt;=0,AGENT_INPUT!J132&lt;=1),"READY","BLOCKED"))</f>
        <v>READY</v>
      </c>
      <c r="E132" s="4" t="str">
        <f>IF($A132="","",IF(AGENT_INPUT!R132&lt;&gt;"Active","REVIEW",IF(OR(POLICY_APPROVAL!$B$9="Eligibility only",POLICY_APPROVAL!$B$9="Both"),IF(AGENT_INPUT!J132&lt;=SUMIFS(BONUS_RULES!$E$5:$E$46,BONUS_RULES!$A$5:$A$46,$C132,BONUS_RULES!$B$5:$B$46,"Abs%"),"ELIGIBLE","INELIGIBLE ABS"),"ELIGIBLE")))</f>
        <v>REVIEW</v>
      </c>
      <c r="F132" s="10">
        <f>IF(OR($A132="",$D132&lt;&gt;"READY"),"",IF(AGENT_INPUT!E132&lt;=SUMIFS(BONUS_RULES!$E$5:$E$46,BONUS_RULES!$A$5:$A$46,$C132,BONUS_RULES!$B$5:$B$46,"AHT"),SUMIFS(BONUS_RULES!$D$5:$D$46,BONUS_RULES!$A$5:$A$46,$C132,BONUS_RULES!$B$5:$B$46,"AHT"),IF(AGENT_INPUT!E132&lt;=SUMIFS(BONUS_RULES!$G$5:$G$46,BONUS_RULES!$A$5:$A$46,$C132,BONUS_RULES!$B$5:$B$46,"AHT"),SUMIFS(BONUS_RULES!$F$5:$F$46,BONUS_RULES!$A$5:$A$46,$C132,BONUS_RULES!$B$5:$B$46,"AHT"),0)))</f>
        <v>0.15</v>
      </c>
      <c r="G132" s="10">
        <f>IF(OR($A132="",$D132&lt;&gt;"READY"),"",IF(AGENT_INPUT!F132&gt;=SUMIFS(BONUS_RULES!$E$5:$E$46,BONUS_RULES!$A$5:$A$46,$C132,BONUS_RULES!$B$5:$B$46,"Productivity"),SUMIFS(BONUS_RULES!$D$5:$D$46,BONUS_RULES!$A$5:$A$46,$C132,BONUS_RULES!$B$5:$B$46,"Productivity"),IF(AGENT_INPUT!F132&gt;=SUMIFS(BONUS_RULES!$G$5:$G$46,BONUS_RULES!$A$5:$A$46,$C132,BONUS_RULES!$B$5:$B$46,"Productivity"),SUMIFS(BONUS_RULES!$F$5:$F$46,BONUS_RULES!$A$5:$A$46,$C132,BONUS_RULES!$B$5:$B$46,"Productivity"),0)))</f>
        <v>0.15</v>
      </c>
      <c r="H132" s="10">
        <f>IF(OR($A132="",$D132&lt;&gt;"READY"),"",IF(AGENT_INPUT!G132&gt;=SUMIFS(BONUS_RULES!$E$5:$E$46,BONUS_RULES!$A$5:$A$46,$C132,BONUS_RULES!$B$5:$B$46,"PCS Score"),SUMIFS(BONUS_RULES!$D$5:$D$46,BONUS_RULES!$A$5:$A$46,$C132,BONUS_RULES!$B$5:$B$46,"PCS Score"),IF(AGENT_INPUT!G132&gt;=SUMIFS(BONUS_RULES!$G$5:$G$46,BONUS_RULES!$A$5:$A$46,$C132,BONUS_RULES!$B$5:$B$46,"PCS Score"),SUMIFS(BONUS_RULES!$F$5:$F$46,BONUS_RULES!$A$5:$A$46,$C132,BONUS_RULES!$B$5:$B$46,"PCS Score"),0)))</f>
        <v>0.2</v>
      </c>
      <c r="I132" s="10">
        <f>IF(OR($A132="",$D132&lt;&gt;"READY"),"",IF(AGENT_INPUT!H132&gt;=SUMIFS(BONUS_RULES!$E$5:$E$46,BONUS_RULES!$A$5:$A$46,$C132,BONUS_RULES!$B$5:$B$46,"PCS % (Participation)"),SUMIFS(BONUS_RULES!$D$5:$D$46,BONUS_RULES!$A$5:$A$46,$C132,BONUS_RULES!$B$5:$B$46,"PCS % (Participation)"),IF(AGENT_INPUT!H132&gt;=SUMIFS(BONUS_RULES!$G$5:$G$46,BONUS_RULES!$A$5:$A$46,$C132,BONUS_RULES!$B$5:$B$46,"PCS % (Participation)"),SUMIFS(BONUS_RULES!$F$5:$F$46,BONUS_RULES!$A$5:$A$46,$C132,BONUS_RULES!$B$5:$B$46,"PCS % (Participation)"),0)))</f>
        <v>0.0</v>
      </c>
      <c r="J132" s="10">
        <f>IF(OR($A132="",$D132&lt;&gt;"READY"),"",IF(AGENT_INPUT!I132&gt;=SUMIFS(BONUS_RULES!$E$5:$E$46,BONUS_RULES!$A$5:$A$46,$C132,BONUS_RULES!$B$5:$B$46,"QM"),SUMIFS(BONUS_RULES!$D$5:$D$46,BONUS_RULES!$A$5:$A$46,$C132,BONUS_RULES!$B$5:$B$46,"QM"),IF(AGENT_INPUT!I132&gt;=SUMIFS(BONUS_RULES!$G$5:$G$46,BONUS_RULES!$A$5:$A$46,$C132,BONUS_RULES!$B$5:$B$46,"QM"),SUMIFS(BONUS_RULES!$F$5:$F$46,BONUS_RULES!$A$5:$A$46,$C132,BONUS_RULES!$B$5:$B$46,"QM"),0)))</f>
        <v>0.0</v>
      </c>
      <c r="K132" s="10">
        <f>IF(POLICY_APPROVAL!$B$9="Eligibility only",0,IF(OR($A132="",$D132&lt;&gt;"READY"),"",IF(AGENT_INPUT!J132&lt;=SUMIFS(BONUS_RULES!$E$5:$E$46,BONUS_RULES!$A$5:$A$46,$C132,BONUS_RULES!$B$5:$B$46,"Abs%"),SUMIFS(BONUS_RULES!$D$5:$D$46,BONUS_RULES!$A$5:$A$46,$C132,BONUS_RULES!$B$5:$B$46,"Abs%"),IF(AGENT_INPUT!J132&lt;=SUMIFS(BONUS_RULES!$G$5:$G$46,BONUS_RULES!$A$5:$A$46,$C132,BONUS_RULES!$B$5:$B$46,"Abs%"),SUMIFS(BONUS_RULES!$F$5:$F$46,BONUS_RULES!$A$5:$A$46,$C132,BONUS_RULES!$B$5:$B$46,"Abs%"),0))))</f>
        <v>0.15</v>
      </c>
      <c r="L132" s="10">
        <f>IF(OR($A132="",$D132&lt;&gt;"READY"),"",IF(AGENT_INPUT!G132&gt;=SUMIFS(BONUS_RULES!$E$5:$E$46,BONUS_RULES!$A$5:$A$46,$C132,BONUS_RULES!$B$5:$B$46,"Extra Bonus (PCS Score)"),SUMIFS(BONUS_RULES!$D$5:$D$46,BONUS_RULES!$A$5:$A$46,$C132,BONUS_RULES!$B$5:$B$46,"Extra Bonus (PCS Score)"),IF(AGENT_INPUT!G132&gt;=SUMIFS(BONUS_RULES!$G$5:$G$46,BONUS_RULES!$A$5:$A$46,$C132,BONUS_RULES!$B$5:$B$46,"Extra Bonus (PCS Score)"),SUMIFS(BONUS_RULES!$F$5:$F$46,BONUS_RULES!$A$5:$A$46,$C132,BONUS_RULES!$B$5:$B$46,"Extra Bonus (PCS Score)"),0)))</f>
        <v>0.3</v>
      </c>
      <c r="M132" s="10">
        <f>IF($A132="","",MIN(IF(POLICY_APPROVAL!$B$6="Replacement",SUM(F132:K132)-H132+MAX(H132,L132),SUM(F132:L132)),POLICY_APPROVAL!$B$10))</f>
        <v>0.95</v>
      </c>
      <c r="N132" s="10">
        <f>IF($A132="","",IFERROR(INDEX(BONUS_RULES!$J$5:$J$10,MATCH(MIN(MAX(AGENT_INPUT!K132,0),5),BONUS_RULES!$I$5:$I$10,0)),1))</f>
        <v>0</v>
      </c>
      <c r="O132" s="10">
        <f>IF(M132="","",MAX(0,IF(POLICY_APPROVAL!$B$5="Percentage points",M132-N132,M132*(1-N132))))</f>
        <v>0.95</v>
      </c>
      <c r="P132" s="11">
        <f>IF(D132&lt;&gt;"READY","",IF(AGENT_INPUT!O132&gt;0,AGENT_INPUT!O132,AGENT_INPUT!M132*AGENT_INPUT!N132/IF(POLICY_APPROVAL!$B$7="Annual",12,1)))</f>
        <v>2000.0</v>
      </c>
      <c r="Q132" s="10">
        <f>IF(D132&lt;&gt;"READY","",MIN(1,AGENT_INPUT!P132/AGENT_INPUT!Q132))</f>
        <v>1.0</v>
      </c>
      <c r="R132" s="11">
        <f>IF(D132&lt;&gt;"READY","",ROUND(P132*Q132*O132,IF(POLICY_APPROVAL!$B$11="Whole MAD",0,2)))</f>
        <v>1900.0</v>
      </c>
      <c r="S132" s="11">
        <f>IF(AND(SETUP!$B$9="READY",T132="READY"),R132,"")</f>
        <v/>
      </c>
      <c r="T132" s="4" t="str">
        <f>IF($A132="","",IF(D132&lt;&gt;"READY","BLOCKED - INPUT",IF(E132&lt;&gt;"ELIGIBLE","BLOCKED - ELIGIBILITY",IF(AGENT_INPUT!S132&lt;&gt;"VALIDATED","BLOCKED - DATA",IF(SETUP!$B$9&lt;&gt;"READY","BLOCKED - POLICY","READY")))))</f>
        <v>BLOCKED - ELIGIBILITY</v>
      </c>
      <c r="U132" s="4" t="str">
        <f>IF($A132="","",IF(COUNTIFS(AGENT_INPUT!$A$5:$A$254,$A132,AGENT_INPUT!$D$5:$D$254,AGENT_INPUT!D132)&gt;1,"DUPLICATE AGENT + PERIOD",IF(D132&lt;&gt;"READY","INPUT OR CONFIG REVIEW",IF(T132&lt;&gt;"READY",T132,""))))</f>
        <v>BLOCKED - ELIGIBILITY</v>
      </c>
    </row>
    <row r="133" spans="1:21">
      <c r="A133" s="4">
        <f>IF(AGENT_INPUT!A133="","",AGENT_INPUT!A133)</f>
        <v>221519</v>
      </c>
      <c r="B133" s="4" t="str">
        <f>IF($A133="","",AGENT_INPUT!B133)</f>
        <v>Dylan Joren</v>
      </c>
      <c r="C133" s="4" t="str">
        <f>IF($A133="","",AGENT_INPUT!C133)</f>
        <v>RSA NL</v>
      </c>
      <c r="D133" s="4" t="str">
        <f>IF($A133="","",IF(AND(COUNT(AGENT_INPUT!E133:J133)=6,COUNT(AGENT_INPUT!K133)=1,COUNTIF(BONUS_RULES!$A$5:$A$46,AGENT_INPUT!C133)&gt;0,OR(AGENT_INPUT!O133&gt;0,AND(AGENT_INPUT!M133&gt;0,AGENT_INPUT!N133&gt;0)),AGENT_INPUT!P133&gt;=0,AGENT_INPUT!Q133&gt;0,AGENT_INPUT!P133&lt;=AGENT_INPUT!Q133,AGENT_INPUT!H133&gt;=0,AGENT_INPUT!H133&lt;=1,AGENT_INPUT!I133&gt;=0,AGENT_INPUT!I133&lt;=1,AGENT_INPUT!J133&gt;=0,AGENT_INPUT!J133&lt;=1),"READY","BLOCKED"))</f>
        <v>READY</v>
      </c>
      <c r="E133" s="4" t="str">
        <f>IF($A133="","",IF(AGENT_INPUT!R133&lt;&gt;"Active","REVIEW",IF(OR(POLICY_APPROVAL!$B$9="Eligibility only",POLICY_APPROVAL!$B$9="Both"),IF(AGENT_INPUT!J133&lt;=SUMIFS(BONUS_RULES!$E$5:$E$46,BONUS_RULES!$A$5:$A$46,$C133,BONUS_RULES!$B$5:$B$46,"Abs%"),"ELIGIBLE","INELIGIBLE ABS"),"ELIGIBLE")))</f>
        <v>REVIEW</v>
      </c>
      <c r="F133" s="10">
        <f>IF(OR($A133="",$D133&lt;&gt;"READY"),"",IF(AGENT_INPUT!E133&lt;=SUMIFS(BONUS_RULES!$E$5:$E$46,BONUS_RULES!$A$5:$A$46,$C133,BONUS_RULES!$B$5:$B$46,"AHT"),SUMIFS(BONUS_RULES!$D$5:$D$46,BONUS_RULES!$A$5:$A$46,$C133,BONUS_RULES!$B$5:$B$46,"AHT"),IF(AGENT_INPUT!E133&lt;=SUMIFS(BONUS_RULES!$G$5:$G$46,BONUS_RULES!$A$5:$A$46,$C133,BONUS_RULES!$B$5:$B$46,"AHT"),SUMIFS(BONUS_RULES!$F$5:$F$46,BONUS_RULES!$A$5:$A$46,$C133,BONUS_RULES!$B$5:$B$46,"AHT"),0)))</f>
        <v>0.15</v>
      </c>
      <c r="G133" s="10">
        <f>IF(OR($A133="",$D133&lt;&gt;"READY"),"",IF(AGENT_INPUT!F133&gt;=SUMIFS(BONUS_RULES!$E$5:$E$46,BONUS_RULES!$A$5:$A$46,$C133,BONUS_RULES!$B$5:$B$46,"Productivity"),SUMIFS(BONUS_RULES!$D$5:$D$46,BONUS_RULES!$A$5:$A$46,$C133,BONUS_RULES!$B$5:$B$46,"Productivity"),IF(AGENT_INPUT!F133&gt;=SUMIFS(BONUS_RULES!$G$5:$G$46,BONUS_RULES!$A$5:$A$46,$C133,BONUS_RULES!$B$5:$B$46,"Productivity"),SUMIFS(BONUS_RULES!$F$5:$F$46,BONUS_RULES!$A$5:$A$46,$C133,BONUS_RULES!$B$5:$B$46,"Productivity"),0)))</f>
        <v>0.15</v>
      </c>
      <c r="H133" s="10">
        <f>IF(OR($A133="",$D133&lt;&gt;"READY"),"",IF(AGENT_INPUT!G133&gt;=SUMIFS(BONUS_RULES!$E$5:$E$46,BONUS_RULES!$A$5:$A$46,$C133,BONUS_RULES!$B$5:$B$46,"PCS Score"),SUMIFS(BONUS_RULES!$D$5:$D$46,BONUS_RULES!$A$5:$A$46,$C133,BONUS_RULES!$B$5:$B$46,"PCS Score"),IF(AGENT_INPUT!G133&gt;=SUMIFS(BONUS_RULES!$G$5:$G$46,BONUS_RULES!$A$5:$A$46,$C133,BONUS_RULES!$B$5:$B$46,"PCS Score"),SUMIFS(BONUS_RULES!$F$5:$F$46,BONUS_RULES!$A$5:$A$46,$C133,BONUS_RULES!$B$5:$B$46,"PCS Score"),0)))</f>
        <v>0.15</v>
      </c>
      <c r="I133" s="10">
        <f>IF(OR($A133="",$D133&lt;&gt;"READY"),"",IF(AGENT_INPUT!H133&gt;=SUMIFS(BONUS_RULES!$E$5:$E$46,BONUS_RULES!$A$5:$A$46,$C133,BONUS_RULES!$B$5:$B$46,"PCS % (Participation)"),SUMIFS(BONUS_RULES!$D$5:$D$46,BONUS_RULES!$A$5:$A$46,$C133,BONUS_RULES!$B$5:$B$46,"PCS % (Participation)"),IF(AGENT_INPUT!H133&gt;=SUMIFS(BONUS_RULES!$G$5:$G$46,BONUS_RULES!$A$5:$A$46,$C133,BONUS_RULES!$B$5:$B$46,"PCS % (Participation)"),SUMIFS(BONUS_RULES!$F$5:$F$46,BONUS_RULES!$A$5:$A$46,$C133,BONUS_RULES!$B$5:$B$46,"PCS % (Participation)"),0)))</f>
        <v>0.0</v>
      </c>
      <c r="J133" s="10">
        <f>IF(OR($A133="",$D133&lt;&gt;"READY"),"",IF(AGENT_INPUT!I133&gt;=SUMIFS(BONUS_RULES!$E$5:$E$46,BONUS_RULES!$A$5:$A$46,$C133,BONUS_RULES!$B$5:$B$46,"QM"),SUMIFS(BONUS_RULES!$D$5:$D$46,BONUS_RULES!$A$5:$A$46,$C133,BONUS_RULES!$B$5:$B$46,"QM"),IF(AGENT_INPUT!I133&gt;=SUMIFS(BONUS_RULES!$G$5:$G$46,BONUS_RULES!$A$5:$A$46,$C133,BONUS_RULES!$B$5:$B$46,"QM"),SUMIFS(BONUS_RULES!$F$5:$F$46,BONUS_RULES!$A$5:$A$46,$C133,BONUS_RULES!$B$5:$B$46,"QM"),0)))</f>
        <v>0.0</v>
      </c>
      <c r="K133" s="10">
        <f>IF(POLICY_APPROVAL!$B$9="Eligibility only",0,IF(OR($A133="",$D133&lt;&gt;"READY"),"",IF(AGENT_INPUT!J133&lt;=SUMIFS(BONUS_RULES!$E$5:$E$46,BONUS_RULES!$A$5:$A$46,$C133,BONUS_RULES!$B$5:$B$46,"Abs%"),SUMIFS(BONUS_RULES!$D$5:$D$46,BONUS_RULES!$A$5:$A$46,$C133,BONUS_RULES!$B$5:$B$46,"Abs%"),IF(AGENT_INPUT!J133&lt;=SUMIFS(BONUS_RULES!$G$5:$G$46,BONUS_RULES!$A$5:$A$46,$C133,BONUS_RULES!$B$5:$B$46,"Abs%"),SUMIFS(BONUS_RULES!$F$5:$F$46,BONUS_RULES!$A$5:$A$46,$C133,BONUS_RULES!$B$5:$B$46,"Abs%"),0))))</f>
        <v>0.15</v>
      </c>
      <c r="L133" s="10">
        <f>IF(OR($A133="",$D133&lt;&gt;"READY"),"",IF(AGENT_INPUT!G133&gt;=SUMIFS(BONUS_RULES!$E$5:$E$46,BONUS_RULES!$A$5:$A$46,$C133,BONUS_RULES!$B$5:$B$46,"Extra Bonus (PCS Score)"),SUMIFS(BONUS_RULES!$D$5:$D$46,BONUS_RULES!$A$5:$A$46,$C133,BONUS_RULES!$B$5:$B$46,"Extra Bonus (PCS Score)"),IF(AGENT_INPUT!G133&gt;=SUMIFS(BONUS_RULES!$G$5:$G$46,BONUS_RULES!$A$5:$A$46,$C133,BONUS_RULES!$B$5:$B$46,"Extra Bonus (PCS Score)"),SUMIFS(BONUS_RULES!$F$5:$F$46,BONUS_RULES!$A$5:$A$46,$C133,BONUS_RULES!$B$5:$B$46,"Extra Bonus (PCS Score)"),0)))</f>
        <v>0.0</v>
      </c>
      <c r="M133" s="10">
        <f>IF($A133="","",MIN(IF(POLICY_APPROVAL!$B$6="Replacement",SUM(F133:K133)-H133+MAX(H133,L133),SUM(F133:L133)),POLICY_APPROVAL!$B$10))</f>
        <v>0.6</v>
      </c>
      <c r="N133" s="10">
        <f>IF($A133="","",IFERROR(INDEX(BONUS_RULES!$J$5:$J$10,MATCH(MIN(MAX(AGENT_INPUT!K133,0),5),BONUS_RULES!$I$5:$I$10,0)),1))</f>
        <v>0</v>
      </c>
      <c r="O133" s="10">
        <f>IF(M133="","",MAX(0,IF(POLICY_APPROVAL!$B$5="Percentage points",M133-N133,M133*(1-N133))))</f>
        <v>0.6</v>
      </c>
      <c r="P133" s="11">
        <f>IF(D133&lt;&gt;"READY","",IF(AGENT_INPUT!O133&gt;0,AGENT_INPUT!O133,AGENT_INPUT!M133*AGENT_INPUT!N133/IF(POLICY_APPROVAL!$B$7="Annual",12,1)))</f>
        <v>2000.0</v>
      </c>
      <c r="Q133" s="10">
        <f>IF(D133&lt;&gt;"READY","",MIN(1,AGENT_INPUT!P133/AGENT_INPUT!Q133))</f>
        <v>1.0</v>
      </c>
      <c r="R133" s="11">
        <f>IF(D133&lt;&gt;"READY","",ROUND(P133*Q133*O133,IF(POLICY_APPROVAL!$B$11="Whole MAD",0,2)))</f>
        <v>1200.0</v>
      </c>
      <c r="S133" s="11">
        <f>IF(AND(SETUP!$B$9="READY",T133="READY"),R133,"")</f>
        <v/>
      </c>
      <c r="T133" s="4" t="str">
        <f>IF($A133="","",IF(D133&lt;&gt;"READY","BLOCKED - INPUT",IF(E133&lt;&gt;"ELIGIBLE","BLOCKED - ELIGIBILITY",IF(AGENT_INPUT!S133&lt;&gt;"VALIDATED","BLOCKED - DATA",IF(SETUP!$B$9&lt;&gt;"READY","BLOCKED - POLICY","READY")))))</f>
        <v>BLOCKED - ELIGIBILITY</v>
      </c>
      <c r="U133" s="4" t="str">
        <f>IF($A133="","",IF(COUNTIFS(AGENT_INPUT!$A$5:$A$254,$A133,AGENT_INPUT!$D$5:$D$254,AGENT_INPUT!D133)&gt;1,"DUPLICATE AGENT + PERIOD",IF(D133&lt;&gt;"READY","INPUT OR CONFIG REVIEW",IF(T133&lt;&gt;"READY",T133,""))))</f>
        <v>BLOCKED - ELIGIBILITY</v>
      </c>
    </row>
    <row r="134" spans="1:21">
      <c r="A134" s="4">
        <f>IF(AGENT_INPUT!A134="","",AGENT_INPUT!A134)</f>
        <v>199550</v>
      </c>
      <c r="B134" s="4" t="str">
        <f>IF($A134="","",AGENT_INPUT!B134)</f>
        <v>Sbai Driss</v>
      </c>
      <c r="C134" s="4" t="str">
        <f>IF($A134="","",AGENT_INPUT!C134)</f>
        <v>RSA VL</v>
      </c>
      <c r="D134" s="4" t="str">
        <f>IF($A134="","",IF(AND(COUNT(AGENT_INPUT!E134:J134)=6,COUNT(AGENT_INPUT!K134)=1,COUNTIF(BONUS_RULES!$A$5:$A$46,AGENT_INPUT!C134)&gt;0,OR(AGENT_INPUT!O134&gt;0,AND(AGENT_INPUT!M134&gt;0,AGENT_INPUT!N134&gt;0)),AGENT_INPUT!P134&gt;=0,AGENT_INPUT!Q134&gt;0,AGENT_INPUT!P134&lt;=AGENT_INPUT!Q134,AGENT_INPUT!H134&gt;=0,AGENT_INPUT!H134&lt;=1,AGENT_INPUT!I134&gt;=0,AGENT_INPUT!I134&lt;=1,AGENT_INPUT!J134&gt;=0,AGENT_INPUT!J134&lt;=1),"READY","BLOCKED"))</f>
        <v>READY</v>
      </c>
      <c r="E134" s="4" t="str">
        <f>IF($A134="","",IF(AGENT_INPUT!R134&lt;&gt;"Active","REVIEW",IF(OR(POLICY_APPROVAL!$B$9="Eligibility only",POLICY_APPROVAL!$B$9="Both"),IF(AGENT_INPUT!J134&lt;=SUMIFS(BONUS_RULES!$E$5:$E$46,BONUS_RULES!$A$5:$A$46,$C134,BONUS_RULES!$B$5:$B$46,"Abs%"),"ELIGIBLE","INELIGIBLE ABS"),"ELIGIBLE")))</f>
        <v>REVIEW</v>
      </c>
      <c r="F134" s="10">
        <f>IF(OR($A134="",$D134&lt;&gt;"READY"),"",IF(AGENT_INPUT!E134&lt;=SUMIFS(BONUS_RULES!$E$5:$E$46,BONUS_RULES!$A$5:$A$46,$C134,BONUS_RULES!$B$5:$B$46,"AHT"),SUMIFS(BONUS_RULES!$D$5:$D$46,BONUS_RULES!$A$5:$A$46,$C134,BONUS_RULES!$B$5:$B$46,"AHT"),IF(AGENT_INPUT!E134&lt;=SUMIFS(BONUS_RULES!$G$5:$G$46,BONUS_RULES!$A$5:$A$46,$C134,BONUS_RULES!$B$5:$B$46,"AHT"),SUMIFS(BONUS_RULES!$F$5:$F$46,BONUS_RULES!$A$5:$A$46,$C134,BONUS_RULES!$B$5:$B$46,"AHT"),0)))</f>
        <v>0.15</v>
      </c>
      <c r="G134" s="10">
        <f>IF(OR($A134="",$D134&lt;&gt;"READY"),"",IF(AGENT_INPUT!F134&gt;=SUMIFS(BONUS_RULES!$E$5:$E$46,BONUS_RULES!$A$5:$A$46,$C134,BONUS_RULES!$B$5:$B$46,"Productivity"),SUMIFS(BONUS_RULES!$D$5:$D$46,BONUS_RULES!$A$5:$A$46,$C134,BONUS_RULES!$B$5:$B$46,"Productivity"),IF(AGENT_INPUT!F134&gt;=SUMIFS(BONUS_RULES!$G$5:$G$46,BONUS_RULES!$A$5:$A$46,$C134,BONUS_RULES!$B$5:$B$46,"Productivity"),SUMIFS(BONUS_RULES!$F$5:$F$46,BONUS_RULES!$A$5:$A$46,$C134,BONUS_RULES!$B$5:$B$46,"Productivity"),0)))</f>
        <v>0.15</v>
      </c>
      <c r="H134" s="10">
        <f>IF(OR($A134="",$D134&lt;&gt;"READY"),"",IF(AGENT_INPUT!G134&gt;=SUMIFS(BONUS_RULES!$E$5:$E$46,BONUS_RULES!$A$5:$A$46,$C134,BONUS_RULES!$B$5:$B$46,"PCS Score"),SUMIFS(BONUS_RULES!$D$5:$D$46,BONUS_RULES!$A$5:$A$46,$C134,BONUS_RULES!$B$5:$B$46,"PCS Score"),IF(AGENT_INPUT!G134&gt;=SUMIFS(BONUS_RULES!$G$5:$G$46,BONUS_RULES!$A$5:$A$46,$C134,BONUS_RULES!$B$5:$B$46,"PCS Score"),SUMIFS(BONUS_RULES!$F$5:$F$46,BONUS_RULES!$A$5:$A$46,$C134,BONUS_RULES!$B$5:$B$46,"PCS Score"),0)))</f>
        <v>0.15</v>
      </c>
      <c r="I134" s="10">
        <f>IF(OR($A134="",$D134&lt;&gt;"READY"),"",IF(AGENT_INPUT!H134&gt;=SUMIFS(BONUS_RULES!$E$5:$E$46,BONUS_RULES!$A$5:$A$46,$C134,BONUS_RULES!$B$5:$B$46,"PCS % (Participation)"),SUMIFS(BONUS_RULES!$D$5:$D$46,BONUS_RULES!$A$5:$A$46,$C134,BONUS_RULES!$B$5:$B$46,"PCS % (Participation)"),IF(AGENT_INPUT!H134&gt;=SUMIFS(BONUS_RULES!$G$5:$G$46,BONUS_RULES!$A$5:$A$46,$C134,BONUS_RULES!$B$5:$B$46,"PCS % (Participation)"),SUMIFS(BONUS_RULES!$F$5:$F$46,BONUS_RULES!$A$5:$A$46,$C134,BONUS_RULES!$B$5:$B$46,"PCS % (Participation)"),0)))</f>
        <v>0.0</v>
      </c>
      <c r="J134" s="10">
        <f>IF(OR($A134="",$D134&lt;&gt;"READY"),"",IF(AGENT_INPUT!I134&gt;=SUMIFS(BONUS_RULES!$E$5:$E$46,BONUS_RULES!$A$5:$A$46,$C134,BONUS_RULES!$B$5:$B$46,"QM"),SUMIFS(BONUS_RULES!$D$5:$D$46,BONUS_RULES!$A$5:$A$46,$C134,BONUS_RULES!$B$5:$B$46,"QM"),IF(AGENT_INPUT!I134&gt;=SUMIFS(BONUS_RULES!$G$5:$G$46,BONUS_RULES!$A$5:$A$46,$C134,BONUS_RULES!$B$5:$B$46,"QM"),SUMIFS(BONUS_RULES!$F$5:$F$46,BONUS_RULES!$A$5:$A$46,$C134,BONUS_RULES!$B$5:$B$46,"QM"),0)))</f>
        <v>0.0</v>
      </c>
      <c r="K134" s="10">
        <f>IF(POLICY_APPROVAL!$B$9="Eligibility only",0,IF(OR($A134="",$D134&lt;&gt;"READY"),"",IF(AGENT_INPUT!J134&lt;=SUMIFS(BONUS_RULES!$E$5:$E$46,BONUS_RULES!$A$5:$A$46,$C134,BONUS_RULES!$B$5:$B$46,"Abs%"),SUMIFS(BONUS_RULES!$D$5:$D$46,BONUS_RULES!$A$5:$A$46,$C134,BONUS_RULES!$B$5:$B$46,"Abs%"),IF(AGENT_INPUT!J134&lt;=SUMIFS(BONUS_RULES!$G$5:$G$46,BONUS_RULES!$A$5:$A$46,$C134,BONUS_RULES!$B$5:$B$46,"Abs%"),SUMIFS(BONUS_RULES!$F$5:$F$46,BONUS_RULES!$A$5:$A$46,$C134,BONUS_RULES!$B$5:$B$46,"Abs%"),0))))</f>
        <v>0.0</v>
      </c>
      <c r="L134" s="10">
        <f>IF(OR($A134="",$D134&lt;&gt;"READY"),"",IF(AGENT_INPUT!G134&gt;=SUMIFS(BONUS_RULES!$E$5:$E$46,BONUS_RULES!$A$5:$A$46,$C134,BONUS_RULES!$B$5:$B$46,"Extra Bonus (PCS Score)"),SUMIFS(BONUS_RULES!$D$5:$D$46,BONUS_RULES!$A$5:$A$46,$C134,BONUS_RULES!$B$5:$B$46,"Extra Bonus (PCS Score)"),IF(AGENT_INPUT!G134&gt;=SUMIFS(BONUS_RULES!$G$5:$G$46,BONUS_RULES!$A$5:$A$46,$C134,BONUS_RULES!$B$5:$B$46,"Extra Bonus (PCS Score)"),SUMIFS(BONUS_RULES!$F$5:$F$46,BONUS_RULES!$A$5:$A$46,$C134,BONUS_RULES!$B$5:$B$46,"Extra Bonus (PCS Score)"),0)))</f>
        <v>0.0</v>
      </c>
      <c r="M134" s="10">
        <f>IF($A134="","",MIN(IF(POLICY_APPROVAL!$B$6="Replacement",SUM(F134:K134)-H134+MAX(H134,L134),SUM(F134:L134)),POLICY_APPROVAL!$B$10))</f>
        <v>0.44999999999999996</v>
      </c>
      <c r="N134" s="10">
        <f>IF($A134="","",IFERROR(INDEX(BONUS_RULES!$J$5:$J$10,MATCH(MIN(MAX(AGENT_INPUT!K134,0),5),BONUS_RULES!$I$5:$I$10,0)),1))</f>
        <v>0</v>
      </c>
      <c r="O134" s="10">
        <f>IF(M134="","",MAX(0,IF(POLICY_APPROVAL!$B$5="Percentage points",M134-N134,M134*(1-N134))))</f>
        <v>0.44999999999999996</v>
      </c>
      <c r="P134" s="11">
        <f>IF(D134&lt;&gt;"READY","",IF(AGENT_INPUT!O134&gt;0,AGENT_INPUT!O134,AGENT_INPUT!M134*AGENT_INPUT!N134/IF(POLICY_APPROVAL!$B$7="Annual",12,1)))</f>
        <v>2000.0</v>
      </c>
      <c r="Q134" s="10">
        <f>IF(D134&lt;&gt;"READY","",MIN(1,AGENT_INPUT!P134/AGENT_INPUT!Q134))</f>
        <v>1.0</v>
      </c>
      <c r="R134" s="11">
        <f>IF(D134&lt;&gt;"READY","",ROUND(P134*Q134*O134,IF(POLICY_APPROVAL!$B$11="Whole MAD",0,2)))</f>
        <v>900.0</v>
      </c>
      <c r="S134" s="11">
        <f>IF(AND(SETUP!$B$9="READY",T134="READY"),R134,"")</f>
        <v/>
      </c>
      <c r="T134" s="4" t="str">
        <f>IF($A134="","",IF(D134&lt;&gt;"READY","BLOCKED - INPUT",IF(E134&lt;&gt;"ELIGIBLE","BLOCKED - ELIGIBILITY",IF(AGENT_INPUT!S134&lt;&gt;"VALIDATED","BLOCKED - DATA",IF(SETUP!$B$9&lt;&gt;"READY","BLOCKED - POLICY","READY")))))</f>
        <v>BLOCKED - ELIGIBILITY</v>
      </c>
      <c r="U134" s="4" t="str">
        <f>IF($A134="","",IF(COUNTIFS(AGENT_INPUT!$A$5:$A$254,$A134,AGENT_INPUT!$D$5:$D$254,AGENT_INPUT!D134)&gt;1,"DUPLICATE AGENT + PERIOD",IF(D134&lt;&gt;"READY","INPUT OR CONFIG REVIEW",IF(T134&lt;&gt;"READY",T134,""))))</f>
        <v>BLOCKED - ELIGIBILITY</v>
      </c>
    </row>
    <row r="135" spans="1:21">
      <c r="A135" s="4">
        <f>IF(AGENT_INPUT!A135="","",AGENT_INPUT!A135)</f>
        <v>230748</v>
      </c>
      <c r="B135" s="4" t="str">
        <f>IF($A135="","",AGENT_INPUT!B135)</f>
        <v>Driss Oujer</v>
      </c>
      <c r="C135" s="4" t="str">
        <f>IF($A135="","",AGENT_INPUT!C135)</f>
        <v>OEM FR</v>
      </c>
      <c r="D135" s="4" t="str">
        <f>IF($A135="","",IF(AND(COUNT(AGENT_INPUT!E135:J135)=6,COUNT(AGENT_INPUT!K135)=1,COUNTIF(BONUS_RULES!$A$5:$A$46,AGENT_INPUT!C135)&gt;0,OR(AGENT_INPUT!O135&gt;0,AND(AGENT_INPUT!M135&gt;0,AGENT_INPUT!N135&gt;0)),AGENT_INPUT!P135&gt;=0,AGENT_INPUT!Q135&gt;0,AGENT_INPUT!P135&lt;=AGENT_INPUT!Q135,AGENT_INPUT!H135&gt;=0,AGENT_INPUT!H135&lt;=1,AGENT_INPUT!I135&gt;=0,AGENT_INPUT!I135&lt;=1,AGENT_INPUT!J135&gt;=0,AGENT_INPUT!J135&lt;=1),"READY","BLOCKED"))</f>
        <v>READY</v>
      </c>
      <c r="E135" s="4" t="str">
        <f>IF($A135="","",IF(AGENT_INPUT!R135&lt;&gt;"Active","REVIEW",IF(OR(POLICY_APPROVAL!$B$9="Eligibility only",POLICY_APPROVAL!$B$9="Both"),IF(AGENT_INPUT!J135&lt;=SUMIFS(BONUS_RULES!$E$5:$E$46,BONUS_RULES!$A$5:$A$46,$C135,BONUS_RULES!$B$5:$B$46,"Abs%"),"ELIGIBLE","INELIGIBLE ABS"),"ELIGIBLE")))</f>
        <v>REVIEW</v>
      </c>
      <c r="F135" s="10">
        <f>IF(OR($A135="",$D135&lt;&gt;"READY"),"",IF(AGENT_INPUT!E135&lt;=SUMIFS(BONUS_RULES!$E$5:$E$46,BONUS_RULES!$A$5:$A$46,$C135,BONUS_RULES!$B$5:$B$46,"AHT"),SUMIFS(BONUS_RULES!$D$5:$D$46,BONUS_RULES!$A$5:$A$46,$C135,BONUS_RULES!$B$5:$B$46,"AHT"),IF(AGENT_INPUT!E135&lt;=SUMIFS(BONUS_RULES!$G$5:$G$46,BONUS_RULES!$A$5:$A$46,$C135,BONUS_RULES!$B$5:$B$46,"AHT"),SUMIFS(BONUS_RULES!$F$5:$F$46,BONUS_RULES!$A$5:$A$46,$C135,BONUS_RULES!$B$5:$B$46,"AHT"),0)))</f>
        <v>0.15</v>
      </c>
      <c r="G135" s="10">
        <f>IF(OR($A135="",$D135&lt;&gt;"READY"),"",IF(AGENT_INPUT!F135&gt;=SUMIFS(BONUS_RULES!$E$5:$E$46,BONUS_RULES!$A$5:$A$46,$C135,BONUS_RULES!$B$5:$B$46,"Productivity"),SUMIFS(BONUS_RULES!$D$5:$D$46,BONUS_RULES!$A$5:$A$46,$C135,BONUS_RULES!$B$5:$B$46,"Productivity"),IF(AGENT_INPUT!F135&gt;=SUMIFS(BONUS_RULES!$G$5:$G$46,BONUS_RULES!$A$5:$A$46,$C135,BONUS_RULES!$B$5:$B$46,"Productivity"),SUMIFS(BONUS_RULES!$F$5:$F$46,BONUS_RULES!$A$5:$A$46,$C135,BONUS_RULES!$B$5:$B$46,"Productivity"),0)))</f>
        <v>0.15</v>
      </c>
      <c r="H135" s="10">
        <f>IF(OR($A135="",$D135&lt;&gt;"READY"),"",IF(AGENT_INPUT!G135&gt;=SUMIFS(BONUS_RULES!$E$5:$E$46,BONUS_RULES!$A$5:$A$46,$C135,BONUS_RULES!$B$5:$B$46,"PCS Score"),SUMIFS(BONUS_RULES!$D$5:$D$46,BONUS_RULES!$A$5:$A$46,$C135,BONUS_RULES!$B$5:$B$46,"PCS Score"),IF(AGENT_INPUT!G135&gt;=SUMIFS(BONUS_RULES!$G$5:$G$46,BONUS_RULES!$A$5:$A$46,$C135,BONUS_RULES!$B$5:$B$46,"PCS Score"),SUMIFS(BONUS_RULES!$F$5:$F$46,BONUS_RULES!$A$5:$A$46,$C135,BONUS_RULES!$B$5:$B$46,"PCS Score"),0)))</f>
        <v>0.15</v>
      </c>
      <c r="I135" s="10">
        <f>IF(OR($A135="",$D135&lt;&gt;"READY"),"",IF(AGENT_INPUT!H135&gt;=SUMIFS(BONUS_RULES!$E$5:$E$46,BONUS_RULES!$A$5:$A$46,$C135,BONUS_RULES!$B$5:$B$46,"PCS % (Participation)"),SUMIFS(BONUS_RULES!$D$5:$D$46,BONUS_RULES!$A$5:$A$46,$C135,BONUS_RULES!$B$5:$B$46,"PCS % (Participation)"),IF(AGENT_INPUT!H135&gt;=SUMIFS(BONUS_RULES!$G$5:$G$46,BONUS_RULES!$A$5:$A$46,$C135,BONUS_RULES!$B$5:$B$46,"PCS % (Participation)"),SUMIFS(BONUS_RULES!$F$5:$F$46,BONUS_RULES!$A$5:$A$46,$C135,BONUS_RULES!$B$5:$B$46,"PCS % (Participation)"),0)))</f>
        <v>0.0</v>
      </c>
      <c r="J135" s="10">
        <f>IF(OR($A135="",$D135&lt;&gt;"READY"),"",IF(AGENT_INPUT!I135&gt;=SUMIFS(BONUS_RULES!$E$5:$E$46,BONUS_RULES!$A$5:$A$46,$C135,BONUS_RULES!$B$5:$B$46,"QM"),SUMIFS(BONUS_RULES!$D$5:$D$46,BONUS_RULES!$A$5:$A$46,$C135,BONUS_RULES!$B$5:$B$46,"QM"),IF(AGENT_INPUT!I135&gt;=SUMIFS(BONUS_RULES!$G$5:$G$46,BONUS_RULES!$A$5:$A$46,$C135,BONUS_RULES!$B$5:$B$46,"QM"),SUMIFS(BONUS_RULES!$F$5:$F$46,BONUS_RULES!$A$5:$A$46,$C135,BONUS_RULES!$B$5:$B$46,"QM"),0)))</f>
        <v>0.0</v>
      </c>
      <c r="K135" s="10">
        <f>IF(POLICY_APPROVAL!$B$9="Eligibility only",0,IF(OR($A135="",$D135&lt;&gt;"READY"),"",IF(AGENT_INPUT!J135&lt;=SUMIFS(BONUS_RULES!$E$5:$E$46,BONUS_RULES!$A$5:$A$46,$C135,BONUS_RULES!$B$5:$B$46,"Abs%"),SUMIFS(BONUS_RULES!$D$5:$D$46,BONUS_RULES!$A$5:$A$46,$C135,BONUS_RULES!$B$5:$B$46,"Abs%"),IF(AGENT_INPUT!J135&lt;=SUMIFS(BONUS_RULES!$G$5:$G$46,BONUS_RULES!$A$5:$A$46,$C135,BONUS_RULES!$B$5:$B$46,"Abs%"),SUMIFS(BONUS_RULES!$F$5:$F$46,BONUS_RULES!$A$5:$A$46,$C135,BONUS_RULES!$B$5:$B$46,"Abs%"),0))))</f>
        <v>0.15</v>
      </c>
      <c r="L135" s="10">
        <f>IF(OR($A135="",$D135&lt;&gt;"READY"),"",IF(AGENT_INPUT!G135&gt;=SUMIFS(BONUS_RULES!$E$5:$E$46,BONUS_RULES!$A$5:$A$46,$C135,BONUS_RULES!$B$5:$B$46,"Extra Bonus (PCS Score)"),SUMIFS(BONUS_RULES!$D$5:$D$46,BONUS_RULES!$A$5:$A$46,$C135,BONUS_RULES!$B$5:$B$46,"Extra Bonus (PCS Score)"),IF(AGENT_INPUT!G135&gt;=SUMIFS(BONUS_RULES!$G$5:$G$46,BONUS_RULES!$A$5:$A$46,$C135,BONUS_RULES!$B$5:$B$46,"Extra Bonus (PCS Score)"),SUMIFS(BONUS_RULES!$F$5:$F$46,BONUS_RULES!$A$5:$A$46,$C135,BONUS_RULES!$B$5:$B$46,"Extra Bonus (PCS Score)"),0)))</f>
        <v>0.0</v>
      </c>
      <c r="M135" s="10">
        <f>IF($A135="","",MIN(IF(POLICY_APPROVAL!$B$6="Replacement",SUM(F135:K135)-H135+MAX(H135,L135),SUM(F135:L135)),POLICY_APPROVAL!$B$10))</f>
        <v>0.6</v>
      </c>
      <c r="N135" s="10">
        <f>IF($A135="","",IFERROR(INDEX(BONUS_RULES!$J$5:$J$10,MATCH(MIN(MAX(AGENT_INPUT!K135,0),5),BONUS_RULES!$I$5:$I$10,0)),1))</f>
        <v>0</v>
      </c>
      <c r="O135" s="10">
        <f>IF(M135="","",MAX(0,IF(POLICY_APPROVAL!$B$5="Percentage points",M135-N135,M135*(1-N135))))</f>
        <v>0.6</v>
      </c>
      <c r="P135" s="11">
        <f>IF(D135&lt;&gt;"READY","",IF(AGENT_INPUT!O135&gt;0,AGENT_INPUT!O135,AGENT_INPUT!M135*AGENT_INPUT!N135/IF(POLICY_APPROVAL!$B$7="Annual",12,1)))</f>
        <v>2000.0</v>
      </c>
      <c r="Q135" s="10">
        <f>IF(D135&lt;&gt;"READY","",MIN(1,AGENT_INPUT!P135/AGENT_INPUT!Q135))</f>
        <v>1.0</v>
      </c>
      <c r="R135" s="11">
        <f>IF(D135&lt;&gt;"READY","",ROUND(P135*Q135*O135,IF(POLICY_APPROVAL!$B$11="Whole MAD",0,2)))</f>
        <v>1200.0</v>
      </c>
      <c r="S135" s="11">
        <f>IF(AND(SETUP!$B$9="READY",T135="READY"),R135,"")</f>
        <v/>
      </c>
      <c r="T135" s="4" t="str">
        <f>IF($A135="","",IF(D135&lt;&gt;"READY","BLOCKED - INPUT",IF(E135&lt;&gt;"ELIGIBLE","BLOCKED - ELIGIBILITY",IF(AGENT_INPUT!S135&lt;&gt;"VALIDATED","BLOCKED - DATA",IF(SETUP!$B$9&lt;&gt;"READY","BLOCKED - POLICY","READY")))))</f>
        <v>BLOCKED - ELIGIBILITY</v>
      </c>
      <c r="U135" s="4" t="str">
        <f>IF($A135="","",IF(COUNTIFS(AGENT_INPUT!$A$5:$A$254,$A135,AGENT_INPUT!$D$5:$D$254,AGENT_INPUT!D135)&gt;1,"DUPLICATE AGENT + PERIOD",IF(D135&lt;&gt;"READY","INPUT OR CONFIG REVIEW",IF(T135&lt;&gt;"READY",T135,""))))</f>
        <v>BLOCKED - ELIGIBILITY</v>
      </c>
    </row>
    <row r="136" spans="1:21">
      <c r="A136" s="4">
        <f>IF(AGENT_INPUT!A136="","",AGENT_INPUT!A136)</f>
        <v>104456</v>
      </c>
      <c r="B136" s="4" t="str">
        <f>IF($A136="","",AGENT_INPUT!B136)</f>
        <v>AL GAMOUS Dounya</v>
      </c>
      <c r="C136" s="4" t="str">
        <f>IF($A136="","",AGENT_INPUT!C136)</f>
        <v>RSA NL</v>
      </c>
      <c r="D136" s="4" t="str">
        <f>IF($A136="","",IF(AND(COUNT(AGENT_INPUT!E136:J136)=6,COUNT(AGENT_INPUT!K136)=1,COUNTIF(BONUS_RULES!$A$5:$A$46,AGENT_INPUT!C136)&gt;0,OR(AGENT_INPUT!O136&gt;0,AND(AGENT_INPUT!M136&gt;0,AGENT_INPUT!N136&gt;0)),AGENT_INPUT!P136&gt;=0,AGENT_INPUT!Q136&gt;0,AGENT_INPUT!P136&lt;=AGENT_INPUT!Q136,AGENT_INPUT!H136&gt;=0,AGENT_INPUT!H136&lt;=1,AGENT_INPUT!I136&gt;=0,AGENT_INPUT!I136&lt;=1,AGENT_INPUT!J136&gt;=0,AGENT_INPUT!J136&lt;=1),"READY","BLOCKED"))</f>
        <v>READY</v>
      </c>
      <c r="E136" s="4" t="str">
        <f>IF($A136="","",IF(AGENT_INPUT!R136&lt;&gt;"Active","REVIEW",IF(OR(POLICY_APPROVAL!$B$9="Eligibility only",POLICY_APPROVAL!$B$9="Both"),IF(AGENT_INPUT!J136&lt;=SUMIFS(BONUS_RULES!$E$5:$E$46,BONUS_RULES!$A$5:$A$46,$C136,BONUS_RULES!$B$5:$B$46,"Abs%"),"ELIGIBLE","INELIGIBLE ABS"),"ELIGIBLE")))</f>
        <v>REVIEW</v>
      </c>
      <c r="F136" s="10">
        <f>IF(OR($A136="",$D136&lt;&gt;"READY"),"",IF(AGENT_INPUT!E136&lt;=SUMIFS(BONUS_RULES!$E$5:$E$46,BONUS_RULES!$A$5:$A$46,$C136,BONUS_RULES!$B$5:$B$46,"AHT"),SUMIFS(BONUS_RULES!$D$5:$D$46,BONUS_RULES!$A$5:$A$46,$C136,BONUS_RULES!$B$5:$B$46,"AHT"),IF(AGENT_INPUT!E136&lt;=SUMIFS(BONUS_RULES!$G$5:$G$46,BONUS_RULES!$A$5:$A$46,$C136,BONUS_RULES!$B$5:$B$46,"AHT"),SUMIFS(BONUS_RULES!$F$5:$F$46,BONUS_RULES!$A$5:$A$46,$C136,BONUS_RULES!$B$5:$B$46,"AHT"),0)))</f>
        <v>0.15</v>
      </c>
      <c r="G136" s="10">
        <f>IF(OR($A136="",$D136&lt;&gt;"READY"),"",IF(AGENT_INPUT!F136&gt;=SUMIFS(BONUS_RULES!$E$5:$E$46,BONUS_RULES!$A$5:$A$46,$C136,BONUS_RULES!$B$5:$B$46,"Productivity"),SUMIFS(BONUS_RULES!$D$5:$D$46,BONUS_RULES!$A$5:$A$46,$C136,BONUS_RULES!$B$5:$B$46,"Productivity"),IF(AGENT_INPUT!F136&gt;=SUMIFS(BONUS_RULES!$G$5:$G$46,BONUS_RULES!$A$5:$A$46,$C136,BONUS_RULES!$B$5:$B$46,"Productivity"),SUMIFS(BONUS_RULES!$F$5:$F$46,BONUS_RULES!$A$5:$A$46,$C136,BONUS_RULES!$B$5:$B$46,"Productivity"),0)))</f>
        <v>0.15</v>
      </c>
      <c r="H136" s="10">
        <f>IF(OR($A136="",$D136&lt;&gt;"READY"),"",IF(AGENT_INPUT!G136&gt;=SUMIFS(BONUS_RULES!$E$5:$E$46,BONUS_RULES!$A$5:$A$46,$C136,BONUS_RULES!$B$5:$B$46,"PCS Score"),SUMIFS(BONUS_RULES!$D$5:$D$46,BONUS_RULES!$A$5:$A$46,$C136,BONUS_RULES!$B$5:$B$46,"PCS Score"),IF(AGENT_INPUT!G136&gt;=SUMIFS(BONUS_RULES!$G$5:$G$46,BONUS_RULES!$A$5:$A$46,$C136,BONUS_RULES!$B$5:$B$46,"PCS Score"),SUMIFS(BONUS_RULES!$F$5:$F$46,BONUS_RULES!$A$5:$A$46,$C136,BONUS_RULES!$B$5:$B$46,"PCS Score"),0)))</f>
        <v>0.0</v>
      </c>
      <c r="I136" s="10">
        <f>IF(OR($A136="",$D136&lt;&gt;"READY"),"",IF(AGENT_INPUT!H136&gt;=SUMIFS(BONUS_RULES!$E$5:$E$46,BONUS_RULES!$A$5:$A$46,$C136,BONUS_RULES!$B$5:$B$46,"PCS % (Participation)"),SUMIFS(BONUS_RULES!$D$5:$D$46,BONUS_RULES!$A$5:$A$46,$C136,BONUS_RULES!$B$5:$B$46,"PCS % (Participation)"),IF(AGENT_INPUT!H136&gt;=SUMIFS(BONUS_RULES!$G$5:$G$46,BONUS_RULES!$A$5:$A$46,$C136,BONUS_RULES!$B$5:$B$46,"PCS % (Participation)"),SUMIFS(BONUS_RULES!$F$5:$F$46,BONUS_RULES!$A$5:$A$46,$C136,BONUS_RULES!$B$5:$B$46,"PCS % (Participation)"),0)))</f>
        <v>0.0</v>
      </c>
      <c r="J136" s="10">
        <f>IF(OR($A136="",$D136&lt;&gt;"READY"),"",IF(AGENT_INPUT!I136&gt;=SUMIFS(BONUS_RULES!$E$5:$E$46,BONUS_RULES!$A$5:$A$46,$C136,BONUS_RULES!$B$5:$B$46,"QM"),SUMIFS(BONUS_RULES!$D$5:$D$46,BONUS_RULES!$A$5:$A$46,$C136,BONUS_RULES!$B$5:$B$46,"QM"),IF(AGENT_INPUT!I136&gt;=SUMIFS(BONUS_RULES!$G$5:$G$46,BONUS_RULES!$A$5:$A$46,$C136,BONUS_RULES!$B$5:$B$46,"QM"),SUMIFS(BONUS_RULES!$F$5:$F$46,BONUS_RULES!$A$5:$A$46,$C136,BONUS_RULES!$B$5:$B$46,"QM"),0)))</f>
        <v>0.2</v>
      </c>
      <c r="K136" s="10">
        <f>IF(POLICY_APPROVAL!$B$9="Eligibility only",0,IF(OR($A136="",$D136&lt;&gt;"READY"),"",IF(AGENT_INPUT!J136&lt;=SUMIFS(BONUS_RULES!$E$5:$E$46,BONUS_RULES!$A$5:$A$46,$C136,BONUS_RULES!$B$5:$B$46,"Abs%"),SUMIFS(BONUS_RULES!$D$5:$D$46,BONUS_RULES!$A$5:$A$46,$C136,BONUS_RULES!$B$5:$B$46,"Abs%"),IF(AGENT_INPUT!J136&lt;=SUMIFS(BONUS_RULES!$G$5:$G$46,BONUS_RULES!$A$5:$A$46,$C136,BONUS_RULES!$B$5:$B$46,"Abs%"),SUMIFS(BONUS_RULES!$F$5:$F$46,BONUS_RULES!$A$5:$A$46,$C136,BONUS_RULES!$B$5:$B$46,"Abs%"),0))))</f>
        <v>0.15</v>
      </c>
      <c r="L136" s="10">
        <f>IF(OR($A136="",$D136&lt;&gt;"READY"),"",IF(AGENT_INPUT!G136&gt;=SUMIFS(BONUS_RULES!$E$5:$E$46,BONUS_RULES!$A$5:$A$46,$C136,BONUS_RULES!$B$5:$B$46,"Extra Bonus (PCS Score)"),SUMIFS(BONUS_RULES!$D$5:$D$46,BONUS_RULES!$A$5:$A$46,$C136,BONUS_RULES!$B$5:$B$46,"Extra Bonus (PCS Score)"),IF(AGENT_INPUT!G136&gt;=SUMIFS(BONUS_RULES!$G$5:$G$46,BONUS_RULES!$A$5:$A$46,$C136,BONUS_RULES!$B$5:$B$46,"Extra Bonus (PCS Score)"),SUMIFS(BONUS_RULES!$F$5:$F$46,BONUS_RULES!$A$5:$A$46,$C136,BONUS_RULES!$B$5:$B$46,"Extra Bonus (PCS Score)"),0)))</f>
        <v>0.0</v>
      </c>
      <c r="M136" s="10">
        <f>IF($A136="","",MIN(IF(POLICY_APPROVAL!$B$6="Replacement",SUM(F136:K136)-H136+MAX(H136,L136),SUM(F136:L136)),POLICY_APPROVAL!$B$10))</f>
        <v>0.65</v>
      </c>
      <c r="N136" s="10">
        <f>IF($A136="","",IFERROR(INDEX(BONUS_RULES!$J$5:$J$10,MATCH(MIN(MAX(AGENT_INPUT!K136,0),5),BONUS_RULES!$I$5:$I$10,0)),1))</f>
        <v>0</v>
      </c>
      <c r="O136" s="10">
        <f>IF(M136="","",MAX(0,IF(POLICY_APPROVAL!$B$5="Percentage points",M136-N136,M136*(1-N136))))</f>
        <v>0.65</v>
      </c>
      <c r="P136" s="11">
        <f>IF(D136&lt;&gt;"READY","",IF(AGENT_INPUT!O136&gt;0,AGENT_INPUT!O136,AGENT_INPUT!M136*AGENT_INPUT!N136/IF(POLICY_APPROVAL!$B$7="Annual",12,1)))</f>
        <v>2000.0</v>
      </c>
      <c r="Q136" s="10">
        <f>IF(D136&lt;&gt;"READY","",MIN(1,AGENT_INPUT!P136/AGENT_INPUT!Q136))</f>
        <v>1.0</v>
      </c>
      <c r="R136" s="11">
        <f>IF(D136&lt;&gt;"READY","",ROUND(P136*Q136*O136,IF(POLICY_APPROVAL!$B$11="Whole MAD",0,2)))</f>
        <v>1300.0</v>
      </c>
      <c r="S136" s="11">
        <f>IF(AND(SETUP!$B$9="READY",T136="READY"),R136,"")</f>
        <v/>
      </c>
      <c r="T136" s="4" t="str">
        <f>IF($A136="","",IF(D136&lt;&gt;"READY","BLOCKED - INPUT",IF(E136&lt;&gt;"ELIGIBLE","BLOCKED - ELIGIBILITY",IF(AGENT_INPUT!S136&lt;&gt;"VALIDATED","BLOCKED - DATA",IF(SETUP!$B$9&lt;&gt;"READY","BLOCKED - POLICY","READY")))))</f>
        <v>BLOCKED - ELIGIBILITY</v>
      </c>
      <c r="U136" s="4" t="str">
        <f>IF($A136="","",IF(COUNTIFS(AGENT_INPUT!$A$5:$A$254,$A136,AGENT_INPUT!$D$5:$D$254,AGENT_INPUT!D136)&gt;1,"DUPLICATE AGENT + PERIOD",IF(D136&lt;&gt;"READY","INPUT OR CONFIG REVIEW",IF(T136&lt;&gt;"READY",T136,""))))</f>
        <v>BLOCKED - ELIGIBILITY</v>
      </c>
    </row>
    <row r="137" spans="1:21">
      <c r="A137" s="4">
        <f>IF(AGENT_INPUT!A137="","",AGENT_INPUT!A137)</f>
        <v>203636</v>
      </c>
      <c r="B137" s="4" t="str">
        <f>IF($A137="","",AGENT_INPUT!B137)</f>
        <v>Dembah Cheikh</v>
      </c>
      <c r="C137" s="4" t="str">
        <f>IF($A137="","",AGENT_INPUT!C137)</f>
        <v>OEM FR</v>
      </c>
      <c r="D137" s="4" t="str">
        <f>IF($A137="","",IF(AND(COUNT(AGENT_INPUT!E137:J137)=6,COUNT(AGENT_INPUT!K137)=1,COUNTIF(BONUS_RULES!$A$5:$A$46,AGENT_INPUT!C137)&gt;0,OR(AGENT_INPUT!O137&gt;0,AND(AGENT_INPUT!M137&gt;0,AGENT_INPUT!N137&gt;0)),AGENT_INPUT!P137&gt;=0,AGENT_INPUT!Q137&gt;0,AGENT_INPUT!P137&lt;=AGENT_INPUT!Q137,AGENT_INPUT!H137&gt;=0,AGENT_INPUT!H137&lt;=1,AGENT_INPUT!I137&gt;=0,AGENT_INPUT!I137&lt;=1,AGENT_INPUT!J137&gt;=0,AGENT_INPUT!J137&lt;=1),"READY","BLOCKED"))</f>
        <v>READY</v>
      </c>
      <c r="E137" s="4" t="str">
        <f>IF($A137="","",IF(AGENT_INPUT!R137&lt;&gt;"Active","REVIEW",IF(OR(POLICY_APPROVAL!$B$9="Eligibility only",POLICY_APPROVAL!$B$9="Both"),IF(AGENT_INPUT!J137&lt;=SUMIFS(BONUS_RULES!$E$5:$E$46,BONUS_RULES!$A$5:$A$46,$C137,BONUS_RULES!$B$5:$B$46,"Abs%"),"ELIGIBLE","INELIGIBLE ABS"),"ELIGIBLE")))</f>
        <v>REVIEW</v>
      </c>
      <c r="F137" s="10">
        <f>IF(OR($A137="",$D137&lt;&gt;"READY"),"",IF(AGENT_INPUT!E137&lt;=SUMIFS(BONUS_RULES!$E$5:$E$46,BONUS_RULES!$A$5:$A$46,$C137,BONUS_RULES!$B$5:$B$46,"AHT"),SUMIFS(BONUS_RULES!$D$5:$D$46,BONUS_RULES!$A$5:$A$46,$C137,BONUS_RULES!$B$5:$B$46,"AHT"),IF(AGENT_INPUT!E137&lt;=SUMIFS(BONUS_RULES!$G$5:$G$46,BONUS_RULES!$A$5:$A$46,$C137,BONUS_RULES!$B$5:$B$46,"AHT"),SUMIFS(BONUS_RULES!$F$5:$F$46,BONUS_RULES!$A$5:$A$46,$C137,BONUS_RULES!$B$5:$B$46,"AHT"),0)))</f>
        <v>0.0</v>
      </c>
      <c r="G137" s="10">
        <f>IF(OR($A137="",$D137&lt;&gt;"READY"),"",IF(AGENT_INPUT!F137&gt;=SUMIFS(BONUS_RULES!$E$5:$E$46,BONUS_RULES!$A$5:$A$46,$C137,BONUS_RULES!$B$5:$B$46,"Productivity"),SUMIFS(BONUS_RULES!$D$5:$D$46,BONUS_RULES!$A$5:$A$46,$C137,BONUS_RULES!$B$5:$B$46,"Productivity"),IF(AGENT_INPUT!F137&gt;=SUMIFS(BONUS_RULES!$G$5:$G$46,BONUS_RULES!$A$5:$A$46,$C137,BONUS_RULES!$B$5:$B$46,"Productivity"),SUMIFS(BONUS_RULES!$F$5:$F$46,BONUS_RULES!$A$5:$A$46,$C137,BONUS_RULES!$B$5:$B$46,"Productivity"),0)))</f>
        <v>0.0</v>
      </c>
      <c r="H137" s="10">
        <f>IF(OR($A137="",$D137&lt;&gt;"READY"),"",IF(AGENT_INPUT!G137&gt;=SUMIFS(BONUS_RULES!$E$5:$E$46,BONUS_RULES!$A$5:$A$46,$C137,BONUS_RULES!$B$5:$B$46,"PCS Score"),SUMIFS(BONUS_RULES!$D$5:$D$46,BONUS_RULES!$A$5:$A$46,$C137,BONUS_RULES!$B$5:$B$46,"PCS Score"),IF(AGENT_INPUT!G137&gt;=SUMIFS(BONUS_RULES!$G$5:$G$46,BONUS_RULES!$A$5:$A$46,$C137,BONUS_RULES!$B$5:$B$46,"PCS Score"),SUMIFS(BONUS_RULES!$F$5:$F$46,BONUS_RULES!$A$5:$A$46,$C137,BONUS_RULES!$B$5:$B$46,"PCS Score"),0)))</f>
        <v>0.2</v>
      </c>
      <c r="I137" s="10">
        <f>IF(OR($A137="",$D137&lt;&gt;"READY"),"",IF(AGENT_INPUT!H137&gt;=SUMIFS(BONUS_RULES!$E$5:$E$46,BONUS_RULES!$A$5:$A$46,$C137,BONUS_RULES!$B$5:$B$46,"PCS % (Participation)"),SUMIFS(BONUS_RULES!$D$5:$D$46,BONUS_RULES!$A$5:$A$46,$C137,BONUS_RULES!$B$5:$B$46,"PCS % (Participation)"),IF(AGENT_INPUT!H137&gt;=SUMIFS(BONUS_RULES!$G$5:$G$46,BONUS_RULES!$A$5:$A$46,$C137,BONUS_RULES!$B$5:$B$46,"PCS % (Participation)"),SUMIFS(BONUS_RULES!$F$5:$F$46,BONUS_RULES!$A$5:$A$46,$C137,BONUS_RULES!$B$5:$B$46,"PCS % (Participation)"),0)))</f>
        <v>0.0</v>
      </c>
      <c r="J137" s="10">
        <f>IF(OR($A137="",$D137&lt;&gt;"READY"),"",IF(AGENT_INPUT!I137&gt;=SUMIFS(BONUS_RULES!$E$5:$E$46,BONUS_RULES!$A$5:$A$46,$C137,BONUS_RULES!$B$5:$B$46,"QM"),SUMIFS(BONUS_RULES!$D$5:$D$46,BONUS_RULES!$A$5:$A$46,$C137,BONUS_RULES!$B$5:$B$46,"QM"),IF(AGENT_INPUT!I137&gt;=SUMIFS(BONUS_RULES!$G$5:$G$46,BONUS_RULES!$A$5:$A$46,$C137,BONUS_RULES!$B$5:$B$46,"QM"),SUMIFS(BONUS_RULES!$F$5:$F$46,BONUS_RULES!$A$5:$A$46,$C137,BONUS_RULES!$B$5:$B$46,"QM"),0)))</f>
        <v>0.0</v>
      </c>
      <c r="K137" s="10">
        <f>IF(POLICY_APPROVAL!$B$9="Eligibility only",0,IF(OR($A137="",$D137&lt;&gt;"READY"),"",IF(AGENT_INPUT!J137&lt;=SUMIFS(BONUS_RULES!$E$5:$E$46,BONUS_RULES!$A$5:$A$46,$C137,BONUS_RULES!$B$5:$B$46,"Abs%"),SUMIFS(BONUS_RULES!$D$5:$D$46,BONUS_RULES!$A$5:$A$46,$C137,BONUS_RULES!$B$5:$B$46,"Abs%"),IF(AGENT_INPUT!J137&lt;=SUMIFS(BONUS_RULES!$G$5:$G$46,BONUS_RULES!$A$5:$A$46,$C137,BONUS_RULES!$B$5:$B$46,"Abs%"),SUMIFS(BONUS_RULES!$F$5:$F$46,BONUS_RULES!$A$5:$A$46,$C137,BONUS_RULES!$B$5:$B$46,"Abs%"),0))))</f>
        <v>0.15</v>
      </c>
      <c r="L137" s="10">
        <f>IF(OR($A137="",$D137&lt;&gt;"READY"),"",IF(AGENT_INPUT!G137&gt;=SUMIFS(BONUS_RULES!$E$5:$E$46,BONUS_RULES!$A$5:$A$46,$C137,BONUS_RULES!$B$5:$B$46,"Extra Bonus (PCS Score)"),SUMIFS(BONUS_RULES!$D$5:$D$46,BONUS_RULES!$A$5:$A$46,$C137,BONUS_RULES!$B$5:$B$46,"Extra Bonus (PCS Score)"),IF(AGENT_INPUT!G137&gt;=SUMIFS(BONUS_RULES!$G$5:$G$46,BONUS_RULES!$A$5:$A$46,$C137,BONUS_RULES!$B$5:$B$46,"Extra Bonus (PCS Score)"),SUMIFS(BONUS_RULES!$F$5:$F$46,BONUS_RULES!$A$5:$A$46,$C137,BONUS_RULES!$B$5:$B$46,"Extra Bonus (PCS Score)"),0)))</f>
        <v>0.3</v>
      </c>
      <c r="M137" s="10">
        <f>IF($A137="","",MIN(IF(POLICY_APPROVAL!$B$6="Replacement",SUM(F137:K137)-H137+MAX(H137,L137),SUM(F137:L137)),POLICY_APPROVAL!$B$10))</f>
        <v>0.6499999999999999</v>
      </c>
      <c r="N137" s="10">
        <f>IF($A137="","",IFERROR(INDEX(BONUS_RULES!$J$5:$J$10,MATCH(MIN(MAX(AGENT_INPUT!K137,0),5),BONUS_RULES!$I$5:$I$10,0)),1))</f>
        <v>0</v>
      </c>
      <c r="O137" s="10">
        <f>IF(M137="","",MAX(0,IF(POLICY_APPROVAL!$B$5="Percentage points",M137-N137,M137*(1-N137))))</f>
        <v>0.6499999999999999</v>
      </c>
      <c r="P137" s="11">
        <f>IF(D137&lt;&gt;"READY","",IF(AGENT_INPUT!O137&gt;0,AGENT_INPUT!O137,AGENT_INPUT!M137*AGENT_INPUT!N137/IF(POLICY_APPROVAL!$B$7="Annual",12,1)))</f>
        <v>2000.0</v>
      </c>
      <c r="Q137" s="10">
        <f>IF(D137&lt;&gt;"READY","",MIN(1,AGENT_INPUT!P137/AGENT_INPUT!Q137))</f>
        <v>1.0</v>
      </c>
      <c r="R137" s="11">
        <f>IF(D137&lt;&gt;"READY","",ROUND(P137*Q137*O137,IF(POLICY_APPROVAL!$B$11="Whole MAD",0,2)))</f>
        <v>1300.0</v>
      </c>
      <c r="S137" s="11">
        <f>IF(AND(SETUP!$B$9="READY",T137="READY"),R137,"")</f>
        <v/>
      </c>
      <c r="T137" s="4" t="str">
        <f>IF($A137="","",IF(D137&lt;&gt;"READY","BLOCKED - INPUT",IF(E137&lt;&gt;"ELIGIBLE","BLOCKED - ELIGIBILITY",IF(AGENT_INPUT!S137&lt;&gt;"VALIDATED","BLOCKED - DATA",IF(SETUP!$B$9&lt;&gt;"READY","BLOCKED - POLICY","READY")))))</f>
        <v>BLOCKED - ELIGIBILITY</v>
      </c>
      <c r="U137" s="4" t="str">
        <f>IF($A137="","",IF(COUNTIFS(AGENT_INPUT!$A$5:$A$254,$A137,AGENT_INPUT!$D$5:$D$254,AGENT_INPUT!D137)&gt;1,"DUPLICATE AGENT + PERIOD",IF(D137&lt;&gt;"READY","INPUT OR CONFIG REVIEW",IF(T137&lt;&gt;"READY",T137,""))))</f>
        <v>BLOCKED - ELIGIBILITY</v>
      </c>
    </row>
    <row r="138" spans="1:21">
      <c r="A138" s="4">
        <f>IF(AGENT_INPUT!A138="","",AGENT_INPUT!A138)</f>
        <v>228670</v>
      </c>
      <c r="B138" s="4" t="str">
        <f>IF($A138="","",AGENT_INPUT!B138)</f>
        <v>Chaimaa Benlaghlimi</v>
      </c>
      <c r="C138" s="4" t="str">
        <f>IF($A138="","",AGENT_INPUT!C138)</f>
        <v>OEM FR</v>
      </c>
      <c r="D138" s="4" t="str">
        <f>IF($A138="","",IF(AND(COUNT(AGENT_INPUT!E138:J138)=6,COUNT(AGENT_INPUT!K138)=1,COUNTIF(BONUS_RULES!$A$5:$A$46,AGENT_INPUT!C138)&gt;0,OR(AGENT_INPUT!O138&gt;0,AND(AGENT_INPUT!M138&gt;0,AGENT_INPUT!N138&gt;0)),AGENT_INPUT!P138&gt;=0,AGENT_INPUT!Q138&gt;0,AGENT_INPUT!P138&lt;=AGENT_INPUT!Q138,AGENT_INPUT!H138&gt;=0,AGENT_INPUT!H138&lt;=1,AGENT_INPUT!I138&gt;=0,AGENT_INPUT!I138&lt;=1,AGENT_INPUT!J138&gt;=0,AGENT_INPUT!J138&lt;=1),"READY","BLOCKED"))</f>
        <v>READY</v>
      </c>
      <c r="E138" s="4" t="str">
        <f>IF($A138="","",IF(AGENT_INPUT!R138&lt;&gt;"Active","REVIEW",IF(OR(POLICY_APPROVAL!$B$9="Eligibility only",POLICY_APPROVAL!$B$9="Both"),IF(AGENT_INPUT!J138&lt;=SUMIFS(BONUS_RULES!$E$5:$E$46,BONUS_RULES!$A$5:$A$46,$C138,BONUS_RULES!$B$5:$B$46,"Abs%"),"ELIGIBLE","INELIGIBLE ABS"),"ELIGIBLE")))</f>
        <v>REVIEW</v>
      </c>
      <c r="F138" s="10">
        <f>IF(OR($A138="",$D138&lt;&gt;"READY"),"",IF(AGENT_INPUT!E138&lt;=SUMIFS(BONUS_RULES!$E$5:$E$46,BONUS_RULES!$A$5:$A$46,$C138,BONUS_RULES!$B$5:$B$46,"AHT"),SUMIFS(BONUS_RULES!$D$5:$D$46,BONUS_RULES!$A$5:$A$46,$C138,BONUS_RULES!$B$5:$B$46,"AHT"),IF(AGENT_INPUT!E138&lt;=SUMIFS(BONUS_RULES!$G$5:$G$46,BONUS_RULES!$A$5:$A$46,$C138,BONUS_RULES!$B$5:$B$46,"AHT"),SUMIFS(BONUS_RULES!$F$5:$F$46,BONUS_RULES!$A$5:$A$46,$C138,BONUS_RULES!$B$5:$B$46,"AHT"),0)))</f>
        <v>0.0</v>
      </c>
      <c r="G138" s="10">
        <f>IF(OR($A138="",$D138&lt;&gt;"READY"),"",IF(AGENT_INPUT!F138&gt;=SUMIFS(BONUS_RULES!$E$5:$E$46,BONUS_RULES!$A$5:$A$46,$C138,BONUS_RULES!$B$5:$B$46,"Productivity"),SUMIFS(BONUS_RULES!$D$5:$D$46,BONUS_RULES!$A$5:$A$46,$C138,BONUS_RULES!$B$5:$B$46,"Productivity"),IF(AGENT_INPUT!F138&gt;=SUMIFS(BONUS_RULES!$G$5:$G$46,BONUS_RULES!$A$5:$A$46,$C138,BONUS_RULES!$B$5:$B$46,"Productivity"),SUMIFS(BONUS_RULES!$F$5:$F$46,BONUS_RULES!$A$5:$A$46,$C138,BONUS_RULES!$B$5:$B$46,"Productivity"),0)))</f>
        <v>0.0</v>
      </c>
      <c r="H138" s="10">
        <f>IF(OR($A138="",$D138&lt;&gt;"READY"),"",IF(AGENT_INPUT!G138&gt;=SUMIFS(BONUS_RULES!$E$5:$E$46,BONUS_RULES!$A$5:$A$46,$C138,BONUS_RULES!$B$5:$B$46,"PCS Score"),SUMIFS(BONUS_RULES!$D$5:$D$46,BONUS_RULES!$A$5:$A$46,$C138,BONUS_RULES!$B$5:$B$46,"PCS Score"),IF(AGENT_INPUT!G138&gt;=SUMIFS(BONUS_RULES!$G$5:$G$46,BONUS_RULES!$A$5:$A$46,$C138,BONUS_RULES!$B$5:$B$46,"PCS Score"),SUMIFS(BONUS_RULES!$F$5:$F$46,BONUS_RULES!$A$5:$A$46,$C138,BONUS_RULES!$B$5:$B$46,"PCS Score"),0)))</f>
        <v>0.0</v>
      </c>
      <c r="I138" s="10">
        <f>IF(OR($A138="",$D138&lt;&gt;"READY"),"",IF(AGENT_INPUT!H138&gt;=SUMIFS(BONUS_RULES!$E$5:$E$46,BONUS_RULES!$A$5:$A$46,$C138,BONUS_RULES!$B$5:$B$46,"PCS % (Participation)"),SUMIFS(BONUS_RULES!$D$5:$D$46,BONUS_RULES!$A$5:$A$46,$C138,BONUS_RULES!$B$5:$B$46,"PCS % (Participation)"),IF(AGENT_INPUT!H138&gt;=SUMIFS(BONUS_RULES!$G$5:$G$46,BONUS_RULES!$A$5:$A$46,$C138,BONUS_RULES!$B$5:$B$46,"PCS % (Participation)"),SUMIFS(BONUS_RULES!$F$5:$F$46,BONUS_RULES!$A$5:$A$46,$C138,BONUS_RULES!$B$5:$B$46,"PCS % (Participation)"),0)))</f>
        <v>0.0</v>
      </c>
      <c r="J138" s="10">
        <f>IF(OR($A138="",$D138&lt;&gt;"READY"),"",IF(AGENT_INPUT!I138&gt;=SUMIFS(BONUS_RULES!$E$5:$E$46,BONUS_RULES!$A$5:$A$46,$C138,BONUS_RULES!$B$5:$B$46,"QM"),SUMIFS(BONUS_RULES!$D$5:$D$46,BONUS_RULES!$A$5:$A$46,$C138,BONUS_RULES!$B$5:$B$46,"QM"),IF(AGENT_INPUT!I138&gt;=SUMIFS(BONUS_RULES!$G$5:$G$46,BONUS_RULES!$A$5:$A$46,$C138,BONUS_RULES!$B$5:$B$46,"QM"),SUMIFS(BONUS_RULES!$F$5:$F$46,BONUS_RULES!$A$5:$A$46,$C138,BONUS_RULES!$B$5:$B$46,"QM"),0)))</f>
        <v>0.0</v>
      </c>
      <c r="K138" s="10">
        <f>IF(POLICY_APPROVAL!$B$9="Eligibility only",0,IF(OR($A138="",$D138&lt;&gt;"READY"),"",IF(AGENT_INPUT!J138&lt;=SUMIFS(BONUS_RULES!$E$5:$E$46,BONUS_RULES!$A$5:$A$46,$C138,BONUS_RULES!$B$5:$B$46,"Abs%"),SUMIFS(BONUS_RULES!$D$5:$D$46,BONUS_RULES!$A$5:$A$46,$C138,BONUS_RULES!$B$5:$B$46,"Abs%"),IF(AGENT_INPUT!J138&lt;=SUMIFS(BONUS_RULES!$G$5:$G$46,BONUS_RULES!$A$5:$A$46,$C138,BONUS_RULES!$B$5:$B$46,"Abs%"),SUMIFS(BONUS_RULES!$F$5:$F$46,BONUS_RULES!$A$5:$A$46,$C138,BONUS_RULES!$B$5:$B$46,"Abs%"),0))))</f>
        <v>0.15</v>
      </c>
      <c r="L138" s="10">
        <f>IF(OR($A138="",$D138&lt;&gt;"READY"),"",IF(AGENT_INPUT!G138&gt;=SUMIFS(BONUS_RULES!$E$5:$E$46,BONUS_RULES!$A$5:$A$46,$C138,BONUS_RULES!$B$5:$B$46,"Extra Bonus (PCS Score)"),SUMIFS(BONUS_RULES!$D$5:$D$46,BONUS_RULES!$A$5:$A$46,$C138,BONUS_RULES!$B$5:$B$46,"Extra Bonus (PCS Score)"),IF(AGENT_INPUT!G138&gt;=SUMIFS(BONUS_RULES!$G$5:$G$46,BONUS_RULES!$A$5:$A$46,$C138,BONUS_RULES!$B$5:$B$46,"Extra Bonus (PCS Score)"),SUMIFS(BONUS_RULES!$F$5:$F$46,BONUS_RULES!$A$5:$A$46,$C138,BONUS_RULES!$B$5:$B$46,"Extra Bonus (PCS Score)"),0)))</f>
        <v>0.0</v>
      </c>
      <c r="M138" s="10">
        <f>IF($A138="","",MIN(IF(POLICY_APPROVAL!$B$6="Replacement",SUM(F138:K138)-H138+MAX(H138,L138),SUM(F138:L138)),POLICY_APPROVAL!$B$10))</f>
        <v>0.15</v>
      </c>
      <c r="N138" s="10">
        <f>IF($A138="","",IFERROR(INDEX(BONUS_RULES!$J$5:$J$10,MATCH(MIN(MAX(AGENT_INPUT!K138,0),5),BONUS_RULES!$I$5:$I$10,0)),1))</f>
        <v>0</v>
      </c>
      <c r="O138" s="10">
        <f>IF(M138="","",MAX(0,IF(POLICY_APPROVAL!$B$5="Percentage points",M138-N138,M138*(1-N138))))</f>
        <v>0.15</v>
      </c>
      <c r="P138" s="11">
        <f>IF(D138&lt;&gt;"READY","",IF(AGENT_INPUT!O138&gt;0,AGENT_INPUT!O138,AGENT_INPUT!M138*AGENT_INPUT!N138/IF(POLICY_APPROVAL!$B$7="Annual",12,1)))</f>
        <v>2000.0</v>
      </c>
      <c r="Q138" s="10">
        <f>IF(D138&lt;&gt;"READY","",MIN(1,AGENT_INPUT!P138/AGENT_INPUT!Q138))</f>
        <v>1.0</v>
      </c>
      <c r="R138" s="11">
        <f>IF(D138&lt;&gt;"READY","",ROUND(P138*Q138*O138,IF(POLICY_APPROVAL!$B$11="Whole MAD",0,2)))</f>
        <v>300.0</v>
      </c>
      <c r="S138" s="11">
        <f>IF(AND(SETUP!$B$9="READY",T138="READY"),R138,"")</f>
        <v/>
      </c>
      <c r="T138" s="4" t="str">
        <f>IF($A138="","",IF(D138&lt;&gt;"READY","BLOCKED - INPUT",IF(E138&lt;&gt;"ELIGIBLE","BLOCKED - ELIGIBILITY",IF(AGENT_INPUT!S138&lt;&gt;"VALIDATED","BLOCKED - DATA",IF(SETUP!$B$9&lt;&gt;"READY","BLOCKED - POLICY","READY")))))</f>
        <v>BLOCKED - ELIGIBILITY</v>
      </c>
      <c r="U138" s="4" t="str">
        <f>IF($A138="","",IF(COUNTIFS(AGENT_INPUT!$A$5:$A$254,$A138,AGENT_INPUT!$D$5:$D$254,AGENT_INPUT!D138)&gt;1,"DUPLICATE AGENT + PERIOD",IF(D138&lt;&gt;"READY","INPUT OR CONFIG REVIEW",IF(T138&lt;&gt;"READY",T138,""))))</f>
        <v>BLOCKED - ELIGIBILITY</v>
      </c>
    </row>
    <row r="139" spans="1:21">
      <c r="A139" s="4">
        <f>IF(AGENT_INPUT!A139="","",AGENT_INPUT!A139)</f>
        <v>224097</v>
      </c>
      <c r="B139" s="4" t="str">
        <f>IF($A139="","",AGENT_INPUT!B139)</f>
        <v>LOUKMAN CHAARA</v>
      </c>
      <c r="C139" s="4" t="str">
        <f>IF($A139="","",AGENT_INPUT!C139)</f>
        <v>RSA NL</v>
      </c>
      <c r="D139" s="4" t="str">
        <f>IF($A139="","",IF(AND(COUNT(AGENT_INPUT!E139:J139)=6,COUNT(AGENT_INPUT!K139)=1,COUNTIF(BONUS_RULES!$A$5:$A$46,AGENT_INPUT!C139)&gt;0,OR(AGENT_INPUT!O139&gt;0,AND(AGENT_INPUT!M139&gt;0,AGENT_INPUT!N139&gt;0)),AGENT_INPUT!P139&gt;=0,AGENT_INPUT!Q139&gt;0,AGENT_INPUT!P139&lt;=AGENT_INPUT!Q139,AGENT_INPUT!H139&gt;=0,AGENT_INPUT!H139&lt;=1,AGENT_INPUT!I139&gt;=0,AGENT_INPUT!I139&lt;=1,AGENT_INPUT!J139&gt;=0,AGENT_INPUT!J139&lt;=1),"READY","BLOCKED"))</f>
        <v>READY</v>
      </c>
      <c r="E139" s="4" t="str">
        <f>IF($A139="","",IF(AGENT_INPUT!R139&lt;&gt;"Active","REVIEW",IF(OR(POLICY_APPROVAL!$B$9="Eligibility only",POLICY_APPROVAL!$B$9="Both"),IF(AGENT_INPUT!J139&lt;=SUMIFS(BONUS_RULES!$E$5:$E$46,BONUS_RULES!$A$5:$A$46,$C139,BONUS_RULES!$B$5:$B$46,"Abs%"),"ELIGIBLE","INELIGIBLE ABS"),"ELIGIBLE")))</f>
        <v>REVIEW</v>
      </c>
      <c r="F139" s="10">
        <f>IF(OR($A139="",$D139&lt;&gt;"READY"),"",IF(AGENT_INPUT!E139&lt;=SUMIFS(BONUS_RULES!$E$5:$E$46,BONUS_RULES!$A$5:$A$46,$C139,BONUS_RULES!$B$5:$B$46,"AHT"),SUMIFS(BONUS_RULES!$D$5:$D$46,BONUS_RULES!$A$5:$A$46,$C139,BONUS_RULES!$B$5:$B$46,"AHT"),IF(AGENT_INPUT!E139&lt;=SUMIFS(BONUS_RULES!$G$5:$G$46,BONUS_RULES!$A$5:$A$46,$C139,BONUS_RULES!$B$5:$B$46,"AHT"),SUMIFS(BONUS_RULES!$F$5:$F$46,BONUS_RULES!$A$5:$A$46,$C139,BONUS_RULES!$B$5:$B$46,"AHT"),0)))</f>
        <v>0.15</v>
      </c>
      <c r="G139" s="10">
        <f>IF(OR($A139="",$D139&lt;&gt;"READY"),"",IF(AGENT_INPUT!F139&gt;=SUMIFS(BONUS_RULES!$E$5:$E$46,BONUS_RULES!$A$5:$A$46,$C139,BONUS_RULES!$B$5:$B$46,"Productivity"),SUMIFS(BONUS_RULES!$D$5:$D$46,BONUS_RULES!$A$5:$A$46,$C139,BONUS_RULES!$B$5:$B$46,"Productivity"),IF(AGENT_INPUT!F139&gt;=SUMIFS(BONUS_RULES!$G$5:$G$46,BONUS_RULES!$A$5:$A$46,$C139,BONUS_RULES!$B$5:$B$46,"Productivity"),SUMIFS(BONUS_RULES!$F$5:$F$46,BONUS_RULES!$A$5:$A$46,$C139,BONUS_RULES!$B$5:$B$46,"Productivity"),0)))</f>
        <v>0.15</v>
      </c>
      <c r="H139" s="10">
        <f>IF(OR($A139="",$D139&lt;&gt;"READY"),"",IF(AGENT_INPUT!G139&gt;=SUMIFS(BONUS_RULES!$E$5:$E$46,BONUS_RULES!$A$5:$A$46,$C139,BONUS_RULES!$B$5:$B$46,"PCS Score"),SUMIFS(BONUS_RULES!$D$5:$D$46,BONUS_RULES!$A$5:$A$46,$C139,BONUS_RULES!$B$5:$B$46,"PCS Score"),IF(AGENT_INPUT!G139&gt;=SUMIFS(BONUS_RULES!$G$5:$G$46,BONUS_RULES!$A$5:$A$46,$C139,BONUS_RULES!$B$5:$B$46,"PCS Score"),SUMIFS(BONUS_RULES!$F$5:$F$46,BONUS_RULES!$A$5:$A$46,$C139,BONUS_RULES!$B$5:$B$46,"PCS Score"),0)))</f>
        <v>0.2</v>
      </c>
      <c r="I139" s="10">
        <f>IF(OR($A139="",$D139&lt;&gt;"READY"),"",IF(AGENT_INPUT!H139&gt;=SUMIFS(BONUS_RULES!$E$5:$E$46,BONUS_RULES!$A$5:$A$46,$C139,BONUS_RULES!$B$5:$B$46,"PCS % (Participation)"),SUMIFS(BONUS_RULES!$D$5:$D$46,BONUS_RULES!$A$5:$A$46,$C139,BONUS_RULES!$B$5:$B$46,"PCS % (Participation)"),IF(AGENT_INPUT!H139&gt;=SUMIFS(BONUS_RULES!$G$5:$G$46,BONUS_RULES!$A$5:$A$46,$C139,BONUS_RULES!$B$5:$B$46,"PCS % (Participation)"),SUMIFS(BONUS_RULES!$F$5:$F$46,BONUS_RULES!$A$5:$A$46,$C139,BONUS_RULES!$B$5:$B$46,"PCS % (Participation)"),0)))</f>
        <v>0.0</v>
      </c>
      <c r="J139" s="10">
        <f>IF(OR($A139="",$D139&lt;&gt;"READY"),"",IF(AGENT_INPUT!I139&gt;=SUMIFS(BONUS_RULES!$E$5:$E$46,BONUS_RULES!$A$5:$A$46,$C139,BONUS_RULES!$B$5:$B$46,"QM"),SUMIFS(BONUS_RULES!$D$5:$D$46,BONUS_RULES!$A$5:$A$46,$C139,BONUS_RULES!$B$5:$B$46,"QM"),IF(AGENT_INPUT!I139&gt;=SUMIFS(BONUS_RULES!$G$5:$G$46,BONUS_RULES!$A$5:$A$46,$C139,BONUS_RULES!$B$5:$B$46,"QM"),SUMIFS(BONUS_RULES!$F$5:$F$46,BONUS_RULES!$A$5:$A$46,$C139,BONUS_RULES!$B$5:$B$46,"QM"),0)))</f>
        <v>0.0</v>
      </c>
      <c r="K139" s="10">
        <f>IF(POLICY_APPROVAL!$B$9="Eligibility only",0,IF(OR($A139="",$D139&lt;&gt;"READY"),"",IF(AGENT_INPUT!J139&lt;=SUMIFS(BONUS_RULES!$E$5:$E$46,BONUS_RULES!$A$5:$A$46,$C139,BONUS_RULES!$B$5:$B$46,"Abs%"),SUMIFS(BONUS_RULES!$D$5:$D$46,BONUS_RULES!$A$5:$A$46,$C139,BONUS_RULES!$B$5:$B$46,"Abs%"),IF(AGENT_INPUT!J139&lt;=SUMIFS(BONUS_RULES!$G$5:$G$46,BONUS_RULES!$A$5:$A$46,$C139,BONUS_RULES!$B$5:$B$46,"Abs%"),SUMIFS(BONUS_RULES!$F$5:$F$46,BONUS_RULES!$A$5:$A$46,$C139,BONUS_RULES!$B$5:$B$46,"Abs%"),0))))</f>
        <v>0.15</v>
      </c>
      <c r="L139" s="10">
        <f>IF(OR($A139="",$D139&lt;&gt;"READY"),"",IF(AGENT_INPUT!G139&gt;=SUMIFS(BONUS_RULES!$E$5:$E$46,BONUS_RULES!$A$5:$A$46,$C139,BONUS_RULES!$B$5:$B$46,"Extra Bonus (PCS Score)"),SUMIFS(BONUS_RULES!$D$5:$D$46,BONUS_RULES!$A$5:$A$46,$C139,BONUS_RULES!$B$5:$B$46,"Extra Bonus (PCS Score)"),IF(AGENT_INPUT!G139&gt;=SUMIFS(BONUS_RULES!$G$5:$G$46,BONUS_RULES!$A$5:$A$46,$C139,BONUS_RULES!$B$5:$B$46,"Extra Bonus (PCS Score)"),SUMIFS(BONUS_RULES!$F$5:$F$46,BONUS_RULES!$A$5:$A$46,$C139,BONUS_RULES!$B$5:$B$46,"Extra Bonus (PCS Score)"),0)))</f>
        <v>0.2</v>
      </c>
      <c r="M139" s="10">
        <f>IF($A139="","",MIN(IF(POLICY_APPROVAL!$B$6="Replacement",SUM(F139:K139)-H139+MAX(H139,L139),SUM(F139:L139)),POLICY_APPROVAL!$B$10))</f>
        <v>0.8500000000000001</v>
      </c>
      <c r="N139" s="10">
        <f>IF($A139="","",IFERROR(INDEX(BONUS_RULES!$J$5:$J$10,MATCH(MIN(MAX(AGENT_INPUT!K139,0),5),BONUS_RULES!$I$5:$I$10,0)),1))</f>
        <v>0</v>
      </c>
      <c r="O139" s="10">
        <f>IF(M139="","",MAX(0,IF(POLICY_APPROVAL!$B$5="Percentage points",M139-N139,M139*(1-N139))))</f>
        <v>0.8500000000000001</v>
      </c>
      <c r="P139" s="11">
        <f>IF(D139&lt;&gt;"READY","",IF(AGENT_INPUT!O139&gt;0,AGENT_INPUT!O139,AGENT_INPUT!M139*AGENT_INPUT!N139/IF(POLICY_APPROVAL!$B$7="Annual",12,1)))</f>
        <v>2000.0</v>
      </c>
      <c r="Q139" s="10">
        <f>IF(D139&lt;&gt;"READY","",MIN(1,AGENT_INPUT!P139/AGENT_INPUT!Q139))</f>
        <v>1.0</v>
      </c>
      <c r="R139" s="11">
        <f>IF(D139&lt;&gt;"READY","",ROUND(P139*Q139*O139,IF(POLICY_APPROVAL!$B$11="Whole MAD",0,2)))</f>
        <v>1700.0</v>
      </c>
      <c r="S139" s="11">
        <f>IF(AND(SETUP!$B$9="READY",T139="READY"),R139,"")</f>
        <v/>
      </c>
      <c r="T139" s="4" t="str">
        <f>IF($A139="","",IF(D139&lt;&gt;"READY","BLOCKED - INPUT",IF(E139&lt;&gt;"ELIGIBLE","BLOCKED - ELIGIBILITY",IF(AGENT_INPUT!S139&lt;&gt;"VALIDATED","BLOCKED - DATA",IF(SETUP!$B$9&lt;&gt;"READY","BLOCKED - POLICY","READY")))))</f>
        <v>BLOCKED - ELIGIBILITY</v>
      </c>
      <c r="U139" s="4" t="str">
        <f>IF($A139="","",IF(COUNTIFS(AGENT_INPUT!$A$5:$A$254,$A139,AGENT_INPUT!$D$5:$D$254,AGENT_INPUT!D139)&gt;1,"DUPLICATE AGENT + PERIOD",IF(D139&lt;&gt;"READY","INPUT OR CONFIG REVIEW",IF(T139&lt;&gt;"READY",T139,""))))</f>
        <v>BLOCKED - ELIGIBILITY</v>
      </c>
    </row>
    <row r="140" spans="1:21">
      <c r="A140" s="4">
        <f>IF(AGENT_INPUT!A140="","",AGENT_INPUT!A140)</f>
        <v>96517</v>
      </c>
      <c r="B140" s="4" t="str">
        <f>IF($A140="","",AGENT_INPUT!B140)</f>
        <v>DAOUAYRY Bouchta</v>
      </c>
      <c r="C140" s="4" t="str">
        <f>IF($A140="","",AGENT_INPUT!C140)</f>
        <v>RSA NL</v>
      </c>
      <c r="D140" s="4" t="str">
        <f>IF($A140="","",IF(AND(COUNT(AGENT_INPUT!E140:J140)=6,COUNT(AGENT_INPUT!K140)=1,COUNTIF(BONUS_RULES!$A$5:$A$46,AGENT_INPUT!C140)&gt;0,OR(AGENT_INPUT!O140&gt;0,AND(AGENT_INPUT!M140&gt;0,AGENT_INPUT!N140&gt;0)),AGENT_INPUT!P140&gt;=0,AGENT_INPUT!Q140&gt;0,AGENT_INPUT!P140&lt;=AGENT_INPUT!Q140,AGENT_INPUT!H140&gt;=0,AGENT_INPUT!H140&lt;=1,AGENT_INPUT!I140&gt;=0,AGENT_INPUT!I140&lt;=1,AGENT_INPUT!J140&gt;=0,AGENT_INPUT!J140&lt;=1),"READY","BLOCKED"))</f>
        <v>READY</v>
      </c>
      <c r="E140" s="4" t="str">
        <f>IF($A140="","",IF(AGENT_INPUT!R140&lt;&gt;"Active","REVIEW",IF(OR(POLICY_APPROVAL!$B$9="Eligibility only",POLICY_APPROVAL!$B$9="Both"),IF(AGENT_INPUT!J140&lt;=SUMIFS(BONUS_RULES!$E$5:$E$46,BONUS_RULES!$A$5:$A$46,$C140,BONUS_RULES!$B$5:$B$46,"Abs%"),"ELIGIBLE","INELIGIBLE ABS"),"ELIGIBLE")))</f>
        <v>REVIEW</v>
      </c>
      <c r="F140" s="10">
        <f>IF(OR($A140="",$D140&lt;&gt;"READY"),"",IF(AGENT_INPUT!E140&lt;=SUMIFS(BONUS_RULES!$E$5:$E$46,BONUS_RULES!$A$5:$A$46,$C140,BONUS_RULES!$B$5:$B$46,"AHT"),SUMIFS(BONUS_RULES!$D$5:$D$46,BONUS_RULES!$A$5:$A$46,$C140,BONUS_RULES!$B$5:$B$46,"AHT"),IF(AGENT_INPUT!E140&lt;=SUMIFS(BONUS_RULES!$G$5:$G$46,BONUS_RULES!$A$5:$A$46,$C140,BONUS_RULES!$B$5:$B$46,"AHT"),SUMIFS(BONUS_RULES!$F$5:$F$46,BONUS_RULES!$A$5:$A$46,$C140,BONUS_RULES!$B$5:$B$46,"AHT"),0)))</f>
        <v>0.15</v>
      </c>
      <c r="G140" s="10">
        <f>IF(OR($A140="",$D140&lt;&gt;"READY"),"",IF(AGENT_INPUT!F140&gt;=SUMIFS(BONUS_RULES!$E$5:$E$46,BONUS_RULES!$A$5:$A$46,$C140,BONUS_RULES!$B$5:$B$46,"Productivity"),SUMIFS(BONUS_RULES!$D$5:$D$46,BONUS_RULES!$A$5:$A$46,$C140,BONUS_RULES!$B$5:$B$46,"Productivity"),IF(AGENT_INPUT!F140&gt;=SUMIFS(BONUS_RULES!$G$5:$G$46,BONUS_RULES!$A$5:$A$46,$C140,BONUS_RULES!$B$5:$B$46,"Productivity"),SUMIFS(BONUS_RULES!$F$5:$F$46,BONUS_RULES!$A$5:$A$46,$C140,BONUS_RULES!$B$5:$B$46,"Productivity"),0)))</f>
        <v>0.15</v>
      </c>
      <c r="H140" s="10">
        <f>IF(OR($A140="",$D140&lt;&gt;"READY"),"",IF(AGENT_INPUT!G140&gt;=SUMIFS(BONUS_RULES!$E$5:$E$46,BONUS_RULES!$A$5:$A$46,$C140,BONUS_RULES!$B$5:$B$46,"PCS Score"),SUMIFS(BONUS_RULES!$D$5:$D$46,BONUS_RULES!$A$5:$A$46,$C140,BONUS_RULES!$B$5:$B$46,"PCS Score"),IF(AGENT_INPUT!G140&gt;=SUMIFS(BONUS_RULES!$G$5:$G$46,BONUS_RULES!$A$5:$A$46,$C140,BONUS_RULES!$B$5:$B$46,"PCS Score"),SUMIFS(BONUS_RULES!$F$5:$F$46,BONUS_RULES!$A$5:$A$46,$C140,BONUS_RULES!$B$5:$B$46,"PCS Score"),0)))</f>
        <v>0.0</v>
      </c>
      <c r="I140" s="10">
        <f>IF(OR($A140="",$D140&lt;&gt;"READY"),"",IF(AGENT_INPUT!H140&gt;=SUMIFS(BONUS_RULES!$E$5:$E$46,BONUS_RULES!$A$5:$A$46,$C140,BONUS_RULES!$B$5:$B$46,"PCS % (Participation)"),SUMIFS(BONUS_RULES!$D$5:$D$46,BONUS_RULES!$A$5:$A$46,$C140,BONUS_RULES!$B$5:$B$46,"PCS % (Participation)"),IF(AGENT_INPUT!H140&gt;=SUMIFS(BONUS_RULES!$G$5:$G$46,BONUS_RULES!$A$5:$A$46,$C140,BONUS_RULES!$B$5:$B$46,"PCS % (Participation)"),SUMIFS(BONUS_RULES!$F$5:$F$46,BONUS_RULES!$A$5:$A$46,$C140,BONUS_RULES!$B$5:$B$46,"PCS % (Participation)"),0)))</f>
        <v>0.0</v>
      </c>
      <c r="J140" s="10">
        <f>IF(OR($A140="",$D140&lt;&gt;"READY"),"",IF(AGENT_INPUT!I140&gt;=SUMIFS(BONUS_RULES!$E$5:$E$46,BONUS_RULES!$A$5:$A$46,$C140,BONUS_RULES!$B$5:$B$46,"QM"),SUMIFS(BONUS_RULES!$D$5:$D$46,BONUS_RULES!$A$5:$A$46,$C140,BONUS_RULES!$B$5:$B$46,"QM"),IF(AGENT_INPUT!I140&gt;=SUMIFS(BONUS_RULES!$G$5:$G$46,BONUS_RULES!$A$5:$A$46,$C140,BONUS_RULES!$B$5:$B$46,"QM"),SUMIFS(BONUS_RULES!$F$5:$F$46,BONUS_RULES!$A$5:$A$46,$C140,BONUS_RULES!$B$5:$B$46,"QM"),0)))</f>
        <v>0.0</v>
      </c>
      <c r="K140" s="10">
        <f>IF(POLICY_APPROVAL!$B$9="Eligibility only",0,IF(OR($A140="",$D140&lt;&gt;"READY"),"",IF(AGENT_INPUT!J140&lt;=SUMIFS(BONUS_RULES!$E$5:$E$46,BONUS_RULES!$A$5:$A$46,$C140,BONUS_RULES!$B$5:$B$46,"Abs%"),SUMIFS(BONUS_RULES!$D$5:$D$46,BONUS_RULES!$A$5:$A$46,$C140,BONUS_RULES!$B$5:$B$46,"Abs%"),IF(AGENT_INPUT!J140&lt;=SUMIFS(BONUS_RULES!$G$5:$G$46,BONUS_RULES!$A$5:$A$46,$C140,BONUS_RULES!$B$5:$B$46,"Abs%"),SUMIFS(BONUS_RULES!$F$5:$F$46,BONUS_RULES!$A$5:$A$46,$C140,BONUS_RULES!$B$5:$B$46,"Abs%"),0))))</f>
        <v>0.0</v>
      </c>
      <c r="L140" s="10">
        <f>IF(OR($A140="",$D140&lt;&gt;"READY"),"",IF(AGENT_INPUT!G140&gt;=SUMIFS(BONUS_RULES!$E$5:$E$46,BONUS_RULES!$A$5:$A$46,$C140,BONUS_RULES!$B$5:$B$46,"Extra Bonus (PCS Score)"),SUMIFS(BONUS_RULES!$D$5:$D$46,BONUS_RULES!$A$5:$A$46,$C140,BONUS_RULES!$B$5:$B$46,"Extra Bonus (PCS Score)"),IF(AGENT_INPUT!G140&gt;=SUMIFS(BONUS_RULES!$G$5:$G$46,BONUS_RULES!$A$5:$A$46,$C140,BONUS_RULES!$B$5:$B$46,"Extra Bonus (PCS Score)"),SUMIFS(BONUS_RULES!$F$5:$F$46,BONUS_RULES!$A$5:$A$46,$C140,BONUS_RULES!$B$5:$B$46,"Extra Bonus (PCS Score)"),0)))</f>
        <v>0.0</v>
      </c>
      <c r="M140" s="10">
        <f>IF($A140="","",MIN(IF(POLICY_APPROVAL!$B$6="Replacement",SUM(F140:K140)-H140+MAX(H140,L140),SUM(F140:L140)),POLICY_APPROVAL!$B$10))</f>
        <v>0.3</v>
      </c>
      <c r="N140" s="10">
        <f>IF($A140="","",IFERROR(INDEX(BONUS_RULES!$J$5:$J$10,MATCH(MIN(MAX(AGENT_INPUT!K140,0),5),BONUS_RULES!$I$5:$I$10,0)),1))</f>
        <v>0</v>
      </c>
      <c r="O140" s="10">
        <f>IF(M140="","",MAX(0,IF(POLICY_APPROVAL!$B$5="Percentage points",M140-N140,M140*(1-N140))))</f>
        <v>0.3</v>
      </c>
      <c r="P140" s="11">
        <f>IF(D140&lt;&gt;"READY","",IF(AGENT_INPUT!O140&gt;0,AGENT_INPUT!O140,AGENT_INPUT!M140*AGENT_INPUT!N140/IF(POLICY_APPROVAL!$B$7="Annual",12,1)))</f>
        <v>2000.0</v>
      </c>
      <c r="Q140" s="10">
        <f>IF(D140&lt;&gt;"READY","",MIN(1,AGENT_INPUT!P140/AGENT_INPUT!Q140))</f>
        <v>1.0</v>
      </c>
      <c r="R140" s="11">
        <f>IF(D140&lt;&gt;"READY","",ROUND(P140*Q140*O140,IF(POLICY_APPROVAL!$B$11="Whole MAD",0,2)))</f>
        <v>600.0</v>
      </c>
      <c r="S140" s="11">
        <f>IF(AND(SETUP!$B$9="READY",T140="READY"),R140,"")</f>
        <v/>
      </c>
      <c r="T140" s="4" t="str">
        <f>IF($A140="","",IF(D140&lt;&gt;"READY","BLOCKED - INPUT",IF(E140&lt;&gt;"ELIGIBLE","BLOCKED - ELIGIBILITY",IF(AGENT_INPUT!S140&lt;&gt;"VALIDATED","BLOCKED - DATA",IF(SETUP!$B$9&lt;&gt;"READY","BLOCKED - POLICY","READY")))))</f>
        <v>BLOCKED - ELIGIBILITY</v>
      </c>
      <c r="U140" s="4" t="str">
        <f>IF($A140="","",IF(COUNTIFS(AGENT_INPUT!$A$5:$A$254,$A140,AGENT_INPUT!$D$5:$D$254,AGENT_INPUT!D140)&gt;1,"DUPLICATE AGENT + PERIOD",IF(D140&lt;&gt;"READY","INPUT OR CONFIG REVIEW",IF(T140&lt;&gt;"READY",T140,""))))</f>
        <v>BLOCKED - ELIGIBILITY</v>
      </c>
    </row>
    <row r="141" spans="1:21">
      <c r="A141" s="4">
        <f>IF(AGENT_INPUT!A141="","",AGENT_INPUT!A141)</f>
        <v>96520</v>
      </c>
      <c r="B141" s="4" t="str">
        <f>IF($A141="","",AGENT_INPUT!B141)</f>
        <v>TALEB Benyounes</v>
      </c>
      <c r="C141" s="4" t="str">
        <f>IF($A141="","",AGENT_INPUT!C141)</f>
        <v>RSA VL</v>
      </c>
      <c r="D141" s="4" t="str">
        <f>IF($A141="","",IF(AND(COUNT(AGENT_INPUT!E141:J141)=6,COUNT(AGENT_INPUT!K141)=1,COUNTIF(BONUS_RULES!$A$5:$A$46,AGENT_INPUT!C141)&gt;0,OR(AGENT_INPUT!O141&gt;0,AND(AGENT_INPUT!M141&gt;0,AGENT_INPUT!N141&gt;0)),AGENT_INPUT!P141&gt;=0,AGENT_INPUT!Q141&gt;0,AGENT_INPUT!P141&lt;=AGENT_INPUT!Q141,AGENT_INPUT!H141&gt;=0,AGENT_INPUT!H141&lt;=1,AGENT_INPUT!I141&gt;=0,AGENT_INPUT!I141&lt;=1,AGENT_INPUT!J141&gt;=0,AGENT_INPUT!J141&lt;=1),"READY","BLOCKED"))</f>
        <v>READY</v>
      </c>
      <c r="E141" s="4" t="str">
        <f>IF($A141="","",IF(AGENT_INPUT!R141&lt;&gt;"Active","REVIEW",IF(OR(POLICY_APPROVAL!$B$9="Eligibility only",POLICY_APPROVAL!$B$9="Both"),IF(AGENT_INPUT!J141&lt;=SUMIFS(BONUS_RULES!$E$5:$E$46,BONUS_RULES!$A$5:$A$46,$C141,BONUS_RULES!$B$5:$B$46,"Abs%"),"ELIGIBLE","INELIGIBLE ABS"),"ELIGIBLE")))</f>
        <v>REVIEW</v>
      </c>
      <c r="F141" s="10">
        <f>IF(OR($A141="",$D141&lt;&gt;"READY"),"",IF(AGENT_INPUT!E141&lt;=SUMIFS(BONUS_RULES!$E$5:$E$46,BONUS_RULES!$A$5:$A$46,$C141,BONUS_RULES!$B$5:$B$46,"AHT"),SUMIFS(BONUS_RULES!$D$5:$D$46,BONUS_RULES!$A$5:$A$46,$C141,BONUS_RULES!$B$5:$B$46,"AHT"),IF(AGENT_INPUT!E141&lt;=SUMIFS(BONUS_RULES!$G$5:$G$46,BONUS_RULES!$A$5:$A$46,$C141,BONUS_RULES!$B$5:$B$46,"AHT"),SUMIFS(BONUS_RULES!$F$5:$F$46,BONUS_RULES!$A$5:$A$46,$C141,BONUS_RULES!$B$5:$B$46,"AHT"),0)))</f>
        <v>0.15</v>
      </c>
      <c r="G141" s="10">
        <f>IF(OR($A141="",$D141&lt;&gt;"READY"),"",IF(AGENT_INPUT!F141&gt;=SUMIFS(BONUS_RULES!$E$5:$E$46,BONUS_RULES!$A$5:$A$46,$C141,BONUS_RULES!$B$5:$B$46,"Productivity"),SUMIFS(BONUS_RULES!$D$5:$D$46,BONUS_RULES!$A$5:$A$46,$C141,BONUS_RULES!$B$5:$B$46,"Productivity"),IF(AGENT_INPUT!F141&gt;=SUMIFS(BONUS_RULES!$G$5:$G$46,BONUS_RULES!$A$5:$A$46,$C141,BONUS_RULES!$B$5:$B$46,"Productivity"),SUMIFS(BONUS_RULES!$F$5:$F$46,BONUS_RULES!$A$5:$A$46,$C141,BONUS_RULES!$B$5:$B$46,"Productivity"),0)))</f>
        <v>0.15</v>
      </c>
      <c r="H141" s="10">
        <f>IF(OR($A141="",$D141&lt;&gt;"READY"),"",IF(AGENT_INPUT!G141&gt;=SUMIFS(BONUS_RULES!$E$5:$E$46,BONUS_RULES!$A$5:$A$46,$C141,BONUS_RULES!$B$5:$B$46,"PCS Score"),SUMIFS(BONUS_RULES!$D$5:$D$46,BONUS_RULES!$A$5:$A$46,$C141,BONUS_RULES!$B$5:$B$46,"PCS Score"),IF(AGENT_INPUT!G141&gt;=SUMIFS(BONUS_RULES!$G$5:$G$46,BONUS_RULES!$A$5:$A$46,$C141,BONUS_RULES!$B$5:$B$46,"PCS Score"),SUMIFS(BONUS_RULES!$F$5:$F$46,BONUS_RULES!$A$5:$A$46,$C141,BONUS_RULES!$B$5:$B$46,"PCS Score"),0)))</f>
        <v>0.0</v>
      </c>
      <c r="I141" s="10">
        <f>IF(OR($A141="",$D141&lt;&gt;"READY"),"",IF(AGENT_INPUT!H141&gt;=SUMIFS(BONUS_RULES!$E$5:$E$46,BONUS_RULES!$A$5:$A$46,$C141,BONUS_RULES!$B$5:$B$46,"PCS % (Participation)"),SUMIFS(BONUS_RULES!$D$5:$D$46,BONUS_RULES!$A$5:$A$46,$C141,BONUS_RULES!$B$5:$B$46,"PCS % (Participation)"),IF(AGENT_INPUT!H141&gt;=SUMIFS(BONUS_RULES!$G$5:$G$46,BONUS_RULES!$A$5:$A$46,$C141,BONUS_RULES!$B$5:$B$46,"PCS % (Participation)"),SUMIFS(BONUS_RULES!$F$5:$F$46,BONUS_RULES!$A$5:$A$46,$C141,BONUS_RULES!$B$5:$B$46,"PCS % (Participation)"),0)))</f>
        <v>0.0</v>
      </c>
      <c r="J141" s="10">
        <f>IF(OR($A141="",$D141&lt;&gt;"READY"),"",IF(AGENT_INPUT!I141&gt;=SUMIFS(BONUS_RULES!$E$5:$E$46,BONUS_RULES!$A$5:$A$46,$C141,BONUS_RULES!$B$5:$B$46,"QM"),SUMIFS(BONUS_RULES!$D$5:$D$46,BONUS_RULES!$A$5:$A$46,$C141,BONUS_RULES!$B$5:$B$46,"QM"),IF(AGENT_INPUT!I141&gt;=SUMIFS(BONUS_RULES!$G$5:$G$46,BONUS_RULES!$A$5:$A$46,$C141,BONUS_RULES!$B$5:$B$46,"QM"),SUMIFS(BONUS_RULES!$F$5:$F$46,BONUS_RULES!$A$5:$A$46,$C141,BONUS_RULES!$B$5:$B$46,"QM"),0)))</f>
        <v>0.0</v>
      </c>
      <c r="K141" s="10">
        <f>IF(POLICY_APPROVAL!$B$9="Eligibility only",0,IF(OR($A141="",$D141&lt;&gt;"READY"),"",IF(AGENT_INPUT!J141&lt;=SUMIFS(BONUS_RULES!$E$5:$E$46,BONUS_RULES!$A$5:$A$46,$C141,BONUS_RULES!$B$5:$B$46,"Abs%"),SUMIFS(BONUS_RULES!$D$5:$D$46,BONUS_RULES!$A$5:$A$46,$C141,BONUS_RULES!$B$5:$B$46,"Abs%"),IF(AGENT_INPUT!J141&lt;=SUMIFS(BONUS_RULES!$G$5:$G$46,BONUS_RULES!$A$5:$A$46,$C141,BONUS_RULES!$B$5:$B$46,"Abs%"),SUMIFS(BONUS_RULES!$F$5:$F$46,BONUS_RULES!$A$5:$A$46,$C141,BONUS_RULES!$B$5:$B$46,"Abs%"),0))))</f>
        <v>0.15</v>
      </c>
      <c r="L141" s="10">
        <f>IF(OR($A141="",$D141&lt;&gt;"READY"),"",IF(AGENT_INPUT!G141&gt;=SUMIFS(BONUS_RULES!$E$5:$E$46,BONUS_RULES!$A$5:$A$46,$C141,BONUS_RULES!$B$5:$B$46,"Extra Bonus (PCS Score)"),SUMIFS(BONUS_RULES!$D$5:$D$46,BONUS_RULES!$A$5:$A$46,$C141,BONUS_RULES!$B$5:$B$46,"Extra Bonus (PCS Score)"),IF(AGENT_INPUT!G141&gt;=SUMIFS(BONUS_RULES!$G$5:$G$46,BONUS_RULES!$A$5:$A$46,$C141,BONUS_RULES!$B$5:$B$46,"Extra Bonus (PCS Score)"),SUMIFS(BONUS_RULES!$F$5:$F$46,BONUS_RULES!$A$5:$A$46,$C141,BONUS_RULES!$B$5:$B$46,"Extra Bonus (PCS Score)"),0)))</f>
        <v>0.0</v>
      </c>
      <c r="M141" s="10">
        <f>IF($A141="","",MIN(IF(POLICY_APPROVAL!$B$6="Replacement",SUM(F141:K141)-H141+MAX(H141,L141),SUM(F141:L141)),POLICY_APPROVAL!$B$10))</f>
        <v>0.44999999999999996</v>
      </c>
      <c r="N141" s="10">
        <f>IF($A141="","",IFERROR(INDEX(BONUS_RULES!$J$5:$J$10,MATCH(MIN(MAX(AGENT_INPUT!K141,0),5),BONUS_RULES!$I$5:$I$10,0)),1))</f>
        <v>0</v>
      </c>
      <c r="O141" s="10">
        <f>IF(M141="","",MAX(0,IF(POLICY_APPROVAL!$B$5="Percentage points",M141-N141,M141*(1-N141))))</f>
        <v>0.44999999999999996</v>
      </c>
      <c r="P141" s="11">
        <f>IF(D141&lt;&gt;"READY","",IF(AGENT_INPUT!O141&gt;0,AGENT_INPUT!O141,AGENT_INPUT!M141*AGENT_INPUT!N141/IF(POLICY_APPROVAL!$B$7="Annual",12,1)))</f>
        <v>2000.0</v>
      </c>
      <c r="Q141" s="10">
        <f>IF(D141&lt;&gt;"READY","",MIN(1,AGENT_INPUT!P141/AGENT_INPUT!Q141))</f>
        <v>1.0</v>
      </c>
      <c r="R141" s="11">
        <f>IF(D141&lt;&gt;"READY","",ROUND(P141*Q141*O141,IF(POLICY_APPROVAL!$B$11="Whole MAD",0,2)))</f>
        <v>900.0</v>
      </c>
      <c r="S141" s="11">
        <f>IF(AND(SETUP!$B$9="READY",T141="READY"),R141,"")</f>
        <v/>
      </c>
      <c r="T141" s="4" t="str">
        <f>IF($A141="","",IF(D141&lt;&gt;"READY","BLOCKED - INPUT",IF(E141&lt;&gt;"ELIGIBLE","BLOCKED - ELIGIBILITY",IF(AGENT_INPUT!S141&lt;&gt;"VALIDATED","BLOCKED - DATA",IF(SETUP!$B$9&lt;&gt;"READY","BLOCKED - POLICY","READY")))))</f>
        <v>BLOCKED - ELIGIBILITY</v>
      </c>
      <c r="U141" s="4" t="str">
        <f>IF($A141="","",IF(COUNTIFS(AGENT_INPUT!$A$5:$A$254,$A141,AGENT_INPUT!$D$5:$D$254,AGENT_INPUT!D141)&gt;1,"DUPLICATE AGENT + PERIOD",IF(D141&lt;&gt;"READY","INPUT OR CONFIG REVIEW",IF(T141&lt;&gt;"READY",T141,""))))</f>
        <v>BLOCKED - ELIGIBILITY</v>
      </c>
    </row>
    <row r="142" spans="1:21">
      <c r="A142" s="4">
        <f>IF(AGENT_INPUT!A142="","",AGENT_INPUT!A142)</f>
        <v>203603</v>
      </c>
      <c r="B142" s="4" t="str">
        <f>IF($A142="","",AGENT_INPUT!B142)</f>
        <v>Senghor Baptistine</v>
      </c>
      <c r="C142" s="4" t="str">
        <f>IF($A142="","",AGENT_INPUT!C142)</f>
        <v>OEM FR</v>
      </c>
      <c r="D142" s="4" t="str">
        <f>IF($A142="","",IF(AND(COUNT(AGENT_INPUT!E142:J142)=6,COUNT(AGENT_INPUT!K142)=1,COUNTIF(BONUS_RULES!$A$5:$A$46,AGENT_INPUT!C142)&gt;0,OR(AGENT_INPUT!O142&gt;0,AND(AGENT_INPUT!M142&gt;0,AGENT_INPUT!N142&gt;0)),AGENT_INPUT!P142&gt;=0,AGENT_INPUT!Q142&gt;0,AGENT_INPUT!P142&lt;=AGENT_INPUT!Q142,AGENT_INPUT!H142&gt;=0,AGENT_INPUT!H142&lt;=1,AGENT_INPUT!I142&gt;=0,AGENT_INPUT!I142&lt;=1,AGENT_INPUT!J142&gt;=0,AGENT_INPUT!J142&lt;=1),"READY","BLOCKED"))</f>
        <v>READY</v>
      </c>
      <c r="E142" s="4" t="str">
        <f>IF($A142="","",IF(AGENT_INPUT!R142&lt;&gt;"Active","REVIEW",IF(OR(POLICY_APPROVAL!$B$9="Eligibility only",POLICY_APPROVAL!$B$9="Both"),IF(AGENT_INPUT!J142&lt;=SUMIFS(BONUS_RULES!$E$5:$E$46,BONUS_RULES!$A$5:$A$46,$C142,BONUS_RULES!$B$5:$B$46,"Abs%"),"ELIGIBLE","INELIGIBLE ABS"),"ELIGIBLE")))</f>
        <v>REVIEW</v>
      </c>
      <c r="F142" s="10">
        <f>IF(OR($A142="",$D142&lt;&gt;"READY"),"",IF(AGENT_INPUT!E142&lt;=SUMIFS(BONUS_RULES!$E$5:$E$46,BONUS_RULES!$A$5:$A$46,$C142,BONUS_RULES!$B$5:$B$46,"AHT"),SUMIFS(BONUS_RULES!$D$5:$D$46,BONUS_RULES!$A$5:$A$46,$C142,BONUS_RULES!$B$5:$B$46,"AHT"),IF(AGENT_INPUT!E142&lt;=SUMIFS(BONUS_RULES!$G$5:$G$46,BONUS_RULES!$A$5:$A$46,$C142,BONUS_RULES!$B$5:$B$46,"AHT"),SUMIFS(BONUS_RULES!$F$5:$F$46,BONUS_RULES!$A$5:$A$46,$C142,BONUS_RULES!$B$5:$B$46,"AHT"),0)))</f>
        <v>0.0</v>
      </c>
      <c r="G142" s="10">
        <f>IF(OR($A142="",$D142&lt;&gt;"READY"),"",IF(AGENT_INPUT!F142&gt;=SUMIFS(BONUS_RULES!$E$5:$E$46,BONUS_RULES!$A$5:$A$46,$C142,BONUS_RULES!$B$5:$B$46,"Productivity"),SUMIFS(BONUS_RULES!$D$5:$D$46,BONUS_RULES!$A$5:$A$46,$C142,BONUS_RULES!$B$5:$B$46,"Productivity"),IF(AGENT_INPUT!F142&gt;=SUMIFS(BONUS_RULES!$G$5:$G$46,BONUS_RULES!$A$5:$A$46,$C142,BONUS_RULES!$B$5:$B$46,"Productivity"),SUMIFS(BONUS_RULES!$F$5:$F$46,BONUS_RULES!$A$5:$A$46,$C142,BONUS_RULES!$B$5:$B$46,"Productivity"),0)))</f>
        <v>0.0</v>
      </c>
      <c r="H142" s="10">
        <f>IF(OR($A142="",$D142&lt;&gt;"READY"),"",IF(AGENT_INPUT!G142&gt;=SUMIFS(BONUS_RULES!$E$5:$E$46,BONUS_RULES!$A$5:$A$46,$C142,BONUS_RULES!$B$5:$B$46,"PCS Score"),SUMIFS(BONUS_RULES!$D$5:$D$46,BONUS_RULES!$A$5:$A$46,$C142,BONUS_RULES!$B$5:$B$46,"PCS Score"),IF(AGENT_INPUT!G142&gt;=SUMIFS(BONUS_RULES!$G$5:$G$46,BONUS_RULES!$A$5:$A$46,$C142,BONUS_RULES!$B$5:$B$46,"PCS Score"),SUMIFS(BONUS_RULES!$F$5:$F$46,BONUS_RULES!$A$5:$A$46,$C142,BONUS_RULES!$B$5:$B$46,"PCS Score"),0)))</f>
        <v>0.0</v>
      </c>
      <c r="I142" s="10">
        <f>IF(OR($A142="",$D142&lt;&gt;"READY"),"",IF(AGENT_INPUT!H142&gt;=SUMIFS(BONUS_RULES!$E$5:$E$46,BONUS_RULES!$A$5:$A$46,$C142,BONUS_RULES!$B$5:$B$46,"PCS % (Participation)"),SUMIFS(BONUS_RULES!$D$5:$D$46,BONUS_RULES!$A$5:$A$46,$C142,BONUS_RULES!$B$5:$B$46,"PCS % (Participation)"),IF(AGENT_INPUT!H142&gt;=SUMIFS(BONUS_RULES!$G$5:$G$46,BONUS_RULES!$A$5:$A$46,$C142,BONUS_RULES!$B$5:$B$46,"PCS % (Participation)"),SUMIFS(BONUS_RULES!$F$5:$F$46,BONUS_RULES!$A$5:$A$46,$C142,BONUS_RULES!$B$5:$B$46,"PCS % (Participation)"),0)))</f>
        <v>0.0</v>
      </c>
      <c r="J142" s="10">
        <f>IF(OR($A142="",$D142&lt;&gt;"READY"),"",IF(AGENT_INPUT!I142&gt;=SUMIFS(BONUS_RULES!$E$5:$E$46,BONUS_RULES!$A$5:$A$46,$C142,BONUS_RULES!$B$5:$B$46,"QM"),SUMIFS(BONUS_RULES!$D$5:$D$46,BONUS_RULES!$A$5:$A$46,$C142,BONUS_RULES!$B$5:$B$46,"QM"),IF(AGENT_INPUT!I142&gt;=SUMIFS(BONUS_RULES!$G$5:$G$46,BONUS_RULES!$A$5:$A$46,$C142,BONUS_RULES!$B$5:$B$46,"QM"),SUMIFS(BONUS_RULES!$F$5:$F$46,BONUS_RULES!$A$5:$A$46,$C142,BONUS_RULES!$B$5:$B$46,"QM"),0)))</f>
        <v>0.0</v>
      </c>
      <c r="K142" s="10">
        <f>IF(POLICY_APPROVAL!$B$9="Eligibility only",0,IF(OR($A142="",$D142&lt;&gt;"READY"),"",IF(AGENT_INPUT!J142&lt;=SUMIFS(BONUS_RULES!$E$5:$E$46,BONUS_RULES!$A$5:$A$46,$C142,BONUS_RULES!$B$5:$B$46,"Abs%"),SUMIFS(BONUS_RULES!$D$5:$D$46,BONUS_RULES!$A$5:$A$46,$C142,BONUS_RULES!$B$5:$B$46,"Abs%"),IF(AGENT_INPUT!J142&lt;=SUMIFS(BONUS_RULES!$G$5:$G$46,BONUS_RULES!$A$5:$A$46,$C142,BONUS_RULES!$B$5:$B$46,"Abs%"),SUMIFS(BONUS_RULES!$F$5:$F$46,BONUS_RULES!$A$5:$A$46,$C142,BONUS_RULES!$B$5:$B$46,"Abs%"),0))))</f>
        <v>0.15</v>
      </c>
      <c r="L142" s="10">
        <f>IF(OR($A142="",$D142&lt;&gt;"READY"),"",IF(AGENT_INPUT!G142&gt;=SUMIFS(BONUS_RULES!$E$5:$E$46,BONUS_RULES!$A$5:$A$46,$C142,BONUS_RULES!$B$5:$B$46,"Extra Bonus (PCS Score)"),SUMIFS(BONUS_RULES!$D$5:$D$46,BONUS_RULES!$A$5:$A$46,$C142,BONUS_RULES!$B$5:$B$46,"Extra Bonus (PCS Score)"),IF(AGENT_INPUT!G142&gt;=SUMIFS(BONUS_RULES!$G$5:$G$46,BONUS_RULES!$A$5:$A$46,$C142,BONUS_RULES!$B$5:$B$46,"Extra Bonus (PCS Score)"),SUMIFS(BONUS_RULES!$F$5:$F$46,BONUS_RULES!$A$5:$A$46,$C142,BONUS_RULES!$B$5:$B$46,"Extra Bonus (PCS Score)"),0)))</f>
        <v>0.0</v>
      </c>
      <c r="M142" s="10">
        <f>IF($A142="","",MIN(IF(POLICY_APPROVAL!$B$6="Replacement",SUM(F142:K142)-H142+MAX(H142,L142),SUM(F142:L142)),POLICY_APPROVAL!$B$10))</f>
        <v>0.15</v>
      </c>
      <c r="N142" s="10">
        <f>IF($A142="","",IFERROR(INDEX(BONUS_RULES!$J$5:$J$10,MATCH(MIN(MAX(AGENT_INPUT!K142,0),5),BONUS_RULES!$I$5:$I$10,0)),1))</f>
        <v>0</v>
      </c>
      <c r="O142" s="10">
        <f>IF(M142="","",MAX(0,IF(POLICY_APPROVAL!$B$5="Percentage points",M142-N142,M142*(1-N142))))</f>
        <v>0.15</v>
      </c>
      <c r="P142" s="11">
        <f>IF(D142&lt;&gt;"READY","",IF(AGENT_INPUT!O142&gt;0,AGENT_INPUT!O142,AGENT_INPUT!M142*AGENT_INPUT!N142/IF(POLICY_APPROVAL!$B$7="Annual",12,1)))</f>
        <v>2000.0</v>
      </c>
      <c r="Q142" s="10">
        <f>IF(D142&lt;&gt;"READY","",MIN(1,AGENT_INPUT!P142/AGENT_INPUT!Q142))</f>
        <v>1.0</v>
      </c>
      <c r="R142" s="11">
        <f>IF(D142&lt;&gt;"READY","",ROUND(P142*Q142*O142,IF(POLICY_APPROVAL!$B$11="Whole MAD",0,2)))</f>
        <v>300.0</v>
      </c>
      <c r="S142" s="11">
        <f>IF(AND(SETUP!$B$9="READY",T142="READY"),R142,"")</f>
        <v/>
      </c>
      <c r="T142" s="4" t="str">
        <f>IF($A142="","",IF(D142&lt;&gt;"READY","BLOCKED - INPUT",IF(E142&lt;&gt;"ELIGIBLE","BLOCKED - ELIGIBILITY",IF(AGENT_INPUT!S142&lt;&gt;"VALIDATED","BLOCKED - DATA",IF(SETUP!$B$9&lt;&gt;"READY","BLOCKED - POLICY","READY")))))</f>
        <v>BLOCKED - ELIGIBILITY</v>
      </c>
      <c r="U142" s="4" t="str">
        <f>IF($A142="","",IF(COUNTIFS(AGENT_INPUT!$A$5:$A$254,$A142,AGENT_INPUT!$D$5:$D$254,AGENT_INPUT!D142)&gt;1,"DUPLICATE AGENT + PERIOD",IF(D142&lt;&gt;"READY","INPUT OR CONFIG REVIEW",IF(T142&lt;&gt;"READY",T142,""))))</f>
        <v>BLOCKED - ELIGIBILITY</v>
      </c>
    </row>
    <row r="143" spans="1:21">
      <c r="A143" s="4">
        <f>IF(AGENT_INPUT!A143="","",AGENT_INPUT!A143)</f>
        <v>228669</v>
      </c>
      <c r="B143" s="4" t="str">
        <f>IF($A143="","",AGENT_INPUT!B143)</f>
        <v>Ayoub Failouss</v>
      </c>
      <c r="C143" s="4" t="str">
        <f>IF($A143="","",AGENT_INPUT!C143)</f>
        <v>OEM FR</v>
      </c>
      <c r="D143" s="4" t="str">
        <f>IF($A143="","",IF(AND(COUNT(AGENT_INPUT!E143:J143)=6,COUNT(AGENT_INPUT!K143)=1,COUNTIF(BONUS_RULES!$A$5:$A$46,AGENT_INPUT!C143)&gt;0,OR(AGENT_INPUT!O143&gt;0,AND(AGENT_INPUT!M143&gt;0,AGENT_INPUT!N143&gt;0)),AGENT_INPUT!P143&gt;=0,AGENT_INPUT!Q143&gt;0,AGENT_INPUT!P143&lt;=AGENT_INPUT!Q143,AGENT_INPUT!H143&gt;=0,AGENT_INPUT!H143&lt;=1,AGENT_INPUT!I143&gt;=0,AGENT_INPUT!I143&lt;=1,AGENT_INPUT!J143&gt;=0,AGENT_INPUT!J143&lt;=1),"READY","BLOCKED"))</f>
        <v>READY</v>
      </c>
      <c r="E143" s="4" t="str">
        <f>IF($A143="","",IF(AGENT_INPUT!R143&lt;&gt;"Active","REVIEW",IF(OR(POLICY_APPROVAL!$B$9="Eligibility only",POLICY_APPROVAL!$B$9="Both"),IF(AGENT_INPUT!J143&lt;=SUMIFS(BONUS_RULES!$E$5:$E$46,BONUS_RULES!$A$5:$A$46,$C143,BONUS_RULES!$B$5:$B$46,"Abs%"),"ELIGIBLE","INELIGIBLE ABS"),"ELIGIBLE")))</f>
        <v>REVIEW</v>
      </c>
      <c r="F143" s="10">
        <f>IF(OR($A143="",$D143&lt;&gt;"READY"),"",IF(AGENT_INPUT!E143&lt;=SUMIFS(BONUS_RULES!$E$5:$E$46,BONUS_RULES!$A$5:$A$46,$C143,BONUS_RULES!$B$5:$B$46,"AHT"),SUMIFS(BONUS_RULES!$D$5:$D$46,BONUS_RULES!$A$5:$A$46,$C143,BONUS_RULES!$B$5:$B$46,"AHT"),IF(AGENT_INPUT!E143&lt;=SUMIFS(BONUS_RULES!$G$5:$G$46,BONUS_RULES!$A$5:$A$46,$C143,BONUS_RULES!$B$5:$B$46,"AHT"),SUMIFS(BONUS_RULES!$F$5:$F$46,BONUS_RULES!$A$5:$A$46,$C143,BONUS_RULES!$B$5:$B$46,"AHT"),0)))</f>
        <v>0.0</v>
      </c>
      <c r="G143" s="10">
        <f>IF(OR($A143="",$D143&lt;&gt;"READY"),"",IF(AGENT_INPUT!F143&gt;=SUMIFS(BONUS_RULES!$E$5:$E$46,BONUS_RULES!$A$5:$A$46,$C143,BONUS_RULES!$B$5:$B$46,"Productivity"),SUMIFS(BONUS_RULES!$D$5:$D$46,BONUS_RULES!$A$5:$A$46,$C143,BONUS_RULES!$B$5:$B$46,"Productivity"),IF(AGENT_INPUT!F143&gt;=SUMIFS(BONUS_RULES!$G$5:$G$46,BONUS_RULES!$A$5:$A$46,$C143,BONUS_RULES!$B$5:$B$46,"Productivity"),SUMIFS(BONUS_RULES!$F$5:$F$46,BONUS_RULES!$A$5:$A$46,$C143,BONUS_RULES!$B$5:$B$46,"Productivity"),0)))</f>
        <v>0.0</v>
      </c>
      <c r="H143" s="10">
        <f>IF(OR($A143="",$D143&lt;&gt;"READY"),"",IF(AGENT_INPUT!G143&gt;=SUMIFS(BONUS_RULES!$E$5:$E$46,BONUS_RULES!$A$5:$A$46,$C143,BONUS_RULES!$B$5:$B$46,"PCS Score"),SUMIFS(BONUS_RULES!$D$5:$D$46,BONUS_RULES!$A$5:$A$46,$C143,BONUS_RULES!$B$5:$B$46,"PCS Score"),IF(AGENT_INPUT!G143&gt;=SUMIFS(BONUS_RULES!$G$5:$G$46,BONUS_RULES!$A$5:$A$46,$C143,BONUS_RULES!$B$5:$B$46,"PCS Score"),SUMIFS(BONUS_RULES!$F$5:$F$46,BONUS_RULES!$A$5:$A$46,$C143,BONUS_RULES!$B$5:$B$46,"PCS Score"),0)))</f>
        <v>0.2</v>
      </c>
      <c r="I143" s="10">
        <f>IF(OR($A143="",$D143&lt;&gt;"READY"),"",IF(AGENT_INPUT!H143&gt;=SUMIFS(BONUS_RULES!$E$5:$E$46,BONUS_RULES!$A$5:$A$46,$C143,BONUS_RULES!$B$5:$B$46,"PCS % (Participation)"),SUMIFS(BONUS_RULES!$D$5:$D$46,BONUS_RULES!$A$5:$A$46,$C143,BONUS_RULES!$B$5:$B$46,"PCS % (Participation)"),IF(AGENT_INPUT!H143&gt;=SUMIFS(BONUS_RULES!$G$5:$G$46,BONUS_RULES!$A$5:$A$46,$C143,BONUS_RULES!$B$5:$B$46,"PCS % (Participation)"),SUMIFS(BONUS_RULES!$F$5:$F$46,BONUS_RULES!$A$5:$A$46,$C143,BONUS_RULES!$B$5:$B$46,"PCS % (Participation)"),0)))</f>
        <v>0.0</v>
      </c>
      <c r="J143" s="10">
        <f>IF(OR($A143="",$D143&lt;&gt;"READY"),"",IF(AGENT_INPUT!I143&gt;=SUMIFS(BONUS_RULES!$E$5:$E$46,BONUS_RULES!$A$5:$A$46,$C143,BONUS_RULES!$B$5:$B$46,"QM"),SUMIFS(BONUS_RULES!$D$5:$D$46,BONUS_RULES!$A$5:$A$46,$C143,BONUS_RULES!$B$5:$B$46,"QM"),IF(AGENT_INPUT!I143&gt;=SUMIFS(BONUS_RULES!$G$5:$G$46,BONUS_RULES!$A$5:$A$46,$C143,BONUS_RULES!$B$5:$B$46,"QM"),SUMIFS(BONUS_RULES!$F$5:$F$46,BONUS_RULES!$A$5:$A$46,$C143,BONUS_RULES!$B$5:$B$46,"QM"),0)))</f>
        <v>0.0</v>
      </c>
      <c r="K143" s="10">
        <f>IF(POLICY_APPROVAL!$B$9="Eligibility only",0,IF(OR($A143="",$D143&lt;&gt;"READY"),"",IF(AGENT_INPUT!J143&lt;=SUMIFS(BONUS_RULES!$E$5:$E$46,BONUS_RULES!$A$5:$A$46,$C143,BONUS_RULES!$B$5:$B$46,"Abs%"),SUMIFS(BONUS_RULES!$D$5:$D$46,BONUS_RULES!$A$5:$A$46,$C143,BONUS_RULES!$B$5:$B$46,"Abs%"),IF(AGENT_INPUT!J143&lt;=SUMIFS(BONUS_RULES!$G$5:$G$46,BONUS_RULES!$A$5:$A$46,$C143,BONUS_RULES!$B$5:$B$46,"Abs%"),SUMIFS(BONUS_RULES!$F$5:$F$46,BONUS_RULES!$A$5:$A$46,$C143,BONUS_RULES!$B$5:$B$46,"Abs%"),0))))</f>
        <v>0.15</v>
      </c>
      <c r="L143" s="10">
        <f>IF(OR($A143="",$D143&lt;&gt;"READY"),"",IF(AGENT_INPUT!G143&gt;=SUMIFS(BONUS_RULES!$E$5:$E$46,BONUS_RULES!$A$5:$A$46,$C143,BONUS_RULES!$B$5:$B$46,"Extra Bonus (PCS Score)"),SUMIFS(BONUS_RULES!$D$5:$D$46,BONUS_RULES!$A$5:$A$46,$C143,BONUS_RULES!$B$5:$B$46,"Extra Bonus (PCS Score)"),IF(AGENT_INPUT!G143&gt;=SUMIFS(BONUS_RULES!$G$5:$G$46,BONUS_RULES!$A$5:$A$46,$C143,BONUS_RULES!$B$5:$B$46,"Extra Bonus (PCS Score)"),SUMIFS(BONUS_RULES!$F$5:$F$46,BONUS_RULES!$A$5:$A$46,$C143,BONUS_RULES!$B$5:$B$46,"Extra Bonus (PCS Score)"),0)))</f>
        <v>0.3</v>
      </c>
      <c r="M143" s="10">
        <f>IF($A143="","",MIN(IF(POLICY_APPROVAL!$B$6="Replacement",SUM(F143:K143)-H143+MAX(H143,L143),SUM(F143:L143)),POLICY_APPROVAL!$B$10))</f>
        <v>0.6499999999999999</v>
      </c>
      <c r="N143" s="10">
        <f>IF($A143="","",IFERROR(INDEX(BONUS_RULES!$J$5:$J$10,MATCH(MIN(MAX(AGENT_INPUT!K143,0),5),BONUS_RULES!$I$5:$I$10,0)),1))</f>
        <v>0</v>
      </c>
      <c r="O143" s="10">
        <f>IF(M143="","",MAX(0,IF(POLICY_APPROVAL!$B$5="Percentage points",M143-N143,M143*(1-N143))))</f>
        <v>0.6499999999999999</v>
      </c>
      <c r="P143" s="11">
        <f>IF(D143&lt;&gt;"READY","",IF(AGENT_INPUT!O143&gt;0,AGENT_INPUT!O143,AGENT_INPUT!M143*AGENT_INPUT!N143/IF(POLICY_APPROVAL!$B$7="Annual",12,1)))</f>
        <v>2000.0</v>
      </c>
      <c r="Q143" s="10">
        <f>IF(D143&lt;&gt;"READY","",MIN(1,AGENT_INPUT!P143/AGENT_INPUT!Q143))</f>
        <v>1.0</v>
      </c>
      <c r="R143" s="11">
        <f>IF(D143&lt;&gt;"READY","",ROUND(P143*Q143*O143,IF(POLICY_APPROVAL!$B$11="Whole MAD",0,2)))</f>
        <v>1300.0</v>
      </c>
      <c r="S143" s="11">
        <f>IF(AND(SETUP!$B$9="READY",T143="READY"),R143,"")</f>
        <v/>
      </c>
      <c r="T143" s="4" t="str">
        <f>IF($A143="","",IF(D143&lt;&gt;"READY","BLOCKED - INPUT",IF(E143&lt;&gt;"ELIGIBLE","BLOCKED - ELIGIBILITY",IF(AGENT_INPUT!S143&lt;&gt;"VALIDATED","BLOCKED - DATA",IF(SETUP!$B$9&lt;&gt;"READY","BLOCKED - POLICY","READY")))))</f>
        <v>BLOCKED - ELIGIBILITY</v>
      </c>
      <c r="U143" s="4" t="str">
        <f>IF($A143="","",IF(COUNTIFS(AGENT_INPUT!$A$5:$A$254,$A143,AGENT_INPUT!$D$5:$D$254,AGENT_INPUT!D143)&gt;1,"DUPLICATE AGENT + PERIOD",IF(D143&lt;&gt;"READY","INPUT OR CONFIG REVIEW",IF(T143&lt;&gt;"READY",T143,""))))</f>
        <v>BLOCKED - ELIGIBILITY</v>
      </c>
    </row>
    <row r="144" spans="1:21">
      <c r="A144" s="4">
        <f>IF(AGENT_INPUT!A144="","",AGENT_INPUT!A144)</f>
        <v>203592</v>
      </c>
      <c r="B144" s="4" t="str">
        <f>IF($A144="","",AGENT_INPUT!B144)</f>
        <v>Boujloud Ayoub</v>
      </c>
      <c r="C144" s="4" t="str">
        <f>IF($A144="","",AGENT_INPUT!C144)</f>
        <v>OEM FR</v>
      </c>
      <c r="D144" s="4" t="str">
        <f>IF($A144="","",IF(AND(COUNT(AGENT_INPUT!E144:J144)=6,COUNT(AGENT_INPUT!K144)=1,COUNTIF(BONUS_RULES!$A$5:$A$46,AGENT_INPUT!C144)&gt;0,OR(AGENT_INPUT!O144&gt;0,AND(AGENT_INPUT!M144&gt;0,AGENT_INPUT!N144&gt;0)),AGENT_INPUT!P144&gt;=0,AGENT_INPUT!Q144&gt;0,AGENT_INPUT!P144&lt;=AGENT_INPUT!Q144,AGENT_INPUT!H144&gt;=0,AGENT_INPUT!H144&lt;=1,AGENT_INPUT!I144&gt;=0,AGENT_INPUT!I144&lt;=1,AGENT_INPUT!J144&gt;=0,AGENT_INPUT!J144&lt;=1),"READY","BLOCKED"))</f>
        <v>READY</v>
      </c>
      <c r="E144" s="4" t="str">
        <f>IF($A144="","",IF(AGENT_INPUT!R144&lt;&gt;"Active","REVIEW",IF(OR(POLICY_APPROVAL!$B$9="Eligibility only",POLICY_APPROVAL!$B$9="Both"),IF(AGENT_INPUT!J144&lt;=SUMIFS(BONUS_RULES!$E$5:$E$46,BONUS_RULES!$A$5:$A$46,$C144,BONUS_RULES!$B$5:$B$46,"Abs%"),"ELIGIBLE","INELIGIBLE ABS"),"ELIGIBLE")))</f>
        <v>REVIEW</v>
      </c>
      <c r="F144" s="10">
        <f>IF(OR($A144="",$D144&lt;&gt;"READY"),"",IF(AGENT_INPUT!E144&lt;=SUMIFS(BONUS_RULES!$E$5:$E$46,BONUS_RULES!$A$5:$A$46,$C144,BONUS_RULES!$B$5:$B$46,"AHT"),SUMIFS(BONUS_RULES!$D$5:$D$46,BONUS_RULES!$A$5:$A$46,$C144,BONUS_RULES!$B$5:$B$46,"AHT"),IF(AGENT_INPUT!E144&lt;=SUMIFS(BONUS_RULES!$G$5:$G$46,BONUS_RULES!$A$5:$A$46,$C144,BONUS_RULES!$B$5:$B$46,"AHT"),SUMIFS(BONUS_RULES!$F$5:$F$46,BONUS_RULES!$A$5:$A$46,$C144,BONUS_RULES!$B$5:$B$46,"AHT"),0)))</f>
        <v>0.0</v>
      </c>
      <c r="G144" s="10">
        <f>IF(OR($A144="",$D144&lt;&gt;"READY"),"",IF(AGENT_INPUT!F144&gt;=SUMIFS(BONUS_RULES!$E$5:$E$46,BONUS_RULES!$A$5:$A$46,$C144,BONUS_RULES!$B$5:$B$46,"Productivity"),SUMIFS(BONUS_RULES!$D$5:$D$46,BONUS_RULES!$A$5:$A$46,$C144,BONUS_RULES!$B$5:$B$46,"Productivity"),IF(AGENT_INPUT!F144&gt;=SUMIFS(BONUS_RULES!$G$5:$G$46,BONUS_RULES!$A$5:$A$46,$C144,BONUS_RULES!$B$5:$B$46,"Productivity"),SUMIFS(BONUS_RULES!$F$5:$F$46,BONUS_RULES!$A$5:$A$46,$C144,BONUS_RULES!$B$5:$B$46,"Productivity"),0)))</f>
        <v>0.0</v>
      </c>
      <c r="H144" s="10">
        <f>IF(OR($A144="",$D144&lt;&gt;"READY"),"",IF(AGENT_INPUT!G144&gt;=SUMIFS(BONUS_RULES!$E$5:$E$46,BONUS_RULES!$A$5:$A$46,$C144,BONUS_RULES!$B$5:$B$46,"PCS Score"),SUMIFS(BONUS_RULES!$D$5:$D$46,BONUS_RULES!$A$5:$A$46,$C144,BONUS_RULES!$B$5:$B$46,"PCS Score"),IF(AGENT_INPUT!G144&gt;=SUMIFS(BONUS_RULES!$G$5:$G$46,BONUS_RULES!$A$5:$A$46,$C144,BONUS_RULES!$B$5:$B$46,"PCS Score"),SUMIFS(BONUS_RULES!$F$5:$F$46,BONUS_RULES!$A$5:$A$46,$C144,BONUS_RULES!$B$5:$B$46,"PCS Score"),0)))</f>
        <v>0.2</v>
      </c>
      <c r="I144" s="10">
        <f>IF(OR($A144="",$D144&lt;&gt;"READY"),"",IF(AGENT_INPUT!H144&gt;=SUMIFS(BONUS_RULES!$E$5:$E$46,BONUS_RULES!$A$5:$A$46,$C144,BONUS_RULES!$B$5:$B$46,"PCS % (Participation)"),SUMIFS(BONUS_RULES!$D$5:$D$46,BONUS_RULES!$A$5:$A$46,$C144,BONUS_RULES!$B$5:$B$46,"PCS % (Participation)"),IF(AGENT_INPUT!H144&gt;=SUMIFS(BONUS_RULES!$G$5:$G$46,BONUS_RULES!$A$5:$A$46,$C144,BONUS_RULES!$B$5:$B$46,"PCS % (Participation)"),SUMIFS(BONUS_RULES!$F$5:$F$46,BONUS_RULES!$A$5:$A$46,$C144,BONUS_RULES!$B$5:$B$46,"PCS % (Participation)"),0)))</f>
        <v>0.0</v>
      </c>
      <c r="J144" s="10">
        <f>IF(OR($A144="",$D144&lt;&gt;"READY"),"",IF(AGENT_INPUT!I144&gt;=SUMIFS(BONUS_RULES!$E$5:$E$46,BONUS_RULES!$A$5:$A$46,$C144,BONUS_RULES!$B$5:$B$46,"QM"),SUMIFS(BONUS_RULES!$D$5:$D$46,BONUS_RULES!$A$5:$A$46,$C144,BONUS_RULES!$B$5:$B$46,"QM"),IF(AGENT_INPUT!I144&gt;=SUMIFS(BONUS_RULES!$G$5:$G$46,BONUS_RULES!$A$5:$A$46,$C144,BONUS_RULES!$B$5:$B$46,"QM"),SUMIFS(BONUS_RULES!$F$5:$F$46,BONUS_RULES!$A$5:$A$46,$C144,BONUS_RULES!$B$5:$B$46,"QM"),0)))</f>
        <v>0.0</v>
      </c>
      <c r="K144" s="10">
        <f>IF(POLICY_APPROVAL!$B$9="Eligibility only",0,IF(OR($A144="",$D144&lt;&gt;"READY"),"",IF(AGENT_INPUT!J144&lt;=SUMIFS(BONUS_RULES!$E$5:$E$46,BONUS_RULES!$A$5:$A$46,$C144,BONUS_RULES!$B$5:$B$46,"Abs%"),SUMIFS(BONUS_RULES!$D$5:$D$46,BONUS_RULES!$A$5:$A$46,$C144,BONUS_RULES!$B$5:$B$46,"Abs%"),IF(AGENT_INPUT!J144&lt;=SUMIFS(BONUS_RULES!$G$5:$G$46,BONUS_RULES!$A$5:$A$46,$C144,BONUS_RULES!$B$5:$B$46,"Abs%"),SUMIFS(BONUS_RULES!$F$5:$F$46,BONUS_RULES!$A$5:$A$46,$C144,BONUS_RULES!$B$5:$B$46,"Abs%"),0))))</f>
        <v>0.15</v>
      </c>
      <c r="L144" s="10">
        <f>IF(OR($A144="",$D144&lt;&gt;"READY"),"",IF(AGENT_INPUT!G144&gt;=SUMIFS(BONUS_RULES!$E$5:$E$46,BONUS_RULES!$A$5:$A$46,$C144,BONUS_RULES!$B$5:$B$46,"Extra Bonus (PCS Score)"),SUMIFS(BONUS_RULES!$D$5:$D$46,BONUS_RULES!$A$5:$A$46,$C144,BONUS_RULES!$B$5:$B$46,"Extra Bonus (PCS Score)"),IF(AGENT_INPUT!G144&gt;=SUMIFS(BONUS_RULES!$G$5:$G$46,BONUS_RULES!$A$5:$A$46,$C144,BONUS_RULES!$B$5:$B$46,"Extra Bonus (PCS Score)"),SUMIFS(BONUS_RULES!$F$5:$F$46,BONUS_RULES!$A$5:$A$46,$C144,BONUS_RULES!$B$5:$B$46,"Extra Bonus (PCS Score)"),0)))</f>
        <v>0.3</v>
      </c>
      <c r="M144" s="10">
        <f>IF($A144="","",MIN(IF(POLICY_APPROVAL!$B$6="Replacement",SUM(F144:K144)-H144+MAX(H144,L144),SUM(F144:L144)),POLICY_APPROVAL!$B$10))</f>
        <v>0.6499999999999999</v>
      </c>
      <c r="N144" s="10">
        <f>IF($A144="","",IFERROR(INDEX(BONUS_RULES!$J$5:$J$10,MATCH(MIN(MAX(AGENT_INPUT!K144,0),5),BONUS_RULES!$I$5:$I$10,0)),1))</f>
        <v>0</v>
      </c>
      <c r="O144" s="10">
        <f>IF(M144="","",MAX(0,IF(POLICY_APPROVAL!$B$5="Percentage points",M144-N144,M144*(1-N144))))</f>
        <v>0.6499999999999999</v>
      </c>
      <c r="P144" s="11">
        <f>IF(D144&lt;&gt;"READY","",IF(AGENT_INPUT!O144&gt;0,AGENT_INPUT!O144,AGENT_INPUT!M144*AGENT_INPUT!N144/IF(POLICY_APPROVAL!$B$7="Annual",12,1)))</f>
        <v>2000.0</v>
      </c>
      <c r="Q144" s="10">
        <f>IF(D144&lt;&gt;"READY","",MIN(1,AGENT_INPUT!P144/AGENT_INPUT!Q144))</f>
        <v>1.0</v>
      </c>
      <c r="R144" s="11">
        <f>IF(D144&lt;&gt;"READY","",ROUND(P144*Q144*O144,IF(POLICY_APPROVAL!$B$11="Whole MAD",0,2)))</f>
        <v>1300.0</v>
      </c>
      <c r="S144" s="11">
        <f>IF(AND(SETUP!$B$9="READY",T144="READY"),R144,"")</f>
        <v/>
      </c>
      <c r="T144" s="4" t="str">
        <f>IF($A144="","",IF(D144&lt;&gt;"READY","BLOCKED - INPUT",IF(E144&lt;&gt;"ELIGIBLE","BLOCKED - ELIGIBILITY",IF(AGENT_INPUT!S144&lt;&gt;"VALIDATED","BLOCKED - DATA",IF(SETUP!$B$9&lt;&gt;"READY","BLOCKED - POLICY","READY")))))</f>
        <v>BLOCKED - ELIGIBILITY</v>
      </c>
      <c r="U144" s="4" t="str">
        <f>IF($A144="","",IF(COUNTIFS(AGENT_INPUT!$A$5:$A$254,$A144,AGENT_INPUT!$D$5:$D$254,AGENT_INPUT!D144)&gt;1,"DUPLICATE AGENT + PERIOD",IF(D144&lt;&gt;"READY","INPUT OR CONFIG REVIEW",IF(T144&lt;&gt;"READY",T144,""))))</f>
        <v>BLOCKED - ELIGIBILITY</v>
      </c>
    </row>
    <row r="145" spans="1:21">
      <c r="A145" s="4">
        <f>IF(AGENT_INPUT!A145="","",AGENT_INPUT!A145)</f>
        <v>250751</v>
      </c>
      <c r="B145" s="4" t="str">
        <f>IF($A145="","",AGENT_INPUT!B145)</f>
        <v>Aymen  HAFDALLAH</v>
      </c>
      <c r="C145" s="4" t="str">
        <f>IF($A145="","",AGENT_INPUT!C145)</f>
        <v>OEM FR</v>
      </c>
      <c r="D145" s="4" t="str">
        <f>IF($A145="","",IF(AND(COUNT(AGENT_INPUT!E145:J145)=6,COUNT(AGENT_INPUT!K145)=1,COUNTIF(BONUS_RULES!$A$5:$A$46,AGENT_INPUT!C145)&gt;0,OR(AGENT_INPUT!O145&gt;0,AND(AGENT_INPUT!M145&gt;0,AGENT_INPUT!N145&gt;0)),AGENT_INPUT!P145&gt;=0,AGENT_INPUT!Q145&gt;0,AGENT_INPUT!P145&lt;=AGENT_INPUT!Q145,AGENT_INPUT!H145&gt;=0,AGENT_INPUT!H145&lt;=1,AGENT_INPUT!I145&gt;=0,AGENT_INPUT!I145&lt;=1,AGENT_INPUT!J145&gt;=0,AGENT_INPUT!J145&lt;=1),"READY","BLOCKED"))</f>
        <v>BLOCKED</v>
      </c>
      <c r="E145" s="4">
        <f>IF($A145="","",IF(AGENT_INPUT!R145&lt;&gt;"Active","REVIEW",IF(OR(POLICY_APPROVAL!$B$9="Eligibility only",POLICY_APPROVAL!$B$9="Both"),IF(AGENT_INPUT!J145&lt;=SUMIFS(BONUS_RULES!$E$5:$E$46,BONUS_RULES!$A$5:$A$46,$C145,BONUS_RULES!$B$5:$B$46,"Abs%"),"ELIGIBLE","INELIGIBLE ABS"),"ELIGIBLE")))</f>
        <v/>
      </c>
      <c r="F145" s="10">
        <f>IF(OR($A145="",$D145&lt;&gt;"READY"),"",IF(AGENT_INPUT!E145&lt;=SUMIFS(BONUS_RULES!$E$5:$E$46,BONUS_RULES!$A$5:$A$46,$C145,BONUS_RULES!$B$5:$B$46,"AHT"),SUMIFS(BONUS_RULES!$D$5:$D$46,BONUS_RULES!$A$5:$A$46,$C145,BONUS_RULES!$B$5:$B$46,"AHT"),IF(AGENT_INPUT!E145&lt;=SUMIFS(BONUS_RULES!$G$5:$G$46,BONUS_RULES!$A$5:$A$46,$C145,BONUS_RULES!$B$5:$B$46,"AHT"),SUMIFS(BONUS_RULES!$F$5:$F$46,BONUS_RULES!$A$5:$A$46,$C145,BONUS_RULES!$B$5:$B$46,"AHT"),0)))</f>
        <v/>
      </c>
      <c r="G145" s="10">
        <f>IF(OR($A145="",$D145&lt;&gt;"READY"),"",IF(AGENT_INPUT!F145&gt;=SUMIFS(BONUS_RULES!$E$5:$E$46,BONUS_RULES!$A$5:$A$46,$C145,BONUS_RULES!$B$5:$B$46,"Productivity"),SUMIFS(BONUS_RULES!$D$5:$D$46,BONUS_RULES!$A$5:$A$46,$C145,BONUS_RULES!$B$5:$B$46,"Productivity"),IF(AGENT_INPUT!F145&gt;=SUMIFS(BONUS_RULES!$G$5:$G$46,BONUS_RULES!$A$5:$A$46,$C145,BONUS_RULES!$B$5:$B$46,"Productivity"),SUMIFS(BONUS_RULES!$F$5:$F$46,BONUS_RULES!$A$5:$A$46,$C145,BONUS_RULES!$B$5:$B$46,"Productivity"),0)))</f>
        <v/>
      </c>
      <c r="H145" s="10">
        <f>IF(OR($A145="",$D145&lt;&gt;"READY"),"",IF(AGENT_INPUT!G145&gt;=SUMIFS(BONUS_RULES!$E$5:$E$46,BONUS_RULES!$A$5:$A$46,$C145,BONUS_RULES!$B$5:$B$46,"PCS Score"),SUMIFS(BONUS_RULES!$D$5:$D$46,BONUS_RULES!$A$5:$A$46,$C145,BONUS_RULES!$B$5:$B$46,"PCS Score"),IF(AGENT_INPUT!G145&gt;=SUMIFS(BONUS_RULES!$G$5:$G$46,BONUS_RULES!$A$5:$A$46,$C145,BONUS_RULES!$B$5:$B$46,"PCS Score"),SUMIFS(BONUS_RULES!$F$5:$F$46,BONUS_RULES!$A$5:$A$46,$C145,BONUS_RULES!$B$5:$B$46,"PCS Score"),0)))</f>
        <v/>
      </c>
      <c r="I145" s="10">
        <f>IF(OR($A145="",$D145&lt;&gt;"READY"),"",IF(AGENT_INPUT!H145&gt;=SUMIFS(BONUS_RULES!$E$5:$E$46,BONUS_RULES!$A$5:$A$46,$C145,BONUS_RULES!$B$5:$B$46,"PCS % (Participation)"),SUMIFS(BONUS_RULES!$D$5:$D$46,BONUS_RULES!$A$5:$A$46,$C145,BONUS_RULES!$B$5:$B$46,"PCS % (Participation)"),IF(AGENT_INPUT!H145&gt;=SUMIFS(BONUS_RULES!$G$5:$G$46,BONUS_RULES!$A$5:$A$46,$C145,BONUS_RULES!$B$5:$B$46,"PCS % (Participation)"),SUMIFS(BONUS_RULES!$F$5:$F$46,BONUS_RULES!$A$5:$A$46,$C145,BONUS_RULES!$B$5:$B$46,"PCS % (Participation)"),0)))</f>
        <v/>
      </c>
      <c r="J145" s="10">
        <f>IF(OR($A145="",$D145&lt;&gt;"READY"),"",IF(AGENT_INPUT!I145&gt;=SUMIFS(BONUS_RULES!$E$5:$E$46,BONUS_RULES!$A$5:$A$46,$C145,BONUS_RULES!$B$5:$B$46,"QM"),SUMIFS(BONUS_RULES!$D$5:$D$46,BONUS_RULES!$A$5:$A$46,$C145,BONUS_RULES!$B$5:$B$46,"QM"),IF(AGENT_INPUT!I145&gt;=SUMIFS(BONUS_RULES!$G$5:$G$46,BONUS_RULES!$A$5:$A$46,$C145,BONUS_RULES!$B$5:$B$46,"QM"),SUMIFS(BONUS_RULES!$F$5:$F$46,BONUS_RULES!$A$5:$A$46,$C145,BONUS_RULES!$B$5:$B$46,"QM"),0)))</f>
        <v/>
      </c>
      <c r="K145" s="10">
        <f>IF(POLICY_APPROVAL!$B$9="Eligibility only",0,IF(OR($A145="",$D145&lt;&gt;"READY"),"",IF(AGENT_INPUT!J145&lt;=SUMIFS(BONUS_RULES!$E$5:$E$46,BONUS_RULES!$A$5:$A$46,$C145,BONUS_RULES!$B$5:$B$46,"Abs%"),SUMIFS(BONUS_RULES!$D$5:$D$46,BONUS_RULES!$A$5:$A$46,$C145,BONUS_RULES!$B$5:$B$46,"Abs%"),IF(AGENT_INPUT!J145&lt;=SUMIFS(BONUS_RULES!$G$5:$G$46,BONUS_RULES!$A$5:$A$46,$C145,BONUS_RULES!$B$5:$B$46,"Abs%"),SUMIFS(BONUS_RULES!$F$5:$F$46,BONUS_RULES!$A$5:$A$46,$C145,BONUS_RULES!$B$5:$B$46,"Abs%"),0))))</f>
        <v/>
      </c>
      <c r="L145" s="10">
        <f>IF(OR($A145="",$D145&lt;&gt;"READY"),"",IF(AGENT_INPUT!G145&gt;=SUMIFS(BONUS_RULES!$E$5:$E$46,BONUS_RULES!$A$5:$A$46,$C145,BONUS_RULES!$B$5:$B$46,"Extra Bonus (PCS Score)"),SUMIFS(BONUS_RULES!$D$5:$D$46,BONUS_RULES!$A$5:$A$46,$C145,BONUS_RULES!$B$5:$B$46,"Extra Bonus (PCS Score)"),IF(AGENT_INPUT!G145&gt;=SUMIFS(BONUS_RULES!$G$5:$G$46,BONUS_RULES!$A$5:$A$46,$C145,BONUS_RULES!$B$5:$B$46,"Extra Bonus (PCS Score)"),SUMIFS(BONUS_RULES!$F$5:$F$46,BONUS_RULES!$A$5:$A$46,$C145,BONUS_RULES!$B$5:$B$46,"Extra Bonus (PCS Score)"),0)))</f>
        <v/>
      </c>
      <c r="M145" s="10">
        <f>IF($A145="","",MIN(IF(POLICY_APPROVAL!$B$6="Replacement",SUM(F145:K145)-H145+MAX(H145,L145),SUM(F145:L145)),POLICY_APPROVAL!$B$10))</f>
        <v>0</v>
      </c>
      <c r="N145" s="10">
        <f>IF($A145="","",IFERROR(INDEX(BONUS_RULES!$J$5:$J$10,MATCH(MIN(MAX(AGENT_INPUT!K145,0),5),BONUS_RULES!$I$5:$I$10,0)),1))</f>
        <v>0</v>
      </c>
      <c r="O145" s="10">
        <f>IF(M145="","",MAX(0,IF(POLICY_APPROVAL!$B$5="Percentage points",M145-N145,M145*(1-N145))))</f>
        <v>0</v>
      </c>
      <c r="P145" s="11">
        <f>IF(D145&lt;&gt;"READY","",IF(AGENT_INPUT!O145&gt;0,AGENT_INPUT!O145,AGENT_INPUT!M145*AGENT_INPUT!N145/IF(POLICY_APPROVAL!$B$7="Annual",12,1)))</f>
        <v/>
      </c>
      <c r="Q145" s="10">
        <f>IF(D145&lt;&gt;"READY","",MIN(1,AGENT_INPUT!P145/AGENT_INPUT!Q145))</f>
        <v/>
      </c>
      <c r="R145" s="11">
        <f>IF(D145&lt;&gt;"READY","",ROUND(P145*Q145*O145,IF(POLICY_APPROVAL!$B$11="Whole MAD",0,2)))</f>
        <v/>
      </c>
      <c r="S145" s="11">
        <f>IF(AND(SETUP!$B$9="READY",T145="READY"),R145,"")</f>
        <v/>
      </c>
      <c r="T145" s="4" t="str">
        <f>IF($A145="","",IF(D145&lt;&gt;"READY","BLOCKED - INPUT",IF(E145&lt;&gt;"ELIGIBLE","BLOCKED - ELIGIBILITY",IF(AGENT_INPUT!S145&lt;&gt;"VALIDATED","BLOCKED - DATA",IF(SETUP!$B$9&lt;&gt;"READY","BLOCKED - POLICY","READY")))))</f>
        <v>BLOCKED - INPUT</v>
      </c>
      <c r="U145" s="4" t="str">
        <f>IF($A145="","",IF(COUNTIFS(AGENT_INPUT!$A$5:$A$254,$A145,AGENT_INPUT!$D$5:$D$254,AGENT_INPUT!D145)&gt;1,"DUPLICATE AGENT + PERIOD",IF(D145&lt;&gt;"READY","INPUT OR CONFIG REVIEW",IF(T145&lt;&gt;"READY",T145,""))))</f>
        <v>Missing, invalid, or unconfigured required input</v>
      </c>
    </row>
    <row r="146" spans="1:21">
      <c r="A146" s="4">
        <f>IF(AGENT_INPUT!A146="","",AGENT_INPUT!A146)</f>
        <v>96161</v>
      </c>
      <c r="B146" s="4" t="str">
        <f>IF($A146="","",AGENT_INPUT!B146)</f>
        <v>Islah Aymane</v>
      </c>
      <c r="C146" s="4" t="str">
        <f>IF($A146="","",AGENT_INPUT!C146)</f>
        <v>RSA VL</v>
      </c>
      <c r="D146" s="4" t="str">
        <f>IF($A146="","",IF(AND(COUNT(AGENT_INPUT!E146:J146)=6,COUNT(AGENT_INPUT!K146)=1,COUNTIF(BONUS_RULES!$A$5:$A$46,AGENT_INPUT!C146)&gt;0,OR(AGENT_INPUT!O146&gt;0,AND(AGENT_INPUT!M146&gt;0,AGENT_INPUT!N146&gt;0)),AGENT_INPUT!P146&gt;=0,AGENT_INPUT!Q146&gt;0,AGENT_INPUT!P146&lt;=AGENT_INPUT!Q146,AGENT_INPUT!H146&gt;=0,AGENT_INPUT!H146&lt;=1,AGENT_INPUT!I146&gt;=0,AGENT_INPUT!I146&lt;=1,AGENT_INPUT!J146&gt;=0,AGENT_INPUT!J146&lt;=1),"READY","BLOCKED"))</f>
        <v>READY</v>
      </c>
      <c r="E146" s="4" t="str">
        <f>IF($A146="","",IF(AGENT_INPUT!R146&lt;&gt;"Active","REVIEW",IF(OR(POLICY_APPROVAL!$B$9="Eligibility only",POLICY_APPROVAL!$B$9="Both"),IF(AGENT_INPUT!J146&lt;=SUMIFS(BONUS_RULES!$E$5:$E$46,BONUS_RULES!$A$5:$A$46,$C146,BONUS_RULES!$B$5:$B$46,"Abs%"),"ELIGIBLE","INELIGIBLE ABS"),"ELIGIBLE")))</f>
        <v>REVIEW</v>
      </c>
      <c r="F146" s="10">
        <f>IF(OR($A146="",$D146&lt;&gt;"READY"),"",IF(AGENT_INPUT!E146&lt;=SUMIFS(BONUS_RULES!$E$5:$E$46,BONUS_RULES!$A$5:$A$46,$C146,BONUS_RULES!$B$5:$B$46,"AHT"),SUMIFS(BONUS_RULES!$D$5:$D$46,BONUS_RULES!$A$5:$A$46,$C146,BONUS_RULES!$B$5:$B$46,"AHT"),IF(AGENT_INPUT!E146&lt;=SUMIFS(BONUS_RULES!$G$5:$G$46,BONUS_RULES!$A$5:$A$46,$C146,BONUS_RULES!$B$5:$B$46,"AHT"),SUMIFS(BONUS_RULES!$F$5:$F$46,BONUS_RULES!$A$5:$A$46,$C146,BONUS_RULES!$B$5:$B$46,"AHT"),0)))</f>
        <v>0.15</v>
      </c>
      <c r="G146" s="10">
        <f>IF(OR($A146="",$D146&lt;&gt;"READY"),"",IF(AGENT_INPUT!F146&gt;=SUMIFS(BONUS_RULES!$E$5:$E$46,BONUS_RULES!$A$5:$A$46,$C146,BONUS_RULES!$B$5:$B$46,"Productivity"),SUMIFS(BONUS_RULES!$D$5:$D$46,BONUS_RULES!$A$5:$A$46,$C146,BONUS_RULES!$B$5:$B$46,"Productivity"),IF(AGENT_INPUT!F146&gt;=SUMIFS(BONUS_RULES!$G$5:$G$46,BONUS_RULES!$A$5:$A$46,$C146,BONUS_RULES!$B$5:$B$46,"Productivity"),SUMIFS(BONUS_RULES!$F$5:$F$46,BONUS_RULES!$A$5:$A$46,$C146,BONUS_RULES!$B$5:$B$46,"Productivity"),0)))</f>
        <v>0.15</v>
      </c>
      <c r="H146" s="10">
        <f>IF(OR($A146="",$D146&lt;&gt;"READY"),"",IF(AGENT_INPUT!G146&gt;=SUMIFS(BONUS_RULES!$E$5:$E$46,BONUS_RULES!$A$5:$A$46,$C146,BONUS_RULES!$B$5:$B$46,"PCS Score"),SUMIFS(BONUS_RULES!$D$5:$D$46,BONUS_RULES!$A$5:$A$46,$C146,BONUS_RULES!$B$5:$B$46,"PCS Score"),IF(AGENT_INPUT!G146&gt;=SUMIFS(BONUS_RULES!$G$5:$G$46,BONUS_RULES!$A$5:$A$46,$C146,BONUS_RULES!$B$5:$B$46,"PCS Score"),SUMIFS(BONUS_RULES!$F$5:$F$46,BONUS_RULES!$A$5:$A$46,$C146,BONUS_RULES!$B$5:$B$46,"PCS Score"),0)))</f>
        <v>0.0</v>
      </c>
      <c r="I146" s="10">
        <f>IF(OR($A146="",$D146&lt;&gt;"READY"),"",IF(AGENT_INPUT!H146&gt;=SUMIFS(BONUS_RULES!$E$5:$E$46,BONUS_RULES!$A$5:$A$46,$C146,BONUS_RULES!$B$5:$B$46,"PCS % (Participation)"),SUMIFS(BONUS_RULES!$D$5:$D$46,BONUS_RULES!$A$5:$A$46,$C146,BONUS_RULES!$B$5:$B$46,"PCS % (Participation)"),IF(AGENT_INPUT!H146&gt;=SUMIFS(BONUS_RULES!$G$5:$G$46,BONUS_RULES!$A$5:$A$46,$C146,BONUS_RULES!$B$5:$B$46,"PCS % (Participation)"),SUMIFS(BONUS_RULES!$F$5:$F$46,BONUS_RULES!$A$5:$A$46,$C146,BONUS_RULES!$B$5:$B$46,"PCS % (Participation)"),0)))</f>
        <v>0.0</v>
      </c>
      <c r="J146" s="10">
        <f>IF(OR($A146="",$D146&lt;&gt;"READY"),"",IF(AGENT_INPUT!I146&gt;=SUMIFS(BONUS_RULES!$E$5:$E$46,BONUS_RULES!$A$5:$A$46,$C146,BONUS_RULES!$B$5:$B$46,"QM"),SUMIFS(BONUS_RULES!$D$5:$D$46,BONUS_RULES!$A$5:$A$46,$C146,BONUS_RULES!$B$5:$B$46,"QM"),IF(AGENT_INPUT!I146&gt;=SUMIFS(BONUS_RULES!$G$5:$G$46,BONUS_RULES!$A$5:$A$46,$C146,BONUS_RULES!$B$5:$B$46,"QM"),SUMIFS(BONUS_RULES!$F$5:$F$46,BONUS_RULES!$A$5:$A$46,$C146,BONUS_RULES!$B$5:$B$46,"QM"),0)))</f>
        <v>0.15</v>
      </c>
      <c r="K146" s="10">
        <f>IF(POLICY_APPROVAL!$B$9="Eligibility only",0,IF(OR($A146="",$D146&lt;&gt;"READY"),"",IF(AGENT_INPUT!J146&lt;=SUMIFS(BONUS_RULES!$E$5:$E$46,BONUS_RULES!$A$5:$A$46,$C146,BONUS_RULES!$B$5:$B$46,"Abs%"),SUMIFS(BONUS_RULES!$D$5:$D$46,BONUS_RULES!$A$5:$A$46,$C146,BONUS_RULES!$B$5:$B$46,"Abs%"),IF(AGENT_INPUT!J146&lt;=SUMIFS(BONUS_RULES!$G$5:$G$46,BONUS_RULES!$A$5:$A$46,$C146,BONUS_RULES!$B$5:$B$46,"Abs%"),SUMIFS(BONUS_RULES!$F$5:$F$46,BONUS_RULES!$A$5:$A$46,$C146,BONUS_RULES!$B$5:$B$46,"Abs%"),0))))</f>
        <v>0.15</v>
      </c>
      <c r="L146" s="10">
        <f>IF(OR($A146="",$D146&lt;&gt;"READY"),"",IF(AGENT_INPUT!G146&gt;=SUMIFS(BONUS_RULES!$E$5:$E$46,BONUS_RULES!$A$5:$A$46,$C146,BONUS_RULES!$B$5:$B$46,"Extra Bonus (PCS Score)"),SUMIFS(BONUS_RULES!$D$5:$D$46,BONUS_RULES!$A$5:$A$46,$C146,BONUS_RULES!$B$5:$B$46,"Extra Bonus (PCS Score)"),IF(AGENT_INPUT!G146&gt;=SUMIFS(BONUS_RULES!$G$5:$G$46,BONUS_RULES!$A$5:$A$46,$C146,BONUS_RULES!$B$5:$B$46,"Extra Bonus (PCS Score)"),SUMIFS(BONUS_RULES!$F$5:$F$46,BONUS_RULES!$A$5:$A$46,$C146,BONUS_RULES!$B$5:$B$46,"Extra Bonus (PCS Score)"),0)))</f>
        <v>0.0</v>
      </c>
      <c r="M146" s="10">
        <f>IF($A146="","",MIN(IF(POLICY_APPROVAL!$B$6="Replacement",SUM(F146:K146)-H146+MAX(H146,L146),SUM(F146:L146)),POLICY_APPROVAL!$B$10))</f>
        <v>0.6</v>
      </c>
      <c r="N146" s="10">
        <f>IF($A146="","",IFERROR(INDEX(BONUS_RULES!$J$5:$J$10,MATCH(MIN(MAX(AGENT_INPUT!K146,0),5),BONUS_RULES!$I$5:$I$10,0)),1))</f>
        <v>0</v>
      </c>
      <c r="O146" s="10">
        <f>IF(M146="","",MAX(0,IF(POLICY_APPROVAL!$B$5="Percentage points",M146-N146,M146*(1-N146))))</f>
        <v>0.6</v>
      </c>
      <c r="P146" s="11">
        <f>IF(D146&lt;&gt;"READY","",IF(AGENT_INPUT!O146&gt;0,AGENT_INPUT!O146,AGENT_INPUT!M146*AGENT_INPUT!N146/IF(POLICY_APPROVAL!$B$7="Annual",12,1)))</f>
        <v>2000.0</v>
      </c>
      <c r="Q146" s="10">
        <f>IF(D146&lt;&gt;"READY","",MIN(1,AGENT_INPUT!P146/AGENT_INPUT!Q146))</f>
        <v>1.0</v>
      </c>
      <c r="R146" s="11">
        <f>IF(D146&lt;&gt;"READY","",ROUND(P146*Q146*O146,IF(POLICY_APPROVAL!$B$11="Whole MAD",0,2)))</f>
        <v>1200.0</v>
      </c>
      <c r="S146" s="11">
        <f>IF(AND(SETUP!$B$9="READY",T146="READY"),R146,"")</f>
        <v/>
      </c>
      <c r="T146" s="4" t="str">
        <f>IF($A146="","",IF(D146&lt;&gt;"READY","BLOCKED - INPUT",IF(E146&lt;&gt;"ELIGIBLE","BLOCKED - ELIGIBILITY",IF(AGENT_INPUT!S146&lt;&gt;"VALIDATED","BLOCKED - DATA",IF(SETUP!$B$9&lt;&gt;"READY","BLOCKED - POLICY","READY")))))</f>
        <v>BLOCKED - ELIGIBILITY</v>
      </c>
      <c r="U146" s="4" t="str">
        <f>IF($A146="","",IF(COUNTIFS(AGENT_INPUT!$A$5:$A$254,$A146,AGENT_INPUT!$D$5:$D$254,AGENT_INPUT!D146)&gt;1,"DUPLICATE AGENT + PERIOD",IF(D146&lt;&gt;"READY","INPUT OR CONFIG REVIEW",IF(T146&lt;&gt;"READY",T146,""))))</f>
        <v>BLOCKED - ELIGIBILITY</v>
      </c>
    </row>
    <row r="147" spans="1:21">
      <c r="A147" s="4">
        <f>IF(AGENT_INPUT!A147="","",AGENT_INPUT!A147)</f>
        <v>203634</v>
      </c>
      <c r="B147" s="4" t="str">
        <f>IF($A147="","",AGENT_INPUT!B147)</f>
        <v>Kabbouh Ayman</v>
      </c>
      <c r="C147" s="4" t="str">
        <f>IF($A147="","",AGENT_INPUT!C147)</f>
        <v>OEM FR</v>
      </c>
      <c r="D147" s="4" t="str">
        <f>IF($A147="","",IF(AND(COUNT(AGENT_INPUT!E147:J147)=6,COUNT(AGENT_INPUT!K147)=1,COUNTIF(BONUS_RULES!$A$5:$A$46,AGENT_INPUT!C147)&gt;0,OR(AGENT_INPUT!O147&gt;0,AND(AGENT_INPUT!M147&gt;0,AGENT_INPUT!N147&gt;0)),AGENT_INPUT!P147&gt;=0,AGENT_INPUT!Q147&gt;0,AGENT_INPUT!P147&lt;=AGENT_INPUT!Q147,AGENT_INPUT!H147&gt;=0,AGENT_INPUT!H147&lt;=1,AGENT_INPUT!I147&gt;=0,AGENT_INPUT!I147&lt;=1,AGENT_INPUT!J147&gt;=0,AGENT_INPUT!J147&lt;=1),"READY","BLOCKED"))</f>
        <v>READY</v>
      </c>
      <c r="E147" s="4" t="str">
        <f>IF($A147="","",IF(AGENT_INPUT!R147&lt;&gt;"Active","REVIEW",IF(OR(POLICY_APPROVAL!$B$9="Eligibility only",POLICY_APPROVAL!$B$9="Both"),IF(AGENT_INPUT!J147&lt;=SUMIFS(BONUS_RULES!$E$5:$E$46,BONUS_RULES!$A$5:$A$46,$C147,BONUS_RULES!$B$5:$B$46,"Abs%"),"ELIGIBLE","INELIGIBLE ABS"),"ELIGIBLE")))</f>
        <v>REVIEW</v>
      </c>
      <c r="F147" s="10">
        <f>IF(OR($A147="",$D147&lt;&gt;"READY"),"",IF(AGENT_INPUT!E147&lt;=SUMIFS(BONUS_RULES!$E$5:$E$46,BONUS_RULES!$A$5:$A$46,$C147,BONUS_RULES!$B$5:$B$46,"AHT"),SUMIFS(BONUS_RULES!$D$5:$D$46,BONUS_RULES!$A$5:$A$46,$C147,BONUS_RULES!$B$5:$B$46,"AHT"),IF(AGENT_INPUT!E147&lt;=SUMIFS(BONUS_RULES!$G$5:$G$46,BONUS_RULES!$A$5:$A$46,$C147,BONUS_RULES!$B$5:$B$46,"AHT"),SUMIFS(BONUS_RULES!$F$5:$F$46,BONUS_RULES!$A$5:$A$46,$C147,BONUS_RULES!$B$5:$B$46,"AHT"),0)))</f>
        <v>0.0</v>
      </c>
      <c r="G147" s="10">
        <f>IF(OR($A147="",$D147&lt;&gt;"READY"),"",IF(AGENT_INPUT!F147&gt;=SUMIFS(BONUS_RULES!$E$5:$E$46,BONUS_RULES!$A$5:$A$46,$C147,BONUS_RULES!$B$5:$B$46,"Productivity"),SUMIFS(BONUS_RULES!$D$5:$D$46,BONUS_RULES!$A$5:$A$46,$C147,BONUS_RULES!$B$5:$B$46,"Productivity"),IF(AGENT_INPUT!F147&gt;=SUMIFS(BONUS_RULES!$G$5:$G$46,BONUS_RULES!$A$5:$A$46,$C147,BONUS_RULES!$B$5:$B$46,"Productivity"),SUMIFS(BONUS_RULES!$F$5:$F$46,BONUS_RULES!$A$5:$A$46,$C147,BONUS_RULES!$B$5:$B$46,"Productivity"),0)))</f>
        <v>0.0</v>
      </c>
      <c r="H147" s="10">
        <f>IF(OR($A147="",$D147&lt;&gt;"READY"),"",IF(AGENT_INPUT!G147&gt;=SUMIFS(BONUS_RULES!$E$5:$E$46,BONUS_RULES!$A$5:$A$46,$C147,BONUS_RULES!$B$5:$B$46,"PCS Score"),SUMIFS(BONUS_RULES!$D$5:$D$46,BONUS_RULES!$A$5:$A$46,$C147,BONUS_RULES!$B$5:$B$46,"PCS Score"),IF(AGENT_INPUT!G147&gt;=SUMIFS(BONUS_RULES!$G$5:$G$46,BONUS_RULES!$A$5:$A$46,$C147,BONUS_RULES!$B$5:$B$46,"PCS Score"),SUMIFS(BONUS_RULES!$F$5:$F$46,BONUS_RULES!$A$5:$A$46,$C147,BONUS_RULES!$B$5:$B$46,"PCS Score"),0)))</f>
        <v>0.2</v>
      </c>
      <c r="I147" s="10">
        <f>IF(OR($A147="",$D147&lt;&gt;"READY"),"",IF(AGENT_INPUT!H147&gt;=SUMIFS(BONUS_RULES!$E$5:$E$46,BONUS_RULES!$A$5:$A$46,$C147,BONUS_RULES!$B$5:$B$46,"PCS % (Participation)"),SUMIFS(BONUS_RULES!$D$5:$D$46,BONUS_RULES!$A$5:$A$46,$C147,BONUS_RULES!$B$5:$B$46,"PCS % (Participation)"),IF(AGENT_INPUT!H147&gt;=SUMIFS(BONUS_RULES!$G$5:$G$46,BONUS_RULES!$A$5:$A$46,$C147,BONUS_RULES!$B$5:$B$46,"PCS % (Participation)"),SUMIFS(BONUS_RULES!$F$5:$F$46,BONUS_RULES!$A$5:$A$46,$C147,BONUS_RULES!$B$5:$B$46,"PCS % (Participation)"),0)))</f>
        <v>0.0</v>
      </c>
      <c r="J147" s="10">
        <f>IF(OR($A147="",$D147&lt;&gt;"READY"),"",IF(AGENT_INPUT!I147&gt;=SUMIFS(BONUS_RULES!$E$5:$E$46,BONUS_RULES!$A$5:$A$46,$C147,BONUS_RULES!$B$5:$B$46,"QM"),SUMIFS(BONUS_RULES!$D$5:$D$46,BONUS_RULES!$A$5:$A$46,$C147,BONUS_RULES!$B$5:$B$46,"QM"),IF(AGENT_INPUT!I147&gt;=SUMIFS(BONUS_RULES!$G$5:$G$46,BONUS_RULES!$A$5:$A$46,$C147,BONUS_RULES!$B$5:$B$46,"QM"),SUMIFS(BONUS_RULES!$F$5:$F$46,BONUS_RULES!$A$5:$A$46,$C147,BONUS_RULES!$B$5:$B$46,"QM"),0)))</f>
        <v>0.0</v>
      </c>
      <c r="K147" s="10">
        <f>IF(POLICY_APPROVAL!$B$9="Eligibility only",0,IF(OR($A147="",$D147&lt;&gt;"READY"),"",IF(AGENT_INPUT!J147&lt;=SUMIFS(BONUS_RULES!$E$5:$E$46,BONUS_RULES!$A$5:$A$46,$C147,BONUS_RULES!$B$5:$B$46,"Abs%"),SUMIFS(BONUS_RULES!$D$5:$D$46,BONUS_RULES!$A$5:$A$46,$C147,BONUS_RULES!$B$5:$B$46,"Abs%"),IF(AGENT_INPUT!J147&lt;=SUMIFS(BONUS_RULES!$G$5:$G$46,BONUS_RULES!$A$5:$A$46,$C147,BONUS_RULES!$B$5:$B$46,"Abs%"),SUMIFS(BONUS_RULES!$F$5:$F$46,BONUS_RULES!$A$5:$A$46,$C147,BONUS_RULES!$B$5:$B$46,"Abs%"),0))))</f>
        <v>0.15</v>
      </c>
      <c r="L147" s="10">
        <f>IF(OR($A147="",$D147&lt;&gt;"READY"),"",IF(AGENT_INPUT!G147&gt;=SUMIFS(BONUS_RULES!$E$5:$E$46,BONUS_RULES!$A$5:$A$46,$C147,BONUS_RULES!$B$5:$B$46,"Extra Bonus (PCS Score)"),SUMIFS(BONUS_RULES!$D$5:$D$46,BONUS_RULES!$A$5:$A$46,$C147,BONUS_RULES!$B$5:$B$46,"Extra Bonus (PCS Score)"),IF(AGENT_INPUT!G147&gt;=SUMIFS(BONUS_RULES!$G$5:$G$46,BONUS_RULES!$A$5:$A$46,$C147,BONUS_RULES!$B$5:$B$46,"Extra Bonus (PCS Score)"),SUMIFS(BONUS_RULES!$F$5:$F$46,BONUS_RULES!$A$5:$A$46,$C147,BONUS_RULES!$B$5:$B$46,"Extra Bonus (PCS Score)"),0)))</f>
        <v>0.2</v>
      </c>
      <c r="M147" s="10">
        <f>IF($A147="","",MIN(IF(POLICY_APPROVAL!$B$6="Replacement",SUM(F147:K147)-H147+MAX(H147,L147),SUM(F147:L147)),POLICY_APPROVAL!$B$10))</f>
        <v>0.55</v>
      </c>
      <c r="N147" s="10">
        <f>IF($A147="","",IFERROR(INDEX(BONUS_RULES!$J$5:$J$10,MATCH(MIN(MAX(AGENT_INPUT!K147,0),5),BONUS_RULES!$I$5:$I$10,0)),1))</f>
        <v>0</v>
      </c>
      <c r="O147" s="10">
        <f>IF(M147="","",MAX(0,IF(POLICY_APPROVAL!$B$5="Percentage points",M147-N147,M147*(1-N147))))</f>
        <v>0.55</v>
      </c>
      <c r="P147" s="11">
        <f>IF(D147&lt;&gt;"READY","",IF(AGENT_INPUT!O147&gt;0,AGENT_INPUT!O147,AGENT_INPUT!M147*AGENT_INPUT!N147/IF(POLICY_APPROVAL!$B$7="Annual",12,1)))</f>
        <v>2000.0</v>
      </c>
      <c r="Q147" s="10">
        <f>IF(D147&lt;&gt;"READY","",MIN(1,AGENT_INPUT!P147/AGENT_INPUT!Q147))</f>
        <v>1.0</v>
      </c>
      <c r="R147" s="11">
        <f>IF(D147&lt;&gt;"READY","",ROUND(P147*Q147*O147,IF(POLICY_APPROVAL!$B$11="Whole MAD",0,2)))</f>
        <v>1100.0</v>
      </c>
      <c r="S147" s="11">
        <f>IF(AND(SETUP!$B$9="READY",T147="READY"),R147,"")</f>
        <v/>
      </c>
      <c r="T147" s="4" t="str">
        <f>IF($A147="","",IF(D147&lt;&gt;"READY","BLOCKED - INPUT",IF(E147&lt;&gt;"ELIGIBLE","BLOCKED - ELIGIBILITY",IF(AGENT_INPUT!S147&lt;&gt;"VALIDATED","BLOCKED - DATA",IF(SETUP!$B$9&lt;&gt;"READY","BLOCKED - POLICY","READY")))))</f>
        <v>BLOCKED - ELIGIBILITY</v>
      </c>
      <c r="U147" s="4" t="str">
        <f>IF($A147="","",IF(COUNTIFS(AGENT_INPUT!$A$5:$A$254,$A147,AGENT_INPUT!$D$5:$D$254,AGENT_INPUT!D147)&gt;1,"DUPLICATE AGENT + PERIOD",IF(D147&lt;&gt;"READY","INPUT OR CONFIG REVIEW",IF(T147&lt;&gt;"READY",T147,""))))</f>
        <v>BLOCKED - ELIGIBILITY</v>
      </c>
    </row>
    <row r="148" spans="1:21">
      <c r="A148" s="4">
        <f>IF(AGENT_INPUT!A148="","",AGENT_INPUT!A148)</f>
        <v>223881</v>
      </c>
      <c r="B148" s="4" t="str">
        <f>IF($A148="","",AGENT_INPUT!B148)</f>
        <v>DICKMANNS Arno</v>
      </c>
      <c r="C148" s="4" t="str">
        <f>IF($A148="","",AGENT_INPUT!C148)</f>
        <v>RSA VL</v>
      </c>
      <c r="D148" s="4" t="str">
        <f>IF($A148="","",IF(AND(COUNT(AGENT_INPUT!E148:J148)=6,COUNT(AGENT_INPUT!K148)=1,COUNTIF(BONUS_RULES!$A$5:$A$46,AGENT_INPUT!C148)&gt;0,OR(AGENT_INPUT!O148&gt;0,AND(AGENT_INPUT!M148&gt;0,AGENT_INPUT!N148&gt;0)),AGENT_INPUT!P148&gt;=0,AGENT_INPUT!Q148&gt;0,AGENT_INPUT!P148&lt;=AGENT_INPUT!Q148,AGENT_INPUT!H148&gt;=0,AGENT_INPUT!H148&lt;=1,AGENT_INPUT!I148&gt;=0,AGENT_INPUT!I148&lt;=1,AGENT_INPUT!J148&gt;=0,AGENT_INPUT!J148&lt;=1),"READY","BLOCKED"))</f>
        <v>READY</v>
      </c>
      <c r="E148" s="4" t="str">
        <f>IF($A148="","",IF(AGENT_INPUT!R148&lt;&gt;"Active","REVIEW",IF(OR(POLICY_APPROVAL!$B$9="Eligibility only",POLICY_APPROVAL!$B$9="Both"),IF(AGENT_INPUT!J148&lt;=SUMIFS(BONUS_RULES!$E$5:$E$46,BONUS_RULES!$A$5:$A$46,$C148,BONUS_RULES!$B$5:$B$46,"Abs%"),"ELIGIBLE","INELIGIBLE ABS"),"ELIGIBLE")))</f>
        <v>REVIEW</v>
      </c>
      <c r="F148" s="10">
        <f>IF(OR($A148="",$D148&lt;&gt;"READY"),"",IF(AGENT_INPUT!E148&lt;=SUMIFS(BONUS_RULES!$E$5:$E$46,BONUS_RULES!$A$5:$A$46,$C148,BONUS_RULES!$B$5:$B$46,"AHT"),SUMIFS(BONUS_RULES!$D$5:$D$46,BONUS_RULES!$A$5:$A$46,$C148,BONUS_RULES!$B$5:$B$46,"AHT"),IF(AGENT_INPUT!E148&lt;=SUMIFS(BONUS_RULES!$G$5:$G$46,BONUS_RULES!$A$5:$A$46,$C148,BONUS_RULES!$B$5:$B$46,"AHT"),SUMIFS(BONUS_RULES!$F$5:$F$46,BONUS_RULES!$A$5:$A$46,$C148,BONUS_RULES!$B$5:$B$46,"AHT"),0)))</f>
        <v>0.15</v>
      </c>
      <c r="G148" s="10">
        <f>IF(OR($A148="",$D148&lt;&gt;"READY"),"",IF(AGENT_INPUT!F148&gt;=SUMIFS(BONUS_RULES!$E$5:$E$46,BONUS_RULES!$A$5:$A$46,$C148,BONUS_RULES!$B$5:$B$46,"Productivity"),SUMIFS(BONUS_RULES!$D$5:$D$46,BONUS_RULES!$A$5:$A$46,$C148,BONUS_RULES!$B$5:$B$46,"Productivity"),IF(AGENT_INPUT!F148&gt;=SUMIFS(BONUS_RULES!$G$5:$G$46,BONUS_RULES!$A$5:$A$46,$C148,BONUS_RULES!$B$5:$B$46,"Productivity"),SUMIFS(BONUS_RULES!$F$5:$F$46,BONUS_RULES!$A$5:$A$46,$C148,BONUS_RULES!$B$5:$B$46,"Productivity"),0)))</f>
        <v>0.15</v>
      </c>
      <c r="H148" s="10">
        <f>IF(OR($A148="",$D148&lt;&gt;"READY"),"",IF(AGENT_INPUT!G148&gt;=SUMIFS(BONUS_RULES!$E$5:$E$46,BONUS_RULES!$A$5:$A$46,$C148,BONUS_RULES!$B$5:$B$46,"PCS Score"),SUMIFS(BONUS_RULES!$D$5:$D$46,BONUS_RULES!$A$5:$A$46,$C148,BONUS_RULES!$B$5:$B$46,"PCS Score"),IF(AGENT_INPUT!G148&gt;=SUMIFS(BONUS_RULES!$G$5:$G$46,BONUS_RULES!$A$5:$A$46,$C148,BONUS_RULES!$B$5:$B$46,"PCS Score"),SUMIFS(BONUS_RULES!$F$5:$F$46,BONUS_RULES!$A$5:$A$46,$C148,BONUS_RULES!$B$5:$B$46,"PCS Score"),0)))</f>
        <v>0.0</v>
      </c>
      <c r="I148" s="10">
        <f>IF(OR($A148="",$D148&lt;&gt;"READY"),"",IF(AGENT_INPUT!H148&gt;=SUMIFS(BONUS_RULES!$E$5:$E$46,BONUS_RULES!$A$5:$A$46,$C148,BONUS_RULES!$B$5:$B$46,"PCS % (Participation)"),SUMIFS(BONUS_RULES!$D$5:$D$46,BONUS_RULES!$A$5:$A$46,$C148,BONUS_RULES!$B$5:$B$46,"PCS % (Participation)"),IF(AGENT_INPUT!H148&gt;=SUMIFS(BONUS_RULES!$G$5:$G$46,BONUS_RULES!$A$5:$A$46,$C148,BONUS_RULES!$B$5:$B$46,"PCS % (Participation)"),SUMIFS(BONUS_RULES!$F$5:$F$46,BONUS_RULES!$A$5:$A$46,$C148,BONUS_RULES!$B$5:$B$46,"PCS % (Participation)"),0)))</f>
        <v>0.0</v>
      </c>
      <c r="J148" s="10">
        <f>IF(OR($A148="",$D148&lt;&gt;"READY"),"",IF(AGENT_INPUT!I148&gt;=SUMIFS(BONUS_RULES!$E$5:$E$46,BONUS_RULES!$A$5:$A$46,$C148,BONUS_RULES!$B$5:$B$46,"QM"),SUMIFS(BONUS_RULES!$D$5:$D$46,BONUS_RULES!$A$5:$A$46,$C148,BONUS_RULES!$B$5:$B$46,"QM"),IF(AGENT_INPUT!I148&gt;=SUMIFS(BONUS_RULES!$G$5:$G$46,BONUS_RULES!$A$5:$A$46,$C148,BONUS_RULES!$B$5:$B$46,"QM"),SUMIFS(BONUS_RULES!$F$5:$F$46,BONUS_RULES!$A$5:$A$46,$C148,BONUS_RULES!$B$5:$B$46,"QM"),0)))</f>
        <v>0.0</v>
      </c>
      <c r="K148" s="10">
        <f>IF(POLICY_APPROVAL!$B$9="Eligibility only",0,IF(OR($A148="",$D148&lt;&gt;"READY"),"",IF(AGENT_INPUT!J148&lt;=SUMIFS(BONUS_RULES!$E$5:$E$46,BONUS_RULES!$A$5:$A$46,$C148,BONUS_RULES!$B$5:$B$46,"Abs%"),SUMIFS(BONUS_RULES!$D$5:$D$46,BONUS_RULES!$A$5:$A$46,$C148,BONUS_RULES!$B$5:$B$46,"Abs%"),IF(AGENT_INPUT!J148&lt;=SUMIFS(BONUS_RULES!$G$5:$G$46,BONUS_RULES!$A$5:$A$46,$C148,BONUS_RULES!$B$5:$B$46,"Abs%"),SUMIFS(BONUS_RULES!$F$5:$F$46,BONUS_RULES!$A$5:$A$46,$C148,BONUS_RULES!$B$5:$B$46,"Abs%"),0))))</f>
        <v>0.15</v>
      </c>
      <c r="L148" s="10">
        <f>IF(OR($A148="",$D148&lt;&gt;"READY"),"",IF(AGENT_INPUT!G148&gt;=SUMIFS(BONUS_RULES!$E$5:$E$46,BONUS_RULES!$A$5:$A$46,$C148,BONUS_RULES!$B$5:$B$46,"Extra Bonus (PCS Score)"),SUMIFS(BONUS_RULES!$D$5:$D$46,BONUS_RULES!$A$5:$A$46,$C148,BONUS_RULES!$B$5:$B$46,"Extra Bonus (PCS Score)"),IF(AGENT_INPUT!G148&gt;=SUMIFS(BONUS_RULES!$G$5:$G$46,BONUS_RULES!$A$5:$A$46,$C148,BONUS_RULES!$B$5:$B$46,"Extra Bonus (PCS Score)"),SUMIFS(BONUS_RULES!$F$5:$F$46,BONUS_RULES!$A$5:$A$46,$C148,BONUS_RULES!$B$5:$B$46,"Extra Bonus (PCS Score)"),0)))</f>
        <v>0.0</v>
      </c>
      <c r="M148" s="10">
        <f>IF($A148="","",MIN(IF(POLICY_APPROVAL!$B$6="Replacement",SUM(F148:K148)-H148+MAX(H148,L148),SUM(F148:L148)),POLICY_APPROVAL!$B$10))</f>
        <v>0.44999999999999996</v>
      </c>
      <c r="N148" s="10">
        <f>IF($A148="","",IFERROR(INDEX(BONUS_RULES!$J$5:$J$10,MATCH(MIN(MAX(AGENT_INPUT!K148,0),5),BONUS_RULES!$I$5:$I$10,0)),1))</f>
        <v>0</v>
      </c>
      <c r="O148" s="10">
        <f>IF(M148="","",MAX(0,IF(POLICY_APPROVAL!$B$5="Percentage points",M148-N148,M148*(1-N148))))</f>
        <v>0.44999999999999996</v>
      </c>
      <c r="P148" s="11">
        <f>IF(D148&lt;&gt;"READY","",IF(AGENT_INPUT!O148&gt;0,AGENT_INPUT!O148,AGENT_INPUT!M148*AGENT_INPUT!N148/IF(POLICY_APPROVAL!$B$7="Annual",12,1)))</f>
        <v>2000.0</v>
      </c>
      <c r="Q148" s="10">
        <f>IF(D148&lt;&gt;"READY","",MIN(1,AGENT_INPUT!P148/AGENT_INPUT!Q148))</f>
        <v>1.0</v>
      </c>
      <c r="R148" s="11">
        <f>IF(D148&lt;&gt;"READY","",ROUND(P148*Q148*O148,IF(POLICY_APPROVAL!$B$11="Whole MAD",0,2)))</f>
        <v>900.0</v>
      </c>
      <c r="S148" s="11">
        <f>IF(AND(SETUP!$B$9="READY",T148="READY"),R148,"")</f>
        <v/>
      </c>
      <c r="T148" s="4" t="str">
        <f>IF($A148="","",IF(D148&lt;&gt;"READY","BLOCKED - INPUT",IF(E148&lt;&gt;"ELIGIBLE","BLOCKED - ELIGIBILITY",IF(AGENT_INPUT!S148&lt;&gt;"VALIDATED","BLOCKED - DATA",IF(SETUP!$B$9&lt;&gt;"READY","BLOCKED - POLICY","READY")))))</f>
        <v>BLOCKED - ELIGIBILITY</v>
      </c>
      <c r="U148" s="4" t="str">
        <f>IF($A148="","",IF(COUNTIFS(AGENT_INPUT!$A$5:$A$254,$A148,AGENT_INPUT!$D$5:$D$254,AGENT_INPUT!D148)&gt;1,"DUPLICATE AGENT + PERIOD",IF(D148&lt;&gt;"READY","INPUT OR CONFIG REVIEW",IF(T148&lt;&gt;"READY",T148,""))))</f>
        <v>BLOCKED - ELIGIBILITY</v>
      </c>
    </row>
    <row r="149" spans="1:21">
      <c r="A149" s="4">
        <f>IF(AGENT_INPUT!A149="","",AGENT_INPUT!A149)</f>
        <v>204044</v>
      </c>
      <c r="B149" s="4" t="str">
        <f>IF($A149="","",AGENT_INPUT!B149)</f>
        <v>Koppens Arko</v>
      </c>
      <c r="C149" s="4" t="str">
        <f>IF($A149="","",AGENT_INPUT!C149)</f>
        <v>Ford Dutch</v>
      </c>
      <c r="D149" s="4" t="str">
        <f>IF($A149="","",IF(AND(COUNT(AGENT_INPUT!E149:J149)=6,COUNT(AGENT_INPUT!K149)=1,COUNTIF(BONUS_RULES!$A$5:$A$46,AGENT_INPUT!C149)&gt;0,OR(AGENT_INPUT!O149&gt;0,AND(AGENT_INPUT!M149&gt;0,AGENT_INPUT!N149&gt;0)),AGENT_INPUT!P149&gt;=0,AGENT_INPUT!Q149&gt;0,AGENT_INPUT!P149&lt;=AGENT_INPUT!Q149,AGENT_INPUT!H149&gt;=0,AGENT_INPUT!H149&lt;=1,AGENT_INPUT!I149&gt;=0,AGENT_INPUT!I149&lt;=1,AGENT_INPUT!J149&gt;=0,AGENT_INPUT!J149&lt;=1),"READY","BLOCKED"))</f>
        <v>READY</v>
      </c>
      <c r="E149" s="4" t="str">
        <f>IF($A149="","",IF(AGENT_INPUT!R149&lt;&gt;"Active","REVIEW",IF(OR(POLICY_APPROVAL!$B$9="Eligibility only",POLICY_APPROVAL!$B$9="Both"),IF(AGENT_INPUT!J149&lt;=SUMIFS(BONUS_RULES!$E$5:$E$46,BONUS_RULES!$A$5:$A$46,$C149,BONUS_RULES!$B$5:$B$46,"Abs%"),"ELIGIBLE","INELIGIBLE ABS"),"ELIGIBLE")))</f>
        <v>REVIEW</v>
      </c>
      <c r="F149" s="10">
        <f>IF(OR($A149="",$D149&lt;&gt;"READY"),"",IF(AGENT_INPUT!E149&lt;=SUMIFS(BONUS_RULES!$E$5:$E$46,BONUS_RULES!$A$5:$A$46,$C149,BONUS_RULES!$B$5:$B$46,"AHT"),SUMIFS(BONUS_RULES!$D$5:$D$46,BONUS_RULES!$A$5:$A$46,$C149,BONUS_RULES!$B$5:$B$46,"AHT"),IF(AGENT_INPUT!E149&lt;=SUMIFS(BONUS_RULES!$G$5:$G$46,BONUS_RULES!$A$5:$A$46,$C149,BONUS_RULES!$B$5:$B$46,"AHT"),SUMIFS(BONUS_RULES!$F$5:$F$46,BONUS_RULES!$A$5:$A$46,$C149,BONUS_RULES!$B$5:$B$46,"AHT"),0)))</f>
        <v>0.0</v>
      </c>
      <c r="G149" s="10">
        <f>IF(OR($A149="",$D149&lt;&gt;"READY"),"",IF(AGENT_INPUT!F149&gt;=SUMIFS(BONUS_RULES!$E$5:$E$46,BONUS_RULES!$A$5:$A$46,$C149,BONUS_RULES!$B$5:$B$46,"Productivity"),SUMIFS(BONUS_RULES!$D$5:$D$46,BONUS_RULES!$A$5:$A$46,$C149,BONUS_RULES!$B$5:$B$46,"Productivity"),IF(AGENT_INPUT!F149&gt;=SUMIFS(BONUS_RULES!$G$5:$G$46,BONUS_RULES!$A$5:$A$46,$C149,BONUS_RULES!$B$5:$B$46,"Productivity"),SUMIFS(BONUS_RULES!$F$5:$F$46,BONUS_RULES!$A$5:$A$46,$C149,BONUS_RULES!$B$5:$B$46,"Productivity"),0)))</f>
        <v>0.0</v>
      </c>
      <c r="H149" s="10">
        <f>IF(OR($A149="",$D149&lt;&gt;"READY"),"",IF(AGENT_INPUT!G149&gt;=SUMIFS(BONUS_RULES!$E$5:$E$46,BONUS_RULES!$A$5:$A$46,$C149,BONUS_RULES!$B$5:$B$46,"PCS Score"),SUMIFS(BONUS_RULES!$D$5:$D$46,BONUS_RULES!$A$5:$A$46,$C149,BONUS_RULES!$B$5:$B$46,"PCS Score"),IF(AGENT_INPUT!G149&gt;=SUMIFS(BONUS_RULES!$G$5:$G$46,BONUS_RULES!$A$5:$A$46,$C149,BONUS_RULES!$B$5:$B$46,"PCS Score"),SUMIFS(BONUS_RULES!$F$5:$F$46,BONUS_RULES!$A$5:$A$46,$C149,BONUS_RULES!$B$5:$B$46,"PCS Score"),0)))</f>
        <v>0.2</v>
      </c>
      <c r="I149" s="10">
        <f>IF(OR($A149="",$D149&lt;&gt;"READY"),"",IF(AGENT_INPUT!H149&gt;=SUMIFS(BONUS_RULES!$E$5:$E$46,BONUS_RULES!$A$5:$A$46,$C149,BONUS_RULES!$B$5:$B$46,"PCS % (Participation)"),SUMIFS(BONUS_RULES!$D$5:$D$46,BONUS_RULES!$A$5:$A$46,$C149,BONUS_RULES!$B$5:$B$46,"PCS % (Participation)"),IF(AGENT_INPUT!H149&gt;=SUMIFS(BONUS_RULES!$G$5:$G$46,BONUS_RULES!$A$5:$A$46,$C149,BONUS_RULES!$B$5:$B$46,"PCS % (Participation)"),SUMIFS(BONUS_RULES!$F$5:$F$46,BONUS_RULES!$A$5:$A$46,$C149,BONUS_RULES!$B$5:$B$46,"PCS % (Participation)"),0)))</f>
        <v>0.0</v>
      </c>
      <c r="J149" s="10">
        <f>IF(OR($A149="",$D149&lt;&gt;"READY"),"",IF(AGENT_INPUT!I149&gt;=SUMIFS(BONUS_RULES!$E$5:$E$46,BONUS_RULES!$A$5:$A$46,$C149,BONUS_RULES!$B$5:$B$46,"QM"),SUMIFS(BONUS_RULES!$D$5:$D$46,BONUS_RULES!$A$5:$A$46,$C149,BONUS_RULES!$B$5:$B$46,"QM"),IF(AGENT_INPUT!I149&gt;=SUMIFS(BONUS_RULES!$G$5:$G$46,BONUS_RULES!$A$5:$A$46,$C149,BONUS_RULES!$B$5:$B$46,"QM"),SUMIFS(BONUS_RULES!$F$5:$F$46,BONUS_RULES!$A$5:$A$46,$C149,BONUS_RULES!$B$5:$B$46,"QM"),0)))</f>
        <v>0.0</v>
      </c>
      <c r="K149" s="10">
        <f>IF(POLICY_APPROVAL!$B$9="Eligibility only",0,IF(OR($A149="",$D149&lt;&gt;"READY"),"",IF(AGENT_INPUT!J149&lt;=SUMIFS(BONUS_RULES!$E$5:$E$46,BONUS_RULES!$A$5:$A$46,$C149,BONUS_RULES!$B$5:$B$46,"Abs%"),SUMIFS(BONUS_RULES!$D$5:$D$46,BONUS_RULES!$A$5:$A$46,$C149,BONUS_RULES!$B$5:$B$46,"Abs%"),IF(AGENT_INPUT!J149&lt;=SUMIFS(BONUS_RULES!$G$5:$G$46,BONUS_RULES!$A$5:$A$46,$C149,BONUS_RULES!$B$5:$B$46,"Abs%"),SUMIFS(BONUS_RULES!$F$5:$F$46,BONUS_RULES!$A$5:$A$46,$C149,BONUS_RULES!$B$5:$B$46,"Abs%"),0))))</f>
        <v>0.0</v>
      </c>
      <c r="L149" s="10">
        <f>IF(OR($A149="",$D149&lt;&gt;"READY"),"",IF(AGENT_INPUT!G149&gt;=SUMIFS(BONUS_RULES!$E$5:$E$46,BONUS_RULES!$A$5:$A$46,$C149,BONUS_RULES!$B$5:$B$46,"Extra Bonus (PCS Score)"),SUMIFS(BONUS_RULES!$D$5:$D$46,BONUS_RULES!$A$5:$A$46,$C149,BONUS_RULES!$B$5:$B$46,"Extra Bonus (PCS Score)"),IF(AGENT_INPUT!G149&gt;=SUMIFS(BONUS_RULES!$G$5:$G$46,BONUS_RULES!$A$5:$A$46,$C149,BONUS_RULES!$B$5:$B$46,"Extra Bonus (PCS Score)"),SUMIFS(BONUS_RULES!$F$5:$F$46,BONUS_RULES!$A$5:$A$46,$C149,BONUS_RULES!$B$5:$B$46,"Extra Bonus (PCS Score)"),0)))</f>
        <v>0.3</v>
      </c>
      <c r="M149" s="10">
        <f>IF($A149="","",MIN(IF(POLICY_APPROVAL!$B$6="Replacement",SUM(F149:K149)-H149+MAX(H149,L149),SUM(F149:L149)),POLICY_APPROVAL!$B$10))</f>
        <v>0.5</v>
      </c>
      <c r="N149" s="10">
        <f>IF($A149="","",IFERROR(INDEX(BONUS_RULES!$J$5:$J$10,MATCH(MIN(MAX(AGENT_INPUT!K149,0),5),BONUS_RULES!$I$5:$I$10,0)),1))</f>
        <v>0</v>
      </c>
      <c r="O149" s="10">
        <f>IF(M149="","",MAX(0,IF(POLICY_APPROVAL!$B$5="Percentage points",M149-N149,M149*(1-N149))))</f>
        <v>0.5</v>
      </c>
      <c r="P149" s="11">
        <f>IF(D149&lt;&gt;"READY","",IF(AGENT_INPUT!O149&gt;0,AGENT_INPUT!O149,AGENT_INPUT!M149*AGENT_INPUT!N149/IF(POLICY_APPROVAL!$B$7="Annual",12,1)))</f>
        <v>2000.0</v>
      </c>
      <c r="Q149" s="10">
        <f>IF(D149&lt;&gt;"READY","",MIN(1,AGENT_INPUT!P149/AGENT_INPUT!Q149))</f>
        <v>1.0</v>
      </c>
      <c r="R149" s="11">
        <f>IF(D149&lt;&gt;"READY","",ROUND(P149*Q149*O149,IF(POLICY_APPROVAL!$B$11="Whole MAD",0,2)))</f>
        <v>1000.0</v>
      </c>
      <c r="S149" s="11">
        <f>IF(AND(SETUP!$B$9="READY",T149="READY"),R149,"")</f>
        <v/>
      </c>
      <c r="T149" s="4" t="str">
        <f>IF($A149="","",IF(D149&lt;&gt;"READY","BLOCKED - INPUT",IF(E149&lt;&gt;"ELIGIBLE","BLOCKED - ELIGIBILITY",IF(AGENT_INPUT!S149&lt;&gt;"VALIDATED","BLOCKED - DATA",IF(SETUP!$B$9&lt;&gt;"READY","BLOCKED - POLICY","READY")))))</f>
        <v>BLOCKED - ELIGIBILITY</v>
      </c>
      <c r="U149" s="4" t="str">
        <f>IF($A149="","",IF(COUNTIFS(AGENT_INPUT!$A$5:$A$254,$A149,AGENT_INPUT!$D$5:$D$254,AGENT_INPUT!D149)&gt;1,"DUPLICATE AGENT + PERIOD",IF(D149&lt;&gt;"READY","INPUT OR CONFIG REVIEW",IF(T149&lt;&gt;"READY",T149,""))))</f>
        <v>BLOCKED - ELIGIBILITY</v>
      </c>
    </row>
    <row r="150" spans="1:21">
      <c r="A150" s="4">
        <f>IF(AGENT_INPUT!A150="","",AGENT_INPUT!A150)</f>
        <v>224093</v>
      </c>
      <c r="B150" s="4" t="str">
        <f>IF($A150="","",AGENT_INPUT!B150)</f>
        <v>YEKHLEFAnouar</v>
      </c>
      <c r="C150" s="4" t="str">
        <f>IF($A150="","",AGENT_INPUT!C150)</f>
        <v>RSA NL</v>
      </c>
      <c r="D150" s="4" t="str">
        <f>IF($A150="","",IF(AND(COUNT(AGENT_INPUT!E150:J150)=6,COUNT(AGENT_INPUT!K150)=1,COUNTIF(BONUS_RULES!$A$5:$A$46,AGENT_INPUT!C150)&gt;0,OR(AGENT_INPUT!O150&gt;0,AND(AGENT_INPUT!M150&gt;0,AGENT_INPUT!N150&gt;0)),AGENT_INPUT!P150&gt;=0,AGENT_INPUT!Q150&gt;0,AGENT_INPUT!P150&lt;=AGENT_INPUT!Q150,AGENT_INPUT!H150&gt;=0,AGENT_INPUT!H150&lt;=1,AGENT_INPUT!I150&gt;=0,AGENT_INPUT!I150&lt;=1,AGENT_INPUT!J150&gt;=0,AGENT_INPUT!J150&lt;=1),"READY","BLOCKED"))</f>
        <v>READY</v>
      </c>
      <c r="E150" s="4" t="str">
        <f>IF($A150="","",IF(AGENT_INPUT!R150&lt;&gt;"Active","REVIEW",IF(OR(POLICY_APPROVAL!$B$9="Eligibility only",POLICY_APPROVAL!$B$9="Both"),IF(AGENT_INPUT!J150&lt;=SUMIFS(BONUS_RULES!$E$5:$E$46,BONUS_RULES!$A$5:$A$46,$C150,BONUS_RULES!$B$5:$B$46,"Abs%"),"ELIGIBLE","INELIGIBLE ABS"),"ELIGIBLE")))</f>
        <v>REVIEW</v>
      </c>
      <c r="F150" s="10">
        <f>IF(OR($A150="",$D150&lt;&gt;"READY"),"",IF(AGENT_INPUT!E150&lt;=SUMIFS(BONUS_RULES!$E$5:$E$46,BONUS_RULES!$A$5:$A$46,$C150,BONUS_RULES!$B$5:$B$46,"AHT"),SUMIFS(BONUS_RULES!$D$5:$D$46,BONUS_RULES!$A$5:$A$46,$C150,BONUS_RULES!$B$5:$B$46,"AHT"),IF(AGENT_INPUT!E150&lt;=SUMIFS(BONUS_RULES!$G$5:$G$46,BONUS_RULES!$A$5:$A$46,$C150,BONUS_RULES!$B$5:$B$46,"AHT"),SUMIFS(BONUS_RULES!$F$5:$F$46,BONUS_RULES!$A$5:$A$46,$C150,BONUS_RULES!$B$5:$B$46,"AHT"),0)))</f>
        <v>0.15</v>
      </c>
      <c r="G150" s="10">
        <f>IF(OR($A150="",$D150&lt;&gt;"READY"),"",IF(AGENT_INPUT!F150&gt;=SUMIFS(BONUS_RULES!$E$5:$E$46,BONUS_RULES!$A$5:$A$46,$C150,BONUS_RULES!$B$5:$B$46,"Productivity"),SUMIFS(BONUS_RULES!$D$5:$D$46,BONUS_RULES!$A$5:$A$46,$C150,BONUS_RULES!$B$5:$B$46,"Productivity"),IF(AGENT_INPUT!F150&gt;=SUMIFS(BONUS_RULES!$G$5:$G$46,BONUS_RULES!$A$5:$A$46,$C150,BONUS_RULES!$B$5:$B$46,"Productivity"),SUMIFS(BONUS_RULES!$F$5:$F$46,BONUS_RULES!$A$5:$A$46,$C150,BONUS_RULES!$B$5:$B$46,"Productivity"),0)))</f>
        <v>0.15</v>
      </c>
      <c r="H150" s="10">
        <f>IF(OR($A150="",$D150&lt;&gt;"READY"),"",IF(AGENT_INPUT!G150&gt;=SUMIFS(BONUS_RULES!$E$5:$E$46,BONUS_RULES!$A$5:$A$46,$C150,BONUS_RULES!$B$5:$B$46,"PCS Score"),SUMIFS(BONUS_RULES!$D$5:$D$46,BONUS_RULES!$A$5:$A$46,$C150,BONUS_RULES!$B$5:$B$46,"PCS Score"),IF(AGENT_INPUT!G150&gt;=SUMIFS(BONUS_RULES!$G$5:$G$46,BONUS_RULES!$A$5:$A$46,$C150,BONUS_RULES!$B$5:$B$46,"PCS Score"),SUMIFS(BONUS_RULES!$F$5:$F$46,BONUS_RULES!$A$5:$A$46,$C150,BONUS_RULES!$B$5:$B$46,"PCS Score"),0)))</f>
        <v>0.15</v>
      </c>
      <c r="I150" s="10">
        <f>IF(OR($A150="",$D150&lt;&gt;"READY"),"",IF(AGENT_INPUT!H150&gt;=SUMIFS(BONUS_RULES!$E$5:$E$46,BONUS_RULES!$A$5:$A$46,$C150,BONUS_RULES!$B$5:$B$46,"PCS % (Participation)"),SUMIFS(BONUS_RULES!$D$5:$D$46,BONUS_RULES!$A$5:$A$46,$C150,BONUS_RULES!$B$5:$B$46,"PCS % (Participation)"),IF(AGENT_INPUT!H150&gt;=SUMIFS(BONUS_RULES!$G$5:$G$46,BONUS_RULES!$A$5:$A$46,$C150,BONUS_RULES!$B$5:$B$46,"PCS % (Participation)"),SUMIFS(BONUS_RULES!$F$5:$F$46,BONUS_RULES!$A$5:$A$46,$C150,BONUS_RULES!$B$5:$B$46,"PCS % (Participation)"),0)))</f>
        <v>0.0</v>
      </c>
      <c r="J150" s="10">
        <f>IF(OR($A150="",$D150&lt;&gt;"READY"),"",IF(AGENT_INPUT!I150&gt;=SUMIFS(BONUS_RULES!$E$5:$E$46,BONUS_RULES!$A$5:$A$46,$C150,BONUS_RULES!$B$5:$B$46,"QM"),SUMIFS(BONUS_RULES!$D$5:$D$46,BONUS_RULES!$A$5:$A$46,$C150,BONUS_RULES!$B$5:$B$46,"QM"),IF(AGENT_INPUT!I150&gt;=SUMIFS(BONUS_RULES!$G$5:$G$46,BONUS_RULES!$A$5:$A$46,$C150,BONUS_RULES!$B$5:$B$46,"QM"),SUMIFS(BONUS_RULES!$F$5:$F$46,BONUS_RULES!$A$5:$A$46,$C150,BONUS_RULES!$B$5:$B$46,"QM"),0)))</f>
        <v>0.15</v>
      </c>
      <c r="K150" s="10">
        <f>IF(POLICY_APPROVAL!$B$9="Eligibility only",0,IF(OR($A150="",$D150&lt;&gt;"READY"),"",IF(AGENT_INPUT!J150&lt;=SUMIFS(BONUS_RULES!$E$5:$E$46,BONUS_RULES!$A$5:$A$46,$C150,BONUS_RULES!$B$5:$B$46,"Abs%"),SUMIFS(BONUS_RULES!$D$5:$D$46,BONUS_RULES!$A$5:$A$46,$C150,BONUS_RULES!$B$5:$B$46,"Abs%"),IF(AGENT_INPUT!J150&lt;=SUMIFS(BONUS_RULES!$G$5:$G$46,BONUS_RULES!$A$5:$A$46,$C150,BONUS_RULES!$B$5:$B$46,"Abs%"),SUMIFS(BONUS_RULES!$F$5:$F$46,BONUS_RULES!$A$5:$A$46,$C150,BONUS_RULES!$B$5:$B$46,"Abs%"),0))))</f>
        <v>0.15</v>
      </c>
      <c r="L150" s="10">
        <f>IF(OR($A150="",$D150&lt;&gt;"READY"),"",IF(AGENT_INPUT!G150&gt;=SUMIFS(BONUS_RULES!$E$5:$E$46,BONUS_RULES!$A$5:$A$46,$C150,BONUS_RULES!$B$5:$B$46,"Extra Bonus (PCS Score)"),SUMIFS(BONUS_RULES!$D$5:$D$46,BONUS_RULES!$A$5:$A$46,$C150,BONUS_RULES!$B$5:$B$46,"Extra Bonus (PCS Score)"),IF(AGENT_INPUT!G150&gt;=SUMIFS(BONUS_RULES!$G$5:$G$46,BONUS_RULES!$A$5:$A$46,$C150,BONUS_RULES!$B$5:$B$46,"Extra Bonus (PCS Score)"),SUMIFS(BONUS_RULES!$F$5:$F$46,BONUS_RULES!$A$5:$A$46,$C150,BONUS_RULES!$B$5:$B$46,"Extra Bonus (PCS Score)"),0)))</f>
        <v>0.0</v>
      </c>
      <c r="M150" s="10">
        <f>IF($A150="","",MIN(IF(POLICY_APPROVAL!$B$6="Replacement",SUM(F150:K150)-H150+MAX(H150,L150),SUM(F150:L150)),POLICY_APPROVAL!$B$10))</f>
        <v>0.75</v>
      </c>
      <c r="N150" s="10">
        <f>IF($A150="","",IFERROR(INDEX(BONUS_RULES!$J$5:$J$10,MATCH(MIN(MAX(AGENT_INPUT!K150,0),5),BONUS_RULES!$I$5:$I$10,0)),1))</f>
        <v>0</v>
      </c>
      <c r="O150" s="10">
        <f>IF(M150="","",MAX(0,IF(POLICY_APPROVAL!$B$5="Percentage points",M150-N150,M150*(1-N150))))</f>
        <v>0.75</v>
      </c>
      <c r="P150" s="11">
        <f>IF(D150&lt;&gt;"READY","",IF(AGENT_INPUT!O150&gt;0,AGENT_INPUT!O150,AGENT_INPUT!M150*AGENT_INPUT!N150/IF(POLICY_APPROVAL!$B$7="Annual",12,1)))</f>
        <v>2000.0</v>
      </c>
      <c r="Q150" s="10">
        <f>IF(D150&lt;&gt;"READY","",MIN(1,AGENT_INPUT!P150/AGENT_INPUT!Q150))</f>
        <v>1.0</v>
      </c>
      <c r="R150" s="11">
        <f>IF(D150&lt;&gt;"READY","",ROUND(P150*Q150*O150,IF(POLICY_APPROVAL!$B$11="Whole MAD",0,2)))</f>
        <v>1500.0</v>
      </c>
      <c r="S150" s="11">
        <f>IF(AND(SETUP!$B$9="READY",T150="READY"),R150,"")</f>
        <v/>
      </c>
      <c r="T150" s="4" t="str">
        <f>IF($A150="","",IF(D150&lt;&gt;"READY","BLOCKED - INPUT",IF(E150&lt;&gt;"ELIGIBLE","BLOCKED - ELIGIBILITY",IF(AGENT_INPUT!S150&lt;&gt;"VALIDATED","BLOCKED - DATA",IF(SETUP!$B$9&lt;&gt;"READY","BLOCKED - POLICY","READY")))))</f>
        <v>BLOCKED - ELIGIBILITY</v>
      </c>
      <c r="U150" s="4" t="str">
        <f>IF($A150="","",IF(COUNTIFS(AGENT_INPUT!$A$5:$A$254,$A150,AGENT_INPUT!$D$5:$D$254,AGENT_INPUT!D150)&gt;1,"DUPLICATE AGENT + PERIOD",IF(D150&lt;&gt;"READY","INPUT OR CONFIG REVIEW",IF(T150&lt;&gt;"READY",T150,""))))</f>
        <v>BLOCKED - ELIGIBILITY</v>
      </c>
    </row>
    <row r="151" spans="1:21">
      <c r="A151" s="4">
        <f>IF(AGENT_INPUT!A151="","",AGENT_INPUT!A151)</f>
        <v>203579</v>
      </c>
      <c r="B151" s="4" t="str">
        <f>IF($A151="","",AGENT_INPUT!B151)</f>
        <v>Jaouan Anouar</v>
      </c>
      <c r="C151" s="4" t="str">
        <f>IF($A151="","",AGENT_INPUT!C151)</f>
        <v>OEM FR</v>
      </c>
      <c r="D151" s="4" t="str">
        <f>IF($A151="","",IF(AND(COUNT(AGENT_INPUT!E151:J151)=6,COUNT(AGENT_INPUT!K151)=1,COUNTIF(BONUS_RULES!$A$5:$A$46,AGENT_INPUT!C151)&gt;0,OR(AGENT_INPUT!O151&gt;0,AND(AGENT_INPUT!M151&gt;0,AGENT_INPUT!N151&gt;0)),AGENT_INPUT!P151&gt;=0,AGENT_INPUT!Q151&gt;0,AGENT_INPUT!P151&lt;=AGENT_INPUT!Q151,AGENT_INPUT!H151&gt;=0,AGENT_INPUT!H151&lt;=1,AGENT_INPUT!I151&gt;=0,AGENT_INPUT!I151&lt;=1,AGENT_INPUT!J151&gt;=0,AGENT_INPUT!J151&lt;=1),"READY","BLOCKED"))</f>
        <v>READY</v>
      </c>
      <c r="E151" s="4" t="str">
        <f>IF($A151="","",IF(AGENT_INPUT!R151&lt;&gt;"Active","REVIEW",IF(OR(POLICY_APPROVAL!$B$9="Eligibility only",POLICY_APPROVAL!$B$9="Both"),IF(AGENT_INPUT!J151&lt;=SUMIFS(BONUS_RULES!$E$5:$E$46,BONUS_RULES!$A$5:$A$46,$C151,BONUS_RULES!$B$5:$B$46,"Abs%"),"ELIGIBLE","INELIGIBLE ABS"),"ELIGIBLE")))</f>
        <v>REVIEW</v>
      </c>
      <c r="F151" s="10">
        <f>IF(OR($A151="",$D151&lt;&gt;"READY"),"",IF(AGENT_INPUT!E151&lt;=SUMIFS(BONUS_RULES!$E$5:$E$46,BONUS_RULES!$A$5:$A$46,$C151,BONUS_RULES!$B$5:$B$46,"AHT"),SUMIFS(BONUS_RULES!$D$5:$D$46,BONUS_RULES!$A$5:$A$46,$C151,BONUS_RULES!$B$5:$B$46,"AHT"),IF(AGENT_INPUT!E151&lt;=SUMIFS(BONUS_RULES!$G$5:$G$46,BONUS_RULES!$A$5:$A$46,$C151,BONUS_RULES!$B$5:$B$46,"AHT"),SUMIFS(BONUS_RULES!$F$5:$F$46,BONUS_RULES!$A$5:$A$46,$C151,BONUS_RULES!$B$5:$B$46,"AHT"),0)))</f>
        <v>0.15</v>
      </c>
      <c r="G151" s="10">
        <f>IF(OR($A151="",$D151&lt;&gt;"READY"),"",IF(AGENT_INPUT!F151&gt;=SUMIFS(BONUS_RULES!$E$5:$E$46,BONUS_RULES!$A$5:$A$46,$C151,BONUS_RULES!$B$5:$B$46,"Productivity"),SUMIFS(BONUS_RULES!$D$5:$D$46,BONUS_RULES!$A$5:$A$46,$C151,BONUS_RULES!$B$5:$B$46,"Productivity"),IF(AGENT_INPUT!F151&gt;=SUMIFS(BONUS_RULES!$G$5:$G$46,BONUS_RULES!$A$5:$A$46,$C151,BONUS_RULES!$B$5:$B$46,"Productivity"),SUMIFS(BONUS_RULES!$F$5:$F$46,BONUS_RULES!$A$5:$A$46,$C151,BONUS_RULES!$B$5:$B$46,"Productivity"),0)))</f>
        <v>0.15</v>
      </c>
      <c r="H151" s="10">
        <f>IF(OR($A151="",$D151&lt;&gt;"READY"),"",IF(AGENT_INPUT!G151&gt;=SUMIFS(BONUS_RULES!$E$5:$E$46,BONUS_RULES!$A$5:$A$46,$C151,BONUS_RULES!$B$5:$B$46,"PCS Score"),SUMIFS(BONUS_RULES!$D$5:$D$46,BONUS_RULES!$A$5:$A$46,$C151,BONUS_RULES!$B$5:$B$46,"PCS Score"),IF(AGENT_INPUT!G151&gt;=SUMIFS(BONUS_RULES!$G$5:$G$46,BONUS_RULES!$A$5:$A$46,$C151,BONUS_RULES!$B$5:$B$46,"PCS Score"),SUMIFS(BONUS_RULES!$F$5:$F$46,BONUS_RULES!$A$5:$A$46,$C151,BONUS_RULES!$B$5:$B$46,"PCS Score"),0)))</f>
        <v>0.0</v>
      </c>
      <c r="I151" s="10">
        <f>IF(OR($A151="",$D151&lt;&gt;"READY"),"",IF(AGENT_INPUT!H151&gt;=SUMIFS(BONUS_RULES!$E$5:$E$46,BONUS_RULES!$A$5:$A$46,$C151,BONUS_RULES!$B$5:$B$46,"PCS % (Participation)"),SUMIFS(BONUS_RULES!$D$5:$D$46,BONUS_RULES!$A$5:$A$46,$C151,BONUS_RULES!$B$5:$B$46,"PCS % (Participation)"),IF(AGENT_INPUT!H151&gt;=SUMIFS(BONUS_RULES!$G$5:$G$46,BONUS_RULES!$A$5:$A$46,$C151,BONUS_RULES!$B$5:$B$46,"PCS % (Participation)"),SUMIFS(BONUS_RULES!$F$5:$F$46,BONUS_RULES!$A$5:$A$46,$C151,BONUS_RULES!$B$5:$B$46,"PCS % (Participation)"),0)))</f>
        <v>0.0</v>
      </c>
      <c r="J151" s="10">
        <f>IF(OR($A151="",$D151&lt;&gt;"READY"),"",IF(AGENT_INPUT!I151&gt;=SUMIFS(BONUS_RULES!$E$5:$E$46,BONUS_RULES!$A$5:$A$46,$C151,BONUS_RULES!$B$5:$B$46,"QM"),SUMIFS(BONUS_RULES!$D$5:$D$46,BONUS_RULES!$A$5:$A$46,$C151,BONUS_RULES!$B$5:$B$46,"QM"),IF(AGENT_INPUT!I151&gt;=SUMIFS(BONUS_RULES!$G$5:$G$46,BONUS_RULES!$A$5:$A$46,$C151,BONUS_RULES!$B$5:$B$46,"QM"),SUMIFS(BONUS_RULES!$F$5:$F$46,BONUS_RULES!$A$5:$A$46,$C151,BONUS_RULES!$B$5:$B$46,"QM"),0)))</f>
        <v>0.0</v>
      </c>
      <c r="K151" s="10">
        <f>IF(POLICY_APPROVAL!$B$9="Eligibility only",0,IF(OR($A151="",$D151&lt;&gt;"READY"),"",IF(AGENT_INPUT!J151&lt;=SUMIFS(BONUS_RULES!$E$5:$E$46,BONUS_RULES!$A$5:$A$46,$C151,BONUS_RULES!$B$5:$B$46,"Abs%"),SUMIFS(BONUS_RULES!$D$5:$D$46,BONUS_RULES!$A$5:$A$46,$C151,BONUS_RULES!$B$5:$B$46,"Abs%"),IF(AGENT_INPUT!J151&lt;=SUMIFS(BONUS_RULES!$G$5:$G$46,BONUS_RULES!$A$5:$A$46,$C151,BONUS_RULES!$B$5:$B$46,"Abs%"),SUMIFS(BONUS_RULES!$F$5:$F$46,BONUS_RULES!$A$5:$A$46,$C151,BONUS_RULES!$B$5:$B$46,"Abs%"),0))))</f>
        <v>0.15</v>
      </c>
      <c r="L151" s="10">
        <f>IF(OR($A151="",$D151&lt;&gt;"READY"),"",IF(AGENT_INPUT!G151&gt;=SUMIFS(BONUS_RULES!$E$5:$E$46,BONUS_RULES!$A$5:$A$46,$C151,BONUS_RULES!$B$5:$B$46,"Extra Bonus (PCS Score)"),SUMIFS(BONUS_RULES!$D$5:$D$46,BONUS_RULES!$A$5:$A$46,$C151,BONUS_RULES!$B$5:$B$46,"Extra Bonus (PCS Score)"),IF(AGENT_INPUT!G151&gt;=SUMIFS(BONUS_RULES!$G$5:$G$46,BONUS_RULES!$A$5:$A$46,$C151,BONUS_RULES!$B$5:$B$46,"Extra Bonus (PCS Score)"),SUMIFS(BONUS_RULES!$F$5:$F$46,BONUS_RULES!$A$5:$A$46,$C151,BONUS_RULES!$B$5:$B$46,"Extra Bonus (PCS Score)"),0)))</f>
        <v>0.0</v>
      </c>
      <c r="M151" s="10">
        <f>IF($A151="","",MIN(IF(POLICY_APPROVAL!$B$6="Replacement",SUM(F151:K151)-H151+MAX(H151,L151),SUM(F151:L151)),POLICY_APPROVAL!$B$10))</f>
        <v>0.44999999999999996</v>
      </c>
      <c r="N151" s="10">
        <f>IF($A151="","",IFERROR(INDEX(BONUS_RULES!$J$5:$J$10,MATCH(MIN(MAX(AGENT_INPUT!K151,0),5),BONUS_RULES!$I$5:$I$10,0)),1))</f>
        <v>0</v>
      </c>
      <c r="O151" s="10">
        <f>IF(M151="","",MAX(0,IF(POLICY_APPROVAL!$B$5="Percentage points",M151-N151,M151*(1-N151))))</f>
        <v>0.44999999999999996</v>
      </c>
      <c r="P151" s="11">
        <f>IF(D151&lt;&gt;"READY","",IF(AGENT_INPUT!O151&gt;0,AGENT_INPUT!O151,AGENT_INPUT!M151*AGENT_INPUT!N151/IF(POLICY_APPROVAL!$B$7="Annual",12,1)))</f>
        <v>2000.0</v>
      </c>
      <c r="Q151" s="10">
        <f>IF(D151&lt;&gt;"READY","",MIN(1,AGENT_INPUT!P151/AGENT_INPUT!Q151))</f>
        <v>1.0</v>
      </c>
      <c r="R151" s="11">
        <f>IF(D151&lt;&gt;"READY","",ROUND(P151*Q151*O151,IF(POLICY_APPROVAL!$B$11="Whole MAD",0,2)))</f>
        <v>900.0</v>
      </c>
      <c r="S151" s="11">
        <f>IF(AND(SETUP!$B$9="READY",T151="READY"),R151,"")</f>
        <v/>
      </c>
      <c r="T151" s="4" t="str">
        <f>IF($A151="","",IF(D151&lt;&gt;"READY","BLOCKED - INPUT",IF(E151&lt;&gt;"ELIGIBLE","BLOCKED - ELIGIBILITY",IF(AGENT_INPUT!S151&lt;&gt;"VALIDATED","BLOCKED - DATA",IF(SETUP!$B$9&lt;&gt;"READY","BLOCKED - POLICY","READY")))))</f>
        <v>BLOCKED - ELIGIBILITY</v>
      </c>
      <c r="U151" s="4" t="str">
        <f>IF($A151="","",IF(COUNTIFS(AGENT_INPUT!$A$5:$A$254,$A151,AGENT_INPUT!$D$5:$D$254,AGENT_INPUT!D151)&gt;1,"DUPLICATE AGENT + PERIOD",IF(D151&lt;&gt;"READY","INPUT OR CONFIG REVIEW",IF(T151&lt;&gt;"READY",T151,""))))</f>
        <v>BLOCKED - ELIGIBILITY</v>
      </c>
    </row>
    <row r="152" spans="1:21">
      <c r="A152" s="4">
        <f>IF(AGENT_INPUT!A152="","",AGENT_INPUT!A152)</f>
        <v>205262</v>
      </c>
      <c r="B152" s="4" t="str">
        <f>IF($A152="","",AGENT_INPUT!B152)</f>
        <v>El Jassifi Anas</v>
      </c>
      <c r="C152" s="4" t="str">
        <f>IF($A152="","",AGENT_INPUT!C152)</f>
        <v>OEM FR</v>
      </c>
      <c r="D152" s="4" t="str">
        <f>IF($A152="","",IF(AND(COUNT(AGENT_INPUT!E152:J152)=6,COUNT(AGENT_INPUT!K152)=1,COUNTIF(BONUS_RULES!$A$5:$A$46,AGENT_INPUT!C152)&gt;0,OR(AGENT_INPUT!O152&gt;0,AND(AGENT_INPUT!M152&gt;0,AGENT_INPUT!N152&gt;0)),AGENT_INPUT!P152&gt;=0,AGENT_INPUT!Q152&gt;0,AGENT_INPUT!P152&lt;=AGENT_INPUT!Q152,AGENT_INPUT!H152&gt;=0,AGENT_INPUT!H152&lt;=1,AGENT_INPUT!I152&gt;=0,AGENT_INPUT!I152&lt;=1,AGENT_INPUT!J152&gt;=0,AGENT_INPUT!J152&lt;=1),"READY","BLOCKED"))</f>
        <v>READY</v>
      </c>
      <c r="E152" s="4" t="str">
        <f>IF($A152="","",IF(AGENT_INPUT!R152&lt;&gt;"Active","REVIEW",IF(OR(POLICY_APPROVAL!$B$9="Eligibility only",POLICY_APPROVAL!$B$9="Both"),IF(AGENT_INPUT!J152&lt;=SUMIFS(BONUS_RULES!$E$5:$E$46,BONUS_RULES!$A$5:$A$46,$C152,BONUS_RULES!$B$5:$B$46,"Abs%"),"ELIGIBLE","INELIGIBLE ABS"),"ELIGIBLE")))</f>
        <v>REVIEW</v>
      </c>
      <c r="F152" s="10">
        <f>IF(OR($A152="",$D152&lt;&gt;"READY"),"",IF(AGENT_INPUT!E152&lt;=SUMIFS(BONUS_RULES!$E$5:$E$46,BONUS_RULES!$A$5:$A$46,$C152,BONUS_RULES!$B$5:$B$46,"AHT"),SUMIFS(BONUS_RULES!$D$5:$D$46,BONUS_RULES!$A$5:$A$46,$C152,BONUS_RULES!$B$5:$B$46,"AHT"),IF(AGENT_INPUT!E152&lt;=SUMIFS(BONUS_RULES!$G$5:$G$46,BONUS_RULES!$A$5:$A$46,$C152,BONUS_RULES!$B$5:$B$46,"AHT"),SUMIFS(BONUS_RULES!$F$5:$F$46,BONUS_RULES!$A$5:$A$46,$C152,BONUS_RULES!$B$5:$B$46,"AHT"),0)))</f>
        <v>0.15</v>
      </c>
      <c r="G152" s="10">
        <f>IF(OR($A152="",$D152&lt;&gt;"READY"),"",IF(AGENT_INPUT!F152&gt;=SUMIFS(BONUS_RULES!$E$5:$E$46,BONUS_RULES!$A$5:$A$46,$C152,BONUS_RULES!$B$5:$B$46,"Productivity"),SUMIFS(BONUS_RULES!$D$5:$D$46,BONUS_RULES!$A$5:$A$46,$C152,BONUS_RULES!$B$5:$B$46,"Productivity"),IF(AGENT_INPUT!F152&gt;=SUMIFS(BONUS_RULES!$G$5:$G$46,BONUS_RULES!$A$5:$A$46,$C152,BONUS_RULES!$B$5:$B$46,"Productivity"),SUMIFS(BONUS_RULES!$F$5:$F$46,BONUS_RULES!$A$5:$A$46,$C152,BONUS_RULES!$B$5:$B$46,"Productivity"),0)))</f>
        <v>0.15</v>
      </c>
      <c r="H152" s="10">
        <f>IF(OR($A152="",$D152&lt;&gt;"READY"),"",IF(AGENT_INPUT!G152&gt;=SUMIFS(BONUS_RULES!$E$5:$E$46,BONUS_RULES!$A$5:$A$46,$C152,BONUS_RULES!$B$5:$B$46,"PCS Score"),SUMIFS(BONUS_RULES!$D$5:$D$46,BONUS_RULES!$A$5:$A$46,$C152,BONUS_RULES!$B$5:$B$46,"PCS Score"),IF(AGENT_INPUT!G152&gt;=SUMIFS(BONUS_RULES!$G$5:$G$46,BONUS_RULES!$A$5:$A$46,$C152,BONUS_RULES!$B$5:$B$46,"PCS Score"),SUMIFS(BONUS_RULES!$F$5:$F$46,BONUS_RULES!$A$5:$A$46,$C152,BONUS_RULES!$B$5:$B$46,"PCS Score"),0)))</f>
        <v>0.0</v>
      </c>
      <c r="I152" s="10">
        <f>IF(OR($A152="",$D152&lt;&gt;"READY"),"",IF(AGENT_INPUT!H152&gt;=SUMIFS(BONUS_RULES!$E$5:$E$46,BONUS_RULES!$A$5:$A$46,$C152,BONUS_RULES!$B$5:$B$46,"PCS % (Participation)"),SUMIFS(BONUS_RULES!$D$5:$D$46,BONUS_RULES!$A$5:$A$46,$C152,BONUS_RULES!$B$5:$B$46,"PCS % (Participation)"),IF(AGENT_INPUT!H152&gt;=SUMIFS(BONUS_RULES!$G$5:$G$46,BONUS_RULES!$A$5:$A$46,$C152,BONUS_RULES!$B$5:$B$46,"PCS % (Participation)"),SUMIFS(BONUS_RULES!$F$5:$F$46,BONUS_RULES!$A$5:$A$46,$C152,BONUS_RULES!$B$5:$B$46,"PCS % (Participation)"),0)))</f>
        <v>0.0</v>
      </c>
      <c r="J152" s="10">
        <f>IF(OR($A152="",$D152&lt;&gt;"READY"),"",IF(AGENT_INPUT!I152&gt;=SUMIFS(BONUS_RULES!$E$5:$E$46,BONUS_RULES!$A$5:$A$46,$C152,BONUS_RULES!$B$5:$B$46,"QM"),SUMIFS(BONUS_RULES!$D$5:$D$46,BONUS_RULES!$A$5:$A$46,$C152,BONUS_RULES!$B$5:$B$46,"QM"),IF(AGENT_INPUT!I152&gt;=SUMIFS(BONUS_RULES!$G$5:$G$46,BONUS_RULES!$A$5:$A$46,$C152,BONUS_RULES!$B$5:$B$46,"QM"),SUMIFS(BONUS_RULES!$F$5:$F$46,BONUS_RULES!$A$5:$A$46,$C152,BONUS_RULES!$B$5:$B$46,"QM"),0)))</f>
        <v>0.0</v>
      </c>
      <c r="K152" s="10">
        <f>IF(POLICY_APPROVAL!$B$9="Eligibility only",0,IF(OR($A152="",$D152&lt;&gt;"READY"),"",IF(AGENT_INPUT!J152&lt;=SUMIFS(BONUS_RULES!$E$5:$E$46,BONUS_RULES!$A$5:$A$46,$C152,BONUS_RULES!$B$5:$B$46,"Abs%"),SUMIFS(BONUS_RULES!$D$5:$D$46,BONUS_RULES!$A$5:$A$46,$C152,BONUS_RULES!$B$5:$B$46,"Abs%"),IF(AGENT_INPUT!J152&lt;=SUMIFS(BONUS_RULES!$G$5:$G$46,BONUS_RULES!$A$5:$A$46,$C152,BONUS_RULES!$B$5:$B$46,"Abs%"),SUMIFS(BONUS_RULES!$F$5:$F$46,BONUS_RULES!$A$5:$A$46,$C152,BONUS_RULES!$B$5:$B$46,"Abs%"),0))))</f>
        <v>0.15</v>
      </c>
      <c r="L152" s="10">
        <f>IF(OR($A152="",$D152&lt;&gt;"READY"),"",IF(AGENT_INPUT!G152&gt;=SUMIFS(BONUS_RULES!$E$5:$E$46,BONUS_RULES!$A$5:$A$46,$C152,BONUS_RULES!$B$5:$B$46,"Extra Bonus (PCS Score)"),SUMIFS(BONUS_RULES!$D$5:$D$46,BONUS_RULES!$A$5:$A$46,$C152,BONUS_RULES!$B$5:$B$46,"Extra Bonus (PCS Score)"),IF(AGENT_INPUT!G152&gt;=SUMIFS(BONUS_RULES!$G$5:$G$46,BONUS_RULES!$A$5:$A$46,$C152,BONUS_RULES!$B$5:$B$46,"Extra Bonus (PCS Score)"),SUMIFS(BONUS_RULES!$F$5:$F$46,BONUS_RULES!$A$5:$A$46,$C152,BONUS_RULES!$B$5:$B$46,"Extra Bonus (PCS Score)"),0)))</f>
        <v>0.0</v>
      </c>
      <c r="M152" s="10">
        <f>IF($A152="","",MIN(IF(POLICY_APPROVAL!$B$6="Replacement",SUM(F152:K152)-H152+MAX(H152,L152),SUM(F152:L152)),POLICY_APPROVAL!$B$10))</f>
        <v>0.44999999999999996</v>
      </c>
      <c r="N152" s="10">
        <f>IF($A152="","",IFERROR(INDEX(BONUS_RULES!$J$5:$J$10,MATCH(MIN(MAX(AGENT_INPUT!K152,0),5),BONUS_RULES!$I$5:$I$10,0)),1))</f>
        <v>0</v>
      </c>
      <c r="O152" s="10">
        <f>IF(M152="","",MAX(0,IF(POLICY_APPROVAL!$B$5="Percentage points",M152-N152,M152*(1-N152))))</f>
        <v>0.44999999999999996</v>
      </c>
      <c r="P152" s="11">
        <f>IF(D152&lt;&gt;"READY","",IF(AGENT_INPUT!O152&gt;0,AGENT_INPUT!O152,AGENT_INPUT!M152*AGENT_INPUT!N152/IF(POLICY_APPROVAL!$B$7="Annual",12,1)))</f>
        <v>2000.0</v>
      </c>
      <c r="Q152" s="10">
        <f>IF(D152&lt;&gt;"READY","",MIN(1,AGENT_INPUT!P152/AGENT_INPUT!Q152))</f>
        <v>1.0</v>
      </c>
      <c r="R152" s="11">
        <f>IF(D152&lt;&gt;"READY","",ROUND(P152*Q152*O152,IF(POLICY_APPROVAL!$B$11="Whole MAD",0,2)))</f>
        <v>900.0</v>
      </c>
      <c r="S152" s="11">
        <f>IF(AND(SETUP!$B$9="READY",T152="READY"),R152,"")</f>
        <v/>
      </c>
      <c r="T152" s="4" t="str">
        <f>IF($A152="","",IF(D152&lt;&gt;"READY","BLOCKED - INPUT",IF(E152&lt;&gt;"ELIGIBLE","BLOCKED - ELIGIBILITY",IF(AGENT_INPUT!S152&lt;&gt;"VALIDATED","BLOCKED - DATA",IF(SETUP!$B$9&lt;&gt;"READY","BLOCKED - POLICY","READY")))))</f>
        <v>BLOCKED - ELIGIBILITY</v>
      </c>
      <c r="U152" s="4" t="str">
        <f>IF($A152="","",IF(COUNTIFS(AGENT_INPUT!$A$5:$A$254,$A152,AGENT_INPUT!$D$5:$D$254,AGENT_INPUT!D152)&gt;1,"DUPLICATE AGENT + PERIOD",IF(D152&lt;&gt;"READY","INPUT OR CONFIG REVIEW",IF(T152&lt;&gt;"READY",T152,""))))</f>
        <v>BLOCKED - ELIGIBILITY</v>
      </c>
    </row>
    <row r="153" spans="1:21">
      <c r="A153" s="4">
        <f>IF(AGENT_INPUT!A153="","",AGENT_INPUT!A153)</f>
        <v>203601</v>
      </c>
      <c r="B153" s="4" t="str">
        <f>IF($A153="","",AGENT_INPUT!B153)</f>
        <v>Belcaid Anas</v>
      </c>
      <c r="C153" s="4" t="str">
        <f>IF($A153="","",AGENT_INPUT!C153)</f>
        <v>OEM FR</v>
      </c>
      <c r="D153" s="4" t="str">
        <f>IF($A153="","",IF(AND(COUNT(AGENT_INPUT!E153:J153)=6,COUNT(AGENT_INPUT!K153)=1,COUNTIF(BONUS_RULES!$A$5:$A$46,AGENT_INPUT!C153)&gt;0,OR(AGENT_INPUT!O153&gt;0,AND(AGENT_INPUT!M153&gt;0,AGENT_INPUT!N153&gt;0)),AGENT_INPUT!P153&gt;=0,AGENT_INPUT!Q153&gt;0,AGENT_INPUT!P153&lt;=AGENT_INPUT!Q153,AGENT_INPUT!H153&gt;=0,AGENT_INPUT!H153&lt;=1,AGENT_INPUT!I153&gt;=0,AGENT_INPUT!I153&lt;=1,AGENT_INPUT!J153&gt;=0,AGENT_INPUT!J153&lt;=1),"READY","BLOCKED"))</f>
        <v>READY</v>
      </c>
      <c r="E153" s="4" t="str">
        <f>IF($A153="","",IF(AGENT_INPUT!R153&lt;&gt;"Active","REVIEW",IF(OR(POLICY_APPROVAL!$B$9="Eligibility only",POLICY_APPROVAL!$B$9="Both"),IF(AGENT_INPUT!J153&lt;=SUMIFS(BONUS_RULES!$E$5:$E$46,BONUS_RULES!$A$5:$A$46,$C153,BONUS_RULES!$B$5:$B$46,"Abs%"),"ELIGIBLE","INELIGIBLE ABS"),"ELIGIBLE")))</f>
        <v>REVIEW</v>
      </c>
      <c r="F153" s="10">
        <f>IF(OR($A153="",$D153&lt;&gt;"READY"),"",IF(AGENT_INPUT!E153&lt;=SUMIFS(BONUS_RULES!$E$5:$E$46,BONUS_RULES!$A$5:$A$46,$C153,BONUS_RULES!$B$5:$B$46,"AHT"),SUMIFS(BONUS_RULES!$D$5:$D$46,BONUS_RULES!$A$5:$A$46,$C153,BONUS_RULES!$B$5:$B$46,"AHT"),IF(AGENT_INPUT!E153&lt;=SUMIFS(BONUS_RULES!$G$5:$G$46,BONUS_RULES!$A$5:$A$46,$C153,BONUS_RULES!$B$5:$B$46,"AHT"),SUMIFS(BONUS_RULES!$F$5:$F$46,BONUS_RULES!$A$5:$A$46,$C153,BONUS_RULES!$B$5:$B$46,"AHT"),0)))</f>
        <v>0.15</v>
      </c>
      <c r="G153" s="10">
        <f>IF(OR($A153="",$D153&lt;&gt;"READY"),"",IF(AGENT_INPUT!F153&gt;=SUMIFS(BONUS_RULES!$E$5:$E$46,BONUS_RULES!$A$5:$A$46,$C153,BONUS_RULES!$B$5:$B$46,"Productivity"),SUMIFS(BONUS_RULES!$D$5:$D$46,BONUS_RULES!$A$5:$A$46,$C153,BONUS_RULES!$B$5:$B$46,"Productivity"),IF(AGENT_INPUT!F153&gt;=SUMIFS(BONUS_RULES!$G$5:$G$46,BONUS_RULES!$A$5:$A$46,$C153,BONUS_RULES!$B$5:$B$46,"Productivity"),SUMIFS(BONUS_RULES!$F$5:$F$46,BONUS_RULES!$A$5:$A$46,$C153,BONUS_RULES!$B$5:$B$46,"Productivity"),0)))</f>
        <v>0.15</v>
      </c>
      <c r="H153" s="10">
        <f>IF(OR($A153="",$D153&lt;&gt;"READY"),"",IF(AGENT_INPUT!G153&gt;=SUMIFS(BONUS_RULES!$E$5:$E$46,BONUS_RULES!$A$5:$A$46,$C153,BONUS_RULES!$B$5:$B$46,"PCS Score"),SUMIFS(BONUS_RULES!$D$5:$D$46,BONUS_RULES!$A$5:$A$46,$C153,BONUS_RULES!$B$5:$B$46,"PCS Score"),IF(AGENT_INPUT!G153&gt;=SUMIFS(BONUS_RULES!$G$5:$G$46,BONUS_RULES!$A$5:$A$46,$C153,BONUS_RULES!$B$5:$B$46,"PCS Score"),SUMIFS(BONUS_RULES!$F$5:$F$46,BONUS_RULES!$A$5:$A$46,$C153,BONUS_RULES!$B$5:$B$46,"PCS Score"),0)))</f>
        <v>0.2</v>
      </c>
      <c r="I153" s="10">
        <f>IF(OR($A153="",$D153&lt;&gt;"READY"),"",IF(AGENT_INPUT!H153&gt;=SUMIFS(BONUS_RULES!$E$5:$E$46,BONUS_RULES!$A$5:$A$46,$C153,BONUS_RULES!$B$5:$B$46,"PCS % (Participation)"),SUMIFS(BONUS_RULES!$D$5:$D$46,BONUS_RULES!$A$5:$A$46,$C153,BONUS_RULES!$B$5:$B$46,"PCS % (Participation)"),IF(AGENT_INPUT!H153&gt;=SUMIFS(BONUS_RULES!$G$5:$G$46,BONUS_RULES!$A$5:$A$46,$C153,BONUS_RULES!$B$5:$B$46,"PCS % (Participation)"),SUMIFS(BONUS_RULES!$F$5:$F$46,BONUS_RULES!$A$5:$A$46,$C153,BONUS_RULES!$B$5:$B$46,"PCS % (Participation)"),0)))</f>
        <v>0.0</v>
      </c>
      <c r="J153" s="10">
        <f>IF(OR($A153="",$D153&lt;&gt;"READY"),"",IF(AGENT_INPUT!I153&gt;=SUMIFS(BONUS_RULES!$E$5:$E$46,BONUS_RULES!$A$5:$A$46,$C153,BONUS_RULES!$B$5:$B$46,"QM"),SUMIFS(BONUS_RULES!$D$5:$D$46,BONUS_RULES!$A$5:$A$46,$C153,BONUS_RULES!$B$5:$B$46,"QM"),IF(AGENT_INPUT!I153&gt;=SUMIFS(BONUS_RULES!$G$5:$G$46,BONUS_RULES!$A$5:$A$46,$C153,BONUS_RULES!$B$5:$B$46,"QM"),SUMIFS(BONUS_RULES!$F$5:$F$46,BONUS_RULES!$A$5:$A$46,$C153,BONUS_RULES!$B$5:$B$46,"QM"),0)))</f>
        <v>0.0</v>
      </c>
      <c r="K153" s="10">
        <f>IF(POLICY_APPROVAL!$B$9="Eligibility only",0,IF(OR($A153="",$D153&lt;&gt;"READY"),"",IF(AGENT_INPUT!J153&lt;=SUMIFS(BONUS_RULES!$E$5:$E$46,BONUS_RULES!$A$5:$A$46,$C153,BONUS_RULES!$B$5:$B$46,"Abs%"),SUMIFS(BONUS_RULES!$D$5:$D$46,BONUS_RULES!$A$5:$A$46,$C153,BONUS_RULES!$B$5:$B$46,"Abs%"),IF(AGENT_INPUT!J153&lt;=SUMIFS(BONUS_RULES!$G$5:$G$46,BONUS_RULES!$A$5:$A$46,$C153,BONUS_RULES!$B$5:$B$46,"Abs%"),SUMIFS(BONUS_RULES!$F$5:$F$46,BONUS_RULES!$A$5:$A$46,$C153,BONUS_RULES!$B$5:$B$46,"Abs%"),0))))</f>
        <v>0.15</v>
      </c>
      <c r="L153" s="10">
        <f>IF(OR($A153="",$D153&lt;&gt;"READY"),"",IF(AGENT_INPUT!G153&gt;=SUMIFS(BONUS_RULES!$E$5:$E$46,BONUS_RULES!$A$5:$A$46,$C153,BONUS_RULES!$B$5:$B$46,"Extra Bonus (PCS Score)"),SUMIFS(BONUS_RULES!$D$5:$D$46,BONUS_RULES!$A$5:$A$46,$C153,BONUS_RULES!$B$5:$B$46,"Extra Bonus (PCS Score)"),IF(AGENT_INPUT!G153&gt;=SUMIFS(BONUS_RULES!$G$5:$G$46,BONUS_RULES!$A$5:$A$46,$C153,BONUS_RULES!$B$5:$B$46,"Extra Bonus (PCS Score)"),SUMIFS(BONUS_RULES!$F$5:$F$46,BONUS_RULES!$A$5:$A$46,$C153,BONUS_RULES!$B$5:$B$46,"Extra Bonus (PCS Score)"),0)))</f>
        <v>0.3</v>
      </c>
      <c r="M153" s="10">
        <f>IF($A153="","",MIN(IF(POLICY_APPROVAL!$B$6="Replacement",SUM(F153:K153)-H153+MAX(H153,L153),SUM(F153:L153)),POLICY_APPROVAL!$B$10))</f>
        <v>0.95</v>
      </c>
      <c r="N153" s="10">
        <f>IF($A153="","",IFERROR(INDEX(BONUS_RULES!$J$5:$J$10,MATCH(MIN(MAX(AGENT_INPUT!K153,0),5),BONUS_RULES!$I$5:$I$10,0)),1))</f>
        <v>0</v>
      </c>
      <c r="O153" s="10">
        <f>IF(M153="","",MAX(0,IF(POLICY_APPROVAL!$B$5="Percentage points",M153-N153,M153*(1-N153))))</f>
        <v>0.95</v>
      </c>
      <c r="P153" s="11">
        <f>IF(D153&lt;&gt;"READY","",IF(AGENT_INPUT!O153&gt;0,AGENT_INPUT!O153,AGENT_INPUT!M153*AGENT_INPUT!N153/IF(POLICY_APPROVAL!$B$7="Annual",12,1)))</f>
        <v>2000.0</v>
      </c>
      <c r="Q153" s="10">
        <f>IF(D153&lt;&gt;"READY","",MIN(1,AGENT_INPUT!P153/AGENT_INPUT!Q153))</f>
        <v>1.0</v>
      </c>
      <c r="R153" s="11">
        <f>IF(D153&lt;&gt;"READY","",ROUND(P153*Q153*O153,IF(POLICY_APPROVAL!$B$11="Whole MAD",0,2)))</f>
        <v>1900.0</v>
      </c>
      <c r="S153" s="11">
        <f>IF(AND(SETUP!$B$9="READY",T153="READY"),R153,"")</f>
        <v/>
      </c>
      <c r="T153" s="4" t="str">
        <f>IF($A153="","",IF(D153&lt;&gt;"READY","BLOCKED - INPUT",IF(E153&lt;&gt;"ELIGIBLE","BLOCKED - ELIGIBILITY",IF(AGENT_INPUT!S153&lt;&gt;"VALIDATED","BLOCKED - DATA",IF(SETUP!$B$9&lt;&gt;"READY","BLOCKED - POLICY","READY")))))</f>
        <v>BLOCKED - ELIGIBILITY</v>
      </c>
      <c r="U153" s="4" t="str">
        <f>IF($A153="","",IF(COUNTIFS(AGENT_INPUT!$A$5:$A$254,$A153,AGENT_INPUT!$D$5:$D$254,AGENT_INPUT!D153)&gt;1,"DUPLICATE AGENT + PERIOD",IF(D153&lt;&gt;"READY","INPUT OR CONFIG REVIEW",IF(T153&lt;&gt;"READY",T153,""))))</f>
        <v>BLOCKED - ELIGIBILITY</v>
      </c>
    </row>
    <row r="154" spans="1:21">
      <c r="A154" s="4">
        <f>IF(AGENT_INPUT!A154="","",AGENT_INPUT!A154)</f>
        <v>232198</v>
      </c>
      <c r="B154" s="4" t="str">
        <f>IF($A154="","",AGENT_INPUT!B154)</f>
        <v>Anas Belbahlol</v>
      </c>
      <c r="C154" s="4" t="str">
        <f>IF($A154="","",AGENT_INPUT!C154)</f>
        <v>RSA FR</v>
      </c>
      <c r="D154" s="4" t="str">
        <f>IF($A154="","",IF(AND(COUNT(AGENT_INPUT!E154:J154)=6,COUNT(AGENT_INPUT!K154)=1,COUNTIF(BONUS_RULES!$A$5:$A$46,AGENT_INPUT!C154)&gt;0,OR(AGENT_INPUT!O154&gt;0,AND(AGENT_INPUT!M154&gt;0,AGENT_INPUT!N154&gt;0)),AGENT_INPUT!P154&gt;=0,AGENT_INPUT!Q154&gt;0,AGENT_INPUT!P154&lt;=AGENT_INPUT!Q154,AGENT_INPUT!H154&gt;=0,AGENT_INPUT!H154&lt;=1,AGENT_INPUT!I154&gt;=0,AGENT_INPUT!I154&lt;=1,AGENT_INPUT!J154&gt;=0,AGENT_INPUT!J154&lt;=1),"READY","BLOCKED"))</f>
        <v>READY</v>
      </c>
      <c r="E154" s="4" t="str">
        <f>IF($A154="","",IF(AGENT_INPUT!R154&lt;&gt;"Active","REVIEW",IF(OR(POLICY_APPROVAL!$B$9="Eligibility only",POLICY_APPROVAL!$B$9="Both"),IF(AGENT_INPUT!J154&lt;=SUMIFS(BONUS_RULES!$E$5:$E$46,BONUS_RULES!$A$5:$A$46,$C154,BONUS_RULES!$B$5:$B$46,"Abs%"),"ELIGIBLE","INELIGIBLE ABS"),"ELIGIBLE")))</f>
        <v>REVIEW</v>
      </c>
      <c r="F154" s="10">
        <f>IF(OR($A154="",$D154&lt;&gt;"READY"),"",IF(AGENT_INPUT!E154&lt;=SUMIFS(BONUS_RULES!$E$5:$E$46,BONUS_RULES!$A$5:$A$46,$C154,BONUS_RULES!$B$5:$B$46,"AHT"),SUMIFS(BONUS_RULES!$D$5:$D$46,BONUS_RULES!$A$5:$A$46,$C154,BONUS_RULES!$B$5:$B$46,"AHT"),IF(AGENT_INPUT!E154&lt;=SUMIFS(BONUS_RULES!$G$5:$G$46,BONUS_RULES!$A$5:$A$46,$C154,BONUS_RULES!$B$5:$B$46,"AHT"),SUMIFS(BONUS_RULES!$F$5:$F$46,BONUS_RULES!$A$5:$A$46,$C154,BONUS_RULES!$B$5:$B$46,"AHT"),0)))</f>
        <v>0.0</v>
      </c>
      <c r="G154" s="10">
        <f>IF(OR($A154="",$D154&lt;&gt;"READY"),"",IF(AGENT_INPUT!F154&gt;=SUMIFS(BONUS_RULES!$E$5:$E$46,BONUS_RULES!$A$5:$A$46,$C154,BONUS_RULES!$B$5:$B$46,"Productivity"),SUMIFS(BONUS_RULES!$D$5:$D$46,BONUS_RULES!$A$5:$A$46,$C154,BONUS_RULES!$B$5:$B$46,"Productivity"),IF(AGENT_INPUT!F154&gt;=SUMIFS(BONUS_RULES!$G$5:$G$46,BONUS_RULES!$A$5:$A$46,$C154,BONUS_RULES!$B$5:$B$46,"Productivity"),SUMIFS(BONUS_RULES!$F$5:$F$46,BONUS_RULES!$A$5:$A$46,$C154,BONUS_RULES!$B$5:$B$46,"Productivity"),0)))</f>
        <v>0.0</v>
      </c>
      <c r="H154" s="10">
        <f>IF(OR($A154="",$D154&lt;&gt;"READY"),"",IF(AGENT_INPUT!G154&gt;=SUMIFS(BONUS_RULES!$E$5:$E$46,BONUS_RULES!$A$5:$A$46,$C154,BONUS_RULES!$B$5:$B$46,"PCS Score"),SUMIFS(BONUS_RULES!$D$5:$D$46,BONUS_RULES!$A$5:$A$46,$C154,BONUS_RULES!$B$5:$B$46,"PCS Score"),IF(AGENT_INPUT!G154&gt;=SUMIFS(BONUS_RULES!$G$5:$G$46,BONUS_RULES!$A$5:$A$46,$C154,BONUS_RULES!$B$5:$B$46,"PCS Score"),SUMIFS(BONUS_RULES!$F$5:$F$46,BONUS_RULES!$A$5:$A$46,$C154,BONUS_RULES!$B$5:$B$46,"PCS Score"),0)))</f>
        <v>0.15</v>
      </c>
      <c r="I154" s="10">
        <f>IF(OR($A154="",$D154&lt;&gt;"READY"),"",IF(AGENT_INPUT!H154&gt;=SUMIFS(BONUS_RULES!$E$5:$E$46,BONUS_RULES!$A$5:$A$46,$C154,BONUS_RULES!$B$5:$B$46,"PCS % (Participation)"),SUMIFS(BONUS_RULES!$D$5:$D$46,BONUS_RULES!$A$5:$A$46,$C154,BONUS_RULES!$B$5:$B$46,"PCS % (Participation)"),IF(AGENT_INPUT!H154&gt;=SUMIFS(BONUS_RULES!$G$5:$G$46,BONUS_RULES!$A$5:$A$46,$C154,BONUS_RULES!$B$5:$B$46,"PCS % (Participation)"),SUMIFS(BONUS_RULES!$F$5:$F$46,BONUS_RULES!$A$5:$A$46,$C154,BONUS_RULES!$B$5:$B$46,"PCS % (Participation)"),0)))</f>
        <v>0.0</v>
      </c>
      <c r="J154" s="10">
        <f>IF(OR($A154="",$D154&lt;&gt;"READY"),"",IF(AGENT_INPUT!I154&gt;=SUMIFS(BONUS_RULES!$E$5:$E$46,BONUS_RULES!$A$5:$A$46,$C154,BONUS_RULES!$B$5:$B$46,"QM"),SUMIFS(BONUS_RULES!$D$5:$D$46,BONUS_RULES!$A$5:$A$46,$C154,BONUS_RULES!$B$5:$B$46,"QM"),IF(AGENT_INPUT!I154&gt;=SUMIFS(BONUS_RULES!$G$5:$G$46,BONUS_RULES!$A$5:$A$46,$C154,BONUS_RULES!$B$5:$B$46,"QM"),SUMIFS(BONUS_RULES!$F$5:$F$46,BONUS_RULES!$A$5:$A$46,$C154,BONUS_RULES!$B$5:$B$46,"QM"),0)))</f>
        <v>0.15</v>
      </c>
      <c r="K154" s="10">
        <f>IF(POLICY_APPROVAL!$B$9="Eligibility only",0,IF(OR($A154="",$D154&lt;&gt;"READY"),"",IF(AGENT_INPUT!J154&lt;=SUMIFS(BONUS_RULES!$E$5:$E$46,BONUS_RULES!$A$5:$A$46,$C154,BONUS_RULES!$B$5:$B$46,"Abs%"),SUMIFS(BONUS_RULES!$D$5:$D$46,BONUS_RULES!$A$5:$A$46,$C154,BONUS_RULES!$B$5:$B$46,"Abs%"),IF(AGENT_INPUT!J154&lt;=SUMIFS(BONUS_RULES!$G$5:$G$46,BONUS_RULES!$A$5:$A$46,$C154,BONUS_RULES!$B$5:$B$46,"Abs%"),SUMIFS(BONUS_RULES!$F$5:$F$46,BONUS_RULES!$A$5:$A$46,$C154,BONUS_RULES!$B$5:$B$46,"Abs%"),0))))</f>
        <v>0.15</v>
      </c>
      <c r="L154" s="10">
        <f>IF(OR($A154="",$D154&lt;&gt;"READY"),"",IF(AGENT_INPUT!G154&gt;=SUMIFS(BONUS_RULES!$E$5:$E$46,BONUS_RULES!$A$5:$A$46,$C154,BONUS_RULES!$B$5:$B$46,"Extra Bonus (PCS Score)"),SUMIFS(BONUS_RULES!$D$5:$D$46,BONUS_RULES!$A$5:$A$46,$C154,BONUS_RULES!$B$5:$B$46,"Extra Bonus (PCS Score)"),IF(AGENT_INPUT!G154&gt;=SUMIFS(BONUS_RULES!$G$5:$G$46,BONUS_RULES!$A$5:$A$46,$C154,BONUS_RULES!$B$5:$B$46,"Extra Bonus (PCS Score)"),SUMIFS(BONUS_RULES!$F$5:$F$46,BONUS_RULES!$A$5:$A$46,$C154,BONUS_RULES!$B$5:$B$46,"Extra Bonus (PCS Score)"),0)))</f>
        <v>0.0</v>
      </c>
      <c r="M154" s="10">
        <f>IF($A154="","",MIN(IF(POLICY_APPROVAL!$B$6="Replacement",SUM(F154:K154)-H154+MAX(H154,L154),SUM(F154:L154)),POLICY_APPROVAL!$B$10))</f>
        <v>0.44999999999999996</v>
      </c>
      <c r="N154" s="10">
        <f>IF($A154="","",IFERROR(INDEX(BONUS_RULES!$J$5:$J$10,MATCH(MIN(MAX(AGENT_INPUT!K154,0),5),BONUS_RULES!$I$5:$I$10,0)),1))</f>
        <v>0</v>
      </c>
      <c r="O154" s="10">
        <f>IF(M154="","",MAX(0,IF(POLICY_APPROVAL!$B$5="Percentage points",M154-N154,M154*(1-N154))))</f>
        <v>0.44999999999999996</v>
      </c>
      <c r="P154" s="11">
        <f>IF(D154&lt;&gt;"READY","",IF(AGENT_INPUT!O154&gt;0,AGENT_INPUT!O154,AGENT_INPUT!M154*AGENT_INPUT!N154/IF(POLICY_APPROVAL!$B$7="Annual",12,1)))</f>
        <v>2000.0</v>
      </c>
      <c r="Q154" s="10">
        <f>IF(D154&lt;&gt;"READY","",MIN(1,AGENT_INPUT!P154/AGENT_INPUT!Q154))</f>
        <v>1.0</v>
      </c>
      <c r="R154" s="11">
        <f>IF(D154&lt;&gt;"READY","",ROUND(P154*Q154*O154,IF(POLICY_APPROVAL!$B$11="Whole MAD",0,2)))</f>
        <v>900.0</v>
      </c>
      <c r="S154" s="11">
        <f>IF(AND(SETUP!$B$9="READY",T154="READY"),R154,"")</f>
        <v/>
      </c>
      <c r="T154" s="4" t="str">
        <f>IF($A154="","",IF(D154&lt;&gt;"READY","BLOCKED - INPUT",IF(E154&lt;&gt;"ELIGIBLE","BLOCKED - ELIGIBILITY",IF(AGENT_INPUT!S154&lt;&gt;"VALIDATED","BLOCKED - DATA",IF(SETUP!$B$9&lt;&gt;"READY","BLOCKED - POLICY","READY")))))</f>
        <v>BLOCKED - ELIGIBILITY</v>
      </c>
      <c r="U154" s="4" t="str">
        <f>IF($A154="","",IF(COUNTIFS(AGENT_INPUT!$A$5:$A$254,$A154,AGENT_INPUT!$D$5:$D$254,AGENT_INPUT!D154)&gt;1,"DUPLICATE AGENT + PERIOD",IF(D154&lt;&gt;"READY","INPUT OR CONFIG REVIEW",IF(T154&lt;&gt;"READY",T154,""))))</f>
        <v>BLOCKED - ELIGIBILITY</v>
      </c>
    </row>
    <row r="155" spans="1:21">
      <c r="A155" s="4">
        <f>IF(AGENT_INPUT!A155="","",AGENT_INPUT!A155)</f>
        <v>199554</v>
      </c>
      <c r="B155" s="4" t="str">
        <f>IF($A155="","",AGENT_INPUT!B155)</f>
        <v>Ez-Zouaghi Amira</v>
      </c>
      <c r="C155" s="4" t="str">
        <f>IF($A155="","",AGENT_INPUT!C155)</f>
        <v>RSA FR</v>
      </c>
      <c r="D155" s="4" t="str">
        <f>IF($A155="","",IF(AND(COUNT(AGENT_INPUT!E155:J155)=6,COUNT(AGENT_INPUT!K155)=1,COUNTIF(BONUS_RULES!$A$5:$A$46,AGENT_INPUT!C155)&gt;0,OR(AGENT_INPUT!O155&gt;0,AND(AGENT_INPUT!M155&gt;0,AGENT_INPUT!N155&gt;0)),AGENT_INPUT!P155&gt;=0,AGENT_INPUT!Q155&gt;0,AGENT_INPUT!P155&lt;=AGENT_INPUT!Q155,AGENT_INPUT!H155&gt;=0,AGENT_INPUT!H155&lt;=1,AGENT_INPUT!I155&gt;=0,AGENT_INPUT!I155&lt;=1,AGENT_INPUT!J155&gt;=0,AGENT_INPUT!J155&lt;=1),"READY","BLOCKED"))</f>
        <v>READY</v>
      </c>
      <c r="E155" s="4" t="str">
        <f>IF($A155="","",IF(AGENT_INPUT!R155&lt;&gt;"Active","REVIEW",IF(OR(POLICY_APPROVAL!$B$9="Eligibility only",POLICY_APPROVAL!$B$9="Both"),IF(AGENT_INPUT!J155&lt;=SUMIFS(BONUS_RULES!$E$5:$E$46,BONUS_RULES!$A$5:$A$46,$C155,BONUS_RULES!$B$5:$B$46,"Abs%"),"ELIGIBLE","INELIGIBLE ABS"),"ELIGIBLE")))</f>
        <v>REVIEW</v>
      </c>
      <c r="F155" s="10">
        <f>IF(OR($A155="",$D155&lt;&gt;"READY"),"",IF(AGENT_INPUT!E155&lt;=SUMIFS(BONUS_RULES!$E$5:$E$46,BONUS_RULES!$A$5:$A$46,$C155,BONUS_RULES!$B$5:$B$46,"AHT"),SUMIFS(BONUS_RULES!$D$5:$D$46,BONUS_RULES!$A$5:$A$46,$C155,BONUS_RULES!$B$5:$B$46,"AHT"),IF(AGENT_INPUT!E155&lt;=SUMIFS(BONUS_RULES!$G$5:$G$46,BONUS_RULES!$A$5:$A$46,$C155,BONUS_RULES!$B$5:$B$46,"AHT"),SUMIFS(BONUS_RULES!$F$5:$F$46,BONUS_RULES!$A$5:$A$46,$C155,BONUS_RULES!$B$5:$B$46,"AHT"),0)))</f>
        <v>0.15</v>
      </c>
      <c r="G155" s="10">
        <f>IF(OR($A155="",$D155&lt;&gt;"READY"),"",IF(AGENT_INPUT!F155&gt;=SUMIFS(BONUS_RULES!$E$5:$E$46,BONUS_RULES!$A$5:$A$46,$C155,BONUS_RULES!$B$5:$B$46,"Productivity"),SUMIFS(BONUS_RULES!$D$5:$D$46,BONUS_RULES!$A$5:$A$46,$C155,BONUS_RULES!$B$5:$B$46,"Productivity"),IF(AGENT_INPUT!F155&gt;=SUMIFS(BONUS_RULES!$G$5:$G$46,BONUS_RULES!$A$5:$A$46,$C155,BONUS_RULES!$B$5:$B$46,"Productivity"),SUMIFS(BONUS_RULES!$F$5:$F$46,BONUS_RULES!$A$5:$A$46,$C155,BONUS_RULES!$B$5:$B$46,"Productivity"),0)))</f>
        <v>0.15</v>
      </c>
      <c r="H155" s="10">
        <f>IF(OR($A155="",$D155&lt;&gt;"READY"),"",IF(AGENT_INPUT!G155&gt;=SUMIFS(BONUS_RULES!$E$5:$E$46,BONUS_RULES!$A$5:$A$46,$C155,BONUS_RULES!$B$5:$B$46,"PCS Score"),SUMIFS(BONUS_RULES!$D$5:$D$46,BONUS_RULES!$A$5:$A$46,$C155,BONUS_RULES!$B$5:$B$46,"PCS Score"),IF(AGENT_INPUT!G155&gt;=SUMIFS(BONUS_RULES!$G$5:$G$46,BONUS_RULES!$A$5:$A$46,$C155,BONUS_RULES!$B$5:$B$46,"PCS Score"),SUMIFS(BONUS_RULES!$F$5:$F$46,BONUS_RULES!$A$5:$A$46,$C155,BONUS_RULES!$B$5:$B$46,"PCS Score"),0)))</f>
        <v>0.0</v>
      </c>
      <c r="I155" s="10">
        <f>IF(OR($A155="",$D155&lt;&gt;"READY"),"",IF(AGENT_INPUT!H155&gt;=SUMIFS(BONUS_RULES!$E$5:$E$46,BONUS_RULES!$A$5:$A$46,$C155,BONUS_RULES!$B$5:$B$46,"PCS % (Participation)"),SUMIFS(BONUS_RULES!$D$5:$D$46,BONUS_RULES!$A$5:$A$46,$C155,BONUS_RULES!$B$5:$B$46,"PCS % (Participation)"),IF(AGENT_INPUT!H155&gt;=SUMIFS(BONUS_RULES!$G$5:$G$46,BONUS_RULES!$A$5:$A$46,$C155,BONUS_RULES!$B$5:$B$46,"PCS % (Participation)"),SUMIFS(BONUS_RULES!$F$5:$F$46,BONUS_RULES!$A$5:$A$46,$C155,BONUS_RULES!$B$5:$B$46,"PCS % (Participation)"),0)))</f>
        <v>0.0</v>
      </c>
      <c r="J155" s="10">
        <f>IF(OR($A155="",$D155&lt;&gt;"READY"),"",IF(AGENT_INPUT!I155&gt;=SUMIFS(BONUS_RULES!$E$5:$E$46,BONUS_RULES!$A$5:$A$46,$C155,BONUS_RULES!$B$5:$B$46,"QM"),SUMIFS(BONUS_RULES!$D$5:$D$46,BONUS_RULES!$A$5:$A$46,$C155,BONUS_RULES!$B$5:$B$46,"QM"),IF(AGENT_INPUT!I155&gt;=SUMIFS(BONUS_RULES!$G$5:$G$46,BONUS_RULES!$A$5:$A$46,$C155,BONUS_RULES!$B$5:$B$46,"QM"),SUMIFS(BONUS_RULES!$F$5:$F$46,BONUS_RULES!$A$5:$A$46,$C155,BONUS_RULES!$B$5:$B$46,"QM"),0)))</f>
        <v>0.15</v>
      </c>
      <c r="K155" s="10">
        <f>IF(POLICY_APPROVAL!$B$9="Eligibility only",0,IF(OR($A155="",$D155&lt;&gt;"READY"),"",IF(AGENT_INPUT!J155&lt;=SUMIFS(BONUS_RULES!$E$5:$E$46,BONUS_RULES!$A$5:$A$46,$C155,BONUS_RULES!$B$5:$B$46,"Abs%"),SUMIFS(BONUS_RULES!$D$5:$D$46,BONUS_RULES!$A$5:$A$46,$C155,BONUS_RULES!$B$5:$B$46,"Abs%"),IF(AGENT_INPUT!J155&lt;=SUMIFS(BONUS_RULES!$G$5:$G$46,BONUS_RULES!$A$5:$A$46,$C155,BONUS_RULES!$B$5:$B$46,"Abs%"),SUMIFS(BONUS_RULES!$F$5:$F$46,BONUS_RULES!$A$5:$A$46,$C155,BONUS_RULES!$B$5:$B$46,"Abs%"),0))))</f>
        <v>0.15</v>
      </c>
      <c r="L155" s="10">
        <f>IF(OR($A155="",$D155&lt;&gt;"READY"),"",IF(AGENT_INPUT!G155&gt;=SUMIFS(BONUS_RULES!$E$5:$E$46,BONUS_RULES!$A$5:$A$46,$C155,BONUS_RULES!$B$5:$B$46,"Extra Bonus (PCS Score)"),SUMIFS(BONUS_RULES!$D$5:$D$46,BONUS_RULES!$A$5:$A$46,$C155,BONUS_RULES!$B$5:$B$46,"Extra Bonus (PCS Score)"),IF(AGENT_INPUT!G155&gt;=SUMIFS(BONUS_RULES!$G$5:$G$46,BONUS_RULES!$A$5:$A$46,$C155,BONUS_RULES!$B$5:$B$46,"Extra Bonus (PCS Score)"),SUMIFS(BONUS_RULES!$F$5:$F$46,BONUS_RULES!$A$5:$A$46,$C155,BONUS_RULES!$B$5:$B$46,"Extra Bonus (PCS Score)"),0)))</f>
        <v>0.0</v>
      </c>
      <c r="M155" s="10">
        <f>IF($A155="","",MIN(IF(POLICY_APPROVAL!$B$6="Replacement",SUM(F155:K155)-H155+MAX(H155,L155),SUM(F155:L155)),POLICY_APPROVAL!$B$10))</f>
        <v>0.6</v>
      </c>
      <c r="N155" s="10">
        <f>IF($A155="","",IFERROR(INDEX(BONUS_RULES!$J$5:$J$10,MATCH(MIN(MAX(AGENT_INPUT!K155,0),5),BONUS_RULES!$I$5:$I$10,0)),1))</f>
        <v>0</v>
      </c>
      <c r="O155" s="10">
        <f>IF(M155="","",MAX(0,IF(POLICY_APPROVAL!$B$5="Percentage points",M155-N155,M155*(1-N155))))</f>
        <v>0.6</v>
      </c>
      <c r="P155" s="11">
        <f>IF(D155&lt;&gt;"READY","",IF(AGENT_INPUT!O155&gt;0,AGENT_INPUT!O155,AGENT_INPUT!M155*AGENT_INPUT!N155/IF(POLICY_APPROVAL!$B$7="Annual",12,1)))</f>
        <v>2000.0</v>
      </c>
      <c r="Q155" s="10">
        <f>IF(D155&lt;&gt;"READY","",MIN(1,AGENT_INPUT!P155/AGENT_INPUT!Q155))</f>
        <v>1.0</v>
      </c>
      <c r="R155" s="11">
        <f>IF(D155&lt;&gt;"READY","",ROUND(P155*Q155*O155,IF(POLICY_APPROVAL!$B$11="Whole MAD",0,2)))</f>
        <v>1200.0</v>
      </c>
      <c r="S155" s="11">
        <f>IF(AND(SETUP!$B$9="READY",T155="READY"),R155,"")</f>
        <v/>
      </c>
      <c r="T155" s="4" t="str">
        <f>IF($A155="","",IF(D155&lt;&gt;"READY","BLOCKED - INPUT",IF(E155&lt;&gt;"ELIGIBLE","BLOCKED - ELIGIBILITY",IF(AGENT_INPUT!S155&lt;&gt;"VALIDATED","BLOCKED - DATA",IF(SETUP!$B$9&lt;&gt;"READY","BLOCKED - POLICY","READY")))))</f>
        <v>BLOCKED - ELIGIBILITY</v>
      </c>
      <c r="U155" s="4" t="str">
        <f>IF($A155="","",IF(COUNTIFS(AGENT_INPUT!$A$5:$A$254,$A155,AGENT_INPUT!$D$5:$D$254,AGENT_INPUT!D155)&gt;1,"DUPLICATE AGENT + PERIOD",IF(D155&lt;&gt;"READY","INPUT OR CONFIG REVIEW",IF(T155&lt;&gt;"READY",T155,""))))</f>
        <v>BLOCKED - ELIGIBILITY</v>
      </c>
    </row>
    <row r="156" spans="1:21">
      <c r="A156" s="4">
        <f>IF(AGENT_INPUT!A156="","",AGENT_INPUT!A156)</f>
        <v>203630</v>
      </c>
      <c r="B156" s="4" t="str">
        <f>IF($A156="","",AGENT_INPUT!B156)</f>
        <v>Wajid Amine</v>
      </c>
      <c r="C156" s="4" t="str">
        <f>IF($A156="","",AGENT_INPUT!C156)</f>
        <v>OEM FR</v>
      </c>
      <c r="D156" s="4" t="str">
        <f>IF($A156="","",IF(AND(COUNT(AGENT_INPUT!E156:J156)=6,COUNT(AGENT_INPUT!K156)=1,COUNTIF(BONUS_RULES!$A$5:$A$46,AGENT_INPUT!C156)&gt;0,OR(AGENT_INPUT!O156&gt;0,AND(AGENT_INPUT!M156&gt;0,AGENT_INPUT!N156&gt;0)),AGENT_INPUT!P156&gt;=0,AGENT_INPUT!Q156&gt;0,AGENT_INPUT!P156&lt;=AGENT_INPUT!Q156,AGENT_INPUT!H156&gt;=0,AGENT_INPUT!H156&lt;=1,AGENT_INPUT!I156&gt;=0,AGENT_INPUT!I156&lt;=1,AGENT_INPUT!J156&gt;=0,AGENT_INPUT!J156&lt;=1),"READY","BLOCKED"))</f>
        <v>READY</v>
      </c>
      <c r="E156" s="4" t="str">
        <f>IF($A156="","",IF(AGENT_INPUT!R156&lt;&gt;"Active","REVIEW",IF(OR(POLICY_APPROVAL!$B$9="Eligibility only",POLICY_APPROVAL!$B$9="Both"),IF(AGENT_INPUT!J156&lt;=SUMIFS(BONUS_RULES!$E$5:$E$46,BONUS_RULES!$A$5:$A$46,$C156,BONUS_RULES!$B$5:$B$46,"Abs%"),"ELIGIBLE","INELIGIBLE ABS"),"ELIGIBLE")))</f>
        <v>REVIEW</v>
      </c>
      <c r="F156" s="10">
        <f>IF(OR($A156="",$D156&lt;&gt;"READY"),"",IF(AGENT_INPUT!E156&lt;=SUMIFS(BONUS_RULES!$E$5:$E$46,BONUS_RULES!$A$5:$A$46,$C156,BONUS_RULES!$B$5:$B$46,"AHT"),SUMIFS(BONUS_RULES!$D$5:$D$46,BONUS_RULES!$A$5:$A$46,$C156,BONUS_RULES!$B$5:$B$46,"AHT"),IF(AGENT_INPUT!E156&lt;=SUMIFS(BONUS_RULES!$G$5:$G$46,BONUS_RULES!$A$5:$A$46,$C156,BONUS_RULES!$B$5:$B$46,"AHT"),SUMIFS(BONUS_RULES!$F$5:$F$46,BONUS_RULES!$A$5:$A$46,$C156,BONUS_RULES!$B$5:$B$46,"AHT"),0)))</f>
        <v>0.15</v>
      </c>
      <c r="G156" s="10">
        <f>IF(OR($A156="",$D156&lt;&gt;"READY"),"",IF(AGENT_INPUT!F156&gt;=SUMIFS(BONUS_RULES!$E$5:$E$46,BONUS_RULES!$A$5:$A$46,$C156,BONUS_RULES!$B$5:$B$46,"Productivity"),SUMIFS(BONUS_RULES!$D$5:$D$46,BONUS_RULES!$A$5:$A$46,$C156,BONUS_RULES!$B$5:$B$46,"Productivity"),IF(AGENT_INPUT!F156&gt;=SUMIFS(BONUS_RULES!$G$5:$G$46,BONUS_RULES!$A$5:$A$46,$C156,BONUS_RULES!$B$5:$B$46,"Productivity"),SUMIFS(BONUS_RULES!$F$5:$F$46,BONUS_RULES!$A$5:$A$46,$C156,BONUS_RULES!$B$5:$B$46,"Productivity"),0)))</f>
        <v>0.15</v>
      </c>
      <c r="H156" s="10">
        <f>IF(OR($A156="",$D156&lt;&gt;"READY"),"",IF(AGENT_INPUT!G156&gt;=SUMIFS(BONUS_RULES!$E$5:$E$46,BONUS_RULES!$A$5:$A$46,$C156,BONUS_RULES!$B$5:$B$46,"PCS Score"),SUMIFS(BONUS_RULES!$D$5:$D$46,BONUS_RULES!$A$5:$A$46,$C156,BONUS_RULES!$B$5:$B$46,"PCS Score"),IF(AGENT_INPUT!G156&gt;=SUMIFS(BONUS_RULES!$G$5:$G$46,BONUS_RULES!$A$5:$A$46,$C156,BONUS_RULES!$B$5:$B$46,"PCS Score"),SUMIFS(BONUS_RULES!$F$5:$F$46,BONUS_RULES!$A$5:$A$46,$C156,BONUS_RULES!$B$5:$B$46,"PCS Score"),0)))</f>
        <v>0.2</v>
      </c>
      <c r="I156" s="10">
        <f>IF(OR($A156="",$D156&lt;&gt;"READY"),"",IF(AGENT_INPUT!H156&gt;=SUMIFS(BONUS_RULES!$E$5:$E$46,BONUS_RULES!$A$5:$A$46,$C156,BONUS_RULES!$B$5:$B$46,"PCS % (Participation)"),SUMIFS(BONUS_RULES!$D$5:$D$46,BONUS_RULES!$A$5:$A$46,$C156,BONUS_RULES!$B$5:$B$46,"PCS % (Participation)"),IF(AGENT_INPUT!H156&gt;=SUMIFS(BONUS_RULES!$G$5:$G$46,BONUS_RULES!$A$5:$A$46,$C156,BONUS_RULES!$B$5:$B$46,"PCS % (Participation)"),SUMIFS(BONUS_RULES!$F$5:$F$46,BONUS_RULES!$A$5:$A$46,$C156,BONUS_RULES!$B$5:$B$46,"PCS % (Participation)"),0)))</f>
        <v>0.0</v>
      </c>
      <c r="J156" s="10">
        <f>IF(OR($A156="",$D156&lt;&gt;"READY"),"",IF(AGENT_INPUT!I156&gt;=SUMIFS(BONUS_RULES!$E$5:$E$46,BONUS_RULES!$A$5:$A$46,$C156,BONUS_RULES!$B$5:$B$46,"QM"),SUMIFS(BONUS_RULES!$D$5:$D$46,BONUS_RULES!$A$5:$A$46,$C156,BONUS_RULES!$B$5:$B$46,"QM"),IF(AGENT_INPUT!I156&gt;=SUMIFS(BONUS_RULES!$G$5:$G$46,BONUS_RULES!$A$5:$A$46,$C156,BONUS_RULES!$B$5:$B$46,"QM"),SUMIFS(BONUS_RULES!$F$5:$F$46,BONUS_RULES!$A$5:$A$46,$C156,BONUS_RULES!$B$5:$B$46,"QM"),0)))</f>
        <v>0.0</v>
      </c>
      <c r="K156" s="10">
        <f>IF(POLICY_APPROVAL!$B$9="Eligibility only",0,IF(OR($A156="",$D156&lt;&gt;"READY"),"",IF(AGENT_INPUT!J156&lt;=SUMIFS(BONUS_RULES!$E$5:$E$46,BONUS_RULES!$A$5:$A$46,$C156,BONUS_RULES!$B$5:$B$46,"Abs%"),SUMIFS(BONUS_RULES!$D$5:$D$46,BONUS_RULES!$A$5:$A$46,$C156,BONUS_RULES!$B$5:$B$46,"Abs%"),IF(AGENT_INPUT!J156&lt;=SUMIFS(BONUS_RULES!$G$5:$G$46,BONUS_RULES!$A$5:$A$46,$C156,BONUS_RULES!$B$5:$B$46,"Abs%"),SUMIFS(BONUS_RULES!$F$5:$F$46,BONUS_RULES!$A$5:$A$46,$C156,BONUS_RULES!$B$5:$B$46,"Abs%"),0))))</f>
        <v>0.15</v>
      </c>
      <c r="L156" s="10">
        <f>IF(OR($A156="",$D156&lt;&gt;"READY"),"",IF(AGENT_INPUT!G156&gt;=SUMIFS(BONUS_RULES!$E$5:$E$46,BONUS_RULES!$A$5:$A$46,$C156,BONUS_RULES!$B$5:$B$46,"Extra Bonus (PCS Score)"),SUMIFS(BONUS_RULES!$D$5:$D$46,BONUS_RULES!$A$5:$A$46,$C156,BONUS_RULES!$B$5:$B$46,"Extra Bonus (PCS Score)"),IF(AGENT_INPUT!G156&gt;=SUMIFS(BONUS_RULES!$G$5:$G$46,BONUS_RULES!$A$5:$A$46,$C156,BONUS_RULES!$B$5:$B$46,"Extra Bonus (PCS Score)"),SUMIFS(BONUS_RULES!$F$5:$F$46,BONUS_RULES!$A$5:$A$46,$C156,BONUS_RULES!$B$5:$B$46,"Extra Bonus (PCS Score)"),0)))</f>
        <v>0.3</v>
      </c>
      <c r="M156" s="10">
        <f>IF($A156="","",MIN(IF(POLICY_APPROVAL!$B$6="Replacement",SUM(F156:K156)-H156+MAX(H156,L156),SUM(F156:L156)),POLICY_APPROVAL!$B$10))</f>
        <v>0.95</v>
      </c>
      <c r="N156" s="10">
        <f>IF($A156="","",IFERROR(INDEX(BONUS_RULES!$J$5:$J$10,MATCH(MIN(MAX(AGENT_INPUT!K156,0),5),BONUS_RULES!$I$5:$I$10,0)),1))</f>
        <v>0</v>
      </c>
      <c r="O156" s="10">
        <f>IF(M156="","",MAX(0,IF(POLICY_APPROVAL!$B$5="Percentage points",M156-N156,M156*(1-N156))))</f>
        <v>0.95</v>
      </c>
      <c r="P156" s="11">
        <f>IF(D156&lt;&gt;"READY","",IF(AGENT_INPUT!O156&gt;0,AGENT_INPUT!O156,AGENT_INPUT!M156*AGENT_INPUT!N156/IF(POLICY_APPROVAL!$B$7="Annual",12,1)))</f>
        <v>2000.0</v>
      </c>
      <c r="Q156" s="10">
        <f>IF(D156&lt;&gt;"READY","",MIN(1,AGENT_INPUT!P156/AGENT_INPUT!Q156))</f>
        <v>1.0</v>
      </c>
      <c r="R156" s="11">
        <f>IF(D156&lt;&gt;"READY","",ROUND(P156*Q156*O156,IF(POLICY_APPROVAL!$B$11="Whole MAD",0,2)))</f>
        <v>1900.0</v>
      </c>
      <c r="S156" s="11">
        <f>IF(AND(SETUP!$B$9="READY",T156="READY"),R156,"")</f>
        <v/>
      </c>
      <c r="T156" s="4" t="str">
        <f>IF($A156="","",IF(D156&lt;&gt;"READY","BLOCKED - INPUT",IF(E156&lt;&gt;"ELIGIBLE","BLOCKED - ELIGIBILITY",IF(AGENT_INPUT!S156&lt;&gt;"VALIDATED","BLOCKED - DATA",IF(SETUP!$B$9&lt;&gt;"READY","BLOCKED - POLICY","READY")))))</f>
        <v>BLOCKED - ELIGIBILITY</v>
      </c>
      <c r="U156" s="4" t="str">
        <f>IF($A156="","",IF(COUNTIFS(AGENT_INPUT!$A$5:$A$254,$A156,AGENT_INPUT!$D$5:$D$254,AGENT_INPUT!D156)&gt;1,"DUPLICATE AGENT + PERIOD",IF(D156&lt;&gt;"READY","INPUT OR CONFIG REVIEW",IF(T156&lt;&gt;"READY",T156,""))))</f>
        <v>BLOCKED - ELIGIBILITY</v>
      </c>
    </row>
    <row r="157" spans="1:21">
      <c r="A157" s="4">
        <f>IF(AGENT_INPUT!A157="","",AGENT_INPUT!A157)</f>
        <v>228204</v>
      </c>
      <c r="B157" s="4" t="str">
        <f>IF($A157="","",AGENT_INPUT!B157)</f>
        <v>Amine HAMDAOUI</v>
      </c>
      <c r="C157" s="4" t="str">
        <f>IF($A157="","",AGENT_INPUT!C157)</f>
        <v>OEM FR</v>
      </c>
      <c r="D157" s="4" t="str">
        <f>IF($A157="","",IF(AND(COUNT(AGENT_INPUT!E157:J157)=6,COUNT(AGENT_INPUT!K157)=1,COUNTIF(BONUS_RULES!$A$5:$A$46,AGENT_INPUT!C157)&gt;0,OR(AGENT_INPUT!O157&gt;0,AND(AGENT_INPUT!M157&gt;0,AGENT_INPUT!N157&gt;0)),AGENT_INPUT!P157&gt;=0,AGENT_INPUT!Q157&gt;0,AGENT_INPUT!P157&lt;=AGENT_INPUT!Q157,AGENT_INPUT!H157&gt;=0,AGENT_INPUT!H157&lt;=1,AGENT_INPUT!I157&gt;=0,AGENT_INPUT!I157&lt;=1,AGENT_INPUT!J157&gt;=0,AGENT_INPUT!J157&lt;=1),"READY","BLOCKED"))</f>
        <v>READY</v>
      </c>
      <c r="E157" s="4" t="str">
        <f>IF($A157="","",IF(AGENT_INPUT!R157&lt;&gt;"Active","REVIEW",IF(OR(POLICY_APPROVAL!$B$9="Eligibility only",POLICY_APPROVAL!$B$9="Both"),IF(AGENT_INPUT!J157&lt;=SUMIFS(BONUS_RULES!$E$5:$E$46,BONUS_RULES!$A$5:$A$46,$C157,BONUS_RULES!$B$5:$B$46,"Abs%"),"ELIGIBLE","INELIGIBLE ABS"),"ELIGIBLE")))</f>
        <v>REVIEW</v>
      </c>
      <c r="F157" s="10">
        <f>IF(OR($A157="",$D157&lt;&gt;"READY"),"",IF(AGENT_INPUT!E157&lt;=SUMIFS(BONUS_RULES!$E$5:$E$46,BONUS_RULES!$A$5:$A$46,$C157,BONUS_RULES!$B$5:$B$46,"AHT"),SUMIFS(BONUS_RULES!$D$5:$D$46,BONUS_RULES!$A$5:$A$46,$C157,BONUS_RULES!$B$5:$B$46,"AHT"),IF(AGENT_INPUT!E157&lt;=SUMIFS(BONUS_RULES!$G$5:$G$46,BONUS_RULES!$A$5:$A$46,$C157,BONUS_RULES!$B$5:$B$46,"AHT"),SUMIFS(BONUS_RULES!$F$5:$F$46,BONUS_RULES!$A$5:$A$46,$C157,BONUS_RULES!$B$5:$B$46,"AHT"),0)))</f>
        <v>0.0</v>
      </c>
      <c r="G157" s="10">
        <f>IF(OR($A157="",$D157&lt;&gt;"READY"),"",IF(AGENT_INPUT!F157&gt;=SUMIFS(BONUS_RULES!$E$5:$E$46,BONUS_RULES!$A$5:$A$46,$C157,BONUS_RULES!$B$5:$B$46,"Productivity"),SUMIFS(BONUS_RULES!$D$5:$D$46,BONUS_RULES!$A$5:$A$46,$C157,BONUS_RULES!$B$5:$B$46,"Productivity"),IF(AGENT_INPUT!F157&gt;=SUMIFS(BONUS_RULES!$G$5:$G$46,BONUS_RULES!$A$5:$A$46,$C157,BONUS_RULES!$B$5:$B$46,"Productivity"),SUMIFS(BONUS_RULES!$F$5:$F$46,BONUS_RULES!$A$5:$A$46,$C157,BONUS_RULES!$B$5:$B$46,"Productivity"),0)))</f>
        <v>0.0</v>
      </c>
      <c r="H157" s="10">
        <f>IF(OR($A157="",$D157&lt;&gt;"READY"),"",IF(AGENT_INPUT!G157&gt;=SUMIFS(BONUS_RULES!$E$5:$E$46,BONUS_RULES!$A$5:$A$46,$C157,BONUS_RULES!$B$5:$B$46,"PCS Score"),SUMIFS(BONUS_RULES!$D$5:$D$46,BONUS_RULES!$A$5:$A$46,$C157,BONUS_RULES!$B$5:$B$46,"PCS Score"),IF(AGENT_INPUT!G157&gt;=SUMIFS(BONUS_RULES!$G$5:$G$46,BONUS_RULES!$A$5:$A$46,$C157,BONUS_RULES!$B$5:$B$46,"PCS Score"),SUMIFS(BONUS_RULES!$F$5:$F$46,BONUS_RULES!$A$5:$A$46,$C157,BONUS_RULES!$B$5:$B$46,"PCS Score"),0)))</f>
        <v>0.2</v>
      </c>
      <c r="I157" s="10">
        <f>IF(OR($A157="",$D157&lt;&gt;"READY"),"",IF(AGENT_INPUT!H157&gt;=SUMIFS(BONUS_RULES!$E$5:$E$46,BONUS_RULES!$A$5:$A$46,$C157,BONUS_RULES!$B$5:$B$46,"PCS % (Participation)"),SUMIFS(BONUS_RULES!$D$5:$D$46,BONUS_RULES!$A$5:$A$46,$C157,BONUS_RULES!$B$5:$B$46,"PCS % (Participation)"),IF(AGENT_INPUT!H157&gt;=SUMIFS(BONUS_RULES!$G$5:$G$46,BONUS_RULES!$A$5:$A$46,$C157,BONUS_RULES!$B$5:$B$46,"PCS % (Participation)"),SUMIFS(BONUS_RULES!$F$5:$F$46,BONUS_RULES!$A$5:$A$46,$C157,BONUS_RULES!$B$5:$B$46,"PCS % (Participation)"),0)))</f>
        <v>0.0</v>
      </c>
      <c r="J157" s="10">
        <f>IF(OR($A157="",$D157&lt;&gt;"READY"),"",IF(AGENT_INPUT!I157&gt;=SUMIFS(BONUS_RULES!$E$5:$E$46,BONUS_RULES!$A$5:$A$46,$C157,BONUS_RULES!$B$5:$B$46,"QM"),SUMIFS(BONUS_RULES!$D$5:$D$46,BONUS_RULES!$A$5:$A$46,$C157,BONUS_RULES!$B$5:$B$46,"QM"),IF(AGENT_INPUT!I157&gt;=SUMIFS(BONUS_RULES!$G$5:$G$46,BONUS_RULES!$A$5:$A$46,$C157,BONUS_RULES!$B$5:$B$46,"QM"),SUMIFS(BONUS_RULES!$F$5:$F$46,BONUS_RULES!$A$5:$A$46,$C157,BONUS_RULES!$B$5:$B$46,"QM"),0)))</f>
        <v>0.0</v>
      </c>
      <c r="K157" s="10">
        <f>IF(POLICY_APPROVAL!$B$9="Eligibility only",0,IF(OR($A157="",$D157&lt;&gt;"READY"),"",IF(AGENT_INPUT!J157&lt;=SUMIFS(BONUS_RULES!$E$5:$E$46,BONUS_RULES!$A$5:$A$46,$C157,BONUS_RULES!$B$5:$B$46,"Abs%"),SUMIFS(BONUS_RULES!$D$5:$D$46,BONUS_RULES!$A$5:$A$46,$C157,BONUS_RULES!$B$5:$B$46,"Abs%"),IF(AGENT_INPUT!J157&lt;=SUMIFS(BONUS_RULES!$G$5:$G$46,BONUS_RULES!$A$5:$A$46,$C157,BONUS_RULES!$B$5:$B$46,"Abs%"),SUMIFS(BONUS_RULES!$F$5:$F$46,BONUS_RULES!$A$5:$A$46,$C157,BONUS_RULES!$B$5:$B$46,"Abs%"),0))))</f>
        <v>0.15</v>
      </c>
      <c r="L157" s="10">
        <f>IF(OR($A157="",$D157&lt;&gt;"READY"),"",IF(AGENT_INPUT!G157&gt;=SUMIFS(BONUS_RULES!$E$5:$E$46,BONUS_RULES!$A$5:$A$46,$C157,BONUS_RULES!$B$5:$B$46,"Extra Bonus (PCS Score)"),SUMIFS(BONUS_RULES!$D$5:$D$46,BONUS_RULES!$A$5:$A$46,$C157,BONUS_RULES!$B$5:$B$46,"Extra Bonus (PCS Score)"),IF(AGENT_INPUT!G157&gt;=SUMIFS(BONUS_RULES!$G$5:$G$46,BONUS_RULES!$A$5:$A$46,$C157,BONUS_RULES!$B$5:$B$46,"Extra Bonus (PCS Score)"),SUMIFS(BONUS_RULES!$F$5:$F$46,BONUS_RULES!$A$5:$A$46,$C157,BONUS_RULES!$B$5:$B$46,"Extra Bonus (PCS Score)"),0)))</f>
        <v>0.3</v>
      </c>
      <c r="M157" s="10">
        <f>IF($A157="","",MIN(IF(POLICY_APPROVAL!$B$6="Replacement",SUM(F157:K157)-H157+MAX(H157,L157),SUM(F157:L157)),POLICY_APPROVAL!$B$10))</f>
        <v>0.6499999999999999</v>
      </c>
      <c r="N157" s="10">
        <f>IF($A157="","",IFERROR(INDEX(BONUS_RULES!$J$5:$J$10,MATCH(MIN(MAX(AGENT_INPUT!K157,0),5),BONUS_RULES!$I$5:$I$10,0)),1))</f>
        <v>0</v>
      </c>
      <c r="O157" s="10">
        <f>IF(M157="","",MAX(0,IF(POLICY_APPROVAL!$B$5="Percentage points",M157-N157,M157*(1-N157))))</f>
        <v>0.6499999999999999</v>
      </c>
      <c r="P157" s="11">
        <f>IF(D157&lt;&gt;"READY","",IF(AGENT_INPUT!O157&gt;0,AGENT_INPUT!O157,AGENT_INPUT!M157*AGENT_INPUT!N157/IF(POLICY_APPROVAL!$B$7="Annual",12,1)))</f>
        <v>2000.0</v>
      </c>
      <c r="Q157" s="10">
        <f>IF(D157&lt;&gt;"READY","",MIN(1,AGENT_INPUT!P157/AGENT_INPUT!Q157))</f>
        <v>1.0</v>
      </c>
      <c r="R157" s="11">
        <f>IF(D157&lt;&gt;"READY","",ROUND(P157*Q157*O157,IF(POLICY_APPROVAL!$B$11="Whole MAD",0,2)))</f>
        <v>1300.0</v>
      </c>
      <c r="S157" s="11">
        <f>IF(AND(SETUP!$B$9="READY",T157="READY"),R157,"")</f>
        <v/>
      </c>
      <c r="T157" s="4" t="str">
        <f>IF($A157="","",IF(D157&lt;&gt;"READY","BLOCKED - INPUT",IF(E157&lt;&gt;"ELIGIBLE","BLOCKED - ELIGIBILITY",IF(AGENT_INPUT!S157&lt;&gt;"VALIDATED","BLOCKED - DATA",IF(SETUP!$B$9&lt;&gt;"READY","BLOCKED - POLICY","READY")))))</f>
        <v>BLOCKED - ELIGIBILITY</v>
      </c>
      <c r="U157" s="4" t="str">
        <f>IF($A157="","",IF(COUNTIFS(AGENT_INPUT!$A$5:$A$254,$A157,AGENT_INPUT!$D$5:$D$254,AGENT_INPUT!D157)&gt;1,"DUPLICATE AGENT + PERIOD",IF(D157&lt;&gt;"READY","INPUT OR CONFIG REVIEW",IF(T157&lt;&gt;"READY",T157,""))))</f>
        <v>BLOCKED - ELIGIBILITY</v>
      </c>
    </row>
    <row r="158" spans="1:21">
      <c r="A158" s="4">
        <f>IF(AGENT_INPUT!A158="","",AGENT_INPUT!A158)</f>
        <v>207050</v>
      </c>
      <c r="B158" s="4" t="str">
        <f>IF($A158="","",AGENT_INPUT!B158)</f>
        <v>Cissokho Alioune</v>
      </c>
      <c r="C158" s="4" t="str">
        <f>IF($A158="","",AGENT_INPUT!C158)</f>
        <v>OEM FR</v>
      </c>
      <c r="D158" s="4" t="str">
        <f>IF($A158="","",IF(AND(COUNT(AGENT_INPUT!E158:J158)=6,COUNT(AGENT_INPUT!K158)=1,COUNTIF(BONUS_RULES!$A$5:$A$46,AGENT_INPUT!C158)&gt;0,OR(AGENT_INPUT!O158&gt;0,AND(AGENT_INPUT!M158&gt;0,AGENT_INPUT!N158&gt;0)),AGENT_INPUT!P158&gt;=0,AGENT_INPUT!Q158&gt;0,AGENT_INPUT!P158&lt;=AGENT_INPUT!Q158,AGENT_INPUT!H158&gt;=0,AGENT_INPUT!H158&lt;=1,AGENT_INPUT!I158&gt;=0,AGENT_INPUT!I158&lt;=1,AGENT_INPUT!J158&gt;=0,AGENT_INPUT!J158&lt;=1),"READY","BLOCKED"))</f>
        <v>READY</v>
      </c>
      <c r="E158" s="4" t="str">
        <f>IF($A158="","",IF(AGENT_INPUT!R158&lt;&gt;"Active","REVIEW",IF(OR(POLICY_APPROVAL!$B$9="Eligibility only",POLICY_APPROVAL!$B$9="Both"),IF(AGENT_INPUT!J158&lt;=SUMIFS(BONUS_RULES!$E$5:$E$46,BONUS_RULES!$A$5:$A$46,$C158,BONUS_RULES!$B$5:$B$46,"Abs%"),"ELIGIBLE","INELIGIBLE ABS"),"ELIGIBLE")))</f>
        <v>REVIEW</v>
      </c>
      <c r="F158" s="10">
        <f>IF(OR($A158="",$D158&lt;&gt;"READY"),"",IF(AGENT_INPUT!E158&lt;=SUMIFS(BONUS_RULES!$E$5:$E$46,BONUS_RULES!$A$5:$A$46,$C158,BONUS_RULES!$B$5:$B$46,"AHT"),SUMIFS(BONUS_RULES!$D$5:$D$46,BONUS_RULES!$A$5:$A$46,$C158,BONUS_RULES!$B$5:$B$46,"AHT"),IF(AGENT_INPUT!E158&lt;=SUMIFS(BONUS_RULES!$G$5:$G$46,BONUS_RULES!$A$5:$A$46,$C158,BONUS_RULES!$B$5:$B$46,"AHT"),SUMIFS(BONUS_RULES!$F$5:$F$46,BONUS_RULES!$A$5:$A$46,$C158,BONUS_RULES!$B$5:$B$46,"AHT"),0)))</f>
        <v>0.0</v>
      </c>
      <c r="G158" s="10">
        <f>IF(OR($A158="",$D158&lt;&gt;"READY"),"",IF(AGENT_INPUT!F158&gt;=SUMIFS(BONUS_RULES!$E$5:$E$46,BONUS_RULES!$A$5:$A$46,$C158,BONUS_RULES!$B$5:$B$46,"Productivity"),SUMIFS(BONUS_RULES!$D$5:$D$46,BONUS_RULES!$A$5:$A$46,$C158,BONUS_RULES!$B$5:$B$46,"Productivity"),IF(AGENT_INPUT!F158&gt;=SUMIFS(BONUS_RULES!$G$5:$G$46,BONUS_RULES!$A$5:$A$46,$C158,BONUS_RULES!$B$5:$B$46,"Productivity"),SUMIFS(BONUS_RULES!$F$5:$F$46,BONUS_RULES!$A$5:$A$46,$C158,BONUS_RULES!$B$5:$B$46,"Productivity"),0)))</f>
        <v>0.0</v>
      </c>
      <c r="H158" s="10">
        <f>IF(OR($A158="",$D158&lt;&gt;"READY"),"",IF(AGENT_INPUT!G158&gt;=SUMIFS(BONUS_RULES!$E$5:$E$46,BONUS_RULES!$A$5:$A$46,$C158,BONUS_RULES!$B$5:$B$46,"PCS Score"),SUMIFS(BONUS_RULES!$D$5:$D$46,BONUS_RULES!$A$5:$A$46,$C158,BONUS_RULES!$B$5:$B$46,"PCS Score"),IF(AGENT_INPUT!G158&gt;=SUMIFS(BONUS_RULES!$G$5:$G$46,BONUS_RULES!$A$5:$A$46,$C158,BONUS_RULES!$B$5:$B$46,"PCS Score"),SUMIFS(BONUS_RULES!$F$5:$F$46,BONUS_RULES!$A$5:$A$46,$C158,BONUS_RULES!$B$5:$B$46,"PCS Score"),0)))</f>
        <v>0.2</v>
      </c>
      <c r="I158" s="10">
        <f>IF(OR($A158="",$D158&lt;&gt;"READY"),"",IF(AGENT_INPUT!H158&gt;=SUMIFS(BONUS_RULES!$E$5:$E$46,BONUS_RULES!$A$5:$A$46,$C158,BONUS_RULES!$B$5:$B$46,"PCS % (Participation)"),SUMIFS(BONUS_RULES!$D$5:$D$46,BONUS_RULES!$A$5:$A$46,$C158,BONUS_RULES!$B$5:$B$46,"PCS % (Participation)"),IF(AGENT_INPUT!H158&gt;=SUMIFS(BONUS_RULES!$G$5:$G$46,BONUS_RULES!$A$5:$A$46,$C158,BONUS_RULES!$B$5:$B$46,"PCS % (Participation)"),SUMIFS(BONUS_RULES!$F$5:$F$46,BONUS_RULES!$A$5:$A$46,$C158,BONUS_RULES!$B$5:$B$46,"PCS % (Participation)"),0)))</f>
        <v>0.0</v>
      </c>
      <c r="J158" s="10">
        <f>IF(OR($A158="",$D158&lt;&gt;"READY"),"",IF(AGENT_INPUT!I158&gt;=SUMIFS(BONUS_RULES!$E$5:$E$46,BONUS_RULES!$A$5:$A$46,$C158,BONUS_RULES!$B$5:$B$46,"QM"),SUMIFS(BONUS_RULES!$D$5:$D$46,BONUS_RULES!$A$5:$A$46,$C158,BONUS_RULES!$B$5:$B$46,"QM"),IF(AGENT_INPUT!I158&gt;=SUMIFS(BONUS_RULES!$G$5:$G$46,BONUS_RULES!$A$5:$A$46,$C158,BONUS_RULES!$B$5:$B$46,"QM"),SUMIFS(BONUS_RULES!$F$5:$F$46,BONUS_RULES!$A$5:$A$46,$C158,BONUS_RULES!$B$5:$B$46,"QM"),0)))</f>
        <v>0.0</v>
      </c>
      <c r="K158" s="10">
        <f>IF(POLICY_APPROVAL!$B$9="Eligibility only",0,IF(OR($A158="",$D158&lt;&gt;"READY"),"",IF(AGENT_INPUT!J158&lt;=SUMIFS(BONUS_RULES!$E$5:$E$46,BONUS_RULES!$A$5:$A$46,$C158,BONUS_RULES!$B$5:$B$46,"Abs%"),SUMIFS(BONUS_RULES!$D$5:$D$46,BONUS_RULES!$A$5:$A$46,$C158,BONUS_RULES!$B$5:$B$46,"Abs%"),IF(AGENT_INPUT!J158&lt;=SUMIFS(BONUS_RULES!$G$5:$G$46,BONUS_RULES!$A$5:$A$46,$C158,BONUS_RULES!$B$5:$B$46,"Abs%"),SUMIFS(BONUS_RULES!$F$5:$F$46,BONUS_RULES!$A$5:$A$46,$C158,BONUS_RULES!$B$5:$B$46,"Abs%"),0))))</f>
        <v>0.15</v>
      </c>
      <c r="L158" s="10">
        <f>IF(OR($A158="",$D158&lt;&gt;"READY"),"",IF(AGENT_INPUT!G158&gt;=SUMIFS(BONUS_RULES!$E$5:$E$46,BONUS_RULES!$A$5:$A$46,$C158,BONUS_RULES!$B$5:$B$46,"Extra Bonus (PCS Score)"),SUMIFS(BONUS_RULES!$D$5:$D$46,BONUS_RULES!$A$5:$A$46,$C158,BONUS_RULES!$B$5:$B$46,"Extra Bonus (PCS Score)"),IF(AGENT_INPUT!G158&gt;=SUMIFS(BONUS_RULES!$G$5:$G$46,BONUS_RULES!$A$5:$A$46,$C158,BONUS_RULES!$B$5:$B$46,"Extra Bonus (PCS Score)"),SUMIFS(BONUS_RULES!$F$5:$F$46,BONUS_RULES!$A$5:$A$46,$C158,BONUS_RULES!$B$5:$B$46,"Extra Bonus (PCS Score)"),0)))</f>
        <v>0.3</v>
      </c>
      <c r="M158" s="10">
        <f>IF($A158="","",MIN(IF(POLICY_APPROVAL!$B$6="Replacement",SUM(F158:K158)-H158+MAX(H158,L158),SUM(F158:L158)),POLICY_APPROVAL!$B$10))</f>
        <v>0.6499999999999999</v>
      </c>
      <c r="N158" s="10">
        <f>IF($A158="","",IFERROR(INDEX(BONUS_RULES!$J$5:$J$10,MATCH(MIN(MAX(AGENT_INPUT!K158,0),5),BONUS_RULES!$I$5:$I$10,0)),1))</f>
        <v>0</v>
      </c>
      <c r="O158" s="10">
        <f>IF(M158="","",MAX(0,IF(POLICY_APPROVAL!$B$5="Percentage points",M158-N158,M158*(1-N158))))</f>
        <v>0.6499999999999999</v>
      </c>
      <c r="P158" s="11">
        <f>IF(D158&lt;&gt;"READY","",IF(AGENT_INPUT!O158&gt;0,AGENT_INPUT!O158,AGENT_INPUT!M158*AGENT_INPUT!N158/IF(POLICY_APPROVAL!$B$7="Annual",12,1)))</f>
        <v>2000.0</v>
      </c>
      <c r="Q158" s="10">
        <f>IF(D158&lt;&gt;"READY","",MIN(1,AGENT_INPUT!P158/AGENT_INPUT!Q158))</f>
        <v>1.0</v>
      </c>
      <c r="R158" s="11">
        <f>IF(D158&lt;&gt;"READY","",ROUND(P158*Q158*O158,IF(POLICY_APPROVAL!$B$11="Whole MAD",0,2)))</f>
        <v>1300.0</v>
      </c>
      <c r="S158" s="11">
        <f>IF(AND(SETUP!$B$9="READY",T158="READY"),R158,"")</f>
        <v/>
      </c>
      <c r="T158" s="4" t="str">
        <f>IF($A158="","",IF(D158&lt;&gt;"READY","BLOCKED - INPUT",IF(E158&lt;&gt;"ELIGIBLE","BLOCKED - ELIGIBILITY",IF(AGENT_INPUT!S158&lt;&gt;"VALIDATED","BLOCKED - DATA",IF(SETUP!$B$9&lt;&gt;"READY","BLOCKED - POLICY","READY")))))</f>
        <v>BLOCKED - ELIGIBILITY</v>
      </c>
      <c r="U158" s="4" t="str">
        <f>IF($A158="","",IF(COUNTIFS(AGENT_INPUT!$A$5:$A$254,$A158,AGENT_INPUT!$D$5:$D$254,AGENT_INPUT!D158)&gt;1,"DUPLICATE AGENT + PERIOD",IF(D158&lt;&gt;"READY","INPUT OR CONFIG REVIEW",IF(T158&lt;&gt;"READY",T158,""))))</f>
        <v>BLOCKED - ELIGIBILITY</v>
      </c>
    </row>
    <row r="159" spans="1:21">
      <c r="A159" s="4">
        <f>IF(AGENT_INPUT!A159="","",AGENT_INPUT!A159)</f>
        <v>204035</v>
      </c>
      <c r="B159" s="4" t="str">
        <f>IF($A159="","",AGENT_INPUT!B159)</f>
        <v>Cetin Ali</v>
      </c>
      <c r="C159" s="4" t="str">
        <f>IF($A159="","",AGENT_INPUT!C159)</f>
        <v>Ford Dutch</v>
      </c>
      <c r="D159" s="4" t="str">
        <f>IF($A159="","",IF(AND(COUNT(AGENT_INPUT!E159:J159)=6,COUNT(AGENT_INPUT!K159)=1,COUNTIF(BONUS_RULES!$A$5:$A$46,AGENT_INPUT!C159)&gt;0,OR(AGENT_INPUT!O159&gt;0,AND(AGENT_INPUT!M159&gt;0,AGENT_INPUT!N159&gt;0)),AGENT_INPUT!P159&gt;=0,AGENT_INPUT!Q159&gt;0,AGENT_INPUT!P159&lt;=AGENT_INPUT!Q159,AGENT_INPUT!H159&gt;=0,AGENT_INPUT!H159&lt;=1,AGENT_INPUT!I159&gt;=0,AGENT_INPUT!I159&lt;=1,AGENT_INPUT!J159&gt;=0,AGENT_INPUT!J159&lt;=1),"READY","BLOCKED"))</f>
        <v>READY</v>
      </c>
      <c r="E159" s="4" t="str">
        <f>IF($A159="","",IF(AGENT_INPUT!R159&lt;&gt;"Active","REVIEW",IF(OR(POLICY_APPROVAL!$B$9="Eligibility only",POLICY_APPROVAL!$B$9="Both"),IF(AGENT_INPUT!J159&lt;=SUMIFS(BONUS_RULES!$E$5:$E$46,BONUS_RULES!$A$5:$A$46,$C159,BONUS_RULES!$B$5:$B$46,"Abs%"),"ELIGIBLE","INELIGIBLE ABS"),"ELIGIBLE")))</f>
        <v>REVIEW</v>
      </c>
      <c r="F159" s="10">
        <f>IF(OR($A159="",$D159&lt;&gt;"READY"),"",IF(AGENT_INPUT!E159&lt;=SUMIFS(BONUS_RULES!$E$5:$E$46,BONUS_RULES!$A$5:$A$46,$C159,BONUS_RULES!$B$5:$B$46,"AHT"),SUMIFS(BONUS_RULES!$D$5:$D$46,BONUS_RULES!$A$5:$A$46,$C159,BONUS_RULES!$B$5:$B$46,"AHT"),IF(AGENT_INPUT!E159&lt;=SUMIFS(BONUS_RULES!$G$5:$G$46,BONUS_RULES!$A$5:$A$46,$C159,BONUS_RULES!$B$5:$B$46,"AHT"),SUMIFS(BONUS_RULES!$F$5:$F$46,BONUS_RULES!$A$5:$A$46,$C159,BONUS_RULES!$B$5:$B$46,"AHT"),0)))</f>
        <v>0.15</v>
      </c>
      <c r="G159" s="10">
        <f>IF(OR($A159="",$D159&lt;&gt;"READY"),"",IF(AGENT_INPUT!F159&gt;=SUMIFS(BONUS_RULES!$E$5:$E$46,BONUS_RULES!$A$5:$A$46,$C159,BONUS_RULES!$B$5:$B$46,"Productivity"),SUMIFS(BONUS_RULES!$D$5:$D$46,BONUS_RULES!$A$5:$A$46,$C159,BONUS_RULES!$B$5:$B$46,"Productivity"),IF(AGENT_INPUT!F159&gt;=SUMIFS(BONUS_RULES!$G$5:$G$46,BONUS_RULES!$A$5:$A$46,$C159,BONUS_RULES!$B$5:$B$46,"Productivity"),SUMIFS(BONUS_RULES!$F$5:$F$46,BONUS_RULES!$A$5:$A$46,$C159,BONUS_RULES!$B$5:$B$46,"Productivity"),0)))</f>
        <v>0.15</v>
      </c>
      <c r="H159" s="10">
        <f>IF(OR($A159="",$D159&lt;&gt;"READY"),"",IF(AGENT_INPUT!G159&gt;=SUMIFS(BONUS_RULES!$E$5:$E$46,BONUS_RULES!$A$5:$A$46,$C159,BONUS_RULES!$B$5:$B$46,"PCS Score"),SUMIFS(BONUS_RULES!$D$5:$D$46,BONUS_RULES!$A$5:$A$46,$C159,BONUS_RULES!$B$5:$B$46,"PCS Score"),IF(AGENT_INPUT!G159&gt;=SUMIFS(BONUS_RULES!$G$5:$G$46,BONUS_RULES!$A$5:$A$46,$C159,BONUS_RULES!$B$5:$B$46,"PCS Score"),SUMIFS(BONUS_RULES!$F$5:$F$46,BONUS_RULES!$A$5:$A$46,$C159,BONUS_RULES!$B$5:$B$46,"PCS Score"),0)))</f>
        <v>0.0</v>
      </c>
      <c r="I159" s="10">
        <f>IF(OR($A159="",$D159&lt;&gt;"READY"),"",IF(AGENT_INPUT!H159&gt;=SUMIFS(BONUS_RULES!$E$5:$E$46,BONUS_RULES!$A$5:$A$46,$C159,BONUS_RULES!$B$5:$B$46,"PCS % (Participation)"),SUMIFS(BONUS_RULES!$D$5:$D$46,BONUS_RULES!$A$5:$A$46,$C159,BONUS_RULES!$B$5:$B$46,"PCS % (Participation)"),IF(AGENT_INPUT!H159&gt;=SUMIFS(BONUS_RULES!$G$5:$G$46,BONUS_RULES!$A$5:$A$46,$C159,BONUS_RULES!$B$5:$B$46,"PCS % (Participation)"),SUMIFS(BONUS_RULES!$F$5:$F$46,BONUS_RULES!$A$5:$A$46,$C159,BONUS_RULES!$B$5:$B$46,"PCS % (Participation)"),0)))</f>
        <v>0.0</v>
      </c>
      <c r="J159" s="10">
        <f>IF(OR($A159="",$D159&lt;&gt;"READY"),"",IF(AGENT_INPUT!I159&gt;=SUMIFS(BONUS_RULES!$E$5:$E$46,BONUS_RULES!$A$5:$A$46,$C159,BONUS_RULES!$B$5:$B$46,"QM"),SUMIFS(BONUS_RULES!$D$5:$D$46,BONUS_RULES!$A$5:$A$46,$C159,BONUS_RULES!$B$5:$B$46,"QM"),IF(AGENT_INPUT!I159&gt;=SUMIFS(BONUS_RULES!$G$5:$G$46,BONUS_RULES!$A$5:$A$46,$C159,BONUS_RULES!$B$5:$B$46,"QM"),SUMIFS(BONUS_RULES!$F$5:$F$46,BONUS_RULES!$A$5:$A$46,$C159,BONUS_RULES!$B$5:$B$46,"QM"),0)))</f>
        <v>0.0</v>
      </c>
      <c r="K159" s="10">
        <f>IF(POLICY_APPROVAL!$B$9="Eligibility only",0,IF(OR($A159="",$D159&lt;&gt;"READY"),"",IF(AGENT_INPUT!J159&lt;=SUMIFS(BONUS_RULES!$E$5:$E$46,BONUS_RULES!$A$5:$A$46,$C159,BONUS_RULES!$B$5:$B$46,"Abs%"),SUMIFS(BONUS_RULES!$D$5:$D$46,BONUS_RULES!$A$5:$A$46,$C159,BONUS_RULES!$B$5:$B$46,"Abs%"),IF(AGENT_INPUT!J159&lt;=SUMIFS(BONUS_RULES!$G$5:$G$46,BONUS_RULES!$A$5:$A$46,$C159,BONUS_RULES!$B$5:$B$46,"Abs%"),SUMIFS(BONUS_RULES!$F$5:$F$46,BONUS_RULES!$A$5:$A$46,$C159,BONUS_RULES!$B$5:$B$46,"Abs%"),0))))</f>
        <v>0.15</v>
      </c>
      <c r="L159" s="10">
        <f>IF(OR($A159="",$D159&lt;&gt;"READY"),"",IF(AGENT_INPUT!G159&gt;=SUMIFS(BONUS_RULES!$E$5:$E$46,BONUS_RULES!$A$5:$A$46,$C159,BONUS_RULES!$B$5:$B$46,"Extra Bonus (PCS Score)"),SUMIFS(BONUS_RULES!$D$5:$D$46,BONUS_RULES!$A$5:$A$46,$C159,BONUS_RULES!$B$5:$B$46,"Extra Bonus (PCS Score)"),IF(AGENT_INPUT!G159&gt;=SUMIFS(BONUS_RULES!$G$5:$G$46,BONUS_RULES!$A$5:$A$46,$C159,BONUS_RULES!$B$5:$B$46,"Extra Bonus (PCS Score)"),SUMIFS(BONUS_RULES!$F$5:$F$46,BONUS_RULES!$A$5:$A$46,$C159,BONUS_RULES!$B$5:$B$46,"Extra Bonus (PCS Score)"),0)))</f>
        <v>0.0</v>
      </c>
      <c r="M159" s="10">
        <f>IF($A159="","",MIN(IF(POLICY_APPROVAL!$B$6="Replacement",SUM(F159:K159)-H159+MAX(H159,L159),SUM(F159:L159)),POLICY_APPROVAL!$B$10))</f>
        <v>0.44999999999999996</v>
      </c>
      <c r="N159" s="10">
        <f>IF($A159="","",IFERROR(INDEX(BONUS_RULES!$J$5:$J$10,MATCH(MIN(MAX(AGENT_INPUT!K159,0),5),BONUS_RULES!$I$5:$I$10,0)),1))</f>
        <v>0</v>
      </c>
      <c r="O159" s="10">
        <f>IF(M159="","",MAX(0,IF(POLICY_APPROVAL!$B$5="Percentage points",M159-N159,M159*(1-N159))))</f>
        <v>0.44999999999999996</v>
      </c>
      <c r="P159" s="11">
        <f>IF(D159&lt;&gt;"READY","",IF(AGENT_INPUT!O159&gt;0,AGENT_INPUT!O159,AGENT_INPUT!M159*AGENT_INPUT!N159/IF(POLICY_APPROVAL!$B$7="Annual",12,1)))</f>
        <v>2000.0</v>
      </c>
      <c r="Q159" s="10">
        <f>IF(D159&lt;&gt;"READY","",MIN(1,AGENT_INPUT!P159/AGENT_INPUT!Q159))</f>
        <v>1.0</v>
      </c>
      <c r="R159" s="11">
        <f>IF(D159&lt;&gt;"READY","",ROUND(P159*Q159*O159,IF(POLICY_APPROVAL!$B$11="Whole MAD",0,2)))</f>
        <v>900.0</v>
      </c>
      <c r="S159" s="11">
        <f>IF(AND(SETUP!$B$9="READY",T159="READY"),R159,"")</f>
        <v/>
      </c>
      <c r="T159" s="4" t="str">
        <f>IF($A159="","",IF(D159&lt;&gt;"READY","BLOCKED - INPUT",IF(E159&lt;&gt;"ELIGIBLE","BLOCKED - ELIGIBILITY",IF(AGENT_INPUT!S159&lt;&gt;"VALIDATED","BLOCKED - DATA",IF(SETUP!$B$9&lt;&gt;"READY","BLOCKED - POLICY","READY")))))</f>
        <v>BLOCKED - ELIGIBILITY</v>
      </c>
      <c r="U159" s="4" t="str">
        <f>IF($A159="","",IF(COUNTIFS(AGENT_INPUT!$A$5:$A$254,$A159,AGENT_INPUT!$D$5:$D$254,AGENT_INPUT!D159)&gt;1,"DUPLICATE AGENT + PERIOD",IF(D159&lt;&gt;"READY","INPUT OR CONFIG REVIEW",IF(T159&lt;&gt;"READY",T159,""))))</f>
        <v>BLOCKED - ELIGIBILITY</v>
      </c>
    </row>
    <row r="160" spans="1:21">
      <c r="A160" s="4">
        <f>IF(AGENT_INPUT!A160="","",AGENT_INPUT!A160)</f>
        <v>205242</v>
      </c>
      <c r="B160" s="4" t="str">
        <f>IF($A160="","",AGENT_INPUT!B160)</f>
        <v>El Mansouri Ajaoud</v>
      </c>
      <c r="C160" s="4" t="str">
        <f>IF($A160="","",AGENT_INPUT!C160)</f>
        <v>Ford Dutch</v>
      </c>
      <c r="D160" s="4" t="str">
        <f>IF($A160="","",IF(AND(COUNT(AGENT_INPUT!E160:J160)=6,COUNT(AGENT_INPUT!K160)=1,COUNTIF(BONUS_RULES!$A$5:$A$46,AGENT_INPUT!C160)&gt;0,OR(AGENT_INPUT!O160&gt;0,AND(AGENT_INPUT!M160&gt;0,AGENT_INPUT!N160&gt;0)),AGENT_INPUT!P160&gt;=0,AGENT_INPUT!Q160&gt;0,AGENT_INPUT!P160&lt;=AGENT_INPUT!Q160,AGENT_INPUT!H160&gt;=0,AGENT_INPUT!H160&lt;=1,AGENT_INPUT!I160&gt;=0,AGENT_INPUT!I160&lt;=1,AGENT_INPUT!J160&gt;=0,AGENT_INPUT!J160&lt;=1),"READY","BLOCKED"))</f>
        <v>READY</v>
      </c>
      <c r="E160" s="4" t="str">
        <f>IF($A160="","",IF(AGENT_INPUT!R160&lt;&gt;"Active","REVIEW",IF(OR(POLICY_APPROVAL!$B$9="Eligibility only",POLICY_APPROVAL!$B$9="Both"),IF(AGENT_INPUT!J160&lt;=SUMIFS(BONUS_RULES!$E$5:$E$46,BONUS_RULES!$A$5:$A$46,$C160,BONUS_RULES!$B$5:$B$46,"Abs%"),"ELIGIBLE","INELIGIBLE ABS"),"ELIGIBLE")))</f>
        <v>REVIEW</v>
      </c>
      <c r="F160" s="10">
        <f>IF(OR($A160="",$D160&lt;&gt;"READY"),"",IF(AGENT_INPUT!E160&lt;=SUMIFS(BONUS_RULES!$E$5:$E$46,BONUS_RULES!$A$5:$A$46,$C160,BONUS_RULES!$B$5:$B$46,"AHT"),SUMIFS(BONUS_RULES!$D$5:$D$46,BONUS_RULES!$A$5:$A$46,$C160,BONUS_RULES!$B$5:$B$46,"AHT"),IF(AGENT_INPUT!E160&lt;=SUMIFS(BONUS_RULES!$G$5:$G$46,BONUS_RULES!$A$5:$A$46,$C160,BONUS_RULES!$B$5:$B$46,"AHT"),SUMIFS(BONUS_RULES!$F$5:$F$46,BONUS_RULES!$A$5:$A$46,$C160,BONUS_RULES!$B$5:$B$46,"AHT"),0)))</f>
        <v>0.15</v>
      </c>
      <c r="G160" s="10">
        <f>IF(OR($A160="",$D160&lt;&gt;"READY"),"",IF(AGENT_INPUT!F160&gt;=SUMIFS(BONUS_RULES!$E$5:$E$46,BONUS_RULES!$A$5:$A$46,$C160,BONUS_RULES!$B$5:$B$46,"Productivity"),SUMIFS(BONUS_RULES!$D$5:$D$46,BONUS_RULES!$A$5:$A$46,$C160,BONUS_RULES!$B$5:$B$46,"Productivity"),IF(AGENT_INPUT!F160&gt;=SUMIFS(BONUS_RULES!$G$5:$G$46,BONUS_RULES!$A$5:$A$46,$C160,BONUS_RULES!$B$5:$B$46,"Productivity"),SUMIFS(BONUS_RULES!$F$5:$F$46,BONUS_RULES!$A$5:$A$46,$C160,BONUS_RULES!$B$5:$B$46,"Productivity"),0)))</f>
        <v>0.15</v>
      </c>
      <c r="H160" s="10">
        <f>IF(OR($A160="",$D160&lt;&gt;"READY"),"",IF(AGENT_INPUT!G160&gt;=SUMIFS(BONUS_RULES!$E$5:$E$46,BONUS_RULES!$A$5:$A$46,$C160,BONUS_RULES!$B$5:$B$46,"PCS Score"),SUMIFS(BONUS_RULES!$D$5:$D$46,BONUS_RULES!$A$5:$A$46,$C160,BONUS_RULES!$B$5:$B$46,"PCS Score"),IF(AGENT_INPUT!G160&gt;=SUMIFS(BONUS_RULES!$G$5:$G$46,BONUS_RULES!$A$5:$A$46,$C160,BONUS_RULES!$B$5:$B$46,"PCS Score"),SUMIFS(BONUS_RULES!$F$5:$F$46,BONUS_RULES!$A$5:$A$46,$C160,BONUS_RULES!$B$5:$B$46,"PCS Score"),0)))</f>
        <v>0.0</v>
      </c>
      <c r="I160" s="10">
        <f>IF(OR($A160="",$D160&lt;&gt;"READY"),"",IF(AGENT_INPUT!H160&gt;=SUMIFS(BONUS_RULES!$E$5:$E$46,BONUS_RULES!$A$5:$A$46,$C160,BONUS_RULES!$B$5:$B$46,"PCS % (Participation)"),SUMIFS(BONUS_RULES!$D$5:$D$46,BONUS_RULES!$A$5:$A$46,$C160,BONUS_RULES!$B$5:$B$46,"PCS % (Participation)"),IF(AGENT_INPUT!H160&gt;=SUMIFS(BONUS_RULES!$G$5:$G$46,BONUS_RULES!$A$5:$A$46,$C160,BONUS_RULES!$B$5:$B$46,"PCS % (Participation)"),SUMIFS(BONUS_RULES!$F$5:$F$46,BONUS_RULES!$A$5:$A$46,$C160,BONUS_RULES!$B$5:$B$46,"PCS % (Participation)"),0)))</f>
        <v>0.0</v>
      </c>
      <c r="J160" s="10">
        <f>IF(OR($A160="",$D160&lt;&gt;"READY"),"",IF(AGENT_INPUT!I160&gt;=SUMIFS(BONUS_RULES!$E$5:$E$46,BONUS_RULES!$A$5:$A$46,$C160,BONUS_RULES!$B$5:$B$46,"QM"),SUMIFS(BONUS_RULES!$D$5:$D$46,BONUS_RULES!$A$5:$A$46,$C160,BONUS_RULES!$B$5:$B$46,"QM"),IF(AGENT_INPUT!I160&gt;=SUMIFS(BONUS_RULES!$G$5:$G$46,BONUS_RULES!$A$5:$A$46,$C160,BONUS_RULES!$B$5:$B$46,"QM"),SUMIFS(BONUS_RULES!$F$5:$F$46,BONUS_RULES!$A$5:$A$46,$C160,BONUS_RULES!$B$5:$B$46,"QM"),0)))</f>
        <v>0.0</v>
      </c>
      <c r="K160" s="10">
        <f>IF(POLICY_APPROVAL!$B$9="Eligibility only",0,IF(OR($A160="",$D160&lt;&gt;"READY"),"",IF(AGENT_INPUT!J160&lt;=SUMIFS(BONUS_RULES!$E$5:$E$46,BONUS_RULES!$A$5:$A$46,$C160,BONUS_RULES!$B$5:$B$46,"Abs%"),SUMIFS(BONUS_RULES!$D$5:$D$46,BONUS_RULES!$A$5:$A$46,$C160,BONUS_RULES!$B$5:$B$46,"Abs%"),IF(AGENT_INPUT!J160&lt;=SUMIFS(BONUS_RULES!$G$5:$G$46,BONUS_RULES!$A$5:$A$46,$C160,BONUS_RULES!$B$5:$B$46,"Abs%"),SUMIFS(BONUS_RULES!$F$5:$F$46,BONUS_RULES!$A$5:$A$46,$C160,BONUS_RULES!$B$5:$B$46,"Abs%"),0))))</f>
        <v>0.0</v>
      </c>
      <c r="L160" s="10">
        <f>IF(OR($A160="",$D160&lt;&gt;"READY"),"",IF(AGENT_INPUT!G160&gt;=SUMIFS(BONUS_RULES!$E$5:$E$46,BONUS_RULES!$A$5:$A$46,$C160,BONUS_RULES!$B$5:$B$46,"Extra Bonus (PCS Score)"),SUMIFS(BONUS_RULES!$D$5:$D$46,BONUS_RULES!$A$5:$A$46,$C160,BONUS_RULES!$B$5:$B$46,"Extra Bonus (PCS Score)"),IF(AGENT_INPUT!G160&gt;=SUMIFS(BONUS_RULES!$G$5:$G$46,BONUS_RULES!$A$5:$A$46,$C160,BONUS_RULES!$B$5:$B$46,"Extra Bonus (PCS Score)"),SUMIFS(BONUS_RULES!$F$5:$F$46,BONUS_RULES!$A$5:$A$46,$C160,BONUS_RULES!$B$5:$B$46,"Extra Bonus (PCS Score)"),0)))</f>
        <v>0.0</v>
      </c>
      <c r="M160" s="10">
        <f>IF($A160="","",MIN(IF(POLICY_APPROVAL!$B$6="Replacement",SUM(F160:K160)-H160+MAX(H160,L160),SUM(F160:L160)),POLICY_APPROVAL!$B$10))</f>
        <v>0.3</v>
      </c>
      <c r="N160" s="10">
        <f>IF($A160="","",IFERROR(INDEX(BONUS_RULES!$J$5:$J$10,MATCH(MIN(MAX(AGENT_INPUT!K160,0),5),BONUS_RULES!$I$5:$I$10,0)),1))</f>
        <v>0</v>
      </c>
      <c r="O160" s="10">
        <f>IF(M160="","",MAX(0,IF(POLICY_APPROVAL!$B$5="Percentage points",M160-N160,M160*(1-N160))))</f>
        <v>0.3</v>
      </c>
      <c r="P160" s="11">
        <f>IF(D160&lt;&gt;"READY","",IF(AGENT_INPUT!O160&gt;0,AGENT_INPUT!O160,AGENT_INPUT!M160*AGENT_INPUT!N160/IF(POLICY_APPROVAL!$B$7="Annual",12,1)))</f>
        <v>2000.0</v>
      </c>
      <c r="Q160" s="10">
        <f>IF(D160&lt;&gt;"READY","",MIN(1,AGENT_INPUT!P160/AGENT_INPUT!Q160))</f>
        <v>1.0</v>
      </c>
      <c r="R160" s="11">
        <f>IF(D160&lt;&gt;"READY","",ROUND(P160*Q160*O160,IF(POLICY_APPROVAL!$B$11="Whole MAD",0,2)))</f>
        <v>600.0</v>
      </c>
      <c r="S160" s="11">
        <f>IF(AND(SETUP!$B$9="READY",T160="READY"),R160,"")</f>
        <v/>
      </c>
      <c r="T160" s="4" t="str">
        <f>IF($A160="","",IF(D160&lt;&gt;"READY","BLOCKED - INPUT",IF(E160&lt;&gt;"ELIGIBLE","BLOCKED - ELIGIBILITY",IF(AGENT_INPUT!S160&lt;&gt;"VALIDATED","BLOCKED - DATA",IF(SETUP!$B$9&lt;&gt;"READY","BLOCKED - POLICY","READY")))))</f>
        <v>BLOCKED - ELIGIBILITY</v>
      </c>
      <c r="U160" s="4" t="str">
        <f>IF($A160="","",IF(COUNTIFS(AGENT_INPUT!$A$5:$A$254,$A160,AGENT_INPUT!$D$5:$D$254,AGENT_INPUT!D160)&gt;1,"DUPLICATE AGENT + PERIOD",IF(D160&lt;&gt;"READY","INPUT OR CONFIG REVIEW",IF(T160&lt;&gt;"READY",T160,""))))</f>
        <v>BLOCKED - ELIGIBILITY</v>
      </c>
    </row>
    <row r="161" spans="1:21">
      <c r="A161" s="4">
        <f>IF(AGENT_INPUT!A161="","",AGENT_INPUT!A161)</f>
        <v>96491</v>
      </c>
      <c r="B161" s="4" t="str">
        <f>IF($A161="","",AGENT_INPUT!B161)</f>
        <v>AHLAL Ainane</v>
      </c>
      <c r="C161" s="4" t="str">
        <f>IF($A161="","",AGENT_INPUT!C161)</f>
        <v>RSA NL</v>
      </c>
      <c r="D161" s="4" t="str">
        <f>IF($A161="","",IF(AND(COUNT(AGENT_INPUT!E161:J161)=6,COUNT(AGENT_INPUT!K161)=1,COUNTIF(BONUS_RULES!$A$5:$A$46,AGENT_INPUT!C161)&gt;0,OR(AGENT_INPUT!O161&gt;0,AND(AGENT_INPUT!M161&gt;0,AGENT_INPUT!N161&gt;0)),AGENT_INPUT!P161&gt;=0,AGENT_INPUT!Q161&gt;0,AGENT_INPUT!P161&lt;=AGENT_INPUT!Q161,AGENT_INPUT!H161&gt;=0,AGENT_INPUT!H161&lt;=1,AGENT_INPUT!I161&gt;=0,AGENT_INPUT!I161&lt;=1,AGENT_INPUT!J161&gt;=0,AGENT_INPUT!J161&lt;=1),"READY","BLOCKED"))</f>
        <v>READY</v>
      </c>
      <c r="E161" s="4" t="str">
        <f>IF($A161="","",IF(AGENT_INPUT!R161&lt;&gt;"Active","REVIEW",IF(OR(POLICY_APPROVAL!$B$9="Eligibility only",POLICY_APPROVAL!$B$9="Both"),IF(AGENT_INPUT!J161&lt;=SUMIFS(BONUS_RULES!$E$5:$E$46,BONUS_RULES!$A$5:$A$46,$C161,BONUS_RULES!$B$5:$B$46,"Abs%"),"ELIGIBLE","INELIGIBLE ABS"),"ELIGIBLE")))</f>
        <v>REVIEW</v>
      </c>
      <c r="F161" s="10">
        <f>IF(OR($A161="",$D161&lt;&gt;"READY"),"",IF(AGENT_INPUT!E161&lt;=SUMIFS(BONUS_RULES!$E$5:$E$46,BONUS_RULES!$A$5:$A$46,$C161,BONUS_RULES!$B$5:$B$46,"AHT"),SUMIFS(BONUS_RULES!$D$5:$D$46,BONUS_RULES!$A$5:$A$46,$C161,BONUS_RULES!$B$5:$B$46,"AHT"),IF(AGENT_INPUT!E161&lt;=SUMIFS(BONUS_RULES!$G$5:$G$46,BONUS_RULES!$A$5:$A$46,$C161,BONUS_RULES!$B$5:$B$46,"AHT"),SUMIFS(BONUS_RULES!$F$5:$F$46,BONUS_RULES!$A$5:$A$46,$C161,BONUS_RULES!$B$5:$B$46,"AHT"),0)))</f>
        <v>0.15</v>
      </c>
      <c r="G161" s="10">
        <f>IF(OR($A161="",$D161&lt;&gt;"READY"),"",IF(AGENT_INPUT!F161&gt;=SUMIFS(BONUS_RULES!$E$5:$E$46,BONUS_RULES!$A$5:$A$46,$C161,BONUS_RULES!$B$5:$B$46,"Productivity"),SUMIFS(BONUS_RULES!$D$5:$D$46,BONUS_RULES!$A$5:$A$46,$C161,BONUS_RULES!$B$5:$B$46,"Productivity"),IF(AGENT_INPUT!F161&gt;=SUMIFS(BONUS_RULES!$G$5:$G$46,BONUS_RULES!$A$5:$A$46,$C161,BONUS_RULES!$B$5:$B$46,"Productivity"),SUMIFS(BONUS_RULES!$F$5:$F$46,BONUS_RULES!$A$5:$A$46,$C161,BONUS_RULES!$B$5:$B$46,"Productivity"),0)))</f>
        <v>0.15</v>
      </c>
      <c r="H161" s="10">
        <f>IF(OR($A161="",$D161&lt;&gt;"READY"),"",IF(AGENT_INPUT!G161&gt;=SUMIFS(BONUS_RULES!$E$5:$E$46,BONUS_RULES!$A$5:$A$46,$C161,BONUS_RULES!$B$5:$B$46,"PCS Score"),SUMIFS(BONUS_RULES!$D$5:$D$46,BONUS_RULES!$A$5:$A$46,$C161,BONUS_RULES!$B$5:$B$46,"PCS Score"),IF(AGENT_INPUT!G161&gt;=SUMIFS(BONUS_RULES!$G$5:$G$46,BONUS_RULES!$A$5:$A$46,$C161,BONUS_RULES!$B$5:$B$46,"PCS Score"),SUMIFS(BONUS_RULES!$F$5:$F$46,BONUS_RULES!$A$5:$A$46,$C161,BONUS_RULES!$B$5:$B$46,"PCS Score"),0)))</f>
        <v>0.0</v>
      </c>
      <c r="I161" s="10">
        <f>IF(OR($A161="",$D161&lt;&gt;"READY"),"",IF(AGENT_INPUT!H161&gt;=SUMIFS(BONUS_RULES!$E$5:$E$46,BONUS_RULES!$A$5:$A$46,$C161,BONUS_RULES!$B$5:$B$46,"PCS % (Participation)"),SUMIFS(BONUS_RULES!$D$5:$D$46,BONUS_RULES!$A$5:$A$46,$C161,BONUS_RULES!$B$5:$B$46,"PCS % (Participation)"),IF(AGENT_INPUT!H161&gt;=SUMIFS(BONUS_RULES!$G$5:$G$46,BONUS_RULES!$A$5:$A$46,$C161,BONUS_RULES!$B$5:$B$46,"PCS % (Participation)"),SUMIFS(BONUS_RULES!$F$5:$F$46,BONUS_RULES!$A$5:$A$46,$C161,BONUS_RULES!$B$5:$B$46,"PCS % (Participation)"),0)))</f>
        <v>0.0</v>
      </c>
      <c r="J161" s="10">
        <f>IF(OR($A161="",$D161&lt;&gt;"READY"),"",IF(AGENT_INPUT!I161&gt;=SUMIFS(BONUS_RULES!$E$5:$E$46,BONUS_RULES!$A$5:$A$46,$C161,BONUS_RULES!$B$5:$B$46,"QM"),SUMIFS(BONUS_RULES!$D$5:$D$46,BONUS_RULES!$A$5:$A$46,$C161,BONUS_RULES!$B$5:$B$46,"QM"),IF(AGENT_INPUT!I161&gt;=SUMIFS(BONUS_RULES!$G$5:$G$46,BONUS_RULES!$A$5:$A$46,$C161,BONUS_RULES!$B$5:$B$46,"QM"),SUMIFS(BONUS_RULES!$F$5:$F$46,BONUS_RULES!$A$5:$A$46,$C161,BONUS_RULES!$B$5:$B$46,"QM"),0)))</f>
        <v>0.0</v>
      </c>
      <c r="K161" s="10">
        <f>IF(POLICY_APPROVAL!$B$9="Eligibility only",0,IF(OR($A161="",$D161&lt;&gt;"READY"),"",IF(AGENT_INPUT!J161&lt;=SUMIFS(BONUS_RULES!$E$5:$E$46,BONUS_RULES!$A$5:$A$46,$C161,BONUS_RULES!$B$5:$B$46,"Abs%"),SUMIFS(BONUS_RULES!$D$5:$D$46,BONUS_RULES!$A$5:$A$46,$C161,BONUS_RULES!$B$5:$B$46,"Abs%"),IF(AGENT_INPUT!J161&lt;=SUMIFS(BONUS_RULES!$G$5:$G$46,BONUS_RULES!$A$5:$A$46,$C161,BONUS_RULES!$B$5:$B$46,"Abs%"),SUMIFS(BONUS_RULES!$F$5:$F$46,BONUS_RULES!$A$5:$A$46,$C161,BONUS_RULES!$B$5:$B$46,"Abs%"),0))))</f>
        <v>0.15</v>
      </c>
      <c r="L161" s="10">
        <f>IF(OR($A161="",$D161&lt;&gt;"READY"),"",IF(AGENT_INPUT!G161&gt;=SUMIFS(BONUS_RULES!$E$5:$E$46,BONUS_RULES!$A$5:$A$46,$C161,BONUS_RULES!$B$5:$B$46,"Extra Bonus (PCS Score)"),SUMIFS(BONUS_RULES!$D$5:$D$46,BONUS_RULES!$A$5:$A$46,$C161,BONUS_RULES!$B$5:$B$46,"Extra Bonus (PCS Score)"),IF(AGENT_INPUT!G161&gt;=SUMIFS(BONUS_RULES!$G$5:$G$46,BONUS_RULES!$A$5:$A$46,$C161,BONUS_RULES!$B$5:$B$46,"Extra Bonus (PCS Score)"),SUMIFS(BONUS_RULES!$F$5:$F$46,BONUS_RULES!$A$5:$A$46,$C161,BONUS_RULES!$B$5:$B$46,"Extra Bonus (PCS Score)"),0)))</f>
        <v>0.0</v>
      </c>
      <c r="M161" s="10">
        <f>IF($A161="","",MIN(IF(POLICY_APPROVAL!$B$6="Replacement",SUM(F161:K161)-H161+MAX(H161,L161),SUM(F161:L161)),POLICY_APPROVAL!$B$10))</f>
        <v>0.44999999999999996</v>
      </c>
      <c r="N161" s="10">
        <f>IF($A161="","",IFERROR(INDEX(BONUS_RULES!$J$5:$J$10,MATCH(MIN(MAX(AGENT_INPUT!K161,0),5),BONUS_RULES!$I$5:$I$10,0)),1))</f>
        <v>0</v>
      </c>
      <c r="O161" s="10">
        <f>IF(M161="","",MAX(0,IF(POLICY_APPROVAL!$B$5="Percentage points",M161-N161,M161*(1-N161))))</f>
        <v>0.44999999999999996</v>
      </c>
      <c r="P161" s="11">
        <f>IF(D161&lt;&gt;"READY","",IF(AGENT_INPUT!O161&gt;0,AGENT_INPUT!O161,AGENT_INPUT!M161*AGENT_INPUT!N161/IF(POLICY_APPROVAL!$B$7="Annual",12,1)))</f>
        <v>2000.0</v>
      </c>
      <c r="Q161" s="10">
        <f>IF(D161&lt;&gt;"READY","",MIN(1,AGENT_INPUT!P161/AGENT_INPUT!Q161))</f>
        <v>1.0</v>
      </c>
      <c r="R161" s="11">
        <f>IF(D161&lt;&gt;"READY","",ROUND(P161*Q161*O161,IF(POLICY_APPROVAL!$B$11="Whole MAD",0,2)))</f>
        <v>900.0</v>
      </c>
      <c r="S161" s="11">
        <f>IF(AND(SETUP!$B$9="READY",T161="READY"),R161,"")</f>
        <v/>
      </c>
      <c r="T161" s="4" t="str">
        <f>IF($A161="","",IF(D161&lt;&gt;"READY","BLOCKED - INPUT",IF(E161&lt;&gt;"ELIGIBLE","BLOCKED - ELIGIBILITY",IF(AGENT_INPUT!S161&lt;&gt;"VALIDATED","BLOCKED - DATA",IF(SETUP!$B$9&lt;&gt;"READY","BLOCKED - POLICY","READY")))))</f>
        <v>BLOCKED - ELIGIBILITY</v>
      </c>
      <c r="U161" s="4" t="str">
        <f>IF($A161="","",IF(COUNTIFS(AGENT_INPUT!$A$5:$A$254,$A161,AGENT_INPUT!$D$5:$D$254,AGENT_INPUT!D161)&gt;1,"DUPLICATE AGENT + PERIOD",IF(D161&lt;&gt;"READY","INPUT OR CONFIG REVIEW",IF(T161&lt;&gt;"READY",T161,""))))</f>
        <v>BLOCKED - ELIGIBILITY</v>
      </c>
    </row>
    <row r="162" spans="1:21">
      <c r="A162" s="4">
        <f>IF(AGENT_INPUT!A162="","",AGENT_INPUT!A162)</f>
        <v>244548</v>
      </c>
      <c r="B162" s="4" t="str">
        <f>IF($A162="","",AGENT_INPUT!B162)</f>
        <v>ADIL Hachhouch</v>
      </c>
      <c r="C162" s="4" t="str">
        <f>IF($A162="","",AGENT_INPUT!C162)</f>
        <v>RSA NL</v>
      </c>
      <c r="D162" s="4" t="str">
        <f>IF($A162="","",IF(AND(COUNT(AGENT_INPUT!E162:J162)=6,COUNT(AGENT_INPUT!K162)=1,COUNTIF(BONUS_RULES!$A$5:$A$46,AGENT_INPUT!C162)&gt;0,OR(AGENT_INPUT!O162&gt;0,AND(AGENT_INPUT!M162&gt;0,AGENT_INPUT!N162&gt;0)),AGENT_INPUT!P162&gt;=0,AGENT_INPUT!Q162&gt;0,AGENT_INPUT!P162&lt;=AGENT_INPUT!Q162,AGENT_INPUT!H162&gt;=0,AGENT_INPUT!H162&lt;=1,AGENT_INPUT!I162&gt;=0,AGENT_INPUT!I162&lt;=1,AGENT_INPUT!J162&gt;=0,AGENT_INPUT!J162&lt;=1),"READY","BLOCKED"))</f>
        <v>BLOCKED</v>
      </c>
      <c r="E162" s="4">
        <f>IF($A162="","",IF(AGENT_INPUT!R162&lt;&gt;"Active","REVIEW",IF(OR(POLICY_APPROVAL!$B$9="Eligibility only",POLICY_APPROVAL!$B$9="Both"),IF(AGENT_INPUT!J162&lt;=SUMIFS(BONUS_RULES!$E$5:$E$46,BONUS_RULES!$A$5:$A$46,$C162,BONUS_RULES!$B$5:$B$46,"Abs%"),"ELIGIBLE","INELIGIBLE ABS"),"ELIGIBLE")))</f>
        <v/>
      </c>
      <c r="F162" s="10">
        <f>IF(OR($A162="",$D162&lt;&gt;"READY"),"",IF(AGENT_INPUT!E162&lt;=SUMIFS(BONUS_RULES!$E$5:$E$46,BONUS_RULES!$A$5:$A$46,$C162,BONUS_RULES!$B$5:$B$46,"AHT"),SUMIFS(BONUS_RULES!$D$5:$D$46,BONUS_RULES!$A$5:$A$46,$C162,BONUS_RULES!$B$5:$B$46,"AHT"),IF(AGENT_INPUT!E162&lt;=SUMIFS(BONUS_RULES!$G$5:$G$46,BONUS_RULES!$A$5:$A$46,$C162,BONUS_RULES!$B$5:$B$46,"AHT"),SUMIFS(BONUS_RULES!$F$5:$F$46,BONUS_RULES!$A$5:$A$46,$C162,BONUS_RULES!$B$5:$B$46,"AHT"),0)))</f>
        <v/>
      </c>
      <c r="G162" s="10">
        <f>IF(OR($A162="",$D162&lt;&gt;"READY"),"",IF(AGENT_INPUT!F162&gt;=SUMIFS(BONUS_RULES!$E$5:$E$46,BONUS_RULES!$A$5:$A$46,$C162,BONUS_RULES!$B$5:$B$46,"Productivity"),SUMIFS(BONUS_RULES!$D$5:$D$46,BONUS_RULES!$A$5:$A$46,$C162,BONUS_RULES!$B$5:$B$46,"Productivity"),IF(AGENT_INPUT!F162&gt;=SUMIFS(BONUS_RULES!$G$5:$G$46,BONUS_RULES!$A$5:$A$46,$C162,BONUS_RULES!$B$5:$B$46,"Productivity"),SUMIFS(BONUS_RULES!$F$5:$F$46,BONUS_RULES!$A$5:$A$46,$C162,BONUS_RULES!$B$5:$B$46,"Productivity"),0)))</f>
        <v/>
      </c>
      <c r="H162" s="10">
        <f>IF(OR($A162="",$D162&lt;&gt;"READY"),"",IF(AGENT_INPUT!G162&gt;=SUMIFS(BONUS_RULES!$E$5:$E$46,BONUS_RULES!$A$5:$A$46,$C162,BONUS_RULES!$B$5:$B$46,"PCS Score"),SUMIFS(BONUS_RULES!$D$5:$D$46,BONUS_RULES!$A$5:$A$46,$C162,BONUS_RULES!$B$5:$B$46,"PCS Score"),IF(AGENT_INPUT!G162&gt;=SUMIFS(BONUS_RULES!$G$5:$G$46,BONUS_RULES!$A$5:$A$46,$C162,BONUS_RULES!$B$5:$B$46,"PCS Score"),SUMIFS(BONUS_RULES!$F$5:$F$46,BONUS_RULES!$A$5:$A$46,$C162,BONUS_RULES!$B$5:$B$46,"PCS Score"),0)))</f>
        <v/>
      </c>
      <c r="I162" s="10">
        <f>IF(OR($A162="",$D162&lt;&gt;"READY"),"",IF(AGENT_INPUT!H162&gt;=SUMIFS(BONUS_RULES!$E$5:$E$46,BONUS_RULES!$A$5:$A$46,$C162,BONUS_RULES!$B$5:$B$46,"PCS % (Participation)"),SUMIFS(BONUS_RULES!$D$5:$D$46,BONUS_RULES!$A$5:$A$46,$C162,BONUS_RULES!$B$5:$B$46,"PCS % (Participation)"),IF(AGENT_INPUT!H162&gt;=SUMIFS(BONUS_RULES!$G$5:$G$46,BONUS_RULES!$A$5:$A$46,$C162,BONUS_RULES!$B$5:$B$46,"PCS % (Participation)"),SUMIFS(BONUS_RULES!$F$5:$F$46,BONUS_RULES!$A$5:$A$46,$C162,BONUS_RULES!$B$5:$B$46,"PCS % (Participation)"),0)))</f>
        <v/>
      </c>
      <c r="J162" s="10">
        <f>IF(OR($A162="",$D162&lt;&gt;"READY"),"",IF(AGENT_INPUT!I162&gt;=SUMIFS(BONUS_RULES!$E$5:$E$46,BONUS_RULES!$A$5:$A$46,$C162,BONUS_RULES!$B$5:$B$46,"QM"),SUMIFS(BONUS_RULES!$D$5:$D$46,BONUS_RULES!$A$5:$A$46,$C162,BONUS_RULES!$B$5:$B$46,"QM"),IF(AGENT_INPUT!I162&gt;=SUMIFS(BONUS_RULES!$G$5:$G$46,BONUS_RULES!$A$5:$A$46,$C162,BONUS_RULES!$B$5:$B$46,"QM"),SUMIFS(BONUS_RULES!$F$5:$F$46,BONUS_RULES!$A$5:$A$46,$C162,BONUS_RULES!$B$5:$B$46,"QM"),0)))</f>
        <v/>
      </c>
      <c r="K162" s="10">
        <f>IF(POLICY_APPROVAL!$B$9="Eligibility only",0,IF(OR($A162="",$D162&lt;&gt;"READY"),"",IF(AGENT_INPUT!J162&lt;=SUMIFS(BONUS_RULES!$E$5:$E$46,BONUS_RULES!$A$5:$A$46,$C162,BONUS_RULES!$B$5:$B$46,"Abs%"),SUMIFS(BONUS_RULES!$D$5:$D$46,BONUS_RULES!$A$5:$A$46,$C162,BONUS_RULES!$B$5:$B$46,"Abs%"),IF(AGENT_INPUT!J162&lt;=SUMIFS(BONUS_RULES!$G$5:$G$46,BONUS_RULES!$A$5:$A$46,$C162,BONUS_RULES!$B$5:$B$46,"Abs%"),SUMIFS(BONUS_RULES!$F$5:$F$46,BONUS_RULES!$A$5:$A$46,$C162,BONUS_RULES!$B$5:$B$46,"Abs%"),0))))</f>
        <v/>
      </c>
      <c r="L162" s="10">
        <f>IF(OR($A162="",$D162&lt;&gt;"READY"),"",IF(AGENT_INPUT!G162&gt;=SUMIFS(BONUS_RULES!$E$5:$E$46,BONUS_RULES!$A$5:$A$46,$C162,BONUS_RULES!$B$5:$B$46,"Extra Bonus (PCS Score)"),SUMIFS(BONUS_RULES!$D$5:$D$46,BONUS_RULES!$A$5:$A$46,$C162,BONUS_RULES!$B$5:$B$46,"Extra Bonus (PCS Score)"),IF(AGENT_INPUT!G162&gt;=SUMIFS(BONUS_RULES!$G$5:$G$46,BONUS_RULES!$A$5:$A$46,$C162,BONUS_RULES!$B$5:$B$46,"Extra Bonus (PCS Score)"),SUMIFS(BONUS_RULES!$F$5:$F$46,BONUS_RULES!$A$5:$A$46,$C162,BONUS_RULES!$B$5:$B$46,"Extra Bonus (PCS Score)"),0)))</f>
        <v/>
      </c>
      <c r="M162" s="10">
        <f>IF($A162="","",MIN(IF(POLICY_APPROVAL!$B$6="Replacement",SUM(F162:K162)-H162+MAX(H162,L162),SUM(F162:L162)),POLICY_APPROVAL!$B$10))</f>
        <v>0</v>
      </c>
      <c r="N162" s="10">
        <f>IF($A162="","",IFERROR(INDEX(BONUS_RULES!$J$5:$J$10,MATCH(MIN(MAX(AGENT_INPUT!K162,0),5),BONUS_RULES!$I$5:$I$10,0)),1))</f>
        <v>0</v>
      </c>
      <c r="O162" s="10">
        <f>IF(M162="","",MAX(0,IF(POLICY_APPROVAL!$B$5="Percentage points",M162-N162,M162*(1-N162))))</f>
        <v>0</v>
      </c>
      <c r="P162" s="11">
        <f>IF(D162&lt;&gt;"READY","",IF(AGENT_INPUT!O162&gt;0,AGENT_INPUT!O162,AGENT_INPUT!M162*AGENT_INPUT!N162/IF(POLICY_APPROVAL!$B$7="Annual",12,1)))</f>
        <v/>
      </c>
      <c r="Q162" s="10">
        <f>IF(D162&lt;&gt;"READY","",MIN(1,AGENT_INPUT!P162/AGENT_INPUT!Q162))</f>
        <v/>
      </c>
      <c r="R162" s="11">
        <f>IF(D162&lt;&gt;"READY","",ROUND(P162*Q162*O162,IF(POLICY_APPROVAL!$B$11="Whole MAD",0,2)))</f>
        <v/>
      </c>
      <c r="S162" s="11">
        <f>IF(AND(SETUP!$B$9="READY",T162="READY"),R162,"")</f>
        <v/>
      </c>
      <c r="T162" s="4" t="str">
        <f>IF($A162="","",IF(D162&lt;&gt;"READY","BLOCKED - INPUT",IF(E162&lt;&gt;"ELIGIBLE","BLOCKED - ELIGIBILITY",IF(AGENT_INPUT!S162&lt;&gt;"VALIDATED","BLOCKED - DATA",IF(SETUP!$B$9&lt;&gt;"READY","BLOCKED - POLICY","READY")))))</f>
        <v>BLOCKED - INPUT</v>
      </c>
      <c r="U162" s="4" t="str">
        <f>IF($A162="","",IF(COUNTIFS(AGENT_INPUT!$A$5:$A$254,$A162,AGENT_INPUT!$D$5:$D$254,AGENT_INPUT!D162)&gt;1,"DUPLICATE AGENT + PERIOD",IF(D162&lt;&gt;"READY","INPUT OR CONFIG REVIEW",IF(T162&lt;&gt;"READY",T162,""))))</f>
        <v>Missing, invalid, or unconfigured required input</v>
      </c>
    </row>
    <row r="163" spans="1:21">
      <c r="A163" s="4">
        <f>IF(AGENT_INPUT!A163="","",AGENT_INPUT!A163)</f>
        <v>204025</v>
      </c>
      <c r="B163" s="4" t="str">
        <f>IF($A163="","",AGENT_INPUT!B163)</f>
        <v>Adil Chouhaibi </v>
      </c>
      <c r="C163" s="4" t="str">
        <f>IF($A163="","",AGENT_INPUT!C163)</f>
        <v>Ford Dutch</v>
      </c>
      <c r="D163" s="4" t="str">
        <f>IF($A163="","",IF(AND(COUNT(AGENT_INPUT!E163:J163)=6,COUNT(AGENT_INPUT!K163)=1,COUNTIF(BONUS_RULES!$A$5:$A$46,AGENT_INPUT!C163)&gt;0,OR(AGENT_INPUT!O163&gt;0,AND(AGENT_INPUT!M163&gt;0,AGENT_INPUT!N163&gt;0)),AGENT_INPUT!P163&gt;=0,AGENT_INPUT!Q163&gt;0,AGENT_INPUT!P163&lt;=AGENT_INPUT!Q163,AGENT_INPUT!H163&gt;=0,AGENT_INPUT!H163&lt;=1,AGENT_INPUT!I163&gt;=0,AGENT_INPUT!I163&lt;=1,AGENT_INPUT!J163&gt;=0,AGENT_INPUT!J163&lt;=1),"READY","BLOCKED"))</f>
        <v>READY</v>
      </c>
      <c r="E163" s="4" t="str">
        <f>IF($A163="","",IF(AGENT_INPUT!R163&lt;&gt;"Active","REVIEW",IF(OR(POLICY_APPROVAL!$B$9="Eligibility only",POLICY_APPROVAL!$B$9="Both"),IF(AGENT_INPUT!J163&lt;=SUMIFS(BONUS_RULES!$E$5:$E$46,BONUS_RULES!$A$5:$A$46,$C163,BONUS_RULES!$B$5:$B$46,"Abs%"),"ELIGIBLE","INELIGIBLE ABS"),"ELIGIBLE")))</f>
        <v>REVIEW</v>
      </c>
      <c r="F163" s="10">
        <f>IF(OR($A163="",$D163&lt;&gt;"READY"),"",IF(AGENT_INPUT!E163&lt;=SUMIFS(BONUS_RULES!$E$5:$E$46,BONUS_RULES!$A$5:$A$46,$C163,BONUS_RULES!$B$5:$B$46,"AHT"),SUMIFS(BONUS_RULES!$D$5:$D$46,BONUS_RULES!$A$5:$A$46,$C163,BONUS_RULES!$B$5:$B$46,"AHT"),IF(AGENT_INPUT!E163&lt;=SUMIFS(BONUS_RULES!$G$5:$G$46,BONUS_RULES!$A$5:$A$46,$C163,BONUS_RULES!$B$5:$B$46,"AHT"),SUMIFS(BONUS_RULES!$F$5:$F$46,BONUS_RULES!$A$5:$A$46,$C163,BONUS_RULES!$B$5:$B$46,"AHT"),0)))</f>
        <v>0.0</v>
      </c>
      <c r="G163" s="10">
        <f>IF(OR($A163="",$D163&lt;&gt;"READY"),"",IF(AGENT_INPUT!F163&gt;=SUMIFS(BONUS_RULES!$E$5:$E$46,BONUS_RULES!$A$5:$A$46,$C163,BONUS_RULES!$B$5:$B$46,"Productivity"),SUMIFS(BONUS_RULES!$D$5:$D$46,BONUS_RULES!$A$5:$A$46,$C163,BONUS_RULES!$B$5:$B$46,"Productivity"),IF(AGENT_INPUT!F163&gt;=SUMIFS(BONUS_RULES!$G$5:$G$46,BONUS_RULES!$A$5:$A$46,$C163,BONUS_RULES!$B$5:$B$46,"Productivity"),SUMIFS(BONUS_RULES!$F$5:$F$46,BONUS_RULES!$A$5:$A$46,$C163,BONUS_RULES!$B$5:$B$46,"Productivity"),0)))</f>
        <v>0.0</v>
      </c>
      <c r="H163" s="10">
        <f>IF(OR($A163="",$D163&lt;&gt;"READY"),"",IF(AGENT_INPUT!G163&gt;=SUMIFS(BONUS_RULES!$E$5:$E$46,BONUS_RULES!$A$5:$A$46,$C163,BONUS_RULES!$B$5:$B$46,"PCS Score"),SUMIFS(BONUS_RULES!$D$5:$D$46,BONUS_RULES!$A$5:$A$46,$C163,BONUS_RULES!$B$5:$B$46,"PCS Score"),IF(AGENT_INPUT!G163&gt;=SUMIFS(BONUS_RULES!$G$5:$G$46,BONUS_RULES!$A$5:$A$46,$C163,BONUS_RULES!$B$5:$B$46,"PCS Score"),SUMIFS(BONUS_RULES!$F$5:$F$46,BONUS_RULES!$A$5:$A$46,$C163,BONUS_RULES!$B$5:$B$46,"PCS Score"),0)))</f>
        <v>0.2</v>
      </c>
      <c r="I163" s="10">
        <f>IF(OR($A163="",$D163&lt;&gt;"READY"),"",IF(AGENT_INPUT!H163&gt;=SUMIFS(BONUS_RULES!$E$5:$E$46,BONUS_RULES!$A$5:$A$46,$C163,BONUS_RULES!$B$5:$B$46,"PCS % (Participation)"),SUMIFS(BONUS_RULES!$D$5:$D$46,BONUS_RULES!$A$5:$A$46,$C163,BONUS_RULES!$B$5:$B$46,"PCS % (Participation)"),IF(AGENT_INPUT!H163&gt;=SUMIFS(BONUS_RULES!$G$5:$G$46,BONUS_RULES!$A$5:$A$46,$C163,BONUS_RULES!$B$5:$B$46,"PCS % (Participation)"),SUMIFS(BONUS_RULES!$F$5:$F$46,BONUS_RULES!$A$5:$A$46,$C163,BONUS_RULES!$B$5:$B$46,"PCS % (Participation)"),0)))</f>
        <v>0.0</v>
      </c>
      <c r="J163" s="10">
        <f>IF(OR($A163="",$D163&lt;&gt;"READY"),"",IF(AGENT_INPUT!I163&gt;=SUMIFS(BONUS_RULES!$E$5:$E$46,BONUS_RULES!$A$5:$A$46,$C163,BONUS_RULES!$B$5:$B$46,"QM"),SUMIFS(BONUS_RULES!$D$5:$D$46,BONUS_RULES!$A$5:$A$46,$C163,BONUS_RULES!$B$5:$B$46,"QM"),IF(AGENT_INPUT!I163&gt;=SUMIFS(BONUS_RULES!$G$5:$G$46,BONUS_RULES!$A$5:$A$46,$C163,BONUS_RULES!$B$5:$B$46,"QM"),SUMIFS(BONUS_RULES!$F$5:$F$46,BONUS_RULES!$A$5:$A$46,$C163,BONUS_RULES!$B$5:$B$46,"QM"),0)))</f>
        <v>0.0</v>
      </c>
      <c r="K163" s="10">
        <f>IF(POLICY_APPROVAL!$B$9="Eligibility only",0,IF(OR($A163="",$D163&lt;&gt;"READY"),"",IF(AGENT_INPUT!J163&lt;=SUMIFS(BONUS_RULES!$E$5:$E$46,BONUS_RULES!$A$5:$A$46,$C163,BONUS_RULES!$B$5:$B$46,"Abs%"),SUMIFS(BONUS_RULES!$D$5:$D$46,BONUS_RULES!$A$5:$A$46,$C163,BONUS_RULES!$B$5:$B$46,"Abs%"),IF(AGENT_INPUT!J163&lt;=SUMIFS(BONUS_RULES!$G$5:$G$46,BONUS_RULES!$A$5:$A$46,$C163,BONUS_RULES!$B$5:$B$46,"Abs%"),SUMIFS(BONUS_RULES!$F$5:$F$46,BONUS_RULES!$A$5:$A$46,$C163,BONUS_RULES!$B$5:$B$46,"Abs%"),0))))</f>
        <v>0.15</v>
      </c>
      <c r="L163" s="10">
        <f>IF(OR($A163="",$D163&lt;&gt;"READY"),"",IF(AGENT_INPUT!G163&gt;=SUMIFS(BONUS_RULES!$E$5:$E$46,BONUS_RULES!$A$5:$A$46,$C163,BONUS_RULES!$B$5:$B$46,"Extra Bonus (PCS Score)"),SUMIFS(BONUS_RULES!$D$5:$D$46,BONUS_RULES!$A$5:$A$46,$C163,BONUS_RULES!$B$5:$B$46,"Extra Bonus (PCS Score)"),IF(AGENT_INPUT!G163&gt;=SUMIFS(BONUS_RULES!$G$5:$G$46,BONUS_RULES!$A$5:$A$46,$C163,BONUS_RULES!$B$5:$B$46,"Extra Bonus (PCS Score)"),SUMIFS(BONUS_RULES!$F$5:$F$46,BONUS_RULES!$A$5:$A$46,$C163,BONUS_RULES!$B$5:$B$46,"Extra Bonus (PCS Score)"),0)))</f>
        <v>0.3</v>
      </c>
      <c r="M163" s="10">
        <f>IF($A163="","",MIN(IF(POLICY_APPROVAL!$B$6="Replacement",SUM(F163:K163)-H163+MAX(H163,L163),SUM(F163:L163)),POLICY_APPROVAL!$B$10))</f>
        <v>0.6499999999999999</v>
      </c>
      <c r="N163" s="10">
        <f>IF($A163="","",IFERROR(INDEX(BONUS_RULES!$J$5:$J$10,MATCH(MIN(MAX(AGENT_INPUT!K163,0),5),BONUS_RULES!$I$5:$I$10,0)),1))</f>
        <v>0</v>
      </c>
      <c r="O163" s="10">
        <f>IF(M163="","",MAX(0,IF(POLICY_APPROVAL!$B$5="Percentage points",M163-N163,M163*(1-N163))))</f>
        <v>0.6499999999999999</v>
      </c>
      <c r="P163" s="11">
        <f>IF(D163&lt;&gt;"READY","",IF(AGENT_INPUT!O163&gt;0,AGENT_INPUT!O163,AGENT_INPUT!M163*AGENT_INPUT!N163/IF(POLICY_APPROVAL!$B$7="Annual",12,1)))</f>
        <v>2000.0</v>
      </c>
      <c r="Q163" s="10">
        <f>IF(D163&lt;&gt;"READY","",MIN(1,AGENT_INPUT!P163/AGENT_INPUT!Q163))</f>
        <v>1.0</v>
      </c>
      <c r="R163" s="11">
        <f>IF(D163&lt;&gt;"READY","",ROUND(P163*Q163*O163,IF(POLICY_APPROVAL!$B$11="Whole MAD",0,2)))</f>
        <v>1300.0</v>
      </c>
      <c r="S163" s="11">
        <f>IF(AND(SETUP!$B$9="READY",T163="READY"),R163,"")</f>
        <v/>
      </c>
      <c r="T163" s="4" t="str">
        <f>IF($A163="","",IF(D163&lt;&gt;"READY","BLOCKED - INPUT",IF(E163&lt;&gt;"ELIGIBLE","BLOCKED - ELIGIBILITY",IF(AGENT_INPUT!S163&lt;&gt;"VALIDATED","BLOCKED - DATA",IF(SETUP!$B$9&lt;&gt;"READY","BLOCKED - POLICY","READY")))))</f>
        <v>BLOCKED - ELIGIBILITY</v>
      </c>
      <c r="U163" s="4" t="str">
        <f>IF($A163="","",IF(COUNTIFS(AGENT_INPUT!$A$5:$A$254,$A163,AGENT_INPUT!$D$5:$D$254,AGENT_INPUT!D163)&gt;1,"DUPLICATE AGENT + PERIOD",IF(D163&lt;&gt;"READY","INPUT OR CONFIG REVIEW",IF(T163&lt;&gt;"READY",T163,""))))</f>
        <v>BLOCKED - ELIGIBILITY</v>
      </c>
    </row>
    <row r="164" spans="1:21">
      <c r="A164" s="4">
        <f>IF(AGENT_INPUT!A164="","",AGENT_INPUT!A164)</f>
        <v>96479</v>
      </c>
      <c r="B164" s="4" t="str">
        <f>IF($A164="","",AGENT_INPUT!B164)</f>
        <v>SBAI Abderrahim</v>
      </c>
      <c r="C164" s="4" t="str">
        <f>IF($A164="","",AGENT_INPUT!C164)</f>
        <v>RSA VL</v>
      </c>
      <c r="D164" s="4" t="str">
        <f>IF($A164="","",IF(AND(COUNT(AGENT_INPUT!E164:J164)=6,COUNT(AGENT_INPUT!K164)=1,COUNTIF(BONUS_RULES!$A$5:$A$46,AGENT_INPUT!C164)&gt;0,OR(AGENT_INPUT!O164&gt;0,AND(AGENT_INPUT!M164&gt;0,AGENT_INPUT!N164&gt;0)),AGENT_INPUT!P164&gt;=0,AGENT_INPUT!Q164&gt;0,AGENT_INPUT!P164&lt;=AGENT_INPUT!Q164,AGENT_INPUT!H164&gt;=0,AGENT_INPUT!H164&lt;=1,AGENT_INPUT!I164&gt;=0,AGENT_INPUT!I164&lt;=1,AGENT_INPUT!J164&gt;=0,AGENT_INPUT!J164&lt;=1),"READY","BLOCKED"))</f>
        <v>READY</v>
      </c>
      <c r="E164" s="4" t="str">
        <f>IF($A164="","",IF(AGENT_INPUT!R164&lt;&gt;"Active","REVIEW",IF(OR(POLICY_APPROVAL!$B$9="Eligibility only",POLICY_APPROVAL!$B$9="Both"),IF(AGENT_INPUT!J164&lt;=SUMIFS(BONUS_RULES!$E$5:$E$46,BONUS_RULES!$A$5:$A$46,$C164,BONUS_RULES!$B$5:$B$46,"Abs%"),"ELIGIBLE","INELIGIBLE ABS"),"ELIGIBLE")))</f>
        <v>REVIEW</v>
      </c>
      <c r="F164" s="10">
        <f>IF(OR($A164="",$D164&lt;&gt;"READY"),"",IF(AGENT_INPUT!E164&lt;=SUMIFS(BONUS_RULES!$E$5:$E$46,BONUS_RULES!$A$5:$A$46,$C164,BONUS_RULES!$B$5:$B$46,"AHT"),SUMIFS(BONUS_RULES!$D$5:$D$46,BONUS_RULES!$A$5:$A$46,$C164,BONUS_RULES!$B$5:$B$46,"AHT"),IF(AGENT_INPUT!E164&lt;=SUMIFS(BONUS_RULES!$G$5:$G$46,BONUS_RULES!$A$5:$A$46,$C164,BONUS_RULES!$B$5:$B$46,"AHT"),SUMIFS(BONUS_RULES!$F$5:$F$46,BONUS_RULES!$A$5:$A$46,$C164,BONUS_RULES!$B$5:$B$46,"AHT"),0)))</f>
        <v>0.15</v>
      </c>
      <c r="G164" s="10">
        <f>IF(OR($A164="",$D164&lt;&gt;"READY"),"",IF(AGENT_INPUT!F164&gt;=SUMIFS(BONUS_RULES!$E$5:$E$46,BONUS_RULES!$A$5:$A$46,$C164,BONUS_RULES!$B$5:$B$46,"Productivity"),SUMIFS(BONUS_RULES!$D$5:$D$46,BONUS_RULES!$A$5:$A$46,$C164,BONUS_RULES!$B$5:$B$46,"Productivity"),IF(AGENT_INPUT!F164&gt;=SUMIFS(BONUS_RULES!$G$5:$G$46,BONUS_RULES!$A$5:$A$46,$C164,BONUS_RULES!$B$5:$B$46,"Productivity"),SUMIFS(BONUS_RULES!$F$5:$F$46,BONUS_RULES!$A$5:$A$46,$C164,BONUS_RULES!$B$5:$B$46,"Productivity"),0)))</f>
        <v>0.15</v>
      </c>
      <c r="H164" s="10">
        <f>IF(OR($A164="",$D164&lt;&gt;"READY"),"",IF(AGENT_INPUT!G164&gt;=SUMIFS(BONUS_RULES!$E$5:$E$46,BONUS_RULES!$A$5:$A$46,$C164,BONUS_RULES!$B$5:$B$46,"PCS Score"),SUMIFS(BONUS_RULES!$D$5:$D$46,BONUS_RULES!$A$5:$A$46,$C164,BONUS_RULES!$B$5:$B$46,"PCS Score"),IF(AGENT_INPUT!G164&gt;=SUMIFS(BONUS_RULES!$G$5:$G$46,BONUS_RULES!$A$5:$A$46,$C164,BONUS_RULES!$B$5:$B$46,"PCS Score"),SUMIFS(BONUS_RULES!$F$5:$F$46,BONUS_RULES!$A$5:$A$46,$C164,BONUS_RULES!$B$5:$B$46,"PCS Score"),0)))</f>
        <v>0.2</v>
      </c>
      <c r="I164" s="10">
        <f>IF(OR($A164="",$D164&lt;&gt;"READY"),"",IF(AGENT_INPUT!H164&gt;=SUMIFS(BONUS_RULES!$E$5:$E$46,BONUS_RULES!$A$5:$A$46,$C164,BONUS_RULES!$B$5:$B$46,"PCS % (Participation)"),SUMIFS(BONUS_RULES!$D$5:$D$46,BONUS_RULES!$A$5:$A$46,$C164,BONUS_RULES!$B$5:$B$46,"PCS % (Participation)"),IF(AGENT_INPUT!H164&gt;=SUMIFS(BONUS_RULES!$G$5:$G$46,BONUS_RULES!$A$5:$A$46,$C164,BONUS_RULES!$B$5:$B$46,"PCS % (Participation)"),SUMIFS(BONUS_RULES!$F$5:$F$46,BONUS_RULES!$A$5:$A$46,$C164,BONUS_RULES!$B$5:$B$46,"PCS % (Participation)"),0)))</f>
        <v>0.0</v>
      </c>
      <c r="J164" s="10">
        <f>IF(OR($A164="",$D164&lt;&gt;"READY"),"",IF(AGENT_INPUT!I164&gt;=SUMIFS(BONUS_RULES!$E$5:$E$46,BONUS_RULES!$A$5:$A$46,$C164,BONUS_RULES!$B$5:$B$46,"QM"),SUMIFS(BONUS_RULES!$D$5:$D$46,BONUS_RULES!$A$5:$A$46,$C164,BONUS_RULES!$B$5:$B$46,"QM"),IF(AGENT_INPUT!I164&gt;=SUMIFS(BONUS_RULES!$G$5:$G$46,BONUS_RULES!$A$5:$A$46,$C164,BONUS_RULES!$B$5:$B$46,"QM"),SUMIFS(BONUS_RULES!$F$5:$F$46,BONUS_RULES!$A$5:$A$46,$C164,BONUS_RULES!$B$5:$B$46,"QM"),0)))</f>
        <v>0.15</v>
      </c>
      <c r="K164" s="10">
        <f>IF(POLICY_APPROVAL!$B$9="Eligibility only",0,IF(OR($A164="",$D164&lt;&gt;"READY"),"",IF(AGENT_INPUT!J164&lt;=SUMIFS(BONUS_RULES!$E$5:$E$46,BONUS_RULES!$A$5:$A$46,$C164,BONUS_RULES!$B$5:$B$46,"Abs%"),SUMIFS(BONUS_RULES!$D$5:$D$46,BONUS_RULES!$A$5:$A$46,$C164,BONUS_RULES!$B$5:$B$46,"Abs%"),IF(AGENT_INPUT!J164&lt;=SUMIFS(BONUS_RULES!$G$5:$G$46,BONUS_RULES!$A$5:$A$46,$C164,BONUS_RULES!$B$5:$B$46,"Abs%"),SUMIFS(BONUS_RULES!$F$5:$F$46,BONUS_RULES!$A$5:$A$46,$C164,BONUS_RULES!$B$5:$B$46,"Abs%"),0))))</f>
        <v>0.15</v>
      </c>
      <c r="L164" s="10">
        <f>IF(OR($A164="",$D164&lt;&gt;"READY"),"",IF(AGENT_INPUT!G164&gt;=SUMIFS(BONUS_RULES!$E$5:$E$46,BONUS_RULES!$A$5:$A$46,$C164,BONUS_RULES!$B$5:$B$46,"Extra Bonus (PCS Score)"),SUMIFS(BONUS_RULES!$D$5:$D$46,BONUS_RULES!$A$5:$A$46,$C164,BONUS_RULES!$B$5:$B$46,"Extra Bonus (PCS Score)"),IF(AGENT_INPUT!G164&gt;=SUMIFS(BONUS_RULES!$G$5:$G$46,BONUS_RULES!$A$5:$A$46,$C164,BONUS_RULES!$B$5:$B$46,"Extra Bonus (PCS Score)"),SUMIFS(BONUS_RULES!$F$5:$F$46,BONUS_RULES!$A$5:$A$46,$C164,BONUS_RULES!$B$5:$B$46,"Extra Bonus (PCS Score)"),0)))</f>
        <v>0.3</v>
      </c>
      <c r="M164" s="10">
        <f>IF($A164="","",MIN(IF(POLICY_APPROVAL!$B$6="Replacement",SUM(F164:K164)-H164+MAX(H164,L164),SUM(F164:L164)),POLICY_APPROVAL!$B$10))</f>
        <v>1.1</v>
      </c>
      <c r="N164" s="10">
        <f>IF($A164="","",IFERROR(INDEX(BONUS_RULES!$J$5:$J$10,MATCH(MIN(MAX(AGENT_INPUT!K164,0),5),BONUS_RULES!$I$5:$I$10,0)),1))</f>
        <v>0</v>
      </c>
      <c r="O164" s="10">
        <f>IF(M164="","",MAX(0,IF(POLICY_APPROVAL!$B$5="Percentage points",M164-N164,M164*(1-N164))))</f>
        <v>1.1</v>
      </c>
      <c r="P164" s="11">
        <f>IF(D164&lt;&gt;"READY","",IF(AGENT_INPUT!O164&gt;0,AGENT_INPUT!O164,AGENT_INPUT!M164*AGENT_INPUT!N164/IF(POLICY_APPROVAL!$B$7="Annual",12,1)))</f>
        <v>2000.0</v>
      </c>
      <c r="Q164" s="10">
        <f>IF(D164&lt;&gt;"READY","",MIN(1,AGENT_INPUT!P164/AGENT_INPUT!Q164))</f>
        <v>1.0</v>
      </c>
      <c r="R164" s="11">
        <f>IF(D164&lt;&gt;"READY","",ROUND(P164*Q164*O164,IF(POLICY_APPROVAL!$B$11="Whole MAD",0,2)))</f>
        <v>2200.0</v>
      </c>
      <c r="S164" s="11">
        <f>IF(AND(SETUP!$B$9="READY",T164="READY"),R164,"")</f>
        <v/>
      </c>
      <c r="T164" s="4" t="str">
        <f>IF($A164="","",IF(D164&lt;&gt;"READY","BLOCKED - INPUT",IF(E164&lt;&gt;"ELIGIBLE","BLOCKED - ELIGIBILITY",IF(AGENT_INPUT!S164&lt;&gt;"VALIDATED","BLOCKED - DATA",IF(SETUP!$B$9&lt;&gt;"READY","BLOCKED - POLICY","READY")))))</f>
        <v>BLOCKED - ELIGIBILITY</v>
      </c>
      <c r="U164" s="4" t="str">
        <f>IF($A164="","",IF(COUNTIFS(AGENT_INPUT!$A$5:$A$254,$A164,AGENT_INPUT!$D$5:$D$254,AGENT_INPUT!D164)&gt;1,"DUPLICATE AGENT + PERIOD",IF(D164&lt;&gt;"READY","INPUT OR CONFIG REVIEW",IF(T164&lt;&gt;"READY",T164,""))))</f>
        <v>BLOCKED - ELIGIBILITY</v>
      </c>
    </row>
    <row r="165" spans="1:21">
      <c r="A165" s="4">
        <f>IF(AGENT_INPUT!A165="","",AGENT_INPUT!A165)</f>
        <v>205263</v>
      </c>
      <c r="B165" s="4" t="str">
        <f>IF($A165="","",AGENT_INPUT!B165)</f>
        <v>Assague Abderrahim</v>
      </c>
      <c r="C165" s="4" t="str">
        <f>IF($A165="","",AGENT_INPUT!C165)</f>
        <v>OEM FR</v>
      </c>
      <c r="D165" s="4" t="str">
        <f>IF($A165="","",IF(AND(COUNT(AGENT_INPUT!E165:J165)=6,COUNT(AGENT_INPUT!K165)=1,COUNTIF(BONUS_RULES!$A$5:$A$46,AGENT_INPUT!C165)&gt;0,OR(AGENT_INPUT!O165&gt;0,AND(AGENT_INPUT!M165&gt;0,AGENT_INPUT!N165&gt;0)),AGENT_INPUT!P165&gt;=0,AGENT_INPUT!Q165&gt;0,AGENT_INPUT!P165&lt;=AGENT_INPUT!Q165,AGENT_INPUT!H165&gt;=0,AGENT_INPUT!H165&lt;=1,AGENT_INPUT!I165&gt;=0,AGENT_INPUT!I165&lt;=1,AGENT_INPUT!J165&gt;=0,AGENT_INPUT!J165&lt;=1),"READY","BLOCKED"))</f>
        <v>READY</v>
      </c>
      <c r="E165" s="4" t="str">
        <f>IF($A165="","",IF(AGENT_INPUT!R165&lt;&gt;"Active","REVIEW",IF(OR(POLICY_APPROVAL!$B$9="Eligibility only",POLICY_APPROVAL!$B$9="Both"),IF(AGENT_INPUT!J165&lt;=SUMIFS(BONUS_RULES!$E$5:$E$46,BONUS_RULES!$A$5:$A$46,$C165,BONUS_RULES!$B$5:$B$46,"Abs%"),"ELIGIBLE","INELIGIBLE ABS"),"ELIGIBLE")))</f>
        <v>REVIEW</v>
      </c>
      <c r="F165" s="10">
        <f>IF(OR($A165="",$D165&lt;&gt;"READY"),"",IF(AGENT_INPUT!E165&lt;=SUMIFS(BONUS_RULES!$E$5:$E$46,BONUS_RULES!$A$5:$A$46,$C165,BONUS_RULES!$B$5:$B$46,"AHT"),SUMIFS(BONUS_RULES!$D$5:$D$46,BONUS_RULES!$A$5:$A$46,$C165,BONUS_RULES!$B$5:$B$46,"AHT"),IF(AGENT_INPUT!E165&lt;=SUMIFS(BONUS_RULES!$G$5:$G$46,BONUS_RULES!$A$5:$A$46,$C165,BONUS_RULES!$B$5:$B$46,"AHT"),SUMIFS(BONUS_RULES!$F$5:$F$46,BONUS_RULES!$A$5:$A$46,$C165,BONUS_RULES!$B$5:$B$46,"AHT"),0)))</f>
        <v>0.0</v>
      </c>
      <c r="G165" s="10">
        <f>IF(OR($A165="",$D165&lt;&gt;"READY"),"",IF(AGENT_INPUT!F165&gt;=SUMIFS(BONUS_RULES!$E$5:$E$46,BONUS_RULES!$A$5:$A$46,$C165,BONUS_RULES!$B$5:$B$46,"Productivity"),SUMIFS(BONUS_RULES!$D$5:$D$46,BONUS_RULES!$A$5:$A$46,$C165,BONUS_RULES!$B$5:$B$46,"Productivity"),IF(AGENT_INPUT!F165&gt;=SUMIFS(BONUS_RULES!$G$5:$G$46,BONUS_RULES!$A$5:$A$46,$C165,BONUS_RULES!$B$5:$B$46,"Productivity"),SUMIFS(BONUS_RULES!$F$5:$F$46,BONUS_RULES!$A$5:$A$46,$C165,BONUS_RULES!$B$5:$B$46,"Productivity"),0)))</f>
        <v>0.0</v>
      </c>
      <c r="H165" s="10">
        <f>IF(OR($A165="",$D165&lt;&gt;"READY"),"",IF(AGENT_INPUT!G165&gt;=SUMIFS(BONUS_RULES!$E$5:$E$46,BONUS_RULES!$A$5:$A$46,$C165,BONUS_RULES!$B$5:$B$46,"PCS Score"),SUMIFS(BONUS_RULES!$D$5:$D$46,BONUS_RULES!$A$5:$A$46,$C165,BONUS_RULES!$B$5:$B$46,"PCS Score"),IF(AGENT_INPUT!G165&gt;=SUMIFS(BONUS_RULES!$G$5:$G$46,BONUS_RULES!$A$5:$A$46,$C165,BONUS_RULES!$B$5:$B$46,"PCS Score"),SUMIFS(BONUS_RULES!$F$5:$F$46,BONUS_RULES!$A$5:$A$46,$C165,BONUS_RULES!$B$5:$B$46,"PCS Score"),0)))</f>
        <v>0.2</v>
      </c>
      <c r="I165" s="10">
        <f>IF(OR($A165="",$D165&lt;&gt;"READY"),"",IF(AGENT_INPUT!H165&gt;=SUMIFS(BONUS_RULES!$E$5:$E$46,BONUS_RULES!$A$5:$A$46,$C165,BONUS_RULES!$B$5:$B$46,"PCS % (Participation)"),SUMIFS(BONUS_RULES!$D$5:$D$46,BONUS_RULES!$A$5:$A$46,$C165,BONUS_RULES!$B$5:$B$46,"PCS % (Participation)"),IF(AGENT_INPUT!H165&gt;=SUMIFS(BONUS_RULES!$G$5:$G$46,BONUS_RULES!$A$5:$A$46,$C165,BONUS_RULES!$B$5:$B$46,"PCS % (Participation)"),SUMIFS(BONUS_RULES!$F$5:$F$46,BONUS_RULES!$A$5:$A$46,$C165,BONUS_RULES!$B$5:$B$46,"PCS % (Participation)"),0)))</f>
        <v>0.0</v>
      </c>
      <c r="J165" s="10">
        <f>IF(OR($A165="",$D165&lt;&gt;"READY"),"",IF(AGENT_INPUT!I165&gt;=SUMIFS(BONUS_RULES!$E$5:$E$46,BONUS_RULES!$A$5:$A$46,$C165,BONUS_RULES!$B$5:$B$46,"QM"),SUMIFS(BONUS_RULES!$D$5:$D$46,BONUS_RULES!$A$5:$A$46,$C165,BONUS_RULES!$B$5:$B$46,"QM"),IF(AGENT_INPUT!I165&gt;=SUMIFS(BONUS_RULES!$G$5:$G$46,BONUS_RULES!$A$5:$A$46,$C165,BONUS_RULES!$B$5:$B$46,"QM"),SUMIFS(BONUS_RULES!$F$5:$F$46,BONUS_RULES!$A$5:$A$46,$C165,BONUS_RULES!$B$5:$B$46,"QM"),0)))</f>
        <v>0.0</v>
      </c>
      <c r="K165" s="10">
        <f>IF(POLICY_APPROVAL!$B$9="Eligibility only",0,IF(OR($A165="",$D165&lt;&gt;"READY"),"",IF(AGENT_INPUT!J165&lt;=SUMIFS(BONUS_RULES!$E$5:$E$46,BONUS_RULES!$A$5:$A$46,$C165,BONUS_RULES!$B$5:$B$46,"Abs%"),SUMIFS(BONUS_RULES!$D$5:$D$46,BONUS_RULES!$A$5:$A$46,$C165,BONUS_RULES!$B$5:$B$46,"Abs%"),IF(AGENT_INPUT!J165&lt;=SUMIFS(BONUS_RULES!$G$5:$G$46,BONUS_RULES!$A$5:$A$46,$C165,BONUS_RULES!$B$5:$B$46,"Abs%"),SUMIFS(BONUS_RULES!$F$5:$F$46,BONUS_RULES!$A$5:$A$46,$C165,BONUS_RULES!$B$5:$B$46,"Abs%"),0))))</f>
        <v>0.0</v>
      </c>
      <c r="L165" s="10">
        <f>IF(OR($A165="",$D165&lt;&gt;"READY"),"",IF(AGENT_INPUT!G165&gt;=SUMIFS(BONUS_RULES!$E$5:$E$46,BONUS_RULES!$A$5:$A$46,$C165,BONUS_RULES!$B$5:$B$46,"Extra Bonus (PCS Score)"),SUMIFS(BONUS_RULES!$D$5:$D$46,BONUS_RULES!$A$5:$A$46,$C165,BONUS_RULES!$B$5:$B$46,"Extra Bonus (PCS Score)"),IF(AGENT_INPUT!G165&gt;=SUMIFS(BONUS_RULES!$G$5:$G$46,BONUS_RULES!$A$5:$A$46,$C165,BONUS_RULES!$B$5:$B$46,"Extra Bonus (PCS Score)"),SUMIFS(BONUS_RULES!$F$5:$F$46,BONUS_RULES!$A$5:$A$46,$C165,BONUS_RULES!$B$5:$B$46,"Extra Bonus (PCS Score)"),0)))</f>
        <v>0.3</v>
      </c>
      <c r="M165" s="10">
        <f>IF($A165="","",MIN(IF(POLICY_APPROVAL!$B$6="Replacement",SUM(F165:K165)-H165+MAX(H165,L165),SUM(F165:L165)),POLICY_APPROVAL!$B$10))</f>
        <v>0.5</v>
      </c>
      <c r="N165" s="10">
        <f>IF($A165="","",IFERROR(INDEX(BONUS_RULES!$J$5:$J$10,MATCH(MIN(MAX(AGENT_INPUT!K165,0),5),BONUS_RULES!$I$5:$I$10,0)),1))</f>
        <v>0</v>
      </c>
      <c r="O165" s="10">
        <f>IF(M165="","",MAX(0,IF(POLICY_APPROVAL!$B$5="Percentage points",M165-N165,M165*(1-N165))))</f>
        <v>0.5</v>
      </c>
      <c r="P165" s="11">
        <f>IF(D165&lt;&gt;"READY","",IF(AGENT_INPUT!O165&gt;0,AGENT_INPUT!O165,AGENT_INPUT!M165*AGENT_INPUT!N165/IF(POLICY_APPROVAL!$B$7="Annual",12,1)))</f>
        <v>2000.0</v>
      </c>
      <c r="Q165" s="10">
        <f>IF(D165&lt;&gt;"READY","",MIN(1,AGENT_INPUT!P165/AGENT_INPUT!Q165))</f>
        <v>1.0</v>
      </c>
      <c r="R165" s="11">
        <f>IF(D165&lt;&gt;"READY","",ROUND(P165*Q165*O165,IF(POLICY_APPROVAL!$B$11="Whole MAD",0,2)))</f>
        <v>1000.0</v>
      </c>
      <c r="S165" s="11">
        <f>IF(AND(SETUP!$B$9="READY",T165="READY"),R165,"")</f>
        <v/>
      </c>
      <c r="T165" s="4" t="str">
        <f>IF($A165="","",IF(D165&lt;&gt;"READY","BLOCKED - INPUT",IF(E165&lt;&gt;"ELIGIBLE","BLOCKED - ELIGIBILITY",IF(AGENT_INPUT!S165&lt;&gt;"VALIDATED","BLOCKED - DATA",IF(SETUP!$B$9&lt;&gt;"READY","BLOCKED - POLICY","READY")))))</f>
        <v>BLOCKED - ELIGIBILITY</v>
      </c>
      <c r="U165" s="4" t="str">
        <f>IF($A165="","",IF(COUNTIFS(AGENT_INPUT!$A$5:$A$254,$A165,AGENT_INPUT!$D$5:$D$254,AGENT_INPUT!D165)&gt;1,"DUPLICATE AGENT + PERIOD",IF(D165&lt;&gt;"READY","INPUT OR CONFIG REVIEW",IF(T165&lt;&gt;"READY",T165,""))))</f>
        <v>BLOCKED - ELIGIBILITY</v>
      </c>
    </row>
    <row r="166" spans="1:21">
      <c r="A166" s="4">
        <f>IF(AGENT_INPUT!A166="","",AGENT_INPUT!A166)</f>
        <v>205226</v>
      </c>
      <c r="B166" s="4" t="str">
        <f>IF($A166="","",AGENT_INPUT!B166)</f>
        <v>Farahi Abdelmalek</v>
      </c>
      <c r="C166" s="4" t="str">
        <f>IF($A166="","",AGENT_INPUT!C166)</f>
        <v>Ford Dutch</v>
      </c>
      <c r="D166" s="4" t="str">
        <f>IF($A166="","",IF(AND(COUNT(AGENT_INPUT!E166:J166)=6,COUNT(AGENT_INPUT!K166)=1,COUNTIF(BONUS_RULES!$A$5:$A$46,AGENT_INPUT!C166)&gt;0,OR(AGENT_INPUT!O166&gt;0,AND(AGENT_INPUT!M166&gt;0,AGENT_INPUT!N166&gt;0)),AGENT_INPUT!P166&gt;=0,AGENT_INPUT!Q166&gt;0,AGENT_INPUT!P166&lt;=AGENT_INPUT!Q166,AGENT_INPUT!H166&gt;=0,AGENT_INPUT!H166&lt;=1,AGENT_INPUT!I166&gt;=0,AGENT_INPUT!I166&lt;=1,AGENT_INPUT!J166&gt;=0,AGENT_INPUT!J166&lt;=1),"READY","BLOCKED"))</f>
        <v>READY</v>
      </c>
      <c r="E166" s="4" t="str">
        <f>IF($A166="","",IF(AGENT_INPUT!R166&lt;&gt;"Active","REVIEW",IF(OR(POLICY_APPROVAL!$B$9="Eligibility only",POLICY_APPROVAL!$B$9="Both"),IF(AGENT_INPUT!J166&lt;=SUMIFS(BONUS_RULES!$E$5:$E$46,BONUS_RULES!$A$5:$A$46,$C166,BONUS_RULES!$B$5:$B$46,"Abs%"),"ELIGIBLE","INELIGIBLE ABS"),"ELIGIBLE")))</f>
        <v>REVIEW</v>
      </c>
      <c r="F166" s="10">
        <f>IF(OR($A166="",$D166&lt;&gt;"READY"),"",IF(AGENT_INPUT!E166&lt;=SUMIFS(BONUS_RULES!$E$5:$E$46,BONUS_RULES!$A$5:$A$46,$C166,BONUS_RULES!$B$5:$B$46,"AHT"),SUMIFS(BONUS_RULES!$D$5:$D$46,BONUS_RULES!$A$5:$A$46,$C166,BONUS_RULES!$B$5:$B$46,"AHT"),IF(AGENT_INPUT!E166&lt;=SUMIFS(BONUS_RULES!$G$5:$G$46,BONUS_RULES!$A$5:$A$46,$C166,BONUS_RULES!$B$5:$B$46,"AHT"),SUMIFS(BONUS_RULES!$F$5:$F$46,BONUS_RULES!$A$5:$A$46,$C166,BONUS_RULES!$B$5:$B$46,"AHT"),0)))</f>
        <v>0.0</v>
      </c>
      <c r="G166" s="10">
        <f>IF(OR($A166="",$D166&lt;&gt;"READY"),"",IF(AGENT_INPUT!F166&gt;=SUMIFS(BONUS_RULES!$E$5:$E$46,BONUS_RULES!$A$5:$A$46,$C166,BONUS_RULES!$B$5:$B$46,"Productivity"),SUMIFS(BONUS_RULES!$D$5:$D$46,BONUS_RULES!$A$5:$A$46,$C166,BONUS_RULES!$B$5:$B$46,"Productivity"),IF(AGENT_INPUT!F166&gt;=SUMIFS(BONUS_RULES!$G$5:$G$46,BONUS_RULES!$A$5:$A$46,$C166,BONUS_RULES!$B$5:$B$46,"Productivity"),SUMIFS(BONUS_RULES!$F$5:$F$46,BONUS_RULES!$A$5:$A$46,$C166,BONUS_RULES!$B$5:$B$46,"Productivity"),0)))</f>
        <v>0.15</v>
      </c>
      <c r="H166" s="10">
        <f>IF(OR($A166="",$D166&lt;&gt;"READY"),"",IF(AGENT_INPUT!G166&gt;=SUMIFS(BONUS_RULES!$E$5:$E$46,BONUS_RULES!$A$5:$A$46,$C166,BONUS_RULES!$B$5:$B$46,"PCS Score"),SUMIFS(BONUS_RULES!$D$5:$D$46,BONUS_RULES!$A$5:$A$46,$C166,BONUS_RULES!$B$5:$B$46,"PCS Score"),IF(AGENT_INPUT!G166&gt;=SUMIFS(BONUS_RULES!$G$5:$G$46,BONUS_RULES!$A$5:$A$46,$C166,BONUS_RULES!$B$5:$B$46,"PCS Score"),SUMIFS(BONUS_RULES!$F$5:$F$46,BONUS_RULES!$A$5:$A$46,$C166,BONUS_RULES!$B$5:$B$46,"PCS Score"),0)))</f>
        <v>0.2</v>
      </c>
      <c r="I166" s="10">
        <f>IF(OR($A166="",$D166&lt;&gt;"READY"),"",IF(AGENT_INPUT!H166&gt;=SUMIFS(BONUS_RULES!$E$5:$E$46,BONUS_RULES!$A$5:$A$46,$C166,BONUS_RULES!$B$5:$B$46,"PCS % (Participation)"),SUMIFS(BONUS_RULES!$D$5:$D$46,BONUS_RULES!$A$5:$A$46,$C166,BONUS_RULES!$B$5:$B$46,"PCS % (Participation)"),IF(AGENT_INPUT!H166&gt;=SUMIFS(BONUS_RULES!$G$5:$G$46,BONUS_RULES!$A$5:$A$46,$C166,BONUS_RULES!$B$5:$B$46,"PCS % (Participation)"),SUMIFS(BONUS_RULES!$F$5:$F$46,BONUS_RULES!$A$5:$A$46,$C166,BONUS_RULES!$B$5:$B$46,"PCS % (Participation)"),0)))</f>
        <v>0.0</v>
      </c>
      <c r="J166" s="10">
        <f>IF(OR($A166="",$D166&lt;&gt;"READY"),"",IF(AGENT_INPUT!I166&gt;=SUMIFS(BONUS_RULES!$E$5:$E$46,BONUS_RULES!$A$5:$A$46,$C166,BONUS_RULES!$B$5:$B$46,"QM"),SUMIFS(BONUS_RULES!$D$5:$D$46,BONUS_RULES!$A$5:$A$46,$C166,BONUS_RULES!$B$5:$B$46,"QM"),IF(AGENT_INPUT!I166&gt;=SUMIFS(BONUS_RULES!$G$5:$G$46,BONUS_RULES!$A$5:$A$46,$C166,BONUS_RULES!$B$5:$B$46,"QM"),SUMIFS(BONUS_RULES!$F$5:$F$46,BONUS_RULES!$A$5:$A$46,$C166,BONUS_RULES!$B$5:$B$46,"QM"),0)))</f>
        <v>0.0</v>
      </c>
      <c r="K166" s="10">
        <f>IF(POLICY_APPROVAL!$B$9="Eligibility only",0,IF(OR($A166="",$D166&lt;&gt;"READY"),"",IF(AGENT_INPUT!J166&lt;=SUMIFS(BONUS_RULES!$E$5:$E$46,BONUS_RULES!$A$5:$A$46,$C166,BONUS_RULES!$B$5:$B$46,"Abs%"),SUMIFS(BONUS_RULES!$D$5:$D$46,BONUS_RULES!$A$5:$A$46,$C166,BONUS_RULES!$B$5:$B$46,"Abs%"),IF(AGENT_INPUT!J166&lt;=SUMIFS(BONUS_RULES!$G$5:$G$46,BONUS_RULES!$A$5:$A$46,$C166,BONUS_RULES!$B$5:$B$46,"Abs%"),SUMIFS(BONUS_RULES!$F$5:$F$46,BONUS_RULES!$A$5:$A$46,$C166,BONUS_RULES!$B$5:$B$46,"Abs%"),0))))</f>
        <v>0.15</v>
      </c>
      <c r="L166" s="10">
        <f>IF(OR($A166="",$D166&lt;&gt;"READY"),"",IF(AGENT_INPUT!G166&gt;=SUMIFS(BONUS_RULES!$E$5:$E$46,BONUS_RULES!$A$5:$A$46,$C166,BONUS_RULES!$B$5:$B$46,"Extra Bonus (PCS Score)"),SUMIFS(BONUS_RULES!$D$5:$D$46,BONUS_RULES!$A$5:$A$46,$C166,BONUS_RULES!$B$5:$B$46,"Extra Bonus (PCS Score)"),IF(AGENT_INPUT!G166&gt;=SUMIFS(BONUS_RULES!$G$5:$G$46,BONUS_RULES!$A$5:$A$46,$C166,BONUS_RULES!$B$5:$B$46,"Extra Bonus (PCS Score)"),SUMIFS(BONUS_RULES!$F$5:$F$46,BONUS_RULES!$A$5:$A$46,$C166,BONUS_RULES!$B$5:$B$46,"Extra Bonus (PCS Score)"),0)))</f>
        <v>0.2</v>
      </c>
      <c r="M166" s="10">
        <f>IF($A166="","",MIN(IF(POLICY_APPROVAL!$B$6="Replacement",SUM(F166:K166)-H166+MAX(H166,L166),SUM(F166:L166)),POLICY_APPROVAL!$B$10))</f>
        <v>0.7</v>
      </c>
      <c r="N166" s="10">
        <f>IF($A166="","",IFERROR(INDEX(BONUS_RULES!$J$5:$J$10,MATCH(MIN(MAX(AGENT_INPUT!K166,0),5),BONUS_RULES!$I$5:$I$10,0)),1))</f>
        <v>0</v>
      </c>
      <c r="O166" s="10">
        <f>IF(M166="","",MAX(0,IF(POLICY_APPROVAL!$B$5="Percentage points",M166-N166,M166*(1-N166))))</f>
        <v>0.7</v>
      </c>
      <c r="P166" s="11">
        <f>IF(D166&lt;&gt;"READY","",IF(AGENT_INPUT!O166&gt;0,AGENT_INPUT!O166,AGENT_INPUT!M166*AGENT_INPUT!N166/IF(POLICY_APPROVAL!$B$7="Annual",12,1)))</f>
        <v>2000.0</v>
      </c>
      <c r="Q166" s="10">
        <f>IF(D166&lt;&gt;"READY","",MIN(1,AGENT_INPUT!P166/AGENT_INPUT!Q166))</f>
        <v>1.0</v>
      </c>
      <c r="R166" s="11">
        <f>IF(D166&lt;&gt;"READY","",ROUND(P166*Q166*O166,IF(POLICY_APPROVAL!$B$11="Whole MAD",0,2)))</f>
        <v>1400.0</v>
      </c>
      <c r="S166" s="11">
        <f>IF(AND(SETUP!$B$9="READY",T166="READY"),R166,"")</f>
        <v/>
      </c>
      <c r="T166" s="4" t="str">
        <f>IF($A166="","",IF(D166&lt;&gt;"READY","BLOCKED - INPUT",IF(E166&lt;&gt;"ELIGIBLE","BLOCKED - ELIGIBILITY",IF(AGENT_INPUT!S166&lt;&gt;"VALIDATED","BLOCKED - DATA",IF(SETUP!$B$9&lt;&gt;"READY","BLOCKED - POLICY","READY")))))</f>
        <v>BLOCKED - ELIGIBILITY</v>
      </c>
      <c r="U166" s="4" t="str">
        <f>IF($A166="","",IF(COUNTIFS(AGENT_INPUT!$A$5:$A$254,$A166,AGENT_INPUT!$D$5:$D$254,AGENT_INPUT!D166)&gt;1,"DUPLICATE AGENT + PERIOD",IF(D166&lt;&gt;"READY","INPUT OR CONFIG REVIEW",IF(T166&lt;&gt;"READY",T166,""))))</f>
        <v>BLOCKED - ELIGIBILITY</v>
      </c>
    </row>
    <row r="167" spans="1:21">
      <c r="A167" s="4">
        <f>IF(AGENT_INPUT!A167="","",AGENT_INPUT!A167)</f>
        <v>204040</v>
      </c>
      <c r="B167" s="4" t="str">
        <f>IF($A167="","",AGENT_INPUT!B167)</f>
        <v>Redouane Abdelhamid</v>
      </c>
      <c r="C167" s="4" t="str">
        <f>IF($A167="","",AGENT_INPUT!C167)</f>
        <v>Ford Dutch</v>
      </c>
      <c r="D167" s="4" t="str">
        <f>IF($A167="","",IF(AND(COUNT(AGENT_INPUT!E167:J167)=6,COUNT(AGENT_INPUT!K167)=1,COUNTIF(BONUS_RULES!$A$5:$A$46,AGENT_INPUT!C167)&gt;0,OR(AGENT_INPUT!O167&gt;0,AND(AGENT_INPUT!M167&gt;0,AGENT_INPUT!N167&gt;0)),AGENT_INPUT!P167&gt;=0,AGENT_INPUT!Q167&gt;0,AGENT_INPUT!P167&lt;=AGENT_INPUT!Q167,AGENT_INPUT!H167&gt;=0,AGENT_INPUT!H167&lt;=1,AGENT_INPUT!I167&gt;=0,AGENT_INPUT!I167&lt;=1,AGENT_INPUT!J167&gt;=0,AGENT_INPUT!J167&lt;=1),"READY","BLOCKED"))</f>
        <v>READY</v>
      </c>
      <c r="E167" s="4" t="str">
        <f>IF($A167="","",IF(AGENT_INPUT!R167&lt;&gt;"Active","REVIEW",IF(OR(POLICY_APPROVAL!$B$9="Eligibility only",POLICY_APPROVAL!$B$9="Both"),IF(AGENT_INPUT!J167&lt;=SUMIFS(BONUS_RULES!$E$5:$E$46,BONUS_RULES!$A$5:$A$46,$C167,BONUS_RULES!$B$5:$B$46,"Abs%"),"ELIGIBLE","INELIGIBLE ABS"),"ELIGIBLE")))</f>
        <v>REVIEW</v>
      </c>
      <c r="F167" s="10">
        <f>IF(OR($A167="",$D167&lt;&gt;"READY"),"",IF(AGENT_INPUT!E167&lt;=SUMIFS(BONUS_RULES!$E$5:$E$46,BONUS_RULES!$A$5:$A$46,$C167,BONUS_RULES!$B$5:$B$46,"AHT"),SUMIFS(BONUS_RULES!$D$5:$D$46,BONUS_RULES!$A$5:$A$46,$C167,BONUS_RULES!$B$5:$B$46,"AHT"),IF(AGENT_INPUT!E167&lt;=SUMIFS(BONUS_RULES!$G$5:$G$46,BONUS_RULES!$A$5:$A$46,$C167,BONUS_RULES!$B$5:$B$46,"AHT"),SUMIFS(BONUS_RULES!$F$5:$F$46,BONUS_RULES!$A$5:$A$46,$C167,BONUS_RULES!$B$5:$B$46,"AHT"),0)))</f>
        <v>0.0</v>
      </c>
      <c r="G167" s="10">
        <f>IF(OR($A167="",$D167&lt;&gt;"READY"),"",IF(AGENT_INPUT!F167&gt;=SUMIFS(BONUS_RULES!$E$5:$E$46,BONUS_RULES!$A$5:$A$46,$C167,BONUS_RULES!$B$5:$B$46,"Productivity"),SUMIFS(BONUS_RULES!$D$5:$D$46,BONUS_RULES!$A$5:$A$46,$C167,BONUS_RULES!$B$5:$B$46,"Productivity"),IF(AGENT_INPUT!F167&gt;=SUMIFS(BONUS_RULES!$G$5:$G$46,BONUS_RULES!$A$5:$A$46,$C167,BONUS_RULES!$B$5:$B$46,"Productivity"),SUMIFS(BONUS_RULES!$F$5:$F$46,BONUS_RULES!$A$5:$A$46,$C167,BONUS_RULES!$B$5:$B$46,"Productivity"),0)))</f>
        <v>0.0</v>
      </c>
      <c r="H167" s="10">
        <f>IF(OR($A167="",$D167&lt;&gt;"READY"),"",IF(AGENT_INPUT!G167&gt;=SUMIFS(BONUS_RULES!$E$5:$E$46,BONUS_RULES!$A$5:$A$46,$C167,BONUS_RULES!$B$5:$B$46,"PCS Score"),SUMIFS(BONUS_RULES!$D$5:$D$46,BONUS_RULES!$A$5:$A$46,$C167,BONUS_RULES!$B$5:$B$46,"PCS Score"),IF(AGENT_INPUT!G167&gt;=SUMIFS(BONUS_RULES!$G$5:$G$46,BONUS_RULES!$A$5:$A$46,$C167,BONUS_RULES!$B$5:$B$46,"PCS Score"),SUMIFS(BONUS_RULES!$F$5:$F$46,BONUS_RULES!$A$5:$A$46,$C167,BONUS_RULES!$B$5:$B$46,"PCS Score"),0)))</f>
        <v>0.15</v>
      </c>
      <c r="I167" s="10">
        <f>IF(OR($A167="",$D167&lt;&gt;"READY"),"",IF(AGENT_INPUT!H167&gt;=SUMIFS(BONUS_RULES!$E$5:$E$46,BONUS_RULES!$A$5:$A$46,$C167,BONUS_RULES!$B$5:$B$46,"PCS % (Participation)"),SUMIFS(BONUS_RULES!$D$5:$D$46,BONUS_RULES!$A$5:$A$46,$C167,BONUS_RULES!$B$5:$B$46,"PCS % (Participation)"),IF(AGENT_INPUT!H167&gt;=SUMIFS(BONUS_RULES!$G$5:$G$46,BONUS_RULES!$A$5:$A$46,$C167,BONUS_RULES!$B$5:$B$46,"PCS % (Participation)"),SUMIFS(BONUS_RULES!$F$5:$F$46,BONUS_RULES!$A$5:$A$46,$C167,BONUS_RULES!$B$5:$B$46,"PCS % (Participation)"),0)))</f>
        <v>0.0</v>
      </c>
      <c r="J167" s="10">
        <f>IF(OR($A167="",$D167&lt;&gt;"READY"),"",IF(AGENT_INPUT!I167&gt;=SUMIFS(BONUS_RULES!$E$5:$E$46,BONUS_RULES!$A$5:$A$46,$C167,BONUS_RULES!$B$5:$B$46,"QM"),SUMIFS(BONUS_RULES!$D$5:$D$46,BONUS_RULES!$A$5:$A$46,$C167,BONUS_RULES!$B$5:$B$46,"QM"),IF(AGENT_INPUT!I167&gt;=SUMIFS(BONUS_RULES!$G$5:$G$46,BONUS_RULES!$A$5:$A$46,$C167,BONUS_RULES!$B$5:$B$46,"QM"),SUMIFS(BONUS_RULES!$F$5:$F$46,BONUS_RULES!$A$5:$A$46,$C167,BONUS_RULES!$B$5:$B$46,"QM"),0)))</f>
        <v>0.0</v>
      </c>
      <c r="K167" s="10">
        <f>IF(POLICY_APPROVAL!$B$9="Eligibility only",0,IF(OR($A167="",$D167&lt;&gt;"READY"),"",IF(AGENT_INPUT!J167&lt;=SUMIFS(BONUS_RULES!$E$5:$E$46,BONUS_RULES!$A$5:$A$46,$C167,BONUS_RULES!$B$5:$B$46,"Abs%"),SUMIFS(BONUS_RULES!$D$5:$D$46,BONUS_RULES!$A$5:$A$46,$C167,BONUS_RULES!$B$5:$B$46,"Abs%"),IF(AGENT_INPUT!J167&lt;=SUMIFS(BONUS_RULES!$G$5:$G$46,BONUS_RULES!$A$5:$A$46,$C167,BONUS_RULES!$B$5:$B$46,"Abs%"),SUMIFS(BONUS_RULES!$F$5:$F$46,BONUS_RULES!$A$5:$A$46,$C167,BONUS_RULES!$B$5:$B$46,"Abs%"),0))))</f>
        <v>0.15</v>
      </c>
      <c r="L167" s="10">
        <f>IF(OR($A167="",$D167&lt;&gt;"READY"),"",IF(AGENT_INPUT!G167&gt;=SUMIFS(BONUS_RULES!$E$5:$E$46,BONUS_RULES!$A$5:$A$46,$C167,BONUS_RULES!$B$5:$B$46,"Extra Bonus (PCS Score)"),SUMIFS(BONUS_RULES!$D$5:$D$46,BONUS_RULES!$A$5:$A$46,$C167,BONUS_RULES!$B$5:$B$46,"Extra Bonus (PCS Score)"),IF(AGENT_INPUT!G167&gt;=SUMIFS(BONUS_RULES!$G$5:$G$46,BONUS_RULES!$A$5:$A$46,$C167,BONUS_RULES!$B$5:$B$46,"Extra Bonus (PCS Score)"),SUMIFS(BONUS_RULES!$F$5:$F$46,BONUS_RULES!$A$5:$A$46,$C167,BONUS_RULES!$B$5:$B$46,"Extra Bonus (PCS Score)"),0)))</f>
        <v>0.0</v>
      </c>
      <c r="M167" s="10">
        <f>IF($A167="","",MIN(IF(POLICY_APPROVAL!$B$6="Replacement",SUM(F167:K167)-H167+MAX(H167,L167),SUM(F167:L167)),POLICY_APPROVAL!$B$10))</f>
        <v>0.3</v>
      </c>
      <c r="N167" s="10">
        <f>IF($A167="","",IFERROR(INDEX(BONUS_RULES!$J$5:$J$10,MATCH(MIN(MAX(AGENT_INPUT!K167,0),5),BONUS_RULES!$I$5:$I$10,0)),1))</f>
        <v>0</v>
      </c>
      <c r="O167" s="10">
        <f>IF(M167="","",MAX(0,IF(POLICY_APPROVAL!$B$5="Percentage points",M167-N167,M167*(1-N167))))</f>
        <v>0.3</v>
      </c>
      <c r="P167" s="11">
        <f>IF(D167&lt;&gt;"READY","",IF(AGENT_INPUT!O167&gt;0,AGENT_INPUT!O167,AGENT_INPUT!M167*AGENT_INPUT!N167/IF(POLICY_APPROVAL!$B$7="Annual",12,1)))</f>
        <v>2000.0</v>
      </c>
      <c r="Q167" s="10">
        <f>IF(D167&lt;&gt;"READY","",MIN(1,AGENT_INPUT!P167/AGENT_INPUT!Q167))</f>
        <v>1.0</v>
      </c>
      <c r="R167" s="11">
        <f>IF(D167&lt;&gt;"READY","",ROUND(P167*Q167*O167,IF(POLICY_APPROVAL!$B$11="Whole MAD",0,2)))</f>
        <v>600.0</v>
      </c>
      <c r="S167" s="11">
        <f>IF(AND(SETUP!$B$9="READY",T167="READY"),R167,"")</f>
        <v/>
      </c>
      <c r="T167" s="4" t="str">
        <f>IF($A167="","",IF(D167&lt;&gt;"READY","BLOCKED - INPUT",IF(E167&lt;&gt;"ELIGIBLE","BLOCKED - ELIGIBILITY",IF(AGENT_INPUT!S167&lt;&gt;"VALIDATED","BLOCKED - DATA",IF(SETUP!$B$9&lt;&gt;"READY","BLOCKED - POLICY","READY")))))</f>
        <v>BLOCKED - ELIGIBILITY</v>
      </c>
      <c r="U167" s="4" t="str">
        <f>IF($A167="","",IF(COUNTIFS(AGENT_INPUT!$A$5:$A$254,$A167,AGENT_INPUT!$D$5:$D$254,AGENT_INPUT!D167)&gt;1,"DUPLICATE AGENT + PERIOD",IF(D167&lt;&gt;"READY","INPUT OR CONFIG REVIEW",IF(T167&lt;&gt;"READY",T167,""))))</f>
        <v>BLOCKED - ELIGIBILITY</v>
      </c>
    </row>
    <row r="168" spans="1:21">
      <c r="A168" s="4">
        <f>IF(AGENT_INPUT!A168="","",AGENT_INPUT!A168)</f>
        <v>203624</v>
      </c>
      <c r="B168" s="4" t="str">
        <f>IF($A168="","",AGENT_INPUT!B168)</f>
        <v>Khillane Abdelfattah</v>
      </c>
      <c r="C168" s="4" t="str">
        <f>IF($A168="","",AGENT_INPUT!C168)</f>
        <v>OEM FR</v>
      </c>
      <c r="D168" s="4" t="str">
        <f>IF($A168="","",IF(AND(COUNT(AGENT_INPUT!E168:J168)=6,COUNT(AGENT_INPUT!K168)=1,COUNTIF(BONUS_RULES!$A$5:$A$46,AGENT_INPUT!C168)&gt;0,OR(AGENT_INPUT!O168&gt;0,AND(AGENT_INPUT!M168&gt;0,AGENT_INPUT!N168&gt;0)),AGENT_INPUT!P168&gt;=0,AGENT_INPUT!Q168&gt;0,AGENT_INPUT!P168&lt;=AGENT_INPUT!Q168,AGENT_INPUT!H168&gt;=0,AGENT_INPUT!H168&lt;=1,AGENT_INPUT!I168&gt;=0,AGENT_INPUT!I168&lt;=1,AGENT_INPUT!J168&gt;=0,AGENT_INPUT!J168&lt;=1),"READY","BLOCKED"))</f>
        <v>READY</v>
      </c>
      <c r="E168" s="4" t="str">
        <f>IF($A168="","",IF(AGENT_INPUT!R168&lt;&gt;"Active","REVIEW",IF(OR(POLICY_APPROVAL!$B$9="Eligibility only",POLICY_APPROVAL!$B$9="Both"),IF(AGENT_INPUT!J168&lt;=SUMIFS(BONUS_RULES!$E$5:$E$46,BONUS_RULES!$A$5:$A$46,$C168,BONUS_RULES!$B$5:$B$46,"Abs%"),"ELIGIBLE","INELIGIBLE ABS"),"ELIGIBLE")))</f>
        <v>REVIEW</v>
      </c>
      <c r="F168" s="10">
        <f>IF(OR($A168="",$D168&lt;&gt;"READY"),"",IF(AGENT_INPUT!E168&lt;=SUMIFS(BONUS_RULES!$E$5:$E$46,BONUS_RULES!$A$5:$A$46,$C168,BONUS_RULES!$B$5:$B$46,"AHT"),SUMIFS(BONUS_RULES!$D$5:$D$46,BONUS_RULES!$A$5:$A$46,$C168,BONUS_RULES!$B$5:$B$46,"AHT"),IF(AGENT_INPUT!E168&lt;=SUMIFS(BONUS_RULES!$G$5:$G$46,BONUS_RULES!$A$5:$A$46,$C168,BONUS_RULES!$B$5:$B$46,"AHT"),SUMIFS(BONUS_RULES!$F$5:$F$46,BONUS_RULES!$A$5:$A$46,$C168,BONUS_RULES!$B$5:$B$46,"AHT"),0)))</f>
        <v>0.0</v>
      </c>
      <c r="G168" s="10">
        <f>IF(OR($A168="",$D168&lt;&gt;"READY"),"",IF(AGENT_INPUT!F168&gt;=SUMIFS(BONUS_RULES!$E$5:$E$46,BONUS_RULES!$A$5:$A$46,$C168,BONUS_RULES!$B$5:$B$46,"Productivity"),SUMIFS(BONUS_RULES!$D$5:$D$46,BONUS_RULES!$A$5:$A$46,$C168,BONUS_RULES!$B$5:$B$46,"Productivity"),IF(AGENT_INPUT!F168&gt;=SUMIFS(BONUS_RULES!$G$5:$G$46,BONUS_RULES!$A$5:$A$46,$C168,BONUS_RULES!$B$5:$B$46,"Productivity"),SUMIFS(BONUS_RULES!$F$5:$F$46,BONUS_RULES!$A$5:$A$46,$C168,BONUS_RULES!$B$5:$B$46,"Productivity"),0)))</f>
        <v>0.15</v>
      </c>
      <c r="H168" s="10">
        <f>IF(OR($A168="",$D168&lt;&gt;"READY"),"",IF(AGENT_INPUT!G168&gt;=SUMIFS(BONUS_RULES!$E$5:$E$46,BONUS_RULES!$A$5:$A$46,$C168,BONUS_RULES!$B$5:$B$46,"PCS Score"),SUMIFS(BONUS_RULES!$D$5:$D$46,BONUS_RULES!$A$5:$A$46,$C168,BONUS_RULES!$B$5:$B$46,"PCS Score"),IF(AGENT_INPUT!G168&gt;=SUMIFS(BONUS_RULES!$G$5:$G$46,BONUS_RULES!$A$5:$A$46,$C168,BONUS_RULES!$B$5:$B$46,"PCS Score"),SUMIFS(BONUS_RULES!$F$5:$F$46,BONUS_RULES!$A$5:$A$46,$C168,BONUS_RULES!$B$5:$B$46,"PCS Score"),0)))</f>
        <v>0.15</v>
      </c>
      <c r="I168" s="10">
        <f>IF(OR($A168="",$D168&lt;&gt;"READY"),"",IF(AGENT_INPUT!H168&gt;=SUMIFS(BONUS_RULES!$E$5:$E$46,BONUS_RULES!$A$5:$A$46,$C168,BONUS_RULES!$B$5:$B$46,"PCS % (Participation)"),SUMIFS(BONUS_RULES!$D$5:$D$46,BONUS_RULES!$A$5:$A$46,$C168,BONUS_RULES!$B$5:$B$46,"PCS % (Participation)"),IF(AGENT_INPUT!H168&gt;=SUMIFS(BONUS_RULES!$G$5:$G$46,BONUS_RULES!$A$5:$A$46,$C168,BONUS_RULES!$B$5:$B$46,"PCS % (Participation)"),SUMIFS(BONUS_RULES!$F$5:$F$46,BONUS_RULES!$A$5:$A$46,$C168,BONUS_RULES!$B$5:$B$46,"PCS % (Participation)"),0)))</f>
        <v>0.0</v>
      </c>
      <c r="J168" s="10">
        <f>IF(OR($A168="",$D168&lt;&gt;"READY"),"",IF(AGENT_INPUT!I168&gt;=SUMIFS(BONUS_RULES!$E$5:$E$46,BONUS_RULES!$A$5:$A$46,$C168,BONUS_RULES!$B$5:$B$46,"QM"),SUMIFS(BONUS_RULES!$D$5:$D$46,BONUS_RULES!$A$5:$A$46,$C168,BONUS_RULES!$B$5:$B$46,"QM"),IF(AGENT_INPUT!I168&gt;=SUMIFS(BONUS_RULES!$G$5:$G$46,BONUS_RULES!$A$5:$A$46,$C168,BONUS_RULES!$B$5:$B$46,"QM"),SUMIFS(BONUS_RULES!$F$5:$F$46,BONUS_RULES!$A$5:$A$46,$C168,BONUS_RULES!$B$5:$B$46,"QM"),0)))</f>
        <v>0.0</v>
      </c>
      <c r="K168" s="10">
        <f>IF(POLICY_APPROVAL!$B$9="Eligibility only",0,IF(OR($A168="",$D168&lt;&gt;"READY"),"",IF(AGENT_INPUT!J168&lt;=SUMIFS(BONUS_RULES!$E$5:$E$46,BONUS_RULES!$A$5:$A$46,$C168,BONUS_RULES!$B$5:$B$46,"Abs%"),SUMIFS(BONUS_RULES!$D$5:$D$46,BONUS_RULES!$A$5:$A$46,$C168,BONUS_RULES!$B$5:$B$46,"Abs%"),IF(AGENT_INPUT!J168&lt;=SUMIFS(BONUS_RULES!$G$5:$G$46,BONUS_RULES!$A$5:$A$46,$C168,BONUS_RULES!$B$5:$B$46,"Abs%"),SUMIFS(BONUS_RULES!$F$5:$F$46,BONUS_RULES!$A$5:$A$46,$C168,BONUS_RULES!$B$5:$B$46,"Abs%"),0))))</f>
        <v>0.15</v>
      </c>
      <c r="L168" s="10">
        <f>IF(OR($A168="",$D168&lt;&gt;"READY"),"",IF(AGENT_INPUT!G168&gt;=SUMIFS(BONUS_RULES!$E$5:$E$46,BONUS_RULES!$A$5:$A$46,$C168,BONUS_RULES!$B$5:$B$46,"Extra Bonus (PCS Score)"),SUMIFS(BONUS_RULES!$D$5:$D$46,BONUS_RULES!$A$5:$A$46,$C168,BONUS_RULES!$B$5:$B$46,"Extra Bonus (PCS Score)"),IF(AGENT_INPUT!G168&gt;=SUMIFS(BONUS_RULES!$G$5:$G$46,BONUS_RULES!$A$5:$A$46,$C168,BONUS_RULES!$B$5:$B$46,"Extra Bonus (PCS Score)"),SUMIFS(BONUS_RULES!$F$5:$F$46,BONUS_RULES!$A$5:$A$46,$C168,BONUS_RULES!$B$5:$B$46,"Extra Bonus (PCS Score)"),0)))</f>
        <v>0.0</v>
      </c>
      <c r="M168" s="10">
        <f>IF($A168="","",MIN(IF(POLICY_APPROVAL!$B$6="Replacement",SUM(F168:K168)-H168+MAX(H168,L168),SUM(F168:L168)),POLICY_APPROVAL!$B$10))</f>
        <v>0.44999999999999996</v>
      </c>
      <c r="N168" s="10">
        <f>IF($A168="","",IFERROR(INDEX(BONUS_RULES!$J$5:$J$10,MATCH(MIN(MAX(AGENT_INPUT!K168,0),5),BONUS_RULES!$I$5:$I$10,0)),1))</f>
        <v>0</v>
      </c>
      <c r="O168" s="10">
        <f>IF(M168="","",MAX(0,IF(POLICY_APPROVAL!$B$5="Percentage points",M168-N168,M168*(1-N168))))</f>
        <v>0.44999999999999996</v>
      </c>
      <c r="P168" s="11">
        <f>IF(D168&lt;&gt;"READY","",IF(AGENT_INPUT!O168&gt;0,AGENT_INPUT!O168,AGENT_INPUT!M168*AGENT_INPUT!N168/IF(POLICY_APPROVAL!$B$7="Annual",12,1)))</f>
        <v>2000.0</v>
      </c>
      <c r="Q168" s="10">
        <f>IF(D168&lt;&gt;"READY","",MIN(1,AGENT_INPUT!P168/AGENT_INPUT!Q168))</f>
        <v>1.0</v>
      </c>
      <c r="R168" s="11">
        <f>IF(D168&lt;&gt;"READY","",ROUND(P168*Q168*O168,IF(POLICY_APPROVAL!$B$11="Whole MAD",0,2)))</f>
        <v>900.0</v>
      </c>
      <c r="S168" s="11">
        <f>IF(AND(SETUP!$B$9="READY",T168="READY"),R168,"")</f>
        <v/>
      </c>
      <c r="T168" s="4" t="str">
        <f>IF($A168="","",IF(D168&lt;&gt;"READY","BLOCKED - INPUT",IF(E168&lt;&gt;"ELIGIBLE","BLOCKED - ELIGIBILITY",IF(AGENT_INPUT!S168&lt;&gt;"VALIDATED","BLOCKED - DATA",IF(SETUP!$B$9&lt;&gt;"READY","BLOCKED - POLICY","READY")))))</f>
        <v>BLOCKED - ELIGIBILITY</v>
      </c>
      <c r="U168" s="4" t="str">
        <f>IF($A168="","",IF(COUNTIFS(AGENT_INPUT!$A$5:$A$254,$A168,AGENT_INPUT!$D$5:$D$254,AGENT_INPUT!D168)&gt;1,"DUPLICATE AGENT + PERIOD",IF(D168&lt;&gt;"READY","INPUT OR CONFIG REVIEW",IF(T168&lt;&gt;"READY",T168,""))))</f>
        <v>BLOCKED - ELIGIBILITY</v>
      </c>
    </row>
    <row r="169" spans="1:21">
      <c r="A169" s="4">
        <f>IF(AGENT_INPUT!A169="","",AGENT_INPUT!A169)</f>
        <v>205225</v>
      </c>
      <c r="B169" s="4" t="str">
        <f>IF($A169="","",AGENT_INPUT!B169)</f>
        <v>Hajjab Abdelfatah</v>
      </c>
      <c r="C169" s="4" t="str">
        <f>IF($A169="","",AGENT_INPUT!C169)</f>
        <v>Ford Dutch</v>
      </c>
      <c r="D169" s="4" t="str">
        <f>IF($A169="","",IF(AND(COUNT(AGENT_INPUT!E169:J169)=6,COUNT(AGENT_INPUT!K169)=1,COUNTIF(BONUS_RULES!$A$5:$A$46,AGENT_INPUT!C169)&gt;0,OR(AGENT_INPUT!O169&gt;0,AND(AGENT_INPUT!M169&gt;0,AGENT_INPUT!N169&gt;0)),AGENT_INPUT!P169&gt;=0,AGENT_INPUT!Q169&gt;0,AGENT_INPUT!P169&lt;=AGENT_INPUT!Q169,AGENT_INPUT!H169&gt;=0,AGENT_INPUT!H169&lt;=1,AGENT_INPUT!I169&gt;=0,AGENT_INPUT!I169&lt;=1,AGENT_INPUT!J169&gt;=0,AGENT_INPUT!J169&lt;=1),"READY","BLOCKED"))</f>
        <v>READY</v>
      </c>
      <c r="E169" s="4" t="str">
        <f>IF($A169="","",IF(AGENT_INPUT!R169&lt;&gt;"Active","REVIEW",IF(OR(POLICY_APPROVAL!$B$9="Eligibility only",POLICY_APPROVAL!$B$9="Both"),IF(AGENT_INPUT!J169&lt;=SUMIFS(BONUS_RULES!$E$5:$E$46,BONUS_RULES!$A$5:$A$46,$C169,BONUS_RULES!$B$5:$B$46,"Abs%"),"ELIGIBLE","INELIGIBLE ABS"),"ELIGIBLE")))</f>
        <v>REVIEW</v>
      </c>
      <c r="F169" s="10">
        <f>IF(OR($A169="",$D169&lt;&gt;"READY"),"",IF(AGENT_INPUT!E169&lt;=SUMIFS(BONUS_RULES!$E$5:$E$46,BONUS_RULES!$A$5:$A$46,$C169,BONUS_RULES!$B$5:$B$46,"AHT"),SUMIFS(BONUS_RULES!$D$5:$D$46,BONUS_RULES!$A$5:$A$46,$C169,BONUS_RULES!$B$5:$B$46,"AHT"),IF(AGENT_INPUT!E169&lt;=SUMIFS(BONUS_RULES!$G$5:$G$46,BONUS_RULES!$A$5:$A$46,$C169,BONUS_RULES!$B$5:$B$46,"AHT"),SUMIFS(BONUS_RULES!$F$5:$F$46,BONUS_RULES!$A$5:$A$46,$C169,BONUS_RULES!$B$5:$B$46,"AHT"),0)))</f>
        <v>0.0</v>
      </c>
      <c r="G169" s="10">
        <f>IF(OR($A169="",$D169&lt;&gt;"READY"),"",IF(AGENT_INPUT!F169&gt;=SUMIFS(BONUS_RULES!$E$5:$E$46,BONUS_RULES!$A$5:$A$46,$C169,BONUS_RULES!$B$5:$B$46,"Productivity"),SUMIFS(BONUS_RULES!$D$5:$D$46,BONUS_RULES!$A$5:$A$46,$C169,BONUS_RULES!$B$5:$B$46,"Productivity"),IF(AGENT_INPUT!F169&gt;=SUMIFS(BONUS_RULES!$G$5:$G$46,BONUS_RULES!$A$5:$A$46,$C169,BONUS_RULES!$B$5:$B$46,"Productivity"),SUMIFS(BONUS_RULES!$F$5:$F$46,BONUS_RULES!$A$5:$A$46,$C169,BONUS_RULES!$B$5:$B$46,"Productivity"),0)))</f>
        <v>0.0</v>
      </c>
      <c r="H169" s="10">
        <f>IF(OR($A169="",$D169&lt;&gt;"READY"),"",IF(AGENT_INPUT!G169&gt;=SUMIFS(BONUS_RULES!$E$5:$E$46,BONUS_RULES!$A$5:$A$46,$C169,BONUS_RULES!$B$5:$B$46,"PCS Score"),SUMIFS(BONUS_RULES!$D$5:$D$46,BONUS_RULES!$A$5:$A$46,$C169,BONUS_RULES!$B$5:$B$46,"PCS Score"),IF(AGENT_INPUT!G169&gt;=SUMIFS(BONUS_RULES!$G$5:$G$46,BONUS_RULES!$A$5:$A$46,$C169,BONUS_RULES!$B$5:$B$46,"PCS Score"),SUMIFS(BONUS_RULES!$F$5:$F$46,BONUS_RULES!$A$5:$A$46,$C169,BONUS_RULES!$B$5:$B$46,"PCS Score"),0)))</f>
        <v>0.0</v>
      </c>
      <c r="I169" s="10">
        <f>IF(OR($A169="",$D169&lt;&gt;"READY"),"",IF(AGENT_INPUT!H169&gt;=SUMIFS(BONUS_RULES!$E$5:$E$46,BONUS_RULES!$A$5:$A$46,$C169,BONUS_RULES!$B$5:$B$46,"PCS % (Participation)"),SUMIFS(BONUS_RULES!$D$5:$D$46,BONUS_RULES!$A$5:$A$46,$C169,BONUS_RULES!$B$5:$B$46,"PCS % (Participation)"),IF(AGENT_INPUT!H169&gt;=SUMIFS(BONUS_RULES!$G$5:$G$46,BONUS_RULES!$A$5:$A$46,$C169,BONUS_RULES!$B$5:$B$46,"PCS % (Participation)"),SUMIFS(BONUS_RULES!$F$5:$F$46,BONUS_RULES!$A$5:$A$46,$C169,BONUS_RULES!$B$5:$B$46,"PCS % (Participation)"),0)))</f>
        <v>0.0</v>
      </c>
      <c r="J169" s="10">
        <f>IF(OR($A169="",$D169&lt;&gt;"READY"),"",IF(AGENT_INPUT!I169&gt;=SUMIFS(BONUS_RULES!$E$5:$E$46,BONUS_RULES!$A$5:$A$46,$C169,BONUS_RULES!$B$5:$B$46,"QM"),SUMIFS(BONUS_RULES!$D$5:$D$46,BONUS_RULES!$A$5:$A$46,$C169,BONUS_RULES!$B$5:$B$46,"QM"),IF(AGENT_INPUT!I169&gt;=SUMIFS(BONUS_RULES!$G$5:$G$46,BONUS_RULES!$A$5:$A$46,$C169,BONUS_RULES!$B$5:$B$46,"QM"),SUMIFS(BONUS_RULES!$F$5:$F$46,BONUS_RULES!$A$5:$A$46,$C169,BONUS_RULES!$B$5:$B$46,"QM"),0)))</f>
        <v>0.0</v>
      </c>
      <c r="K169" s="10">
        <f>IF(POLICY_APPROVAL!$B$9="Eligibility only",0,IF(OR($A169="",$D169&lt;&gt;"READY"),"",IF(AGENT_INPUT!J169&lt;=SUMIFS(BONUS_RULES!$E$5:$E$46,BONUS_RULES!$A$5:$A$46,$C169,BONUS_RULES!$B$5:$B$46,"Abs%"),SUMIFS(BONUS_RULES!$D$5:$D$46,BONUS_RULES!$A$5:$A$46,$C169,BONUS_RULES!$B$5:$B$46,"Abs%"),IF(AGENT_INPUT!J169&lt;=SUMIFS(BONUS_RULES!$G$5:$G$46,BONUS_RULES!$A$5:$A$46,$C169,BONUS_RULES!$B$5:$B$46,"Abs%"),SUMIFS(BONUS_RULES!$F$5:$F$46,BONUS_RULES!$A$5:$A$46,$C169,BONUS_RULES!$B$5:$B$46,"Abs%"),0))))</f>
        <v>0.15</v>
      </c>
      <c r="L169" s="10">
        <f>IF(OR($A169="",$D169&lt;&gt;"READY"),"",IF(AGENT_INPUT!G169&gt;=SUMIFS(BONUS_RULES!$E$5:$E$46,BONUS_RULES!$A$5:$A$46,$C169,BONUS_RULES!$B$5:$B$46,"Extra Bonus (PCS Score)"),SUMIFS(BONUS_RULES!$D$5:$D$46,BONUS_RULES!$A$5:$A$46,$C169,BONUS_RULES!$B$5:$B$46,"Extra Bonus (PCS Score)"),IF(AGENT_INPUT!G169&gt;=SUMIFS(BONUS_RULES!$G$5:$G$46,BONUS_RULES!$A$5:$A$46,$C169,BONUS_RULES!$B$5:$B$46,"Extra Bonus (PCS Score)"),SUMIFS(BONUS_RULES!$F$5:$F$46,BONUS_RULES!$A$5:$A$46,$C169,BONUS_RULES!$B$5:$B$46,"Extra Bonus (PCS Score)"),0)))</f>
        <v>0.0</v>
      </c>
      <c r="M169" s="10">
        <f>IF($A169="","",MIN(IF(POLICY_APPROVAL!$B$6="Replacement",SUM(F169:K169)-H169+MAX(H169,L169),SUM(F169:L169)),POLICY_APPROVAL!$B$10))</f>
        <v>0.15</v>
      </c>
      <c r="N169" s="10">
        <f>IF($A169="","",IFERROR(INDEX(BONUS_RULES!$J$5:$J$10,MATCH(MIN(MAX(AGENT_INPUT!K169,0),5),BONUS_RULES!$I$5:$I$10,0)),1))</f>
        <v>0</v>
      </c>
      <c r="O169" s="10">
        <f>IF(M169="","",MAX(0,IF(POLICY_APPROVAL!$B$5="Percentage points",M169-N169,M169*(1-N169))))</f>
        <v>0.15</v>
      </c>
      <c r="P169" s="11">
        <f>IF(D169&lt;&gt;"READY","",IF(AGENT_INPUT!O169&gt;0,AGENT_INPUT!O169,AGENT_INPUT!M169*AGENT_INPUT!N169/IF(POLICY_APPROVAL!$B$7="Annual",12,1)))</f>
        <v>2000.0</v>
      </c>
      <c r="Q169" s="10">
        <f>IF(D169&lt;&gt;"READY","",MIN(1,AGENT_INPUT!P169/AGENT_INPUT!Q169))</f>
        <v>1.0</v>
      </c>
      <c r="R169" s="11">
        <f>IF(D169&lt;&gt;"READY","",ROUND(P169*Q169*O169,IF(POLICY_APPROVAL!$B$11="Whole MAD",0,2)))</f>
        <v>300.0</v>
      </c>
      <c r="S169" s="11">
        <f>IF(AND(SETUP!$B$9="READY",T169="READY"),R169,"")</f>
        <v/>
      </c>
      <c r="T169" s="4" t="str">
        <f>IF($A169="","",IF(D169&lt;&gt;"READY","BLOCKED - INPUT",IF(E169&lt;&gt;"ELIGIBLE","BLOCKED - ELIGIBILITY",IF(AGENT_INPUT!S169&lt;&gt;"VALIDATED","BLOCKED - DATA",IF(SETUP!$B$9&lt;&gt;"READY","BLOCKED - POLICY","READY")))))</f>
        <v>BLOCKED - ELIGIBILITY</v>
      </c>
      <c r="U169" s="4" t="str">
        <f>IF($A169="","",IF(COUNTIFS(AGENT_INPUT!$A$5:$A$254,$A169,AGENT_INPUT!$D$5:$D$254,AGENT_INPUT!D169)&gt;1,"DUPLICATE AGENT + PERIOD",IF(D169&lt;&gt;"READY","INPUT OR CONFIG REVIEW",IF(T169&lt;&gt;"READY",T169,""))))</f>
        <v>BLOCKED - ELIGIBILITY</v>
      </c>
    </row>
    <row r="170" spans="1:21">
      <c r="A170" s="4">
        <f>IF(AGENT_INPUT!A170="","",AGENT_INPUT!A170)</f>
        <v>96528</v>
      </c>
      <c r="B170" s="4" t="str">
        <f>IF($A170="","",AGENT_INPUT!B170)</f>
        <v>BEN SALAH Abdelali</v>
      </c>
      <c r="C170" s="4" t="str">
        <f>IF($A170="","",AGENT_INPUT!C170)</f>
        <v>RSA NL</v>
      </c>
      <c r="D170" s="4" t="str">
        <f>IF($A170="","",IF(AND(COUNT(AGENT_INPUT!E170:J170)=6,COUNT(AGENT_INPUT!K170)=1,COUNTIF(BONUS_RULES!$A$5:$A$46,AGENT_INPUT!C170)&gt;0,OR(AGENT_INPUT!O170&gt;0,AND(AGENT_INPUT!M170&gt;0,AGENT_INPUT!N170&gt;0)),AGENT_INPUT!P170&gt;=0,AGENT_INPUT!Q170&gt;0,AGENT_INPUT!P170&lt;=AGENT_INPUT!Q170,AGENT_INPUT!H170&gt;=0,AGENT_INPUT!H170&lt;=1,AGENT_INPUT!I170&gt;=0,AGENT_INPUT!I170&lt;=1,AGENT_INPUT!J170&gt;=0,AGENT_INPUT!J170&lt;=1),"READY","BLOCKED"))</f>
        <v>READY</v>
      </c>
      <c r="E170" s="4" t="str">
        <f>IF($A170="","",IF(AGENT_INPUT!R170&lt;&gt;"Active","REVIEW",IF(OR(POLICY_APPROVAL!$B$9="Eligibility only",POLICY_APPROVAL!$B$9="Both"),IF(AGENT_INPUT!J170&lt;=SUMIFS(BONUS_RULES!$E$5:$E$46,BONUS_RULES!$A$5:$A$46,$C170,BONUS_RULES!$B$5:$B$46,"Abs%"),"ELIGIBLE","INELIGIBLE ABS"),"ELIGIBLE")))</f>
        <v>REVIEW</v>
      </c>
      <c r="F170" s="10">
        <f>IF(OR($A170="",$D170&lt;&gt;"READY"),"",IF(AGENT_INPUT!E170&lt;=SUMIFS(BONUS_RULES!$E$5:$E$46,BONUS_RULES!$A$5:$A$46,$C170,BONUS_RULES!$B$5:$B$46,"AHT"),SUMIFS(BONUS_RULES!$D$5:$D$46,BONUS_RULES!$A$5:$A$46,$C170,BONUS_RULES!$B$5:$B$46,"AHT"),IF(AGENT_INPUT!E170&lt;=SUMIFS(BONUS_RULES!$G$5:$G$46,BONUS_RULES!$A$5:$A$46,$C170,BONUS_RULES!$B$5:$B$46,"AHT"),SUMIFS(BONUS_RULES!$F$5:$F$46,BONUS_RULES!$A$5:$A$46,$C170,BONUS_RULES!$B$5:$B$46,"AHT"),0)))</f>
        <v>0.15</v>
      </c>
      <c r="G170" s="10">
        <f>IF(OR($A170="",$D170&lt;&gt;"READY"),"",IF(AGENT_INPUT!F170&gt;=SUMIFS(BONUS_RULES!$E$5:$E$46,BONUS_RULES!$A$5:$A$46,$C170,BONUS_RULES!$B$5:$B$46,"Productivity"),SUMIFS(BONUS_RULES!$D$5:$D$46,BONUS_RULES!$A$5:$A$46,$C170,BONUS_RULES!$B$5:$B$46,"Productivity"),IF(AGENT_INPUT!F170&gt;=SUMIFS(BONUS_RULES!$G$5:$G$46,BONUS_RULES!$A$5:$A$46,$C170,BONUS_RULES!$B$5:$B$46,"Productivity"),SUMIFS(BONUS_RULES!$F$5:$F$46,BONUS_RULES!$A$5:$A$46,$C170,BONUS_RULES!$B$5:$B$46,"Productivity"),0)))</f>
        <v>0.15</v>
      </c>
      <c r="H170" s="10">
        <f>IF(OR($A170="",$D170&lt;&gt;"READY"),"",IF(AGENT_INPUT!G170&gt;=SUMIFS(BONUS_RULES!$E$5:$E$46,BONUS_RULES!$A$5:$A$46,$C170,BONUS_RULES!$B$5:$B$46,"PCS Score"),SUMIFS(BONUS_RULES!$D$5:$D$46,BONUS_RULES!$A$5:$A$46,$C170,BONUS_RULES!$B$5:$B$46,"PCS Score"),IF(AGENT_INPUT!G170&gt;=SUMIFS(BONUS_RULES!$G$5:$G$46,BONUS_RULES!$A$5:$A$46,$C170,BONUS_RULES!$B$5:$B$46,"PCS Score"),SUMIFS(BONUS_RULES!$F$5:$F$46,BONUS_RULES!$A$5:$A$46,$C170,BONUS_RULES!$B$5:$B$46,"PCS Score"),0)))</f>
        <v>0.0</v>
      </c>
      <c r="I170" s="10">
        <f>IF(OR($A170="",$D170&lt;&gt;"READY"),"",IF(AGENT_INPUT!H170&gt;=SUMIFS(BONUS_RULES!$E$5:$E$46,BONUS_RULES!$A$5:$A$46,$C170,BONUS_RULES!$B$5:$B$46,"PCS % (Participation)"),SUMIFS(BONUS_RULES!$D$5:$D$46,BONUS_RULES!$A$5:$A$46,$C170,BONUS_RULES!$B$5:$B$46,"PCS % (Participation)"),IF(AGENT_INPUT!H170&gt;=SUMIFS(BONUS_RULES!$G$5:$G$46,BONUS_RULES!$A$5:$A$46,$C170,BONUS_RULES!$B$5:$B$46,"PCS % (Participation)"),SUMIFS(BONUS_RULES!$F$5:$F$46,BONUS_RULES!$A$5:$A$46,$C170,BONUS_RULES!$B$5:$B$46,"PCS % (Participation)"),0)))</f>
        <v>0.0</v>
      </c>
      <c r="J170" s="10">
        <f>IF(OR($A170="",$D170&lt;&gt;"READY"),"",IF(AGENT_INPUT!I170&gt;=SUMIFS(BONUS_RULES!$E$5:$E$46,BONUS_RULES!$A$5:$A$46,$C170,BONUS_RULES!$B$5:$B$46,"QM"),SUMIFS(BONUS_RULES!$D$5:$D$46,BONUS_RULES!$A$5:$A$46,$C170,BONUS_RULES!$B$5:$B$46,"QM"),IF(AGENT_INPUT!I170&gt;=SUMIFS(BONUS_RULES!$G$5:$G$46,BONUS_RULES!$A$5:$A$46,$C170,BONUS_RULES!$B$5:$B$46,"QM"),SUMIFS(BONUS_RULES!$F$5:$F$46,BONUS_RULES!$A$5:$A$46,$C170,BONUS_RULES!$B$5:$B$46,"QM"),0)))</f>
        <v>0.0</v>
      </c>
      <c r="K170" s="10">
        <f>IF(POLICY_APPROVAL!$B$9="Eligibility only",0,IF(OR($A170="",$D170&lt;&gt;"READY"),"",IF(AGENT_INPUT!J170&lt;=SUMIFS(BONUS_RULES!$E$5:$E$46,BONUS_RULES!$A$5:$A$46,$C170,BONUS_RULES!$B$5:$B$46,"Abs%"),SUMIFS(BONUS_RULES!$D$5:$D$46,BONUS_RULES!$A$5:$A$46,$C170,BONUS_RULES!$B$5:$B$46,"Abs%"),IF(AGENT_INPUT!J170&lt;=SUMIFS(BONUS_RULES!$G$5:$G$46,BONUS_RULES!$A$5:$A$46,$C170,BONUS_RULES!$B$5:$B$46,"Abs%"),SUMIFS(BONUS_RULES!$F$5:$F$46,BONUS_RULES!$A$5:$A$46,$C170,BONUS_RULES!$B$5:$B$46,"Abs%"),0))))</f>
        <v>0.15</v>
      </c>
      <c r="L170" s="10">
        <f>IF(OR($A170="",$D170&lt;&gt;"READY"),"",IF(AGENT_INPUT!G170&gt;=SUMIFS(BONUS_RULES!$E$5:$E$46,BONUS_RULES!$A$5:$A$46,$C170,BONUS_RULES!$B$5:$B$46,"Extra Bonus (PCS Score)"),SUMIFS(BONUS_RULES!$D$5:$D$46,BONUS_RULES!$A$5:$A$46,$C170,BONUS_RULES!$B$5:$B$46,"Extra Bonus (PCS Score)"),IF(AGENT_INPUT!G170&gt;=SUMIFS(BONUS_RULES!$G$5:$G$46,BONUS_RULES!$A$5:$A$46,$C170,BONUS_RULES!$B$5:$B$46,"Extra Bonus (PCS Score)"),SUMIFS(BONUS_RULES!$F$5:$F$46,BONUS_RULES!$A$5:$A$46,$C170,BONUS_RULES!$B$5:$B$46,"Extra Bonus (PCS Score)"),0)))</f>
        <v>0.0</v>
      </c>
      <c r="M170" s="10">
        <f>IF($A170="","",MIN(IF(POLICY_APPROVAL!$B$6="Replacement",SUM(F170:K170)-H170+MAX(H170,L170),SUM(F170:L170)),POLICY_APPROVAL!$B$10))</f>
        <v>0.44999999999999996</v>
      </c>
      <c r="N170" s="10">
        <f>IF($A170="","",IFERROR(INDEX(BONUS_RULES!$J$5:$J$10,MATCH(MIN(MAX(AGENT_INPUT!K170,0),5),BONUS_RULES!$I$5:$I$10,0)),1))</f>
        <v>0</v>
      </c>
      <c r="O170" s="10">
        <f>IF(M170="","",MAX(0,IF(POLICY_APPROVAL!$B$5="Percentage points",M170-N170,M170*(1-N170))))</f>
        <v>0.44999999999999996</v>
      </c>
      <c r="P170" s="11">
        <f>IF(D170&lt;&gt;"READY","",IF(AGENT_INPUT!O170&gt;0,AGENT_INPUT!O170,AGENT_INPUT!M170*AGENT_INPUT!N170/IF(POLICY_APPROVAL!$B$7="Annual",12,1)))</f>
        <v>2000.0</v>
      </c>
      <c r="Q170" s="10">
        <f>IF(D170&lt;&gt;"READY","",MIN(1,AGENT_INPUT!P170/AGENT_INPUT!Q170))</f>
        <v>1.0</v>
      </c>
      <c r="R170" s="11">
        <f>IF(D170&lt;&gt;"READY","",ROUND(P170*Q170*O170,IF(POLICY_APPROVAL!$B$11="Whole MAD",0,2)))</f>
        <v>900.0</v>
      </c>
      <c r="S170" s="11">
        <f>IF(AND(SETUP!$B$9="READY",T170="READY"),R170,"")</f>
        <v/>
      </c>
      <c r="T170" s="4" t="str">
        <f>IF($A170="","",IF(D170&lt;&gt;"READY","BLOCKED - INPUT",IF(E170&lt;&gt;"ELIGIBLE","BLOCKED - ELIGIBILITY",IF(AGENT_INPUT!S170&lt;&gt;"VALIDATED","BLOCKED - DATA",IF(SETUP!$B$9&lt;&gt;"READY","BLOCKED - POLICY","READY")))))</f>
        <v>BLOCKED - ELIGIBILITY</v>
      </c>
      <c r="U170" s="4" t="str">
        <f>IF($A170="","",IF(COUNTIFS(AGENT_INPUT!$A$5:$A$254,$A170,AGENT_INPUT!$D$5:$D$254,AGENT_INPUT!D170)&gt;1,"DUPLICATE AGENT + PERIOD",IF(D170&lt;&gt;"READY","INPUT OR CONFIG REVIEW",IF(T170&lt;&gt;"READY",T170,""))))</f>
        <v>BLOCKED - ELIGIBILITY</v>
      </c>
    </row>
    <row r="171" spans="1:21">
      <c r="A171" s="4">
        <f>IF(AGENT_INPUT!A171="","",AGENT_INPUT!A171)</f>
        <v>247912</v>
      </c>
      <c r="B171" s="4" t="str">
        <f>IF($A171="","",AGENT_INPUT!B171)</f>
        <v>Abdel Halim Pakhrou</v>
      </c>
      <c r="C171" s="4" t="str">
        <f>IF($A171="","",AGENT_INPUT!C171)</f>
        <v>RSA NL</v>
      </c>
      <c r="D171" s="4" t="str">
        <f>IF($A171="","",IF(AND(COUNT(AGENT_INPUT!E171:J171)=6,COUNT(AGENT_INPUT!K171)=1,COUNTIF(BONUS_RULES!$A$5:$A$46,AGENT_INPUT!C171)&gt;0,OR(AGENT_INPUT!O171&gt;0,AND(AGENT_INPUT!M171&gt;0,AGENT_INPUT!N171&gt;0)),AGENT_INPUT!P171&gt;=0,AGENT_INPUT!Q171&gt;0,AGENT_INPUT!P171&lt;=AGENT_INPUT!Q171,AGENT_INPUT!H171&gt;=0,AGENT_INPUT!H171&lt;=1,AGENT_INPUT!I171&gt;=0,AGENT_INPUT!I171&lt;=1,AGENT_INPUT!J171&gt;=0,AGENT_INPUT!J171&lt;=1),"READY","BLOCKED"))</f>
        <v>BLOCKED</v>
      </c>
      <c r="E171" s="4">
        <f>IF($A171="","",IF(AGENT_INPUT!R171&lt;&gt;"Active","REVIEW",IF(OR(POLICY_APPROVAL!$B$9="Eligibility only",POLICY_APPROVAL!$B$9="Both"),IF(AGENT_INPUT!J171&lt;=SUMIFS(BONUS_RULES!$E$5:$E$46,BONUS_RULES!$A$5:$A$46,$C171,BONUS_RULES!$B$5:$B$46,"Abs%"),"ELIGIBLE","INELIGIBLE ABS"),"ELIGIBLE")))</f>
        <v/>
      </c>
      <c r="F171" s="10">
        <f>IF(OR($A171="",$D171&lt;&gt;"READY"),"",IF(AGENT_INPUT!E171&lt;=SUMIFS(BONUS_RULES!$E$5:$E$46,BONUS_RULES!$A$5:$A$46,$C171,BONUS_RULES!$B$5:$B$46,"AHT"),SUMIFS(BONUS_RULES!$D$5:$D$46,BONUS_RULES!$A$5:$A$46,$C171,BONUS_RULES!$B$5:$B$46,"AHT"),IF(AGENT_INPUT!E171&lt;=SUMIFS(BONUS_RULES!$G$5:$G$46,BONUS_RULES!$A$5:$A$46,$C171,BONUS_RULES!$B$5:$B$46,"AHT"),SUMIFS(BONUS_RULES!$F$5:$F$46,BONUS_RULES!$A$5:$A$46,$C171,BONUS_RULES!$B$5:$B$46,"AHT"),0)))</f>
        <v/>
      </c>
      <c r="G171" s="10">
        <f>IF(OR($A171="",$D171&lt;&gt;"READY"),"",IF(AGENT_INPUT!F171&gt;=SUMIFS(BONUS_RULES!$E$5:$E$46,BONUS_RULES!$A$5:$A$46,$C171,BONUS_RULES!$B$5:$B$46,"Productivity"),SUMIFS(BONUS_RULES!$D$5:$D$46,BONUS_RULES!$A$5:$A$46,$C171,BONUS_RULES!$B$5:$B$46,"Productivity"),IF(AGENT_INPUT!F171&gt;=SUMIFS(BONUS_RULES!$G$5:$G$46,BONUS_RULES!$A$5:$A$46,$C171,BONUS_RULES!$B$5:$B$46,"Productivity"),SUMIFS(BONUS_RULES!$F$5:$F$46,BONUS_RULES!$A$5:$A$46,$C171,BONUS_RULES!$B$5:$B$46,"Productivity"),0)))</f>
        <v/>
      </c>
      <c r="H171" s="10">
        <f>IF(OR($A171="",$D171&lt;&gt;"READY"),"",IF(AGENT_INPUT!G171&gt;=SUMIFS(BONUS_RULES!$E$5:$E$46,BONUS_RULES!$A$5:$A$46,$C171,BONUS_RULES!$B$5:$B$46,"PCS Score"),SUMIFS(BONUS_RULES!$D$5:$D$46,BONUS_RULES!$A$5:$A$46,$C171,BONUS_RULES!$B$5:$B$46,"PCS Score"),IF(AGENT_INPUT!G171&gt;=SUMIFS(BONUS_RULES!$G$5:$G$46,BONUS_RULES!$A$5:$A$46,$C171,BONUS_RULES!$B$5:$B$46,"PCS Score"),SUMIFS(BONUS_RULES!$F$5:$F$46,BONUS_RULES!$A$5:$A$46,$C171,BONUS_RULES!$B$5:$B$46,"PCS Score"),0)))</f>
        <v/>
      </c>
      <c r="I171" s="10">
        <f>IF(OR($A171="",$D171&lt;&gt;"READY"),"",IF(AGENT_INPUT!H171&gt;=SUMIFS(BONUS_RULES!$E$5:$E$46,BONUS_RULES!$A$5:$A$46,$C171,BONUS_RULES!$B$5:$B$46,"PCS % (Participation)"),SUMIFS(BONUS_RULES!$D$5:$D$46,BONUS_RULES!$A$5:$A$46,$C171,BONUS_RULES!$B$5:$B$46,"PCS % (Participation)"),IF(AGENT_INPUT!H171&gt;=SUMIFS(BONUS_RULES!$G$5:$G$46,BONUS_RULES!$A$5:$A$46,$C171,BONUS_RULES!$B$5:$B$46,"PCS % (Participation)"),SUMIFS(BONUS_RULES!$F$5:$F$46,BONUS_RULES!$A$5:$A$46,$C171,BONUS_RULES!$B$5:$B$46,"PCS % (Participation)"),0)))</f>
        <v/>
      </c>
      <c r="J171" s="10">
        <f>IF(OR($A171="",$D171&lt;&gt;"READY"),"",IF(AGENT_INPUT!I171&gt;=SUMIFS(BONUS_RULES!$E$5:$E$46,BONUS_RULES!$A$5:$A$46,$C171,BONUS_RULES!$B$5:$B$46,"QM"),SUMIFS(BONUS_RULES!$D$5:$D$46,BONUS_RULES!$A$5:$A$46,$C171,BONUS_RULES!$B$5:$B$46,"QM"),IF(AGENT_INPUT!I171&gt;=SUMIFS(BONUS_RULES!$G$5:$G$46,BONUS_RULES!$A$5:$A$46,$C171,BONUS_RULES!$B$5:$B$46,"QM"),SUMIFS(BONUS_RULES!$F$5:$F$46,BONUS_RULES!$A$5:$A$46,$C171,BONUS_RULES!$B$5:$B$46,"QM"),0)))</f>
        <v/>
      </c>
      <c r="K171" s="10">
        <f>IF(POLICY_APPROVAL!$B$9="Eligibility only",0,IF(OR($A171="",$D171&lt;&gt;"READY"),"",IF(AGENT_INPUT!J171&lt;=SUMIFS(BONUS_RULES!$E$5:$E$46,BONUS_RULES!$A$5:$A$46,$C171,BONUS_RULES!$B$5:$B$46,"Abs%"),SUMIFS(BONUS_RULES!$D$5:$D$46,BONUS_RULES!$A$5:$A$46,$C171,BONUS_RULES!$B$5:$B$46,"Abs%"),IF(AGENT_INPUT!J171&lt;=SUMIFS(BONUS_RULES!$G$5:$G$46,BONUS_RULES!$A$5:$A$46,$C171,BONUS_RULES!$B$5:$B$46,"Abs%"),SUMIFS(BONUS_RULES!$F$5:$F$46,BONUS_RULES!$A$5:$A$46,$C171,BONUS_RULES!$B$5:$B$46,"Abs%"),0))))</f>
        <v/>
      </c>
      <c r="L171" s="10">
        <f>IF(OR($A171="",$D171&lt;&gt;"READY"),"",IF(AGENT_INPUT!G171&gt;=SUMIFS(BONUS_RULES!$E$5:$E$46,BONUS_RULES!$A$5:$A$46,$C171,BONUS_RULES!$B$5:$B$46,"Extra Bonus (PCS Score)"),SUMIFS(BONUS_RULES!$D$5:$D$46,BONUS_RULES!$A$5:$A$46,$C171,BONUS_RULES!$B$5:$B$46,"Extra Bonus (PCS Score)"),IF(AGENT_INPUT!G171&gt;=SUMIFS(BONUS_RULES!$G$5:$G$46,BONUS_RULES!$A$5:$A$46,$C171,BONUS_RULES!$B$5:$B$46,"Extra Bonus (PCS Score)"),SUMIFS(BONUS_RULES!$F$5:$F$46,BONUS_RULES!$A$5:$A$46,$C171,BONUS_RULES!$B$5:$B$46,"Extra Bonus (PCS Score)"),0)))</f>
        <v/>
      </c>
      <c r="M171" s="10">
        <f>IF($A171="","",MIN(IF(POLICY_APPROVAL!$B$6="Replacement",SUM(F171:K171)-H171+MAX(H171,L171),SUM(F171:L171)),POLICY_APPROVAL!$B$10))</f>
        <v>0</v>
      </c>
      <c r="N171" s="10">
        <f>IF($A171="","",IFERROR(INDEX(BONUS_RULES!$J$5:$J$10,MATCH(MIN(MAX(AGENT_INPUT!K171,0),5),BONUS_RULES!$I$5:$I$10,0)),1))</f>
        <v>0</v>
      </c>
      <c r="O171" s="10">
        <f>IF(M171="","",MAX(0,IF(POLICY_APPROVAL!$B$5="Percentage points",M171-N171,M171*(1-N171))))</f>
        <v>0</v>
      </c>
      <c r="P171" s="11">
        <f>IF(D171&lt;&gt;"READY","",IF(AGENT_INPUT!O171&gt;0,AGENT_INPUT!O171,AGENT_INPUT!M171*AGENT_INPUT!N171/IF(POLICY_APPROVAL!$B$7="Annual",12,1)))</f>
        <v/>
      </c>
      <c r="Q171" s="10">
        <f>IF(D171&lt;&gt;"READY","",MIN(1,AGENT_INPUT!P171/AGENT_INPUT!Q171))</f>
        <v/>
      </c>
      <c r="R171" s="11">
        <f>IF(D171&lt;&gt;"READY","",ROUND(P171*Q171*O171,IF(POLICY_APPROVAL!$B$11="Whole MAD",0,2)))</f>
        <v/>
      </c>
      <c r="S171" s="11">
        <f>IF(AND(SETUP!$B$9="READY",T171="READY"),R171,"")</f>
        <v/>
      </c>
      <c r="T171" s="4" t="str">
        <f>IF($A171="","",IF(D171&lt;&gt;"READY","BLOCKED - INPUT",IF(E171&lt;&gt;"ELIGIBLE","BLOCKED - ELIGIBILITY",IF(AGENT_INPUT!S171&lt;&gt;"VALIDATED","BLOCKED - DATA",IF(SETUP!$B$9&lt;&gt;"READY","BLOCKED - POLICY","READY")))))</f>
        <v>BLOCKED - INPUT</v>
      </c>
      <c r="U171" s="4" t="str">
        <f>IF($A171="","",IF(COUNTIFS(AGENT_INPUT!$A$5:$A$254,$A171,AGENT_INPUT!$D$5:$D$254,AGENT_INPUT!D171)&gt;1,"DUPLICATE AGENT + PERIOD",IF(D171&lt;&gt;"READY","INPUT OR CONFIG REVIEW",IF(T171&lt;&gt;"READY",T171,""))))</f>
        <v>Missing, invalid, or unconfigured required input</v>
      </c>
    </row>
    <row r="172" spans="1:21">
      <c r="A172" s="4">
        <f>IF(AGENT_INPUT!A172="","",AGENT_INPUT!A172)</f>
        <v/>
      </c>
      <c r="B172" s="4">
        <f>IF($A172="","",AGENT_INPUT!B172)</f>
        <v/>
      </c>
      <c r="C172" s="4">
        <f>IF($A172="","",AGENT_INPUT!C172)</f>
        <v/>
      </c>
      <c r="D172" s="4">
        <f>IF($A172="","",IF(AND(COUNT(AGENT_INPUT!E172:J172)=6,COUNT(AGENT_INPUT!K172)=1,COUNTIF(BONUS_RULES!$A$5:$A$46,AGENT_INPUT!C172)&gt;0,OR(AGENT_INPUT!O172&gt;0,AND(AGENT_INPUT!M172&gt;0,AGENT_INPUT!N172&gt;0)),AGENT_INPUT!P172&gt;=0,AGENT_INPUT!Q172&gt;0,AGENT_INPUT!P172&lt;=AGENT_INPUT!Q172,AGENT_INPUT!H172&gt;=0,AGENT_INPUT!H172&lt;=1,AGENT_INPUT!I172&gt;=0,AGENT_INPUT!I172&lt;=1,AGENT_INPUT!J172&gt;=0,AGENT_INPUT!J172&lt;=1),"READY","BLOCKED"))</f>
        <v/>
      </c>
      <c r="E172" s="4">
        <f>IF($A172="","",IF(AGENT_INPUT!R172&lt;&gt;"Active","REVIEW",IF(OR(POLICY_APPROVAL!$B$9="Eligibility only",POLICY_APPROVAL!$B$9="Both"),IF(AGENT_INPUT!J172&lt;=SUMIFS(BONUS_RULES!$E$5:$E$46,BONUS_RULES!$A$5:$A$46,$C172,BONUS_RULES!$B$5:$B$46,"Abs%"),"ELIGIBLE","INELIGIBLE ABS"),"ELIGIBLE")))</f>
        <v/>
      </c>
      <c r="F172" s="10">
        <f>IF(OR($A172="",$D172&lt;&gt;"READY"),"",IF(AGENT_INPUT!E172&lt;=SUMIFS(BONUS_RULES!$E$5:$E$46,BONUS_RULES!$A$5:$A$46,$C172,BONUS_RULES!$B$5:$B$46,"AHT"),SUMIFS(BONUS_RULES!$D$5:$D$46,BONUS_RULES!$A$5:$A$46,$C172,BONUS_RULES!$B$5:$B$46,"AHT"),IF(AGENT_INPUT!E172&lt;=SUMIFS(BONUS_RULES!$G$5:$G$46,BONUS_RULES!$A$5:$A$46,$C172,BONUS_RULES!$B$5:$B$46,"AHT"),SUMIFS(BONUS_RULES!$F$5:$F$46,BONUS_RULES!$A$5:$A$46,$C172,BONUS_RULES!$B$5:$B$46,"AHT"),0)))</f>
        <v/>
      </c>
      <c r="G172" s="10">
        <f>IF(OR($A172="",$D172&lt;&gt;"READY"),"",IF(AGENT_INPUT!F172&gt;=SUMIFS(BONUS_RULES!$E$5:$E$46,BONUS_RULES!$A$5:$A$46,$C172,BONUS_RULES!$B$5:$B$46,"Productivity"),SUMIFS(BONUS_RULES!$D$5:$D$46,BONUS_RULES!$A$5:$A$46,$C172,BONUS_RULES!$B$5:$B$46,"Productivity"),IF(AGENT_INPUT!F172&gt;=SUMIFS(BONUS_RULES!$G$5:$G$46,BONUS_RULES!$A$5:$A$46,$C172,BONUS_RULES!$B$5:$B$46,"Productivity"),SUMIFS(BONUS_RULES!$F$5:$F$46,BONUS_RULES!$A$5:$A$46,$C172,BONUS_RULES!$B$5:$B$46,"Productivity"),0)))</f>
        <v/>
      </c>
      <c r="H172" s="10">
        <f>IF(OR($A172="",$D172&lt;&gt;"READY"),"",IF(AGENT_INPUT!G172&gt;=SUMIFS(BONUS_RULES!$E$5:$E$46,BONUS_RULES!$A$5:$A$46,$C172,BONUS_RULES!$B$5:$B$46,"PCS Score"),SUMIFS(BONUS_RULES!$D$5:$D$46,BONUS_RULES!$A$5:$A$46,$C172,BONUS_RULES!$B$5:$B$46,"PCS Score"),IF(AGENT_INPUT!G172&gt;=SUMIFS(BONUS_RULES!$G$5:$G$46,BONUS_RULES!$A$5:$A$46,$C172,BONUS_RULES!$B$5:$B$46,"PCS Score"),SUMIFS(BONUS_RULES!$F$5:$F$46,BONUS_RULES!$A$5:$A$46,$C172,BONUS_RULES!$B$5:$B$46,"PCS Score"),0)))</f>
        <v/>
      </c>
      <c r="I172" s="10">
        <f>IF(OR($A172="",$D172&lt;&gt;"READY"),"",IF(AGENT_INPUT!H172&gt;=SUMIFS(BONUS_RULES!$E$5:$E$46,BONUS_RULES!$A$5:$A$46,$C172,BONUS_RULES!$B$5:$B$46,"PCS % (Participation)"),SUMIFS(BONUS_RULES!$D$5:$D$46,BONUS_RULES!$A$5:$A$46,$C172,BONUS_RULES!$B$5:$B$46,"PCS % (Participation)"),IF(AGENT_INPUT!H172&gt;=SUMIFS(BONUS_RULES!$G$5:$G$46,BONUS_RULES!$A$5:$A$46,$C172,BONUS_RULES!$B$5:$B$46,"PCS % (Participation)"),SUMIFS(BONUS_RULES!$F$5:$F$46,BONUS_RULES!$A$5:$A$46,$C172,BONUS_RULES!$B$5:$B$46,"PCS % (Participation)"),0)))</f>
        <v/>
      </c>
      <c r="J172" s="10">
        <f>IF(OR($A172="",$D172&lt;&gt;"READY"),"",IF(AGENT_INPUT!I172&gt;=SUMIFS(BONUS_RULES!$E$5:$E$46,BONUS_RULES!$A$5:$A$46,$C172,BONUS_RULES!$B$5:$B$46,"QM"),SUMIFS(BONUS_RULES!$D$5:$D$46,BONUS_RULES!$A$5:$A$46,$C172,BONUS_RULES!$B$5:$B$46,"QM"),IF(AGENT_INPUT!I172&gt;=SUMIFS(BONUS_RULES!$G$5:$G$46,BONUS_RULES!$A$5:$A$46,$C172,BONUS_RULES!$B$5:$B$46,"QM"),SUMIFS(BONUS_RULES!$F$5:$F$46,BONUS_RULES!$A$5:$A$46,$C172,BONUS_RULES!$B$5:$B$46,"QM"),0)))</f>
        <v/>
      </c>
      <c r="K172" s="10">
        <f>IF(POLICY_APPROVAL!$B$9="Eligibility only",0,IF(OR($A172="",$D172&lt;&gt;"READY"),"",IF(AGENT_INPUT!J172&lt;=SUMIFS(BONUS_RULES!$E$5:$E$46,BONUS_RULES!$A$5:$A$46,$C172,BONUS_RULES!$B$5:$B$46,"Abs%"),SUMIFS(BONUS_RULES!$D$5:$D$46,BONUS_RULES!$A$5:$A$46,$C172,BONUS_RULES!$B$5:$B$46,"Abs%"),IF(AGENT_INPUT!J172&lt;=SUMIFS(BONUS_RULES!$G$5:$G$46,BONUS_RULES!$A$5:$A$46,$C172,BONUS_RULES!$B$5:$B$46,"Abs%"),SUMIFS(BONUS_RULES!$F$5:$F$46,BONUS_RULES!$A$5:$A$46,$C172,BONUS_RULES!$B$5:$B$46,"Abs%"),0))))</f>
        <v/>
      </c>
      <c r="L172" s="10">
        <f>IF(OR($A172="",$D172&lt;&gt;"READY"),"",IF(AGENT_INPUT!G172&gt;=SUMIFS(BONUS_RULES!$E$5:$E$46,BONUS_RULES!$A$5:$A$46,$C172,BONUS_RULES!$B$5:$B$46,"Extra Bonus (PCS Score)"),SUMIFS(BONUS_RULES!$D$5:$D$46,BONUS_RULES!$A$5:$A$46,$C172,BONUS_RULES!$B$5:$B$46,"Extra Bonus (PCS Score)"),IF(AGENT_INPUT!G172&gt;=SUMIFS(BONUS_RULES!$G$5:$G$46,BONUS_RULES!$A$5:$A$46,$C172,BONUS_RULES!$B$5:$B$46,"Extra Bonus (PCS Score)"),SUMIFS(BONUS_RULES!$F$5:$F$46,BONUS_RULES!$A$5:$A$46,$C172,BONUS_RULES!$B$5:$B$46,"Extra Bonus (PCS Score)"),0)))</f>
        <v/>
      </c>
      <c r="M172" s="10">
        <f>IF($A172="","",MIN(IF(POLICY_APPROVAL!$B$6="Replacement",SUM(F172:K172)-H172+MAX(H172,L172),SUM(F172:L172)),POLICY_APPROVAL!$B$10))</f>
        <v/>
      </c>
      <c r="N172" s="10">
        <f>IF($A172="","",IFERROR(INDEX(BONUS_RULES!$J$5:$J$10,MATCH(MIN(MAX(AGENT_INPUT!K172,0),5),BONUS_RULES!$I$5:$I$10,0)),1))</f>
        <v/>
      </c>
      <c r="O172" s="10">
        <f>IF(M172="","",MAX(0,IF(POLICY_APPROVAL!$B$5="Percentage points",M172-N172,M172*(1-N172))))</f>
        <v/>
      </c>
      <c r="P172" s="11">
        <f>IF(D172&lt;&gt;"READY","",IF(AGENT_INPUT!O172&gt;0,AGENT_INPUT!O172,AGENT_INPUT!M172*AGENT_INPUT!N172/IF(POLICY_APPROVAL!$B$7="Annual",12,1)))</f>
        <v/>
      </c>
      <c r="Q172" s="10">
        <f>IF(D172&lt;&gt;"READY","",MIN(1,AGENT_INPUT!P172/AGENT_INPUT!Q172))</f>
        <v/>
      </c>
      <c r="R172" s="11">
        <f>IF(D172&lt;&gt;"READY","",ROUND(P172*Q172*O172,IF(POLICY_APPROVAL!$B$11="Whole MAD",0,2)))</f>
        <v/>
      </c>
      <c r="S172" s="11">
        <f>IF(AND(SETUP!$B$9="READY",T172="READY"),R172,"")</f>
        <v/>
      </c>
      <c r="T172" s="4">
        <f>IF($A172="","",IF(D172&lt;&gt;"READY","BLOCKED - INPUT",IF(E172&lt;&gt;"ELIGIBLE","BLOCKED - ELIGIBILITY",IF(AGENT_INPUT!S172&lt;&gt;"VALIDATED","BLOCKED - DATA",IF(SETUP!$B$9&lt;&gt;"READY","BLOCKED - POLICY","READY")))))</f>
        <v/>
      </c>
      <c r="U172" s="4">
        <f>IF($A172="","",IF(COUNTIFS(AGENT_INPUT!$A$5:$A$254,$A172,AGENT_INPUT!$D$5:$D$254,AGENT_INPUT!D172)&gt;1,"DUPLICATE AGENT + PERIOD",IF(D172&lt;&gt;"READY","INPUT OR CONFIG REVIEW",IF(T172&lt;&gt;"READY",T172,""))))</f>
        <v/>
      </c>
    </row>
    <row r="173" spans="1:21">
      <c r="A173" s="4">
        <f>IF(AGENT_INPUT!A173="","",AGENT_INPUT!A173)</f>
        <v/>
      </c>
      <c r="B173" s="4">
        <f>IF($A173="","",AGENT_INPUT!B173)</f>
        <v/>
      </c>
      <c r="C173" s="4">
        <f>IF($A173="","",AGENT_INPUT!C173)</f>
        <v/>
      </c>
      <c r="D173" s="4">
        <f>IF($A173="","",IF(AND(COUNT(AGENT_INPUT!E173:J173)=6,COUNT(AGENT_INPUT!K173)=1,COUNTIF(BONUS_RULES!$A$5:$A$46,AGENT_INPUT!C173)&gt;0,OR(AGENT_INPUT!O173&gt;0,AND(AGENT_INPUT!M173&gt;0,AGENT_INPUT!N173&gt;0)),AGENT_INPUT!P173&gt;=0,AGENT_INPUT!Q173&gt;0,AGENT_INPUT!P173&lt;=AGENT_INPUT!Q173,AGENT_INPUT!H173&gt;=0,AGENT_INPUT!H173&lt;=1,AGENT_INPUT!I173&gt;=0,AGENT_INPUT!I173&lt;=1,AGENT_INPUT!J173&gt;=0,AGENT_INPUT!J173&lt;=1),"READY","BLOCKED"))</f>
        <v/>
      </c>
      <c r="E173" s="4">
        <f>IF($A173="","",IF(AGENT_INPUT!R173&lt;&gt;"Active","REVIEW",IF(OR(POLICY_APPROVAL!$B$9="Eligibility only",POLICY_APPROVAL!$B$9="Both"),IF(AGENT_INPUT!J173&lt;=SUMIFS(BONUS_RULES!$E$5:$E$46,BONUS_RULES!$A$5:$A$46,$C173,BONUS_RULES!$B$5:$B$46,"Abs%"),"ELIGIBLE","INELIGIBLE ABS"),"ELIGIBLE")))</f>
        <v/>
      </c>
      <c r="F173" s="10">
        <f>IF(OR($A173="",$D173&lt;&gt;"READY"),"",IF(AGENT_INPUT!E173&lt;=SUMIFS(BONUS_RULES!$E$5:$E$46,BONUS_RULES!$A$5:$A$46,$C173,BONUS_RULES!$B$5:$B$46,"AHT"),SUMIFS(BONUS_RULES!$D$5:$D$46,BONUS_RULES!$A$5:$A$46,$C173,BONUS_RULES!$B$5:$B$46,"AHT"),IF(AGENT_INPUT!E173&lt;=SUMIFS(BONUS_RULES!$G$5:$G$46,BONUS_RULES!$A$5:$A$46,$C173,BONUS_RULES!$B$5:$B$46,"AHT"),SUMIFS(BONUS_RULES!$F$5:$F$46,BONUS_RULES!$A$5:$A$46,$C173,BONUS_RULES!$B$5:$B$46,"AHT"),0)))</f>
        <v/>
      </c>
      <c r="G173" s="10">
        <f>IF(OR($A173="",$D173&lt;&gt;"READY"),"",IF(AGENT_INPUT!F173&gt;=SUMIFS(BONUS_RULES!$E$5:$E$46,BONUS_RULES!$A$5:$A$46,$C173,BONUS_RULES!$B$5:$B$46,"Productivity"),SUMIFS(BONUS_RULES!$D$5:$D$46,BONUS_RULES!$A$5:$A$46,$C173,BONUS_RULES!$B$5:$B$46,"Productivity"),IF(AGENT_INPUT!F173&gt;=SUMIFS(BONUS_RULES!$G$5:$G$46,BONUS_RULES!$A$5:$A$46,$C173,BONUS_RULES!$B$5:$B$46,"Productivity"),SUMIFS(BONUS_RULES!$F$5:$F$46,BONUS_RULES!$A$5:$A$46,$C173,BONUS_RULES!$B$5:$B$46,"Productivity"),0)))</f>
        <v/>
      </c>
      <c r="H173" s="10">
        <f>IF(OR($A173="",$D173&lt;&gt;"READY"),"",IF(AGENT_INPUT!G173&gt;=SUMIFS(BONUS_RULES!$E$5:$E$46,BONUS_RULES!$A$5:$A$46,$C173,BONUS_RULES!$B$5:$B$46,"PCS Score"),SUMIFS(BONUS_RULES!$D$5:$D$46,BONUS_RULES!$A$5:$A$46,$C173,BONUS_RULES!$B$5:$B$46,"PCS Score"),IF(AGENT_INPUT!G173&gt;=SUMIFS(BONUS_RULES!$G$5:$G$46,BONUS_RULES!$A$5:$A$46,$C173,BONUS_RULES!$B$5:$B$46,"PCS Score"),SUMIFS(BONUS_RULES!$F$5:$F$46,BONUS_RULES!$A$5:$A$46,$C173,BONUS_RULES!$B$5:$B$46,"PCS Score"),0)))</f>
        <v/>
      </c>
      <c r="I173" s="10">
        <f>IF(OR($A173="",$D173&lt;&gt;"READY"),"",IF(AGENT_INPUT!H173&gt;=SUMIFS(BONUS_RULES!$E$5:$E$46,BONUS_RULES!$A$5:$A$46,$C173,BONUS_RULES!$B$5:$B$46,"PCS % (Participation)"),SUMIFS(BONUS_RULES!$D$5:$D$46,BONUS_RULES!$A$5:$A$46,$C173,BONUS_RULES!$B$5:$B$46,"PCS % (Participation)"),IF(AGENT_INPUT!H173&gt;=SUMIFS(BONUS_RULES!$G$5:$G$46,BONUS_RULES!$A$5:$A$46,$C173,BONUS_RULES!$B$5:$B$46,"PCS % (Participation)"),SUMIFS(BONUS_RULES!$F$5:$F$46,BONUS_RULES!$A$5:$A$46,$C173,BONUS_RULES!$B$5:$B$46,"PCS % (Participation)"),0)))</f>
        <v/>
      </c>
      <c r="J173" s="10">
        <f>IF(OR($A173="",$D173&lt;&gt;"READY"),"",IF(AGENT_INPUT!I173&gt;=SUMIFS(BONUS_RULES!$E$5:$E$46,BONUS_RULES!$A$5:$A$46,$C173,BONUS_RULES!$B$5:$B$46,"QM"),SUMIFS(BONUS_RULES!$D$5:$D$46,BONUS_RULES!$A$5:$A$46,$C173,BONUS_RULES!$B$5:$B$46,"QM"),IF(AGENT_INPUT!I173&gt;=SUMIFS(BONUS_RULES!$G$5:$G$46,BONUS_RULES!$A$5:$A$46,$C173,BONUS_RULES!$B$5:$B$46,"QM"),SUMIFS(BONUS_RULES!$F$5:$F$46,BONUS_RULES!$A$5:$A$46,$C173,BONUS_RULES!$B$5:$B$46,"QM"),0)))</f>
        <v/>
      </c>
      <c r="K173" s="10">
        <f>IF(POLICY_APPROVAL!$B$9="Eligibility only",0,IF(OR($A173="",$D173&lt;&gt;"READY"),"",IF(AGENT_INPUT!J173&lt;=SUMIFS(BONUS_RULES!$E$5:$E$46,BONUS_RULES!$A$5:$A$46,$C173,BONUS_RULES!$B$5:$B$46,"Abs%"),SUMIFS(BONUS_RULES!$D$5:$D$46,BONUS_RULES!$A$5:$A$46,$C173,BONUS_RULES!$B$5:$B$46,"Abs%"),IF(AGENT_INPUT!J173&lt;=SUMIFS(BONUS_RULES!$G$5:$G$46,BONUS_RULES!$A$5:$A$46,$C173,BONUS_RULES!$B$5:$B$46,"Abs%"),SUMIFS(BONUS_RULES!$F$5:$F$46,BONUS_RULES!$A$5:$A$46,$C173,BONUS_RULES!$B$5:$B$46,"Abs%"),0))))</f>
        <v/>
      </c>
      <c r="L173" s="10">
        <f>IF(OR($A173="",$D173&lt;&gt;"READY"),"",IF(AGENT_INPUT!G173&gt;=SUMIFS(BONUS_RULES!$E$5:$E$46,BONUS_RULES!$A$5:$A$46,$C173,BONUS_RULES!$B$5:$B$46,"Extra Bonus (PCS Score)"),SUMIFS(BONUS_RULES!$D$5:$D$46,BONUS_RULES!$A$5:$A$46,$C173,BONUS_RULES!$B$5:$B$46,"Extra Bonus (PCS Score)"),IF(AGENT_INPUT!G173&gt;=SUMIFS(BONUS_RULES!$G$5:$G$46,BONUS_RULES!$A$5:$A$46,$C173,BONUS_RULES!$B$5:$B$46,"Extra Bonus (PCS Score)"),SUMIFS(BONUS_RULES!$F$5:$F$46,BONUS_RULES!$A$5:$A$46,$C173,BONUS_RULES!$B$5:$B$46,"Extra Bonus (PCS Score)"),0)))</f>
        <v/>
      </c>
      <c r="M173" s="10">
        <f>IF($A173="","",MIN(IF(POLICY_APPROVAL!$B$6="Replacement",SUM(F173:K173)-H173+MAX(H173,L173),SUM(F173:L173)),POLICY_APPROVAL!$B$10))</f>
        <v/>
      </c>
      <c r="N173" s="10">
        <f>IF($A173="","",IFERROR(INDEX(BONUS_RULES!$J$5:$J$10,MATCH(MIN(MAX(AGENT_INPUT!K173,0),5),BONUS_RULES!$I$5:$I$10,0)),1))</f>
        <v/>
      </c>
      <c r="O173" s="10">
        <f>IF(M173="","",MAX(0,IF(POLICY_APPROVAL!$B$5="Percentage points",M173-N173,M173*(1-N173))))</f>
        <v/>
      </c>
      <c r="P173" s="11">
        <f>IF(D173&lt;&gt;"READY","",IF(AGENT_INPUT!O173&gt;0,AGENT_INPUT!O173,AGENT_INPUT!M173*AGENT_INPUT!N173/IF(POLICY_APPROVAL!$B$7="Annual",12,1)))</f>
        <v/>
      </c>
      <c r="Q173" s="10">
        <f>IF(D173&lt;&gt;"READY","",MIN(1,AGENT_INPUT!P173/AGENT_INPUT!Q173))</f>
        <v/>
      </c>
      <c r="R173" s="11">
        <f>IF(D173&lt;&gt;"READY","",ROUND(P173*Q173*O173,IF(POLICY_APPROVAL!$B$11="Whole MAD",0,2)))</f>
        <v/>
      </c>
      <c r="S173" s="11">
        <f>IF(AND(SETUP!$B$9="READY",T173="READY"),R173,"")</f>
        <v/>
      </c>
      <c r="T173" s="4">
        <f>IF($A173="","",IF(D173&lt;&gt;"READY","BLOCKED - INPUT",IF(E173&lt;&gt;"ELIGIBLE","BLOCKED - ELIGIBILITY",IF(AGENT_INPUT!S173&lt;&gt;"VALIDATED","BLOCKED - DATA",IF(SETUP!$B$9&lt;&gt;"READY","BLOCKED - POLICY","READY")))))</f>
        <v/>
      </c>
      <c r="U173" s="4">
        <f>IF($A173="","",IF(COUNTIFS(AGENT_INPUT!$A$5:$A$254,$A173,AGENT_INPUT!$D$5:$D$254,AGENT_INPUT!D173)&gt;1,"DUPLICATE AGENT + PERIOD",IF(D173&lt;&gt;"READY","INPUT OR CONFIG REVIEW",IF(T173&lt;&gt;"READY",T173,""))))</f>
        <v/>
      </c>
    </row>
    <row r="174" spans="1:21">
      <c r="A174" s="4">
        <f>IF(AGENT_INPUT!A174="","",AGENT_INPUT!A174)</f>
        <v/>
      </c>
      <c r="B174" s="4">
        <f>IF($A174="","",AGENT_INPUT!B174)</f>
        <v/>
      </c>
      <c r="C174" s="4">
        <f>IF($A174="","",AGENT_INPUT!C174)</f>
        <v/>
      </c>
      <c r="D174" s="4">
        <f>IF($A174="","",IF(AND(COUNT(AGENT_INPUT!E174:J174)=6,COUNT(AGENT_INPUT!K174)=1,COUNTIF(BONUS_RULES!$A$5:$A$46,AGENT_INPUT!C174)&gt;0,OR(AGENT_INPUT!O174&gt;0,AND(AGENT_INPUT!M174&gt;0,AGENT_INPUT!N174&gt;0)),AGENT_INPUT!P174&gt;=0,AGENT_INPUT!Q174&gt;0,AGENT_INPUT!P174&lt;=AGENT_INPUT!Q174,AGENT_INPUT!H174&gt;=0,AGENT_INPUT!H174&lt;=1,AGENT_INPUT!I174&gt;=0,AGENT_INPUT!I174&lt;=1,AGENT_INPUT!J174&gt;=0,AGENT_INPUT!J174&lt;=1),"READY","BLOCKED"))</f>
        <v/>
      </c>
      <c r="E174" s="4">
        <f>IF($A174="","",IF(AGENT_INPUT!R174&lt;&gt;"Active","REVIEW",IF(OR(POLICY_APPROVAL!$B$9="Eligibility only",POLICY_APPROVAL!$B$9="Both"),IF(AGENT_INPUT!J174&lt;=SUMIFS(BONUS_RULES!$E$5:$E$46,BONUS_RULES!$A$5:$A$46,$C174,BONUS_RULES!$B$5:$B$46,"Abs%"),"ELIGIBLE","INELIGIBLE ABS"),"ELIGIBLE")))</f>
        <v/>
      </c>
      <c r="F174" s="10">
        <f>IF(OR($A174="",$D174&lt;&gt;"READY"),"",IF(AGENT_INPUT!E174&lt;=SUMIFS(BONUS_RULES!$E$5:$E$46,BONUS_RULES!$A$5:$A$46,$C174,BONUS_RULES!$B$5:$B$46,"AHT"),SUMIFS(BONUS_RULES!$D$5:$D$46,BONUS_RULES!$A$5:$A$46,$C174,BONUS_RULES!$B$5:$B$46,"AHT"),IF(AGENT_INPUT!E174&lt;=SUMIFS(BONUS_RULES!$G$5:$G$46,BONUS_RULES!$A$5:$A$46,$C174,BONUS_RULES!$B$5:$B$46,"AHT"),SUMIFS(BONUS_RULES!$F$5:$F$46,BONUS_RULES!$A$5:$A$46,$C174,BONUS_RULES!$B$5:$B$46,"AHT"),0)))</f>
        <v/>
      </c>
      <c r="G174" s="10">
        <f>IF(OR($A174="",$D174&lt;&gt;"READY"),"",IF(AGENT_INPUT!F174&gt;=SUMIFS(BONUS_RULES!$E$5:$E$46,BONUS_RULES!$A$5:$A$46,$C174,BONUS_RULES!$B$5:$B$46,"Productivity"),SUMIFS(BONUS_RULES!$D$5:$D$46,BONUS_RULES!$A$5:$A$46,$C174,BONUS_RULES!$B$5:$B$46,"Productivity"),IF(AGENT_INPUT!F174&gt;=SUMIFS(BONUS_RULES!$G$5:$G$46,BONUS_RULES!$A$5:$A$46,$C174,BONUS_RULES!$B$5:$B$46,"Productivity"),SUMIFS(BONUS_RULES!$F$5:$F$46,BONUS_RULES!$A$5:$A$46,$C174,BONUS_RULES!$B$5:$B$46,"Productivity"),0)))</f>
        <v/>
      </c>
      <c r="H174" s="10">
        <f>IF(OR($A174="",$D174&lt;&gt;"READY"),"",IF(AGENT_INPUT!G174&gt;=SUMIFS(BONUS_RULES!$E$5:$E$46,BONUS_RULES!$A$5:$A$46,$C174,BONUS_RULES!$B$5:$B$46,"PCS Score"),SUMIFS(BONUS_RULES!$D$5:$D$46,BONUS_RULES!$A$5:$A$46,$C174,BONUS_RULES!$B$5:$B$46,"PCS Score"),IF(AGENT_INPUT!G174&gt;=SUMIFS(BONUS_RULES!$G$5:$G$46,BONUS_RULES!$A$5:$A$46,$C174,BONUS_RULES!$B$5:$B$46,"PCS Score"),SUMIFS(BONUS_RULES!$F$5:$F$46,BONUS_RULES!$A$5:$A$46,$C174,BONUS_RULES!$B$5:$B$46,"PCS Score"),0)))</f>
        <v/>
      </c>
      <c r="I174" s="10">
        <f>IF(OR($A174="",$D174&lt;&gt;"READY"),"",IF(AGENT_INPUT!H174&gt;=SUMIFS(BONUS_RULES!$E$5:$E$46,BONUS_RULES!$A$5:$A$46,$C174,BONUS_RULES!$B$5:$B$46,"PCS % (Participation)"),SUMIFS(BONUS_RULES!$D$5:$D$46,BONUS_RULES!$A$5:$A$46,$C174,BONUS_RULES!$B$5:$B$46,"PCS % (Participation)"),IF(AGENT_INPUT!H174&gt;=SUMIFS(BONUS_RULES!$G$5:$G$46,BONUS_RULES!$A$5:$A$46,$C174,BONUS_RULES!$B$5:$B$46,"PCS % (Participation)"),SUMIFS(BONUS_RULES!$F$5:$F$46,BONUS_RULES!$A$5:$A$46,$C174,BONUS_RULES!$B$5:$B$46,"PCS % (Participation)"),0)))</f>
        <v/>
      </c>
      <c r="J174" s="10">
        <f>IF(OR($A174="",$D174&lt;&gt;"READY"),"",IF(AGENT_INPUT!I174&gt;=SUMIFS(BONUS_RULES!$E$5:$E$46,BONUS_RULES!$A$5:$A$46,$C174,BONUS_RULES!$B$5:$B$46,"QM"),SUMIFS(BONUS_RULES!$D$5:$D$46,BONUS_RULES!$A$5:$A$46,$C174,BONUS_RULES!$B$5:$B$46,"QM"),IF(AGENT_INPUT!I174&gt;=SUMIFS(BONUS_RULES!$G$5:$G$46,BONUS_RULES!$A$5:$A$46,$C174,BONUS_RULES!$B$5:$B$46,"QM"),SUMIFS(BONUS_RULES!$F$5:$F$46,BONUS_RULES!$A$5:$A$46,$C174,BONUS_RULES!$B$5:$B$46,"QM"),0)))</f>
        <v/>
      </c>
      <c r="K174" s="10">
        <f>IF(POLICY_APPROVAL!$B$9="Eligibility only",0,IF(OR($A174="",$D174&lt;&gt;"READY"),"",IF(AGENT_INPUT!J174&lt;=SUMIFS(BONUS_RULES!$E$5:$E$46,BONUS_RULES!$A$5:$A$46,$C174,BONUS_RULES!$B$5:$B$46,"Abs%"),SUMIFS(BONUS_RULES!$D$5:$D$46,BONUS_RULES!$A$5:$A$46,$C174,BONUS_RULES!$B$5:$B$46,"Abs%"),IF(AGENT_INPUT!J174&lt;=SUMIFS(BONUS_RULES!$G$5:$G$46,BONUS_RULES!$A$5:$A$46,$C174,BONUS_RULES!$B$5:$B$46,"Abs%"),SUMIFS(BONUS_RULES!$F$5:$F$46,BONUS_RULES!$A$5:$A$46,$C174,BONUS_RULES!$B$5:$B$46,"Abs%"),0))))</f>
        <v/>
      </c>
      <c r="L174" s="10">
        <f>IF(OR($A174="",$D174&lt;&gt;"READY"),"",IF(AGENT_INPUT!G174&gt;=SUMIFS(BONUS_RULES!$E$5:$E$46,BONUS_RULES!$A$5:$A$46,$C174,BONUS_RULES!$B$5:$B$46,"Extra Bonus (PCS Score)"),SUMIFS(BONUS_RULES!$D$5:$D$46,BONUS_RULES!$A$5:$A$46,$C174,BONUS_RULES!$B$5:$B$46,"Extra Bonus (PCS Score)"),IF(AGENT_INPUT!G174&gt;=SUMIFS(BONUS_RULES!$G$5:$G$46,BONUS_RULES!$A$5:$A$46,$C174,BONUS_RULES!$B$5:$B$46,"Extra Bonus (PCS Score)"),SUMIFS(BONUS_RULES!$F$5:$F$46,BONUS_RULES!$A$5:$A$46,$C174,BONUS_RULES!$B$5:$B$46,"Extra Bonus (PCS Score)"),0)))</f>
        <v/>
      </c>
      <c r="M174" s="10">
        <f>IF($A174="","",MIN(IF(POLICY_APPROVAL!$B$6="Replacement",SUM(F174:K174)-H174+MAX(H174,L174),SUM(F174:L174)),POLICY_APPROVAL!$B$10))</f>
        <v/>
      </c>
      <c r="N174" s="10">
        <f>IF($A174="","",IFERROR(INDEX(BONUS_RULES!$J$5:$J$10,MATCH(MIN(MAX(AGENT_INPUT!K174,0),5),BONUS_RULES!$I$5:$I$10,0)),1))</f>
        <v/>
      </c>
      <c r="O174" s="10">
        <f>IF(M174="","",MAX(0,IF(POLICY_APPROVAL!$B$5="Percentage points",M174-N174,M174*(1-N174))))</f>
        <v/>
      </c>
      <c r="P174" s="11">
        <f>IF(D174&lt;&gt;"READY","",IF(AGENT_INPUT!O174&gt;0,AGENT_INPUT!O174,AGENT_INPUT!M174*AGENT_INPUT!N174/IF(POLICY_APPROVAL!$B$7="Annual",12,1)))</f>
        <v/>
      </c>
      <c r="Q174" s="10">
        <f>IF(D174&lt;&gt;"READY","",MIN(1,AGENT_INPUT!P174/AGENT_INPUT!Q174))</f>
        <v/>
      </c>
      <c r="R174" s="11">
        <f>IF(D174&lt;&gt;"READY","",ROUND(P174*Q174*O174,IF(POLICY_APPROVAL!$B$11="Whole MAD",0,2)))</f>
        <v/>
      </c>
      <c r="S174" s="11">
        <f>IF(AND(SETUP!$B$9="READY",T174="READY"),R174,"")</f>
        <v/>
      </c>
      <c r="T174" s="4">
        <f>IF($A174="","",IF(D174&lt;&gt;"READY","BLOCKED - INPUT",IF(E174&lt;&gt;"ELIGIBLE","BLOCKED - ELIGIBILITY",IF(AGENT_INPUT!S174&lt;&gt;"VALIDATED","BLOCKED - DATA",IF(SETUP!$B$9&lt;&gt;"READY","BLOCKED - POLICY","READY")))))</f>
        <v/>
      </c>
      <c r="U174" s="4">
        <f>IF($A174="","",IF(COUNTIFS(AGENT_INPUT!$A$5:$A$254,$A174,AGENT_INPUT!$D$5:$D$254,AGENT_INPUT!D174)&gt;1,"DUPLICATE AGENT + PERIOD",IF(D174&lt;&gt;"READY","INPUT OR CONFIG REVIEW",IF(T174&lt;&gt;"READY",T174,""))))</f>
        <v/>
      </c>
    </row>
    <row r="175" spans="1:21">
      <c r="A175" s="4">
        <f>IF(AGENT_INPUT!A175="","",AGENT_INPUT!A175)</f>
        <v/>
      </c>
      <c r="B175" s="4">
        <f>IF($A175="","",AGENT_INPUT!B175)</f>
        <v/>
      </c>
      <c r="C175" s="4">
        <f>IF($A175="","",AGENT_INPUT!C175)</f>
        <v/>
      </c>
      <c r="D175" s="4">
        <f>IF($A175="","",IF(AND(COUNT(AGENT_INPUT!E175:J175)=6,COUNT(AGENT_INPUT!K175)=1,COUNTIF(BONUS_RULES!$A$5:$A$46,AGENT_INPUT!C175)&gt;0,OR(AGENT_INPUT!O175&gt;0,AND(AGENT_INPUT!M175&gt;0,AGENT_INPUT!N175&gt;0)),AGENT_INPUT!P175&gt;=0,AGENT_INPUT!Q175&gt;0,AGENT_INPUT!P175&lt;=AGENT_INPUT!Q175,AGENT_INPUT!H175&gt;=0,AGENT_INPUT!H175&lt;=1,AGENT_INPUT!I175&gt;=0,AGENT_INPUT!I175&lt;=1,AGENT_INPUT!J175&gt;=0,AGENT_INPUT!J175&lt;=1),"READY","BLOCKED"))</f>
        <v/>
      </c>
      <c r="E175" s="4">
        <f>IF($A175="","",IF(AGENT_INPUT!R175&lt;&gt;"Active","REVIEW",IF(OR(POLICY_APPROVAL!$B$9="Eligibility only",POLICY_APPROVAL!$B$9="Both"),IF(AGENT_INPUT!J175&lt;=SUMIFS(BONUS_RULES!$E$5:$E$46,BONUS_RULES!$A$5:$A$46,$C175,BONUS_RULES!$B$5:$B$46,"Abs%"),"ELIGIBLE","INELIGIBLE ABS"),"ELIGIBLE")))</f>
        <v/>
      </c>
      <c r="F175" s="10">
        <f>IF(OR($A175="",$D175&lt;&gt;"READY"),"",IF(AGENT_INPUT!E175&lt;=SUMIFS(BONUS_RULES!$E$5:$E$46,BONUS_RULES!$A$5:$A$46,$C175,BONUS_RULES!$B$5:$B$46,"AHT"),SUMIFS(BONUS_RULES!$D$5:$D$46,BONUS_RULES!$A$5:$A$46,$C175,BONUS_RULES!$B$5:$B$46,"AHT"),IF(AGENT_INPUT!E175&lt;=SUMIFS(BONUS_RULES!$G$5:$G$46,BONUS_RULES!$A$5:$A$46,$C175,BONUS_RULES!$B$5:$B$46,"AHT"),SUMIFS(BONUS_RULES!$F$5:$F$46,BONUS_RULES!$A$5:$A$46,$C175,BONUS_RULES!$B$5:$B$46,"AHT"),0)))</f>
        <v/>
      </c>
      <c r="G175" s="10">
        <f>IF(OR($A175="",$D175&lt;&gt;"READY"),"",IF(AGENT_INPUT!F175&gt;=SUMIFS(BONUS_RULES!$E$5:$E$46,BONUS_RULES!$A$5:$A$46,$C175,BONUS_RULES!$B$5:$B$46,"Productivity"),SUMIFS(BONUS_RULES!$D$5:$D$46,BONUS_RULES!$A$5:$A$46,$C175,BONUS_RULES!$B$5:$B$46,"Productivity"),IF(AGENT_INPUT!F175&gt;=SUMIFS(BONUS_RULES!$G$5:$G$46,BONUS_RULES!$A$5:$A$46,$C175,BONUS_RULES!$B$5:$B$46,"Productivity"),SUMIFS(BONUS_RULES!$F$5:$F$46,BONUS_RULES!$A$5:$A$46,$C175,BONUS_RULES!$B$5:$B$46,"Productivity"),0)))</f>
        <v/>
      </c>
      <c r="H175" s="10">
        <f>IF(OR($A175="",$D175&lt;&gt;"READY"),"",IF(AGENT_INPUT!G175&gt;=SUMIFS(BONUS_RULES!$E$5:$E$46,BONUS_RULES!$A$5:$A$46,$C175,BONUS_RULES!$B$5:$B$46,"PCS Score"),SUMIFS(BONUS_RULES!$D$5:$D$46,BONUS_RULES!$A$5:$A$46,$C175,BONUS_RULES!$B$5:$B$46,"PCS Score"),IF(AGENT_INPUT!G175&gt;=SUMIFS(BONUS_RULES!$G$5:$G$46,BONUS_RULES!$A$5:$A$46,$C175,BONUS_RULES!$B$5:$B$46,"PCS Score"),SUMIFS(BONUS_RULES!$F$5:$F$46,BONUS_RULES!$A$5:$A$46,$C175,BONUS_RULES!$B$5:$B$46,"PCS Score"),0)))</f>
        <v/>
      </c>
      <c r="I175" s="10">
        <f>IF(OR($A175="",$D175&lt;&gt;"READY"),"",IF(AGENT_INPUT!H175&gt;=SUMIFS(BONUS_RULES!$E$5:$E$46,BONUS_RULES!$A$5:$A$46,$C175,BONUS_RULES!$B$5:$B$46,"PCS % (Participation)"),SUMIFS(BONUS_RULES!$D$5:$D$46,BONUS_RULES!$A$5:$A$46,$C175,BONUS_RULES!$B$5:$B$46,"PCS % (Participation)"),IF(AGENT_INPUT!H175&gt;=SUMIFS(BONUS_RULES!$G$5:$G$46,BONUS_RULES!$A$5:$A$46,$C175,BONUS_RULES!$B$5:$B$46,"PCS % (Participation)"),SUMIFS(BONUS_RULES!$F$5:$F$46,BONUS_RULES!$A$5:$A$46,$C175,BONUS_RULES!$B$5:$B$46,"PCS % (Participation)"),0)))</f>
        <v/>
      </c>
      <c r="J175" s="10">
        <f>IF(OR($A175="",$D175&lt;&gt;"READY"),"",IF(AGENT_INPUT!I175&gt;=SUMIFS(BONUS_RULES!$E$5:$E$46,BONUS_RULES!$A$5:$A$46,$C175,BONUS_RULES!$B$5:$B$46,"QM"),SUMIFS(BONUS_RULES!$D$5:$D$46,BONUS_RULES!$A$5:$A$46,$C175,BONUS_RULES!$B$5:$B$46,"QM"),IF(AGENT_INPUT!I175&gt;=SUMIFS(BONUS_RULES!$G$5:$G$46,BONUS_RULES!$A$5:$A$46,$C175,BONUS_RULES!$B$5:$B$46,"QM"),SUMIFS(BONUS_RULES!$F$5:$F$46,BONUS_RULES!$A$5:$A$46,$C175,BONUS_RULES!$B$5:$B$46,"QM"),0)))</f>
        <v/>
      </c>
      <c r="K175" s="10">
        <f>IF(POLICY_APPROVAL!$B$9="Eligibility only",0,IF(OR($A175="",$D175&lt;&gt;"READY"),"",IF(AGENT_INPUT!J175&lt;=SUMIFS(BONUS_RULES!$E$5:$E$46,BONUS_RULES!$A$5:$A$46,$C175,BONUS_RULES!$B$5:$B$46,"Abs%"),SUMIFS(BONUS_RULES!$D$5:$D$46,BONUS_RULES!$A$5:$A$46,$C175,BONUS_RULES!$B$5:$B$46,"Abs%"),IF(AGENT_INPUT!J175&lt;=SUMIFS(BONUS_RULES!$G$5:$G$46,BONUS_RULES!$A$5:$A$46,$C175,BONUS_RULES!$B$5:$B$46,"Abs%"),SUMIFS(BONUS_RULES!$F$5:$F$46,BONUS_RULES!$A$5:$A$46,$C175,BONUS_RULES!$B$5:$B$46,"Abs%"),0))))</f>
        <v/>
      </c>
      <c r="L175" s="10">
        <f>IF(OR($A175="",$D175&lt;&gt;"READY"),"",IF(AGENT_INPUT!G175&gt;=SUMIFS(BONUS_RULES!$E$5:$E$46,BONUS_RULES!$A$5:$A$46,$C175,BONUS_RULES!$B$5:$B$46,"Extra Bonus (PCS Score)"),SUMIFS(BONUS_RULES!$D$5:$D$46,BONUS_RULES!$A$5:$A$46,$C175,BONUS_RULES!$B$5:$B$46,"Extra Bonus (PCS Score)"),IF(AGENT_INPUT!G175&gt;=SUMIFS(BONUS_RULES!$G$5:$G$46,BONUS_RULES!$A$5:$A$46,$C175,BONUS_RULES!$B$5:$B$46,"Extra Bonus (PCS Score)"),SUMIFS(BONUS_RULES!$F$5:$F$46,BONUS_RULES!$A$5:$A$46,$C175,BONUS_RULES!$B$5:$B$46,"Extra Bonus (PCS Score)"),0)))</f>
        <v/>
      </c>
      <c r="M175" s="10">
        <f>IF($A175="","",MIN(IF(POLICY_APPROVAL!$B$6="Replacement",SUM(F175:K175)-H175+MAX(H175,L175),SUM(F175:L175)),POLICY_APPROVAL!$B$10))</f>
        <v/>
      </c>
      <c r="N175" s="10">
        <f>IF($A175="","",IFERROR(INDEX(BONUS_RULES!$J$5:$J$10,MATCH(MIN(MAX(AGENT_INPUT!K175,0),5),BONUS_RULES!$I$5:$I$10,0)),1))</f>
        <v/>
      </c>
      <c r="O175" s="10">
        <f>IF(M175="","",MAX(0,IF(POLICY_APPROVAL!$B$5="Percentage points",M175-N175,M175*(1-N175))))</f>
        <v/>
      </c>
      <c r="P175" s="11">
        <f>IF(D175&lt;&gt;"READY","",IF(AGENT_INPUT!O175&gt;0,AGENT_INPUT!O175,AGENT_INPUT!M175*AGENT_INPUT!N175/IF(POLICY_APPROVAL!$B$7="Annual",12,1)))</f>
        <v/>
      </c>
      <c r="Q175" s="10">
        <f>IF(D175&lt;&gt;"READY","",MIN(1,AGENT_INPUT!P175/AGENT_INPUT!Q175))</f>
        <v/>
      </c>
      <c r="R175" s="11">
        <f>IF(D175&lt;&gt;"READY","",ROUND(P175*Q175*O175,IF(POLICY_APPROVAL!$B$11="Whole MAD",0,2)))</f>
        <v/>
      </c>
      <c r="S175" s="11">
        <f>IF(AND(SETUP!$B$9="READY",T175="READY"),R175,"")</f>
        <v/>
      </c>
      <c r="T175" s="4">
        <f>IF($A175="","",IF(D175&lt;&gt;"READY","BLOCKED - INPUT",IF(E175&lt;&gt;"ELIGIBLE","BLOCKED - ELIGIBILITY",IF(AGENT_INPUT!S175&lt;&gt;"VALIDATED","BLOCKED - DATA",IF(SETUP!$B$9&lt;&gt;"READY","BLOCKED - POLICY","READY")))))</f>
        <v/>
      </c>
      <c r="U175" s="4">
        <f>IF($A175="","",IF(COUNTIFS(AGENT_INPUT!$A$5:$A$254,$A175,AGENT_INPUT!$D$5:$D$254,AGENT_INPUT!D175)&gt;1,"DUPLICATE AGENT + PERIOD",IF(D175&lt;&gt;"READY","INPUT OR CONFIG REVIEW",IF(T175&lt;&gt;"READY",T175,""))))</f>
        <v/>
      </c>
    </row>
    <row r="176" spans="1:21">
      <c r="A176" s="4">
        <f>IF(AGENT_INPUT!A176="","",AGENT_INPUT!A176)</f>
        <v/>
      </c>
      <c r="B176" s="4">
        <f>IF($A176="","",AGENT_INPUT!B176)</f>
        <v/>
      </c>
      <c r="C176" s="4">
        <f>IF($A176="","",AGENT_INPUT!C176)</f>
        <v/>
      </c>
      <c r="D176" s="4">
        <f>IF($A176="","",IF(AND(COUNT(AGENT_INPUT!E176:J176)=6,COUNT(AGENT_INPUT!K176)=1,COUNTIF(BONUS_RULES!$A$5:$A$46,AGENT_INPUT!C176)&gt;0,OR(AGENT_INPUT!O176&gt;0,AND(AGENT_INPUT!M176&gt;0,AGENT_INPUT!N176&gt;0)),AGENT_INPUT!P176&gt;=0,AGENT_INPUT!Q176&gt;0,AGENT_INPUT!P176&lt;=AGENT_INPUT!Q176,AGENT_INPUT!H176&gt;=0,AGENT_INPUT!H176&lt;=1,AGENT_INPUT!I176&gt;=0,AGENT_INPUT!I176&lt;=1,AGENT_INPUT!J176&gt;=0,AGENT_INPUT!J176&lt;=1),"READY","BLOCKED"))</f>
        <v/>
      </c>
      <c r="E176" s="4">
        <f>IF($A176="","",IF(AGENT_INPUT!R176&lt;&gt;"Active","REVIEW",IF(OR(POLICY_APPROVAL!$B$9="Eligibility only",POLICY_APPROVAL!$B$9="Both"),IF(AGENT_INPUT!J176&lt;=SUMIFS(BONUS_RULES!$E$5:$E$46,BONUS_RULES!$A$5:$A$46,$C176,BONUS_RULES!$B$5:$B$46,"Abs%"),"ELIGIBLE","INELIGIBLE ABS"),"ELIGIBLE")))</f>
        <v/>
      </c>
      <c r="F176" s="10">
        <f>IF(OR($A176="",$D176&lt;&gt;"READY"),"",IF(AGENT_INPUT!E176&lt;=SUMIFS(BONUS_RULES!$E$5:$E$46,BONUS_RULES!$A$5:$A$46,$C176,BONUS_RULES!$B$5:$B$46,"AHT"),SUMIFS(BONUS_RULES!$D$5:$D$46,BONUS_RULES!$A$5:$A$46,$C176,BONUS_RULES!$B$5:$B$46,"AHT"),IF(AGENT_INPUT!E176&lt;=SUMIFS(BONUS_RULES!$G$5:$G$46,BONUS_RULES!$A$5:$A$46,$C176,BONUS_RULES!$B$5:$B$46,"AHT"),SUMIFS(BONUS_RULES!$F$5:$F$46,BONUS_RULES!$A$5:$A$46,$C176,BONUS_RULES!$B$5:$B$46,"AHT"),0)))</f>
        <v/>
      </c>
      <c r="G176" s="10">
        <f>IF(OR($A176="",$D176&lt;&gt;"READY"),"",IF(AGENT_INPUT!F176&gt;=SUMIFS(BONUS_RULES!$E$5:$E$46,BONUS_RULES!$A$5:$A$46,$C176,BONUS_RULES!$B$5:$B$46,"Productivity"),SUMIFS(BONUS_RULES!$D$5:$D$46,BONUS_RULES!$A$5:$A$46,$C176,BONUS_RULES!$B$5:$B$46,"Productivity"),IF(AGENT_INPUT!F176&gt;=SUMIFS(BONUS_RULES!$G$5:$G$46,BONUS_RULES!$A$5:$A$46,$C176,BONUS_RULES!$B$5:$B$46,"Productivity"),SUMIFS(BONUS_RULES!$F$5:$F$46,BONUS_RULES!$A$5:$A$46,$C176,BONUS_RULES!$B$5:$B$46,"Productivity"),0)))</f>
        <v/>
      </c>
      <c r="H176" s="10">
        <f>IF(OR($A176="",$D176&lt;&gt;"READY"),"",IF(AGENT_INPUT!G176&gt;=SUMIFS(BONUS_RULES!$E$5:$E$46,BONUS_RULES!$A$5:$A$46,$C176,BONUS_RULES!$B$5:$B$46,"PCS Score"),SUMIFS(BONUS_RULES!$D$5:$D$46,BONUS_RULES!$A$5:$A$46,$C176,BONUS_RULES!$B$5:$B$46,"PCS Score"),IF(AGENT_INPUT!G176&gt;=SUMIFS(BONUS_RULES!$G$5:$G$46,BONUS_RULES!$A$5:$A$46,$C176,BONUS_RULES!$B$5:$B$46,"PCS Score"),SUMIFS(BONUS_RULES!$F$5:$F$46,BONUS_RULES!$A$5:$A$46,$C176,BONUS_RULES!$B$5:$B$46,"PCS Score"),0)))</f>
        <v/>
      </c>
      <c r="I176" s="10">
        <f>IF(OR($A176="",$D176&lt;&gt;"READY"),"",IF(AGENT_INPUT!H176&gt;=SUMIFS(BONUS_RULES!$E$5:$E$46,BONUS_RULES!$A$5:$A$46,$C176,BONUS_RULES!$B$5:$B$46,"PCS % (Participation)"),SUMIFS(BONUS_RULES!$D$5:$D$46,BONUS_RULES!$A$5:$A$46,$C176,BONUS_RULES!$B$5:$B$46,"PCS % (Participation)"),IF(AGENT_INPUT!H176&gt;=SUMIFS(BONUS_RULES!$G$5:$G$46,BONUS_RULES!$A$5:$A$46,$C176,BONUS_RULES!$B$5:$B$46,"PCS % (Participation)"),SUMIFS(BONUS_RULES!$F$5:$F$46,BONUS_RULES!$A$5:$A$46,$C176,BONUS_RULES!$B$5:$B$46,"PCS % (Participation)"),0)))</f>
        <v/>
      </c>
      <c r="J176" s="10">
        <f>IF(OR($A176="",$D176&lt;&gt;"READY"),"",IF(AGENT_INPUT!I176&gt;=SUMIFS(BONUS_RULES!$E$5:$E$46,BONUS_RULES!$A$5:$A$46,$C176,BONUS_RULES!$B$5:$B$46,"QM"),SUMIFS(BONUS_RULES!$D$5:$D$46,BONUS_RULES!$A$5:$A$46,$C176,BONUS_RULES!$B$5:$B$46,"QM"),IF(AGENT_INPUT!I176&gt;=SUMIFS(BONUS_RULES!$G$5:$G$46,BONUS_RULES!$A$5:$A$46,$C176,BONUS_RULES!$B$5:$B$46,"QM"),SUMIFS(BONUS_RULES!$F$5:$F$46,BONUS_RULES!$A$5:$A$46,$C176,BONUS_RULES!$B$5:$B$46,"QM"),0)))</f>
        <v/>
      </c>
      <c r="K176" s="10">
        <f>IF(POLICY_APPROVAL!$B$9="Eligibility only",0,IF(OR($A176="",$D176&lt;&gt;"READY"),"",IF(AGENT_INPUT!J176&lt;=SUMIFS(BONUS_RULES!$E$5:$E$46,BONUS_RULES!$A$5:$A$46,$C176,BONUS_RULES!$B$5:$B$46,"Abs%"),SUMIFS(BONUS_RULES!$D$5:$D$46,BONUS_RULES!$A$5:$A$46,$C176,BONUS_RULES!$B$5:$B$46,"Abs%"),IF(AGENT_INPUT!J176&lt;=SUMIFS(BONUS_RULES!$G$5:$G$46,BONUS_RULES!$A$5:$A$46,$C176,BONUS_RULES!$B$5:$B$46,"Abs%"),SUMIFS(BONUS_RULES!$F$5:$F$46,BONUS_RULES!$A$5:$A$46,$C176,BONUS_RULES!$B$5:$B$46,"Abs%"),0))))</f>
        <v/>
      </c>
      <c r="L176" s="10">
        <f>IF(OR($A176="",$D176&lt;&gt;"READY"),"",IF(AGENT_INPUT!G176&gt;=SUMIFS(BONUS_RULES!$E$5:$E$46,BONUS_RULES!$A$5:$A$46,$C176,BONUS_RULES!$B$5:$B$46,"Extra Bonus (PCS Score)"),SUMIFS(BONUS_RULES!$D$5:$D$46,BONUS_RULES!$A$5:$A$46,$C176,BONUS_RULES!$B$5:$B$46,"Extra Bonus (PCS Score)"),IF(AGENT_INPUT!G176&gt;=SUMIFS(BONUS_RULES!$G$5:$G$46,BONUS_RULES!$A$5:$A$46,$C176,BONUS_RULES!$B$5:$B$46,"Extra Bonus (PCS Score)"),SUMIFS(BONUS_RULES!$F$5:$F$46,BONUS_RULES!$A$5:$A$46,$C176,BONUS_RULES!$B$5:$B$46,"Extra Bonus (PCS Score)"),0)))</f>
        <v/>
      </c>
      <c r="M176" s="10">
        <f>IF($A176="","",MIN(IF(POLICY_APPROVAL!$B$6="Replacement",SUM(F176:K176)-H176+MAX(H176,L176),SUM(F176:L176)),POLICY_APPROVAL!$B$10))</f>
        <v/>
      </c>
      <c r="N176" s="10">
        <f>IF($A176="","",IFERROR(INDEX(BONUS_RULES!$J$5:$J$10,MATCH(MIN(MAX(AGENT_INPUT!K176,0),5),BONUS_RULES!$I$5:$I$10,0)),1))</f>
        <v/>
      </c>
      <c r="O176" s="10">
        <f>IF(M176="","",MAX(0,IF(POLICY_APPROVAL!$B$5="Percentage points",M176-N176,M176*(1-N176))))</f>
        <v/>
      </c>
      <c r="P176" s="11">
        <f>IF(D176&lt;&gt;"READY","",IF(AGENT_INPUT!O176&gt;0,AGENT_INPUT!O176,AGENT_INPUT!M176*AGENT_INPUT!N176/IF(POLICY_APPROVAL!$B$7="Annual",12,1)))</f>
        <v/>
      </c>
      <c r="Q176" s="10">
        <f>IF(D176&lt;&gt;"READY","",MIN(1,AGENT_INPUT!P176/AGENT_INPUT!Q176))</f>
        <v/>
      </c>
      <c r="R176" s="11">
        <f>IF(D176&lt;&gt;"READY","",ROUND(P176*Q176*O176,IF(POLICY_APPROVAL!$B$11="Whole MAD",0,2)))</f>
        <v/>
      </c>
      <c r="S176" s="11">
        <f>IF(AND(SETUP!$B$9="READY",T176="READY"),R176,"")</f>
        <v/>
      </c>
      <c r="T176" s="4">
        <f>IF($A176="","",IF(D176&lt;&gt;"READY","BLOCKED - INPUT",IF(E176&lt;&gt;"ELIGIBLE","BLOCKED - ELIGIBILITY",IF(AGENT_INPUT!S176&lt;&gt;"VALIDATED","BLOCKED - DATA",IF(SETUP!$B$9&lt;&gt;"READY","BLOCKED - POLICY","READY")))))</f>
        <v/>
      </c>
      <c r="U176" s="4">
        <f>IF($A176="","",IF(COUNTIFS(AGENT_INPUT!$A$5:$A$254,$A176,AGENT_INPUT!$D$5:$D$254,AGENT_INPUT!D176)&gt;1,"DUPLICATE AGENT + PERIOD",IF(D176&lt;&gt;"READY","INPUT OR CONFIG REVIEW",IF(T176&lt;&gt;"READY",T176,""))))</f>
        <v/>
      </c>
    </row>
    <row r="177" spans="1:21">
      <c r="A177" s="4">
        <f>IF(AGENT_INPUT!A177="","",AGENT_INPUT!A177)</f>
        <v/>
      </c>
      <c r="B177" s="4">
        <f>IF($A177="","",AGENT_INPUT!B177)</f>
        <v/>
      </c>
      <c r="C177" s="4">
        <f>IF($A177="","",AGENT_INPUT!C177)</f>
        <v/>
      </c>
      <c r="D177" s="4">
        <f>IF($A177="","",IF(AND(COUNT(AGENT_INPUT!E177:J177)=6,COUNT(AGENT_INPUT!K177)=1,COUNTIF(BONUS_RULES!$A$5:$A$46,AGENT_INPUT!C177)&gt;0,OR(AGENT_INPUT!O177&gt;0,AND(AGENT_INPUT!M177&gt;0,AGENT_INPUT!N177&gt;0)),AGENT_INPUT!P177&gt;=0,AGENT_INPUT!Q177&gt;0,AGENT_INPUT!P177&lt;=AGENT_INPUT!Q177,AGENT_INPUT!H177&gt;=0,AGENT_INPUT!H177&lt;=1,AGENT_INPUT!I177&gt;=0,AGENT_INPUT!I177&lt;=1,AGENT_INPUT!J177&gt;=0,AGENT_INPUT!J177&lt;=1),"READY","BLOCKED"))</f>
        <v/>
      </c>
      <c r="E177" s="4">
        <f>IF($A177="","",IF(AGENT_INPUT!R177&lt;&gt;"Active","REVIEW",IF(OR(POLICY_APPROVAL!$B$9="Eligibility only",POLICY_APPROVAL!$B$9="Both"),IF(AGENT_INPUT!J177&lt;=SUMIFS(BONUS_RULES!$E$5:$E$46,BONUS_RULES!$A$5:$A$46,$C177,BONUS_RULES!$B$5:$B$46,"Abs%"),"ELIGIBLE","INELIGIBLE ABS"),"ELIGIBLE")))</f>
        <v/>
      </c>
      <c r="F177" s="10">
        <f>IF(OR($A177="",$D177&lt;&gt;"READY"),"",IF(AGENT_INPUT!E177&lt;=SUMIFS(BONUS_RULES!$E$5:$E$46,BONUS_RULES!$A$5:$A$46,$C177,BONUS_RULES!$B$5:$B$46,"AHT"),SUMIFS(BONUS_RULES!$D$5:$D$46,BONUS_RULES!$A$5:$A$46,$C177,BONUS_RULES!$B$5:$B$46,"AHT"),IF(AGENT_INPUT!E177&lt;=SUMIFS(BONUS_RULES!$G$5:$G$46,BONUS_RULES!$A$5:$A$46,$C177,BONUS_RULES!$B$5:$B$46,"AHT"),SUMIFS(BONUS_RULES!$F$5:$F$46,BONUS_RULES!$A$5:$A$46,$C177,BONUS_RULES!$B$5:$B$46,"AHT"),0)))</f>
        <v/>
      </c>
      <c r="G177" s="10">
        <f>IF(OR($A177="",$D177&lt;&gt;"READY"),"",IF(AGENT_INPUT!F177&gt;=SUMIFS(BONUS_RULES!$E$5:$E$46,BONUS_RULES!$A$5:$A$46,$C177,BONUS_RULES!$B$5:$B$46,"Productivity"),SUMIFS(BONUS_RULES!$D$5:$D$46,BONUS_RULES!$A$5:$A$46,$C177,BONUS_RULES!$B$5:$B$46,"Productivity"),IF(AGENT_INPUT!F177&gt;=SUMIFS(BONUS_RULES!$G$5:$G$46,BONUS_RULES!$A$5:$A$46,$C177,BONUS_RULES!$B$5:$B$46,"Productivity"),SUMIFS(BONUS_RULES!$F$5:$F$46,BONUS_RULES!$A$5:$A$46,$C177,BONUS_RULES!$B$5:$B$46,"Productivity"),0)))</f>
        <v/>
      </c>
      <c r="H177" s="10">
        <f>IF(OR($A177="",$D177&lt;&gt;"READY"),"",IF(AGENT_INPUT!G177&gt;=SUMIFS(BONUS_RULES!$E$5:$E$46,BONUS_RULES!$A$5:$A$46,$C177,BONUS_RULES!$B$5:$B$46,"PCS Score"),SUMIFS(BONUS_RULES!$D$5:$D$46,BONUS_RULES!$A$5:$A$46,$C177,BONUS_RULES!$B$5:$B$46,"PCS Score"),IF(AGENT_INPUT!G177&gt;=SUMIFS(BONUS_RULES!$G$5:$G$46,BONUS_RULES!$A$5:$A$46,$C177,BONUS_RULES!$B$5:$B$46,"PCS Score"),SUMIFS(BONUS_RULES!$F$5:$F$46,BONUS_RULES!$A$5:$A$46,$C177,BONUS_RULES!$B$5:$B$46,"PCS Score"),0)))</f>
        <v/>
      </c>
      <c r="I177" s="10">
        <f>IF(OR($A177="",$D177&lt;&gt;"READY"),"",IF(AGENT_INPUT!H177&gt;=SUMIFS(BONUS_RULES!$E$5:$E$46,BONUS_RULES!$A$5:$A$46,$C177,BONUS_RULES!$B$5:$B$46,"PCS % (Participation)"),SUMIFS(BONUS_RULES!$D$5:$D$46,BONUS_RULES!$A$5:$A$46,$C177,BONUS_RULES!$B$5:$B$46,"PCS % (Participation)"),IF(AGENT_INPUT!H177&gt;=SUMIFS(BONUS_RULES!$G$5:$G$46,BONUS_RULES!$A$5:$A$46,$C177,BONUS_RULES!$B$5:$B$46,"PCS % (Participation)"),SUMIFS(BONUS_RULES!$F$5:$F$46,BONUS_RULES!$A$5:$A$46,$C177,BONUS_RULES!$B$5:$B$46,"PCS % (Participation)"),0)))</f>
        <v/>
      </c>
      <c r="J177" s="10">
        <f>IF(OR($A177="",$D177&lt;&gt;"READY"),"",IF(AGENT_INPUT!I177&gt;=SUMIFS(BONUS_RULES!$E$5:$E$46,BONUS_RULES!$A$5:$A$46,$C177,BONUS_RULES!$B$5:$B$46,"QM"),SUMIFS(BONUS_RULES!$D$5:$D$46,BONUS_RULES!$A$5:$A$46,$C177,BONUS_RULES!$B$5:$B$46,"QM"),IF(AGENT_INPUT!I177&gt;=SUMIFS(BONUS_RULES!$G$5:$G$46,BONUS_RULES!$A$5:$A$46,$C177,BONUS_RULES!$B$5:$B$46,"QM"),SUMIFS(BONUS_RULES!$F$5:$F$46,BONUS_RULES!$A$5:$A$46,$C177,BONUS_RULES!$B$5:$B$46,"QM"),0)))</f>
        <v/>
      </c>
      <c r="K177" s="10">
        <f>IF(POLICY_APPROVAL!$B$9="Eligibility only",0,IF(OR($A177="",$D177&lt;&gt;"READY"),"",IF(AGENT_INPUT!J177&lt;=SUMIFS(BONUS_RULES!$E$5:$E$46,BONUS_RULES!$A$5:$A$46,$C177,BONUS_RULES!$B$5:$B$46,"Abs%"),SUMIFS(BONUS_RULES!$D$5:$D$46,BONUS_RULES!$A$5:$A$46,$C177,BONUS_RULES!$B$5:$B$46,"Abs%"),IF(AGENT_INPUT!J177&lt;=SUMIFS(BONUS_RULES!$G$5:$G$46,BONUS_RULES!$A$5:$A$46,$C177,BONUS_RULES!$B$5:$B$46,"Abs%"),SUMIFS(BONUS_RULES!$F$5:$F$46,BONUS_RULES!$A$5:$A$46,$C177,BONUS_RULES!$B$5:$B$46,"Abs%"),0))))</f>
        <v/>
      </c>
      <c r="L177" s="10">
        <f>IF(OR($A177="",$D177&lt;&gt;"READY"),"",IF(AGENT_INPUT!G177&gt;=SUMIFS(BONUS_RULES!$E$5:$E$46,BONUS_RULES!$A$5:$A$46,$C177,BONUS_RULES!$B$5:$B$46,"Extra Bonus (PCS Score)"),SUMIFS(BONUS_RULES!$D$5:$D$46,BONUS_RULES!$A$5:$A$46,$C177,BONUS_RULES!$B$5:$B$46,"Extra Bonus (PCS Score)"),IF(AGENT_INPUT!G177&gt;=SUMIFS(BONUS_RULES!$G$5:$G$46,BONUS_RULES!$A$5:$A$46,$C177,BONUS_RULES!$B$5:$B$46,"Extra Bonus (PCS Score)"),SUMIFS(BONUS_RULES!$F$5:$F$46,BONUS_RULES!$A$5:$A$46,$C177,BONUS_RULES!$B$5:$B$46,"Extra Bonus (PCS Score)"),0)))</f>
        <v/>
      </c>
      <c r="M177" s="10">
        <f>IF($A177="","",MIN(IF(POLICY_APPROVAL!$B$6="Replacement",SUM(F177:K177)-H177+MAX(H177,L177),SUM(F177:L177)),POLICY_APPROVAL!$B$10))</f>
        <v/>
      </c>
      <c r="N177" s="10">
        <f>IF($A177="","",IFERROR(INDEX(BONUS_RULES!$J$5:$J$10,MATCH(MIN(MAX(AGENT_INPUT!K177,0),5),BONUS_RULES!$I$5:$I$10,0)),1))</f>
        <v/>
      </c>
      <c r="O177" s="10">
        <f>IF(M177="","",MAX(0,IF(POLICY_APPROVAL!$B$5="Percentage points",M177-N177,M177*(1-N177))))</f>
        <v/>
      </c>
      <c r="P177" s="11">
        <f>IF(D177&lt;&gt;"READY","",IF(AGENT_INPUT!O177&gt;0,AGENT_INPUT!O177,AGENT_INPUT!M177*AGENT_INPUT!N177/IF(POLICY_APPROVAL!$B$7="Annual",12,1)))</f>
        <v/>
      </c>
      <c r="Q177" s="10">
        <f>IF(D177&lt;&gt;"READY","",MIN(1,AGENT_INPUT!P177/AGENT_INPUT!Q177))</f>
        <v/>
      </c>
      <c r="R177" s="11">
        <f>IF(D177&lt;&gt;"READY","",ROUND(P177*Q177*O177,IF(POLICY_APPROVAL!$B$11="Whole MAD",0,2)))</f>
        <v/>
      </c>
      <c r="S177" s="11">
        <f>IF(AND(SETUP!$B$9="READY",T177="READY"),R177,"")</f>
        <v/>
      </c>
      <c r="T177" s="4">
        <f>IF($A177="","",IF(D177&lt;&gt;"READY","BLOCKED - INPUT",IF(E177&lt;&gt;"ELIGIBLE","BLOCKED - ELIGIBILITY",IF(AGENT_INPUT!S177&lt;&gt;"VALIDATED","BLOCKED - DATA",IF(SETUP!$B$9&lt;&gt;"READY","BLOCKED - POLICY","READY")))))</f>
        <v/>
      </c>
      <c r="U177" s="4">
        <f>IF($A177="","",IF(COUNTIFS(AGENT_INPUT!$A$5:$A$254,$A177,AGENT_INPUT!$D$5:$D$254,AGENT_INPUT!D177)&gt;1,"DUPLICATE AGENT + PERIOD",IF(D177&lt;&gt;"READY","INPUT OR CONFIG REVIEW",IF(T177&lt;&gt;"READY",T177,""))))</f>
        <v/>
      </c>
    </row>
    <row r="178" spans="1:21">
      <c r="A178" s="4">
        <f>IF(AGENT_INPUT!A178="","",AGENT_INPUT!A178)</f>
        <v/>
      </c>
      <c r="B178" s="4">
        <f>IF($A178="","",AGENT_INPUT!B178)</f>
        <v/>
      </c>
      <c r="C178" s="4">
        <f>IF($A178="","",AGENT_INPUT!C178)</f>
        <v/>
      </c>
      <c r="D178" s="4">
        <f>IF($A178="","",IF(AND(COUNT(AGENT_INPUT!E178:J178)=6,COUNT(AGENT_INPUT!K178)=1,COUNTIF(BONUS_RULES!$A$5:$A$46,AGENT_INPUT!C178)&gt;0,OR(AGENT_INPUT!O178&gt;0,AND(AGENT_INPUT!M178&gt;0,AGENT_INPUT!N178&gt;0)),AGENT_INPUT!P178&gt;=0,AGENT_INPUT!Q178&gt;0,AGENT_INPUT!P178&lt;=AGENT_INPUT!Q178,AGENT_INPUT!H178&gt;=0,AGENT_INPUT!H178&lt;=1,AGENT_INPUT!I178&gt;=0,AGENT_INPUT!I178&lt;=1,AGENT_INPUT!J178&gt;=0,AGENT_INPUT!J178&lt;=1),"READY","BLOCKED"))</f>
        <v/>
      </c>
      <c r="E178" s="4">
        <f>IF($A178="","",IF(AGENT_INPUT!R178&lt;&gt;"Active","REVIEW",IF(OR(POLICY_APPROVAL!$B$9="Eligibility only",POLICY_APPROVAL!$B$9="Both"),IF(AGENT_INPUT!J178&lt;=SUMIFS(BONUS_RULES!$E$5:$E$46,BONUS_RULES!$A$5:$A$46,$C178,BONUS_RULES!$B$5:$B$46,"Abs%"),"ELIGIBLE","INELIGIBLE ABS"),"ELIGIBLE")))</f>
        <v/>
      </c>
      <c r="F178" s="10">
        <f>IF(OR($A178="",$D178&lt;&gt;"READY"),"",IF(AGENT_INPUT!E178&lt;=SUMIFS(BONUS_RULES!$E$5:$E$46,BONUS_RULES!$A$5:$A$46,$C178,BONUS_RULES!$B$5:$B$46,"AHT"),SUMIFS(BONUS_RULES!$D$5:$D$46,BONUS_RULES!$A$5:$A$46,$C178,BONUS_RULES!$B$5:$B$46,"AHT"),IF(AGENT_INPUT!E178&lt;=SUMIFS(BONUS_RULES!$G$5:$G$46,BONUS_RULES!$A$5:$A$46,$C178,BONUS_RULES!$B$5:$B$46,"AHT"),SUMIFS(BONUS_RULES!$F$5:$F$46,BONUS_RULES!$A$5:$A$46,$C178,BONUS_RULES!$B$5:$B$46,"AHT"),0)))</f>
        <v/>
      </c>
      <c r="G178" s="10">
        <f>IF(OR($A178="",$D178&lt;&gt;"READY"),"",IF(AGENT_INPUT!F178&gt;=SUMIFS(BONUS_RULES!$E$5:$E$46,BONUS_RULES!$A$5:$A$46,$C178,BONUS_RULES!$B$5:$B$46,"Productivity"),SUMIFS(BONUS_RULES!$D$5:$D$46,BONUS_RULES!$A$5:$A$46,$C178,BONUS_RULES!$B$5:$B$46,"Productivity"),IF(AGENT_INPUT!F178&gt;=SUMIFS(BONUS_RULES!$G$5:$G$46,BONUS_RULES!$A$5:$A$46,$C178,BONUS_RULES!$B$5:$B$46,"Productivity"),SUMIFS(BONUS_RULES!$F$5:$F$46,BONUS_RULES!$A$5:$A$46,$C178,BONUS_RULES!$B$5:$B$46,"Productivity"),0)))</f>
        <v/>
      </c>
      <c r="H178" s="10">
        <f>IF(OR($A178="",$D178&lt;&gt;"READY"),"",IF(AGENT_INPUT!G178&gt;=SUMIFS(BONUS_RULES!$E$5:$E$46,BONUS_RULES!$A$5:$A$46,$C178,BONUS_RULES!$B$5:$B$46,"PCS Score"),SUMIFS(BONUS_RULES!$D$5:$D$46,BONUS_RULES!$A$5:$A$46,$C178,BONUS_RULES!$B$5:$B$46,"PCS Score"),IF(AGENT_INPUT!G178&gt;=SUMIFS(BONUS_RULES!$G$5:$G$46,BONUS_RULES!$A$5:$A$46,$C178,BONUS_RULES!$B$5:$B$46,"PCS Score"),SUMIFS(BONUS_RULES!$F$5:$F$46,BONUS_RULES!$A$5:$A$46,$C178,BONUS_RULES!$B$5:$B$46,"PCS Score"),0)))</f>
        <v/>
      </c>
      <c r="I178" s="10">
        <f>IF(OR($A178="",$D178&lt;&gt;"READY"),"",IF(AGENT_INPUT!H178&gt;=SUMIFS(BONUS_RULES!$E$5:$E$46,BONUS_RULES!$A$5:$A$46,$C178,BONUS_RULES!$B$5:$B$46,"PCS % (Participation)"),SUMIFS(BONUS_RULES!$D$5:$D$46,BONUS_RULES!$A$5:$A$46,$C178,BONUS_RULES!$B$5:$B$46,"PCS % (Participation)"),IF(AGENT_INPUT!H178&gt;=SUMIFS(BONUS_RULES!$G$5:$G$46,BONUS_RULES!$A$5:$A$46,$C178,BONUS_RULES!$B$5:$B$46,"PCS % (Participation)"),SUMIFS(BONUS_RULES!$F$5:$F$46,BONUS_RULES!$A$5:$A$46,$C178,BONUS_RULES!$B$5:$B$46,"PCS % (Participation)"),0)))</f>
        <v/>
      </c>
      <c r="J178" s="10">
        <f>IF(OR($A178="",$D178&lt;&gt;"READY"),"",IF(AGENT_INPUT!I178&gt;=SUMIFS(BONUS_RULES!$E$5:$E$46,BONUS_RULES!$A$5:$A$46,$C178,BONUS_RULES!$B$5:$B$46,"QM"),SUMIFS(BONUS_RULES!$D$5:$D$46,BONUS_RULES!$A$5:$A$46,$C178,BONUS_RULES!$B$5:$B$46,"QM"),IF(AGENT_INPUT!I178&gt;=SUMIFS(BONUS_RULES!$G$5:$G$46,BONUS_RULES!$A$5:$A$46,$C178,BONUS_RULES!$B$5:$B$46,"QM"),SUMIFS(BONUS_RULES!$F$5:$F$46,BONUS_RULES!$A$5:$A$46,$C178,BONUS_RULES!$B$5:$B$46,"QM"),0)))</f>
        <v/>
      </c>
      <c r="K178" s="10">
        <f>IF(POLICY_APPROVAL!$B$9="Eligibility only",0,IF(OR($A178="",$D178&lt;&gt;"READY"),"",IF(AGENT_INPUT!J178&lt;=SUMIFS(BONUS_RULES!$E$5:$E$46,BONUS_RULES!$A$5:$A$46,$C178,BONUS_RULES!$B$5:$B$46,"Abs%"),SUMIFS(BONUS_RULES!$D$5:$D$46,BONUS_RULES!$A$5:$A$46,$C178,BONUS_RULES!$B$5:$B$46,"Abs%"),IF(AGENT_INPUT!J178&lt;=SUMIFS(BONUS_RULES!$G$5:$G$46,BONUS_RULES!$A$5:$A$46,$C178,BONUS_RULES!$B$5:$B$46,"Abs%"),SUMIFS(BONUS_RULES!$F$5:$F$46,BONUS_RULES!$A$5:$A$46,$C178,BONUS_RULES!$B$5:$B$46,"Abs%"),0))))</f>
        <v/>
      </c>
      <c r="L178" s="10">
        <f>IF(OR($A178="",$D178&lt;&gt;"READY"),"",IF(AGENT_INPUT!G178&gt;=SUMIFS(BONUS_RULES!$E$5:$E$46,BONUS_RULES!$A$5:$A$46,$C178,BONUS_RULES!$B$5:$B$46,"Extra Bonus (PCS Score)"),SUMIFS(BONUS_RULES!$D$5:$D$46,BONUS_RULES!$A$5:$A$46,$C178,BONUS_RULES!$B$5:$B$46,"Extra Bonus (PCS Score)"),IF(AGENT_INPUT!G178&gt;=SUMIFS(BONUS_RULES!$G$5:$G$46,BONUS_RULES!$A$5:$A$46,$C178,BONUS_RULES!$B$5:$B$46,"Extra Bonus (PCS Score)"),SUMIFS(BONUS_RULES!$F$5:$F$46,BONUS_RULES!$A$5:$A$46,$C178,BONUS_RULES!$B$5:$B$46,"Extra Bonus (PCS Score)"),0)))</f>
        <v/>
      </c>
      <c r="M178" s="10">
        <f>IF($A178="","",MIN(IF(POLICY_APPROVAL!$B$6="Replacement",SUM(F178:K178)-H178+MAX(H178,L178),SUM(F178:L178)),POLICY_APPROVAL!$B$10))</f>
        <v/>
      </c>
      <c r="N178" s="10">
        <f>IF($A178="","",IFERROR(INDEX(BONUS_RULES!$J$5:$J$10,MATCH(MIN(MAX(AGENT_INPUT!K178,0),5),BONUS_RULES!$I$5:$I$10,0)),1))</f>
        <v/>
      </c>
      <c r="O178" s="10">
        <f>IF(M178="","",MAX(0,IF(POLICY_APPROVAL!$B$5="Percentage points",M178-N178,M178*(1-N178))))</f>
        <v/>
      </c>
      <c r="P178" s="11">
        <f>IF(D178&lt;&gt;"READY","",IF(AGENT_INPUT!O178&gt;0,AGENT_INPUT!O178,AGENT_INPUT!M178*AGENT_INPUT!N178/IF(POLICY_APPROVAL!$B$7="Annual",12,1)))</f>
        <v/>
      </c>
      <c r="Q178" s="10">
        <f>IF(D178&lt;&gt;"READY","",MIN(1,AGENT_INPUT!P178/AGENT_INPUT!Q178))</f>
        <v/>
      </c>
      <c r="R178" s="11">
        <f>IF(D178&lt;&gt;"READY","",ROUND(P178*Q178*O178,IF(POLICY_APPROVAL!$B$11="Whole MAD",0,2)))</f>
        <v/>
      </c>
      <c r="S178" s="11">
        <f>IF(AND(SETUP!$B$9="READY",T178="READY"),R178,"")</f>
        <v/>
      </c>
      <c r="T178" s="4">
        <f>IF($A178="","",IF(D178&lt;&gt;"READY","BLOCKED - INPUT",IF(E178&lt;&gt;"ELIGIBLE","BLOCKED - ELIGIBILITY",IF(AGENT_INPUT!S178&lt;&gt;"VALIDATED","BLOCKED - DATA",IF(SETUP!$B$9&lt;&gt;"READY","BLOCKED - POLICY","READY")))))</f>
        <v/>
      </c>
      <c r="U178" s="4">
        <f>IF($A178="","",IF(COUNTIFS(AGENT_INPUT!$A$5:$A$254,$A178,AGENT_INPUT!$D$5:$D$254,AGENT_INPUT!D178)&gt;1,"DUPLICATE AGENT + PERIOD",IF(D178&lt;&gt;"READY","INPUT OR CONFIG REVIEW",IF(T178&lt;&gt;"READY",T178,""))))</f>
        <v/>
      </c>
    </row>
    <row r="179" spans="1:21">
      <c r="A179" s="4">
        <f>IF(AGENT_INPUT!A179="","",AGENT_INPUT!A179)</f>
        <v/>
      </c>
      <c r="B179" s="4">
        <f>IF($A179="","",AGENT_INPUT!B179)</f>
        <v/>
      </c>
      <c r="C179" s="4">
        <f>IF($A179="","",AGENT_INPUT!C179)</f>
        <v/>
      </c>
      <c r="D179" s="4">
        <f>IF($A179="","",IF(AND(COUNT(AGENT_INPUT!E179:J179)=6,COUNT(AGENT_INPUT!K179)=1,COUNTIF(BONUS_RULES!$A$5:$A$46,AGENT_INPUT!C179)&gt;0,OR(AGENT_INPUT!O179&gt;0,AND(AGENT_INPUT!M179&gt;0,AGENT_INPUT!N179&gt;0)),AGENT_INPUT!P179&gt;=0,AGENT_INPUT!Q179&gt;0,AGENT_INPUT!P179&lt;=AGENT_INPUT!Q179,AGENT_INPUT!H179&gt;=0,AGENT_INPUT!H179&lt;=1,AGENT_INPUT!I179&gt;=0,AGENT_INPUT!I179&lt;=1,AGENT_INPUT!J179&gt;=0,AGENT_INPUT!J179&lt;=1),"READY","BLOCKED"))</f>
        <v/>
      </c>
      <c r="E179" s="4">
        <f>IF($A179="","",IF(AGENT_INPUT!R179&lt;&gt;"Active","REVIEW",IF(OR(POLICY_APPROVAL!$B$9="Eligibility only",POLICY_APPROVAL!$B$9="Both"),IF(AGENT_INPUT!J179&lt;=SUMIFS(BONUS_RULES!$E$5:$E$46,BONUS_RULES!$A$5:$A$46,$C179,BONUS_RULES!$B$5:$B$46,"Abs%"),"ELIGIBLE","INELIGIBLE ABS"),"ELIGIBLE")))</f>
        <v/>
      </c>
      <c r="F179" s="10">
        <f>IF(OR($A179="",$D179&lt;&gt;"READY"),"",IF(AGENT_INPUT!E179&lt;=SUMIFS(BONUS_RULES!$E$5:$E$46,BONUS_RULES!$A$5:$A$46,$C179,BONUS_RULES!$B$5:$B$46,"AHT"),SUMIFS(BONUS_RULES!$D$5:$D$46,BONUS_RULES!$A$5:$A$46,$C179,BONUS_RULES!$B$5:$B$46,"AHT"),IF(AGENT_INPUT!E179&lt;=SUMIFS(BONUS_RULES!$G$5:$G$46,BONUS_RULES!$A$5:$A$46,$C179,BONUS_RULES!$B$5:$B$46,"AHT"),SUMIFS(BONUS_RULES!$F$5:$F$46,BONUS_RULES!$A$5:$A$46,$C179,BONUS_RULES!$B$5:$B$46,"AHT"),0)))</f>
        <v/>
      </c>
      <c r="G179" s="10">
        <f>IF(OR($A179="",$D179&lt;&gt;"READY"),"",IF(AGENT_INPUT!F179&gt;=SUMIFS(BONUS_RULES!$E$5:$E$46,BONUS_RULES!$A$5:$A$46,$C179,BONUS_RULES!$B$5:$B$46,"Productivity"),SUMIFS(BONUS_RULES!$D$5:$D$46,BONUS_RULES!$A$5:$A$46,$C179,BONUS_RULES!$B$5:$B$46,"Productivity"),IF(AGENT_INPUT!F179&gt;=SUMIFS(BONUS_RULES!$G$5:$G$46,BONUS_RULES!$A$5:$A$46,$C179,BONUS_RULES!$B$5:$B$46,"Productivity"),SUMIFS(BONUS_RULES!$F$5:$F$46,BONUS_RULES!$A$5:$A$46,$C179,BONUS_RULES!$B$5:$B$46,"Productivity"),0)))</f>
        <v/>
      </c>
      <c r="H179" s="10">
        <f>IF(OR($A179="",$D179&lt;&gt;"READY"),"",IF(AGENT_INPUT!G179&gt;=SUMIFS(BONUS_RULES!$E$5:$E$46,BONUS_RULES!$A$5:$A$46,$C179,BONUS_RULES!$B$5:$B$46,"PCS Score"),SUMIFS(BONUS_RULES!$D$5:$D$46,BONUS_RULES!$A$5:$A$46,$C179,BONUS_RULES!$B$5:$B$46,"PCS Score"),IF(AGENT_INPUT!G179&gt;=SUMIFS(BONUS_RULES!$G$5:$G$46,BONUS_RULES!$A$5:$A$46,$C179,BONUS_RULES!$B$5:$B$46,"PCS Score"),SUMIFS(BONUS_RULES!$F$5:$F$46,BONUS_RULES!$A$5:$A$46,$C179,BONUS_RULES!$B$5:$B$46,"PCS Score"),0)))</f>
        <v/>
      </c>
      <c r="I179" s="10">
        <f>IF(OR($A179="",$D179&lt;&gt;"READY"),"",IF(AGENT_INPUT!H179&gt;=SUMIFS(BONUS_RULES!$E$5:$E$46,BONUS_RULES!$A$5:$A$46,$C179,BONUS_RULES!$B$5:$B$46,"PCS % (Participation)"),SUMIFS(BONUS_RULES!$D$5:$D$46,BONUS_RULES!$A$5:$A$46,$C179,BONUS_RULES!$B$5:$B$46,"PCS % (Participation)"),IF(AGENT_INPUT!H179&gt;=SUMIFS(BONUS_RULES!$G$5:$G$46,BONUS_RULES!$A$5:$A$46,$C179,BONUS_RULES!$B$5:$B$46,"PCS % (Participation)"),SUMIFS(BONUS_RULES!$F$5:$F$46,BONUS_RULES!$A$5:$A$46,$C179,BONUS_RULES!$B$5:$B$46,"PCS % (Participation)"),0)))</f>
        <v/>
      </c>
      <c r="J179" s="10">
        <f>IF(OR($A179="",$D179&lt;&gt;"READY"),"",IF(AGENT_INPUT!I179&gt;=SUMIFS(BONUS_RULES!$E$5:$E$46,BONUS_RULES!$A$5:$A$46,$C179,BONUS_RULES!$B$5:$B$46,"QM"),SUMIFS(BONUS_RULES!$D$5:$D$46,BONUS_RULES!$A$5:$A$46,$C179,BONUS_RULES!$B$5:$B$46,"QM"),IF(AGENT_INPUT!I179&gt;=SUMIFS(BONUS_RULES!$G$5:$G$46,BONUS_RULES!$A$5:$A$46,$C179,BONUS_RULES!$B$5:$B$46,"QM"),SUMIFS(BONUS_RULES!$F$5:$F$46,BONUS_RULES!$A$5:$A$46,$C179,BONUS_RULES!$B$5:$B$46,"QM"),0)))</f>
        <v/>
      </c>
      <c r="K179" s="10">
        <f>IF(POLICY_APPROVAL!$B$9="Eligibility only",0,IF(OR($A179="",$D179&lt;&gt;"READY"),"",IF(AGENT_INPUT!J179&lt;=SUMIFS(BONUS_RULES!$E$5:$E$46,BONUS_RULES!$A$5:$A$46,$C179,BONUS_RULES!$B$5:$B$46,"Abs%"),SUMIFS(BONUS_RULES!$D$5:$D$46,BONUS_RULES!$A$5:$A$46,$C179,BONUS_RULES!$B$5:$B$46,"Abs%"),IF(AGENT_INPUT!J179&lt;=SUMIFS(BONUS_RULES!$G$5:$G$46,BONUS_RULES!$A$5:$A$46,$C179,BONUS_RULES!$B$5:$B$46,"Abs%"),SUMIFS(BONUS_RULES!$F$5:$F$46,BONUS_RULES!$A$5:$A$46,$C179,BONUS_RULES!$B$5:$B$46,"Abs%"),0))))</f>
        <v/>
      </c>
      <c r="L179" s="10">
        <f>IF(OR($A179="",$D179&lt;&gt;"READY"),"",IF(AGENT_INPUT!G179&gt;=SUMIFS(BONUS_RULES!$E$5:$E$46,BONUS_RULES!$A$5:$A$46,$C179,BONUS_RULES!$B$5:$B$46,"Extra Bonus (PCS Score)"),SUMIFS(BONUS_RULES!$D$5:$D$46,BONUS_RULES!$A$5:$A$46,$C179,BONUS_RULES!$B$5:$B$46,"Extra Bonus (PCS Score)"),IF(AGENT_INPUT!G179&gt;=SUMIFS(BONUS_RULES!$G$5:$G$46,BONUS_RULES!$A$5:$A$46,$C179,BONUS_RULES!$B$5:$B$46,"Extra Bonus (PCS Score)"),SUMIFS(BONUS_RULES!$F$5:$F$46,BONUS_RULES!$A$5:$A$46,$C179,BONUS_RULES!$B$5:$B$46,"Extra Bonus (PCS Score)"),0)))</f>
        <v/>
      </c>
      <c r="M179" s="10">
        <f>IF($A179="","",MIN(IF(POLICY_APPROVAL!$B$6="Replacement",SUM(F179:K179)-H179+MAX(H179,L179),SUM(F179:L179)),POLICY_APPROVAL!$B$10))</f>
        <v/>
      </c>
      <c r="N179" s="10">
        <f>IF($A179="","",IFERROR(INDEX(BONUS_RULES!$J$5:$J$10,MATCH(MIN(MAX(AGENT_INPUT!K179,0),5),BONUS_RULES!$I$5:$I$10,0)),1))</f>
        <v/>
      </c>
      <c r="O179" s="10">
        <f>IF(M179="","",MAX(0,IF(POLICY_APPROVAL!$B$5="Percentage points",M179-N179,M179*(1-N179))))</f>
        <v/>
      </c>
      <c r="P179" s="11">
        <f>IF(D179&lt;&gt;"READY","",IF(AGENT_INPUT!O179&gt;0,AGENT_INPUT!O179,AGENT_INPUT!M179*AGENT_INPUT!N179/IF(POLICY_APPROVAL!$B$7="Annual",12,1)))</f>
        <v/>
      </c>
      <c r="Q179" s="10">
        <f>IF(D179&lt;&gt;"READY","",MIN(1,AGENT_INPUT!P179/AGENT_INPUT!Q179))</f>
        <v/>
      </c>
      <c r="R179" s="11">
        <f>IF(D179&lt;&gt;"READY","",ROUND(P179*Q179*O179,IF(POLICY_APPROVAL!$B$11="Whole MAD",0,2)))</f>
        <v/>
      </c>
      <c r="S179" s="11">
        <f>IF(AND(SETUP!$B$9="READY",T179="READY"),R179,"")</f>
        <v/>
      </c>
      <c r="T179" s="4">
        <f>IF($A179="","",IF(D179&lt;&gt;"READY","BLOCKED - INPUT",IF(E179&lt;&gt;"ELIGIBLE","BLOCKED - ELIGIBILITY",IF(AGENT_INPUT!S179&lt;&gt;"VALIDATED","BLOCKED - DATA",IF(SETUP!$B$9&lt;&gt;"READY","BLOCKED - POLICY","READY")))))</f>
        <v/>
      </c>
      <c r="U179" s="4">
        <f>IF($A179="","",IF(COUNTIFS(AGENT_INPUT!$A$5:$A$254,$A179,AGENT_INPUT!$D$5:$D$254,AGENT_INPUT!D179)&gt;1,"DUPLICATE AGENT + PERIOD",IF(D179&lt;&gt;"READY","INPUT OR CONFIG REVIEW",IF(T179&lt;&gt;"READY",T179,""))))</f>
        <v/>
      </c>
    </row>
    <row r="180" spans="1:21">
      <c r="A180" s="4">
        <f>IF(AGENT_INPUT!A180="","",AGENT_INPUT!A180)</f>
        <v/>
      </c>
      <c r="B180" s="4">
        <f>IF($A180="","",AGENT_INPUT!B180)</f>
        <v/>
      </c>
      <c r="C180" s="4">
        <f>IF($A180="","",AGENT_INPUT!C180)</f>
        <v/>
      </c>
      <c r="D180" s="4">
        <f>IF($A180="","",IF(AND(COUNT(AGENT_INPUT!E180:J180)=6,COUNT(AGENT_INPUT!K180)=1,COUNTIF(BONUS_RULES!$A$5:$A$46,AGENT_INPUT!C180)&gt;0,OR(AGENT_INPUT!O180&gt;0,AND(AGENT_INPUT!M180&gt;0,AGENT_INPUT!N180&gt;0)),AGENT_INPUT!P180&gt;=0,AGENT_INPUT!Q180&gt;0,AGENT_INPUT!P180&lt;=AGENT_INPUT!Q180,AGENT_INPUT!H180&gt;=0,AGENT_INPUT!H180&lt;=1,AGENT_INPUT!I180&gt;=0,AGENT_INPUT!I180&lt;=1,AGENT_INPUT!J180&gt;=0,AGENT_INPUT!J180&lt;=1),"READY","BLOCKED"))</f>
        <v/>
      </c>
      <c r="E180" s="4">
        <f>IF($A180="","",IF(AGENT_INPUT!R180&lt;&gt;"Active","REVIEW",IF(OR(POLICY_APPROVAL!$B$9="Eligibility only",POLICY_APPROVAL!$B$9="Both"),IF(AGENT_INPUT!J180&lt;=SUMIFS(BONUS_RULES!$E$5:$E$46,BONUS_RULES!$A$5:$A$46,$C180,BONUS_RULES!$B$5:$B$46,"Abs%"),"ELIGIBLE","INELIGIBLE ABS"),"ELIGIBLE")))</f>
        <v/>
      </c>
      <c r="F180" s="10">
        <f>IF(OR($A180="",$D180&lt;&gt;"READY"),"",IF(AGENT_INPUT!E180&lt;=SUMIFS(BONUS_RULES!$E$5:$E$46,BONUS_RULES!$A$5:$A$46,$C180,BONUS_RULES!$B$5:$B$46,"AHT"),SUMIFS(BONUS_RULES!$D$5:$D$46,BONUS_RULES!$A$5:$A$46,$C180,BONUS_RULES!$B$5:$B$46,"AHT"),IF(AGENT_INPUT!E180&lt;=SUMIFS(BONUS_RULES!$G$5:$G$46,BONUS_RULES!$A$5:$A$46,$C180,BONUS_RULES!$B$5:$B$46,"AHT"),SUMIFS(BONUS_RULES!$F$5:$F$46,BONUS_RULES!$A$5:$A$46,$C180,BONUS_RULES!$B$5:$B$46,"AHT"),0)))</f>
        <v/>
      </c>
      <c r="G180" s="10">
        <f>IF(OR($A180="",$D180&lt;&gt;"READY"),"",IF(AGENT_INPUT!F180&gt;=SUMIFS(BONUS_RULES!$E$5:$E$46,BONUS_RULES!$A$5:$A$46,$C180,BONUS_RULES!$B$5:$B$46,"Productivity"),SUMIFS(BONUS_RULES!$D$5:$D$46,BONUS_RULES!$A$5:$A$46,$C180,BONUS_RULES!$B$5:$B$46,"Productivity"),IF(AGENT_INPUT!F180&gt;=SUMIFS(BONUS_RULES!$G$5:$G$46,BONUS_RULES!$A$5:$A$46,$C180,BONUS_RULES!$B$5:$B$46,"Productivity"),SUMIFS(BONUS_RULES!$F$5:$F$46,BONUS_RULES!$A$5:$A$46,$C180,BONUS_RULES!$B$5:$B$46,"Productivity"),0)))</f>
        <v/>
      </c>
      <c r="H180" s="10">
        <f>IF(OR($A180="",$D180&lt;&gt;"READY"),"",IF(AGENT_INPUT!G180&gt;=SUMIFS(BONUS_RULES!$E$5:$E$46,BONUS_RULES!$A$5:$A$46,$C180,BONUS_RULES!$B$5:$B$46,"PCS Score"),SUMIFS(BONUS_RULES!$D$5:$D$46,BONUS_RULES!$A$5:$A$46,$C180,BONUS_RULES!$B$5:$B$46,"PCS Score"),IF(AGENT_INPUT!G180&gt;=SUMIFS(BONUS_RULES!$G$5:$G$46,BONUS_RULES!$A$5:$A$46,$C180,BONUS_RULES!$B$5:$B$46,"PCS Score"),SUMIFS(BONUS_RULES!$F$5:$F$46,BONUS_RULES!$A$5:$A$46,$C180,BONUS_RULES!$B$5:$B$46,"PCS Score"),0)))</f>
        <v/>
      </c>
      <c r="I180" s="10">
        <f>IF(OR($A180="",$D180&lt;&gt;"READY"),"",IF(AGENT_INPUT!H180&gt;=SUMIFS(BONUS_RULES!$E$5:$E$46,BONUS_RULES!$A$5:$A$46,$C180,BONUS_RULES!$B$5:$B$46,"PCS % (Participation)"),SUMIFS(BONUS_RULES!$D$5:$D$46,BONUS_RULES!$A$5:$A$46,$C180,BONUS_RULES!$B$5:$B$46,"PCS % (Participation)"),IF(AGENT_INPUT!H180&gt;=SUMIFS(BONUS_RULES!$G$5:$G$46,BONUS_RULES!$A$5:$A$46,$C180,BONUS_RULES!$B$5:$B$46,"PCS % (Participation)"),SUMIFS(BONUS_RULES!$F$5:$F$46,BONUS_RULES!$A$5:$A$46,$C180,BONUS_RULES!$B$5:$B$46,"PCS % (Participation)"),0)))</f>
        <v/>
      </c>
      <c r="J180" s="10">
        <f>IF(OR($A180="",$D180&lt;&gt;"READY"),"",IF(AGENT_INPUT!I180&gt;=SUMIFS(BONUS_RULES!$E$5:$E$46,BONUS_RULES!$A$5:$A$46,$C180,BONUS_RULES!$B$5:$B$46,"QM"),SUMIFS(BONUS_RULES!$D$5:$D$46,BONUS_RULES!$A$5:$A$46,$C180,BONUS_RULES!$B$5:$B$46,"QM"),IF(AGENT_INPUT!I180&gt;=SUMIFS(BONUS_RULES!$G$5:$G$46,BONUS_RULES!$A$5:$A$46,$C180,BONUS_RULES!$B$5:$B$46,"QM"),SUMIFS(BONUS_RULES!$F$5:$F$46,BONUS_RULES!$A$5:$A$46,$C180,BONUS_RULES!$B$5:$B$46,"QM"),0)))</f>
        <v/>
      </c>
      <c r="K180" s="10">
        <f>IF(POLICY_APPROVAL!$B$9="Eligibility only",0,IF(OR($A180="",$D180&lt;&gt;"READY"),"",IF(AGENT_INPUT!J180&lt;=SUMIFS(BONUS_RULES!$E$5:$E$46,BONUS_RULES!$A$5:$A$46,$C180,BONUS_RULES!$B$5:$B$46,"Abs%"),SUMIFS(BONUS_RULES!$D$5:$D$46,BONUS_RULES!$A$5:$A$46,$C180,BONUS_RULES!$B$5:$B$46,"Abs%"),IF(AGENT_INPUT!J180&lt;=SUMIFS(BONUS_RULES!$G$5:$G$46,BONUS_RULES!$A$5:$A$46,$C180,BONUS_RULES!$B$5:$B$46,"Abs%"),SUMIFS(BONUS_RULES!$F$5:$F$46,BONUS_RULES!$A$5:$A$46,$C180,BONUS_RULES!$B$5:$B$46,"Abs%"),0))))</f>
        <v/>
      </c>
      <c r="L180" s="10">
        <f>IF(OR($A180="",$D180&lt;&gt;"READY"),"",IF(AGENT_INPUT!G180&gt;=SUMIFS(BONUS_RULES!$E$5:$E$46,BONUS_RULES!$A$5:$A$46,$C180,BONUS_RULES!$B$5:$B$46,"Extra Bonus (PCS Score)"),SUMIFS(BONUS_RULES!$D$5:$D$46,BONUS_RULES!$A$5:$A$46,$C180,BONUS_RULES!$B$5:$B$46,"Extra Bonus (PCS Score)"),IF(AGENT_INPUT!G180&gt;=SUMIFS(BONUS_RULES!$G$5:$G$46,BONUS_RULES!$A$5:$A$46,$C180,BONUS_RULES!$B$5:$B$46,"Extra Bonus (PCS Score)"),SUMIFS(BONUS_RULES!$F$5:$F$46,BONUS_RULES!$A$5:$A$46,$C180,BONUS_RULES!$B$5:$B$46,"Extra Bonus (PCS Score)"),0)))</f>
        <v/>
      </c>
      <c r="M180" s="10">
        <f>IF($A180="","",MIN(IF(POLICY_APPROVAL!$B$6="Replacement",SUM(F180:K180)-H180+MAX(H180,L180),SUM(F180:L180)),POLICY_APPROVAL!$B$10))</f>
        <v/>
      </c>
      <c r="N180" s="10">
        <f>IF($A180="","",IFERROR(INDEX(BONUS_RULES!$J$5:$J$10,MATCH(MIN(MAX(AGENT_INPUT!K180,0),5),BONUS_RULES!$I$5:$I$10,0)),1))</f>
        <v/>
      </c>
      <c r="O180" s="10">
        <f>IF(M180="","",MAX(0,IF(POLICY_APPROVAL!$B$5="Percentage points",M180-N180,M180*(1-N180))))</f>
        <v/>
      </c>
      <c r="P180" s="11">
        <f>IF(D180&lt;&gt;"READY","",IF(AGENT_INPUT!O180&gt;0,AGENT_INPUT!O180,AGENT_INPUT!M180*AGENT_INPUT!N180/IF(POLICY_APPROVAL!$B$7="Annual",12,1)))</f>
        <v/>
      </c>
      <c r="Q180" s="10">
        <f>IF(D180&lt;&gt;"READY","",MIN(1,AGENT_INPUT!P180/AGENT_INPUT!Q180))</f>
        <v/>
      </c>
      <c r="R180" s="11">
        <f>IF(D180&lt;&gt;"READY","",ROUND(P180*Q180*O180,IF(POLICY_APPROVAL!$B$11="Whole MAD",0,2)))</f>
        <v/>
      </c>
      <c r="S180" s="11">
        <f>IF(AND(SETUP!$B$9="READY",T180="READY"),R180,"")</f>
        <v/>
      </c>
      <c r="T180" s="4">
        <f>IF($A180="","",IF(D180&lt;&gt;"READY","BLOCKED - INPUT",IF(E180&lt;&gt;"ELIGIBLE","BLOCKED - ELIGIBILITY",IF(AGENT_INPUT!S180&lt;&gt;"VALIDATED","BLOCKED - DATA",IF(SETUP!$B$9&lt;&gt;"READY","BLOCKED - POLICY","READY")))))</f>
        <v/>
      </c>
      <c r="U180" s="4">
        <f>IF($A180="","",IF(COUNTIFS(AGENT_INPUT!$A$5:$A$254,$A180,AGENT_INPUT!$D$5:$D$254,AGENT_INPUT!D180)&gt;1,"DUPLICATE AGENT + PERIOD",IF(D180&lt;&gt;"READY","INPUT OR CONFIG REVIEW",IF(T180&lt;&gt;"READY",T180,""))))</f>
        <v/>
      </c>
    </row>
    <row r="181" spans="1:21">
      <c r="A181" s="4">
        <f>IF(AGENT_INPUT!A181="","",AGENT_INPUT!A181)</f>
        <v/>
      </c>
      <c r="B181" s="4">
        <f>IF($A181="","",AGENT_INPUT!B181)</f>
        <v/>
      </c>
      <c r="C181" s="4">
        <f>IF($A181="","",AGENT_INPUT!C181)</f>
        <v/>
      </c>
      <c r="D181" s="4">
        <f>IF($A181="","",IF(AND(COUNT(AGENT_INPUT!E181:J181)=6,COUNT(AGENT_INPUT!K181)=1,COUNTIF(BONUS_RULES!$A$5:$A$46,AGENT_INPUT!C181)&gt;0,OR(AGENT_INPUT!O181&gt;0,AND(AGENT_INPUT!M181&gt;0,AGENT_INPUT!N181&gt;0)),AGENT_INPUT!P181&gt;=0,AGENT_INPUT!Q181&gt;0,AGENT_INPUT!P181&lt;=AGENT_INPUT!Q181,AGENT_INPUT!H181&gt;=0,AGENT_INPUT!H181&lt;=1,AGENT_INPUT!I181&gt;=0,AGENT_INPUT!I181&lt;=1,AGENT_INPUT!J181&gt;=0,AGENT_INPUT!J181&lt;=1),"READY","BLOCKED"))</f>
        <v/>
      </c>
      <c r="E181" s="4">
        <f>IF($A181="","",IF(AGENT_INPUT!R181&lt;&gt;"Active","REVIEW",IF(OR(POLICY_APPROVAL!$B$9="Eligibility only",POLICY_APPROVAL!$B$9="Both"),IF(AGENT_INPUT!J181&lt;=SUMIFS(BONUS_RULES!$E$5:$E$46,BONUS_RULES!$A$5:$A$46,$C181,BONUS_RULES!$B$5:$B$46,"Abs%"),"ELIGIBLE","INELIGIBLE ABS"),"ELIGIBLE")))</f>
        <v/>
      </c>
      <c r="F181" s="10">
        <f>IF(OR($A181="",$D181&lt;&gt;"READY"),"",IF(AGENT_INPUT!E181&lt;=SUMIFS(BONUS_RULES!$E$5:$E$46,BONUS_RULES!$A$5:$A$46,$C181,BONUS_RULES!$B$5:$B$46,"AHT"),SUMIFS(BONUS_RULES!$D$5:$D$46,BONUS_RULES!$A$5:$A$46,$C181,BONUS_RULES!$B$5:$B$46,"AHT"),IF(AGENT_INPUT!E181&lt;=SUMIFS(BONUS_RULES!$G$5:$G$46,BONUS_RULES!$A$5:$A$46,$C181,BONUS_RULES!$B$5:$B$46,"AHT"),SUMIFS(BONUS_RULES!$F$5:$F$46,BONUS_RULES!$A$5:$A$46,$C181,BONUS_RULES!$B$5:$B$46,"AHT"),0)))</f>
        <v/>
      </c>
      <c r="G181" s="10">
        <f>IF(OR($A181="",$D181&lt;&gt;"READY"),"",IF(AGENT_INPUT!F181&gt;=SUMIFS(BONUS_RULES!$E$5:$E$46,BONUS_RULES!$A$5:$A$46,$C181,BONUS_RULES!$B$5:$B$46,"Productivity"),SUMIFS(BONUS_RULES!$D$5:$D$46,BONUS_RULES!$A$5:$A$46,$C181,BONUS_RULES!$B$5:$B$46,"Productivity"),IF(AGENT_INPUT!F181&gt;=SUMIFS(BONUS_RULES!$G$5:$G$46,BONUS_RULES!$A$5:$A$46,$C181,BONUS_RULES!$B$5:$B$46,"Productivity"),SUMIFS(BONUS_RULES!$F$5:$F$46,BONUS_RULES!$A$5:$A$46,$C181,BONUS_RULES!$B$5:$B$46,"Productivity"),0)))</f>
        <v/>
      </c>
      <c r="H181" s="10">
        <f>IF(OR($A181="",$D181&lt;&gt;"READY"),"",IF(AGENT_INPUT!G181&gt;=SUMIFS(BONUS_RULES!$E$5:$E$46,BONUS_RULES!$A$5:$A$46,$C181,BONUS_RULES!$B$5:$B$46,"PCS Score"),SUMIFS(BONUS_RULES!$D$5:$D$46,BONUS_RULES!$A$5:$A$46,$C181,BONUS_RULES!$B$5:$B$46,"PCS Score"),IF(AGENT_INPUT!G181&gt;=SUMIFS(BONUS_RULES!$G$5:$G$46,BONUS_RULES!$A$5:$A$46,$C181,BONUS_RULES!$B$5:$B$46,"PCS Score"),SUMIFS(BONUS_RULES!$F$5:$F$46,BONUS_RULES!$A$5:$A$46,$C181,BONUS_RULES!$B$5:$B$46,"PCS Score"),0)))</f>
        <v/>
      </c>
      <c r="I181" s="10">
        <f>IF(OR($A181="",$D181&lt;&gt;"READY"),"",IF(AGENT_INPUT!H181&gt;=SUMIFS(BONUS_RULES!$E$5:$E$46,BONUS_RULES!$A$5:$A$46,$C181,BONUS_RULES!$B$5:$B$46,"PCS % (Participation)"),SUMIFS(BONUS_RULES!$D$5:$D$46,BONUS_RULES!$A$5:$A$46,$C181,BONUS_RULES!$B$5:$B$46,"PCS % (Participation)"),IF(AGENT_INPUT!H181&gt;=SUMIFS(BONUS_RULES!$G$5:$G$46,BONUS_RULES!$A$5:$A$46,$C181,BONUS_RULES!$B$5:$B$46,"PCS % (Participation)"),SUMIFS(BONUS_RULES!$F$5:$F$46,BONUS_RULES!$A$5:$A$46,$C181,BONUS_RULES!$B$5:$B$46,"PCS % (Participation)"),0)))</f>
        <v/>
      </c>
      <c r="J181" s="10">
        <f>IF(OR($A181="",$D181&lt;&gt;"READY"),"",IF(AGENT_INPUT!I181&gt;=SUMIFS(BONUS_RULES!$E$5:$E$46,BONUS_RULES!$A$5:$A$46,$C181,BONUS_RULES!$B$5:$B$46,"QM"),SUMIFS(BONUS_RULES!$D$5:$D$46,BONUS_RULES!$A$5:$A$46,$C181,BONUS_RULES!$B$5:$B$46,"QM"),IF(AGENT_INPUT!I181&gt;=SUMIFS(BONUS_RULES!$G$5:$G$46,BONUS_RULES!$A$5:$A$46,$C181,BONUS_RULES!$B$5:$B$46,"QM"),SUMIFS(BONUS_RULES!$F$5:$F$46,BONUS_RULES!$A$5:$A$46,$C181,BONUS_RULES!$B$5:$B$46,"QM"),0)))</f>
        <v/>
      </c>
      <c r="K181" s="10">
        <f>IF(POLICY_APPROVAL!$B$9="Eligibility only",0,IF(OR($A181="",$D181&lt;&gt;"READY"),"",IF(AGENT_INPUT!J181&lt;=SUMIFS(BONUS_RULES!$E$5:$E$46,BONUS_RULES!$A$5:$A$46,$C181,BONUS_RULES!$B$5:$B$46,"Abs%"),SUMIFS(BONUS_RULES!$D$5:$D$46,BONUS_RULES!$A$5:$A$46,$C181,BONUS_RULES!$B$5:$B$46,"Abs%"),IF(AGENT_INPUT!J181&lt;=SUMIFS(BONUS_RULES!$G$5:$G$46,BONUS_RULES!$A$5:$A$46,$C181,BONUS_RULES!$B$5:$B$46,"Abs%"),SUMIFS(BONUS_RULES!$F$5:$F$46,BONUS_RULES!$A$5:$A$46,$C181,BONUS_RULES!$B$5:$B$46,"Abs%"),0))))</f>
        <v/>
      </c>
      <c r="L181" s="10">
        <f>IF(OR($A181="",$D181&lt;&gt;"READY"),"",IF(AGENT_INPUT!G181&gt;=SUMIFS(BONUS_RULES!$E$5:$E$46,BONUS_RULES!$A$5:$A$46,$C181,BONUS_RULES!$B$5:$B$46,"Extra Bonus (PCS Score)"),SUMIFS(BONUS_RULES!$D$5:$D$46,BONUS_RULES!$A$5:$A$46,$C181,BONUS_RULES!$B$5:$B$46,"Extra Bonus (PCS Score)"),IF(AGENT_INPUT!G181&gt;=SUMIFS(BONUS_RULES!$G$5:$G$46,BONUS_RULES!$A$5:$A$46,$C181,BONUS_RULES!$B$5:$B$46,"Extra Bonus (PCS Score)"),SUMIFS(BONUS_RULES!$F$5:$F$46,BONUS_RULES!$A$5:$A$46,$C181,BONUS_RULES!$B$5:$B$46,"Extra Bonus (PCS Score)"),0)))</f>
        <v/>
      </c>
      <c r="M181" s="10">
        <f>IF($A181="","",MIN(IF(POLICY_APPROVAL!$B$6="Replacement",SUM(F181:K181)-H181+MAX(H181,L181),SUM(F181:L181)),POLICY_APPROVAL!$B$10))</f>
        <v/>
      </c>
      <c r="N181" s="10">
        <f>IF($A181="","",IFERROR(INDEX(BONUS_RULES!$J$5:$J$10,MATCH(MIN(MAX(AGENT_INPUT!K181,0),5),BONUS_RULES!$I$5:$I$10,0)),1))</f>
        <v/>
      </c>
      <c r="O181" s="10">
        <f>IF(M181="","",MAX(0,IF(POLICY_APPROVAL!$B$5="Percentage points",M181-N181,M181*(1-N181))))</f>
        <v/>
      </c>
      <c r="P181" s="11">
        <f>IF(D181&lt;&gt;"READY","",IF(AGENT_INPUT!O181&gt;0,AGENT_INPUT!O181,AGENT_INPUT!M181*AGENT_INPUT!N181/IF(POLICY_APPROVAL!$B$7="Annual",12,1)))</f>
        <v/>
      </c>
      <c r="Q181" s="10">
        <f>IF(D181&lt;&gt;"READY","",MIN(1,AGENT_INPUT!P181/AGENT_INPUT!Q181))</f>
        <v/>
      </c>
      <c r="R181" s="11">
        <f>IF(D181&lt;&gt;"READY","",ROUND(P181*Q181*O181,IF(POLICY_APPROVAL!$B$11="Whole MAD",0,2)))</f>
        <v/>
      </c>
      <c r="S181" s="11">
        <f>IF(AND(SETUP!$B$9="READY",T181="READY"),R181,"")</f>
        <v/>
      </c>
      <c r="T181" s="4">
        <f>IF($A181="","",IF(D181&lt;&gt;"READY","BLOCKED - INPUT",IF(E181&lt;&gt;"ELIGIBLE","BLOCKED - ELIGIBILITY",IF(AGENT_INPUT!S181&lt;&gt;"VALIDATED","BLOCKED - DATA",IF(SETUP!$B$9&lt;&gt;"READY","BLOCKED - POLICY","READY")))))</f>
        <v/>
      </c>
      <c r="U181" s="4">
        <f>IF($A181="","",IF(COUNTIFS(AGENT_INPUT!$A$5:$A$254,$A181,AGENT_INPUT!$D$5:$D$254,AGENT_INPUT!D181)&gt;1,"DUPLICATE AGENT + PERIOD",IF(D181&lt;&gt;"READY","INPUT OR CONFIG REVIEW",IF(T181&lt;&gt;"READY",T181,""))))</f>
        <v/>
      </c>
    </row>
    <row r="182" spans="1:21">
      <c r="A182" s="4">
        <f>IF(AGENT_INPUT!A182="","",AGENT_INPUT!A182)</f>
        <v/>
      </c>
      <c r="B182" s="4">
        <f>IF($A182="","",AGENT_INPUT!B182)</f>
        <v/>
      </c>
      <c r="C182" s="4">
        <f>IF($A182="","",AGENT_INPUT!C182)</f>
        <v/>
      </c>
      <c r="D182" s="4">
        <f>IF($A182="","",IF(AND(COUNT(AGENT_INPUT!E182:J182)=6,COUNT(AGENT_INPUT!K182)=1,COUNTIF(BONUS_RULES!$A$5:$A$46,AGENT_INPUT!C182)&gt;0,OR(AGENT_INPUT!O182&gt;0,AND(AGENT_INPUT!M182&gt;0,AGENT_INPUT!N182&gt;0)),AGENT_INPUT!P182&gt;=0,AGENT_INPUT!Q182&gt;0,AGENT_INPUT!P182&lt;=AGENT_INPUT!Q182,AGENT_INPUT!H182&gt;=0,AGENT_INPUT!H182&lt;=1,AGENT_INPUT!I182&gt;=0,AGENT_INPUT!I182&lt;=1,AGENT_INPUT!J182&gt;=0,AGENT_INPUT!J182&lt;=1),"READY","BLOCKED"))</f>
        <v/>
      </c>
      <c r="E182" s="4">
        <f>IF($A182="","",IF(AGENT_INPUT!R182&lt;&gt;"Active","REVIEW",IF(OR(POLICY_APPROVAL!$B$9="Eligibility only",POLICY_APPROVAL!$B$9="Both"),IF(AGENT_INPUT!J182&lt;=SUMIFS(BONUS_RULES!$E$5:$E$46,BONUS_RULES!$A$5:$A$46,$C182,BONUS_RULES!$B$5:$B$46,"Abs%"),"ELIGIBLE","INELIGIBLE ABS"),"ELIGIBLE")))</f>
        <v/>
      </c>
      <c r="F182" s="10">
        <f>IF(OR($A182="",$D182&lt;&gt;"READY"),"",IF(AGENT_INPUT!E182&lt;=SUMIFS(BONUS_RULES!$E$5:$E$46,BONUS_RULES!$A$5:$A$46,$C182,BONUS_RULES!$B$5:$B$46,"AHT"),SUMIFS(BONUS_RULES!$D$5:$D$46,BONUS_RULES!$A$5:$A$46,$C182,BONUS_RULES!$B$5:$B$46,"AHT"),IF(AGENT_INPUT!E182&lt;=SUMIFS(BONUS_RULES!$G$5:$G$46,BONUS_RULES!$A$5:$A$46,$C182,BONUS_RULES!$B$5:$B$46,"AHT"),SUMIFS(BONUS_RULES!$F$5:$F$46,BONUS_RULES!$A$5:$A$46,$C182,BONUS_RULES!$B$5:$B$46,"AHT"),0)))</f>
        <v/>
      </c>
      <c r="G182" s="10">
        <f>IF(OR($A182="",$D182&lt;&gt;"READY"),"",IF(AGENT_INPUT!F182&gt;=SUMIFS(BONUS_RULES!$E$5:$E$46,BONUS_RULES!$A$5:$A$46,$C182,BONUS_RULES!$B$5:$B$46,"Productivity"),SUMIFS(BONUS_RULES!$D$5:$D$46,BONUS_RULES!$A$5:$A$46,$C182,BONUS_RULES!$B$5:$B$46,"Productivity"),IF(AGENT_INPUT!F182&gt;=SUMIFS(BONUS_RULES!$G$5:$G$46,BONUS_RULES!$A$5:$A$46,$C182,BONUS_RULES!$B$5:$B$46,"Productivity"),SUMIFS(BONUS_RULES!$F$5:$F$46,BONUS_RULES!$A$5:$A$46,$C182,BONUS_RULES!$B$5:$B$46,"Productivity"),0)))</f>
        <v/>
      </c>
      <c r="H182" s="10">
        <f>IF(OR($A182="",$D182&lt;&gt;"READY"),"",IF(AGENT_INPUT!G182&gt;=SUMIFS(BONUS_RULES!$E$5:$E$46,BONUS_RULES!$A$5:$A$46,$C182,BONUS_RULES!$B$5:$B$46,"PCS Score"),SUMIFS(BONUS_RULES!$D$5:$D$46,BONUS_RULES!$A$5:$A$46,$C182,BONUS_RULES!$B$5:$B$46,"PCS Score"),IF(AGENT_INPUT!G182&gt;=SUMIFS(BONUS_RULES!$G$5:$G$46,BONUS_RULES!$A$5:$A$46,$C182,BONUS_RULES!$B$5:$B$46,"PCS Score"),SUMIFS(BONUS_RULES!$F$5:$F$46,BONUS_RULES!$A$5:$A$46,$C182,BONUS_RULES!$B$5:$B$46,"PCS Score"),0)))</f>
        <v/>
      </c>
      <c r="I182" s="10">
        <f>IF(OR($A182="",$D182&lt;&gt;"READY"),"",IF(AGENT_INPUT!H182&gt;=SUMIFS(BONUS_RULES!$E$5:$E$46,BONUS_RULES!$A$5:$A$46,$C182,BONUS_RULES!$B$5:$B$46,"PCS % (Participation)"),SUMIFS(BONUS_RULES!$D$5:$D$46,BONUS_RULES!$A$5:$A$46,$C182,BONUS_RULES!$B$5:$B$46,"PCS % (Participation)"),IF(AGENT_INPUT!H182&gt;=SUMIFS(BONUS_RULES!$G$5:$G$46,BONUS_RULES!$A$5:$A$46,$C182,BONUS_RULES!$B$5:$B$46,"PCS % (Participation)"),SUMIFS(BONUS_RULES!$F$5:$F$46,BONUS_RULES!$A$5:$A$46,$C182,BONUS_RULES!$B$5:$B$46,"PCS % (Participation)"),0)))</f>
        <v/>
      </c>
      <c r="J182" s="10">
        <f>IF(OR($A182="",$D182&lt;&gt;"READY"),"",IF(AGENT_INPUT!I182&gt;=SUMIFS(BONUS_RULES!$E$5:$E$46,BONUS_RULES!$A$5:$A$46,$C182,BONUS_RULES!$B$5:$B$46,"QM"),SUMIFS(BONUS_RULES!$D$5:$D$46,BONUS_RULES!$A$5:$A$46,$C182,BONUS_RULES!$B$5:$B$46,"QM"),IF(AGENT_INPUT!I182&gt;=SUMIFS(BONUS_RULES!$G$5:$G$46,BONUS_RULES!$A$5:$A$46,$C182,BONUS_RULES!$B$5:$B$46,"QM"),SUMIFS(BONUS_RULES!$F$5:$F$46,BONUS_RULES!$A$5:$A$46,$C182,BONUS_RULES!$B$5:$B$46,"QM"),0)))</f>
        <v/>
      </c>
      <c r="K182" s="10">
        <f>IF(POLICY_APPROVAL!$B$9="Eligibility only",0,IF(OR($A182="",$D182&lt;&gt;"READY"),"",IF(AGENT_INPUT!J182&lt;=SUMIFS(BONUS_RULES!$E$5:$E$46,BONUS_RULES!$A$5:$A$46,$C182,BONUS_RULES!$B$5:$B$46,"Abs%"),SUMIFS(BONUS_RULES!$D$5:$D$46,BONUS_RULES!$A$5:$A$46,$C182,BONUS_RULES!$B$5:$B$46,"Abs%"),IF(AGENT_INPUT!J182&lt;=SUMIFS(BONUS_RULES!$G$5:$G$46,BONUS_RULES!$A$5:$A$46,$C182,BONUS_RULES!$B$5:$B$46,"Abs%"),SUMIFS(BONUS_RULES!$F$5:$F$46,BONUS_RULES!$A$5:$A$46,$C182,BONUS_RULES!$B$5:$B$46,"Abs%"),0))))</f>
        <v/>
      </c>
      <c r="L182" s="10">
        <f>IF(OR($A182="",$D182&lt;&gt;"READY"),"",IF(AGENT_INPUT!G182&gt;=SUMIFS(BONUS_RULES!$E$5:$E$46,BONUS_RULES!$A$5:$A$46,$C182,BONUS_RULES!$B$5:$B$46,"Extra Bonus (PCS Score)"),SUMIFS(BONUS_RULES!$D$5:$D$46,BONUS_RULES!$A$5:$A$46,$C182,BONUS_RULES!$B$5:$B$46,"Extra Bonus (PCS Score)"),IF(AGENT_INPUT!G182&gt;=SUMIFS(BONUS_RULES!$G$5:$G$46,BONUS_RULES!$A$5:$A$46,$C182,BONUS_RULES!$B$5:$B$46,"Extra Bonus (PCS Score)"),SUMIFS(BONUS_RULES!$F$5:$F$46,BONUS_RULES!$A$5:$A$46,$C182,BONUS_RULES!$B$5:$B$46,"Extra Bonus (PCS Score)"),0)))</f>
        <v/>
      </c>
      <c r="M182" s="10">
        <f>IF($A182="","",MIN(IF(POLICY_APPROVAL!$B$6="Replacement",SUM(F182:K182)-H182+MAX(H182,L182),SUM(F182:L182)),POLICY_APPROVAL!$B$10))</f>
        <v/>
      </c>
      <c r="N182" s="10">
        <f>IF($A182="","",IFERROR(INDEX(BONUS_RULES!$J$5:$J$10,MATCH(MIN(MAX(AGENT_INPUT!K182,0),5),BONUS_RULES!$I$5:$I$10,0)),1))</f>
        <v/>
      </c>
      <c r="O182" s="10">
        <f>IF(M182="","",MAX(0,IF(POLICY_APPROVAL!$B$5="Percentage points",M182-N182,M182*(1-N182))))</f>
        <v/>
      </c>
      <c r="P182" s="11">
        <f>IF(D182&lt;&gt;"READY","",IF(AGENT_INPUT!O182&gt;0,AGENT_INPUT!O182,AGENT_INPUT!M182*AGENT_INPUT!N182/IF(POLICY_APPROVAL!$B$7="Annual",12,1)))</f>
        <v/>
      </c>
      <c r="Q182" s="10">
        <f>IF(D182&lt;&gt;"READY","",MIN(1,AGENT_INPUT!P182/AGENT_INPUT!Q182))</f>
        <v/>
      </c>
      <c r="R182" s="11">
        <f>IF(D182&lt;&gt;"READY","",ROUND(P182*Q182*O182,IF(POLICY_APPROVAL!$B$11="Whole MAD",0,2)))</f>
        <v/>
      </c>
      <c r="S182" s="11">
        <f>IF(AND(SETUP!$B$9="READY",T182="READY"),R182,"")</f>
        <v/>
      </c>
      <c r="T182" s="4">
        <f>IF($A182="","",IF(D182&lt;&gt;"READY","BLOCKED - INPUT",IF(E182&lt;&gt;"ELIGIBLE","BLOCKED - ELIGIBILITY",IF(AGENT_INPUT!S182&lt;&gt;"VALIDATED","BLOCKED - DATA",IF(SETUP!$B$9&lt;&gt;"READY","BLOCKED - POLICY","READY")))))</f>
        <v/>
      </c>
      <c r="U182" s="4">
        <f>IF($A182="","",IF(COUNTIFS(AGENT_INPUT!$A$5:$A$254,$A182,AGENT_INPUT!$D$5:$D$254,AGENT_INPUT!D182)&gt;1,"DUPLICATE AGENT + PERIOD",IF(D182&lt;&gt;"READY","INPUT OR CONFIG REVIEW",IF(T182&lt;&gt;"READY",T182,""))))</f>
        <v/>
      </c>
    </row>
    <row r="183" spans="1:21">
      <c r="A183" s="4">
        <f>IF(AGENT_INPUT!A183="","",AGENT_INPUT!A183)</f>
        <v/>
      </c>
      <c r="B183" s="4">
        <f>IF($A183="","",AGENT_INPUT!B183)</f>
        <v/>
      </c>
      <c r="C183" s="4">
        <f>IF($A183="","",AGENT_INPUT!C183)</f>
        <v/>
      </c>
      <c r="D183" s="4">
        <f>IF($A183="","",IF(AND(COUNT(AGENT_INPUT!E183:J183)=6,COUNT(AGENT_INPUT!K183)=1,COUNTIF(BONUS_RULES!$A$5:$A$46,AGENT_INPUT!C183)&gt;0,OR(AGENT_INPUT!O183&gt;0,AND(AGENT_INPUT!M183&gt;0,AGENT_INPUT!N183&gt;0)),AGENT_INPUT!P183&gt;=0,AGENT_INPUT!Q183&gt;0,AGENT_INPUT!P183&lt;=AGENT_INPUT!Q183,AGENT_INPUT!H183&gt;=0,AGENT_INPUT!H183&lt;=1,AGENT_INPUT!I183&gt;=0,AGENT_INPUT!I183&lt;=1,AGENT_INPUT!J183&gt;=0,AGENT_INPUT!J183&lt;=1),"READY","BLOCKED"))</f>
        <v/>
      </c>
      <c r="E183" s="4">
        <f>IF($A183="","",IF(AGENT_INPUT!R183&lt;&gt;"Active","REVIEW",IF(OR(POLICY_APPROVAL!$B$9="Eligibility only",POLICY_APPROVAL!$B$9="Both"),IF(AGENT_INPUT!J183&lt;=SUMIFS(BONUS_RULES!$E$5:$E$46,BONUS_RULES!$A$5:$A$46,$C183,BONUS_RULES!$B$5:$B$46,"Abs%"),"ELIGIBLE","INELIGIBLE ABS"),"ELIGIBLE")))</f>
        <v/>
      </c>
      <c r="F183" s="10">
        <f>IF(OR($A183="",$D183&lt;&gt;"READY"),"",IF(AGENT_INPUT!E183&lt;=SUMIFS(BONUS_RULES!$E$5:$E$46,BONUS_RULES!$A$5:$A$46,$C183,BONUS_RULES!$B$5:$B$46,"AHT"),SUMIFS(BONUS_RULES!$D$5:$D$46,BONUS_RULES!$A$5:$A$46,$C183,BONUS_RULES!$B$5:$B$46,"AHT"),IF(AGENT_INPUT!E183&lt;=SUMIFS(BONUS_RULES!$G$5:$G$46,BONUS_RULES!$A$5:$A$46,$C183,BONUS_RULES!$B$5:$B$46,"AHT"),SUMIFS(BONUS_RULES!$F$5:$F$46,BONUS_RULES!$A$5:$A$46,$C183,BONUS_RULES!$B$5:$B$46,"AHT"),0)))</f>
        <v/>
      </c>
      <c r="G183" s="10">
        <f>IF(OR($A183="",$D183&lt;&gt;"READY"),"",IF(AGENT_INPUT!F183&gt;=SUMIFS(BONUS_RULES!$E$5:$E$46,BONUS_RULES!$A$5:$A$46,$C183,BONUS_RULES!$B$5:$B$46,"Productivity"),SUMIFS(BONUS_RULES!$D$5:$D$46,BONUS_RULES!$A$5:$A$46,$C183,BONUS_RULES!$B$5:$B$46,"Productivity"),IF(AGENT_INPUT!F183&gt;=SUMIFS(BONUS_RULES!$G$5:$G$46,BONUS_RULES!$A$5:$A$46,$C183,BONUS_RULES!$B$5:$B$46,"Productivity"),SUMIFS(BONUS_RULES!$F$5:$F$46,BONUS_RULES!$A$5:$A$46,$C183,BONUS_RULES!$B$5:$B$46,"Productivity"),0)))</f>
        <v/>
      </c>
      <c r="H183" s="10">
        <f>IF(OR($A183="",$D183&lt;&gt;"READY"),"",IF(AGENT_INPUT!G183&gt;=SUMIFS(BONUS_RULES!$E$5:$E$46,BONUS_RULES!$A$5:$A$46,$C183,BONUS_RULES!$B$5:$B$46,"PCS Score"),SUMIFS(BONUS_RULES!$D$5:$D$46,BONUS_RULES!$A$5:$A$46,$C183,BONUS_RULES!$B$5:$B$46,"PCS Score"),IF(AGENT_INPUT!G183&gt;=SUMIFS(BONUS_RULES!$G$5:$G$46,BONUS_RULES!$A$5:$A$46,$C183,BONUS_RULES!$B$5:$B$46,"PCS Score"),SUMIFS(BONUS_RULES!$F$5:$F$46,BONUS_RULES!$A$5:$A$46,$C183,BONUS_RULES!$B$5:$B$46,"PCS Score"),0)))</f>
        <v/>
      </c>
      <c r="I183" s="10">
        <f>IF(OR($A183="",$D183&lt;&gt;"READY"),"",IF(AGENT_INPUT!H183&gt;=SUMIFS(BONUS_RULES!$E$5:$E$46,BONUS_RULES!$A$5:$A$46,$C183,BONUS_RULES!$B$5:$B$46,"PCS % (Participation)"),SUMIFS(BONUS_RULES!$D$5:$D$46,BONUS_RULES!$A$5:$A$46,$C183,BONUS_RULES!$B$5:$B$46,"PCS % (Participation)"),IF(AGENT_INPUT!H183&gt;=SUMIFS(BONUS_RULES!$G$5:$G$46,BONUS_RULES!$A$5:$A$46,$C183,BONUS_RULES!$B$5:$B$46,"PCS % (Participation)"),SUMIFS(BONUS_RULES!$F$5:$F$46,BONUS_RULES!$A$5:$A$46,$C183,BONUS_RULES!$B$5:$B$46,"PCS % (Participation)"),0)))</f>
        <v/>
      </c>
      <c r="J183" s="10">
        <f>IF(OR($A183="",$D183&lt;&gt;"READY"),"",IF(AGENT_INPUT!I183&gt;=SUMIFS(BONUS_RULES!$E$5:$E$46,BONUS_RULES!$A$5:$A$46,$C183,BONUS_RULES!$B$5:$B$46,"QM"),SUMIFS(BONUS_RULES!$D$5:$D$46,BONUS_RULES!$A$5:$A$46,$C183,BONUS_RULES!$B$5:$B$46,"QM"),IF(AGENT_INPUT!I183&gt;=SUMIFS(BONUS_RULES!$G$5:$G$46,BONUS_RULES!$A$5:$A$46,$C183,BONUS_RULES!$B$5:$B$46,"QM"),SUMIFS(BONUS_RULES!$F$5:$F$46,BONUS_RULES!$A$5:$A$46,$C183,BONUS_RULES!$B$5:$B$46,"QM"),0)))</f>
        <v/>
      </c>
      <c r="K183" s="10">
        <f>IF(POLICY_APPROVAL!$B$9="Eligibility only",0,IF(OR($A183="",$D183&lt;&gt;"READY"),"",IF(AGENT_INPUT!J183&lt;=SUMIFS(BONUS_RULES!$E$5:$E$46,BONUS_RULES!$A$5:$A$46,$C183,BONUS_RULES!$B$5:$B$46,"Abs%"),SUMIFS(BONUS_RULES!$D$5:$D$46,BONUS_RULES!$A$5:$A$46,$C183,BONUS_RULES!$B$5:$B$46,"Abs%"),IF(AGENT_INPUT!J183&lt;=SUMIFS(BONUS_RULES!$G$5:$G$46,BONUS_RULES!$A$5:$A$46,$C183,BONUS_RULES!$B$5:$B$46,"Abs%"),SUMIFS(BONUS_RULES!$F$5:$F$46,BONUS_RULES!$A$5:$A$46,$C183,BONUS_RULES!$B$5:$B$46,"Abs%"),0))))</f>
        <v/>
      </c>
      <c r="L183" s="10">
        <f>IF(OR($A183="",$D183&lt;&gt;"READY"),"",IF(AGENT_INPUT!G183&gt;=SUMIFS(BONUS_RULES!$E$5:$E$46,BONUS_RULES!$A$5:$A$46,$C183,BONUS_RULES!$B$5:$B$46,"Extra Bonus (PCS Score)"),SUMIFS(BONUS_RULES!$D$5:$D$46,BONUS_RULES!$A$5:$A$46,$C183,BONUS_RULES!$B$5:$B$46,"Extra Bonus (PCS Score)"),IF(AGENT_INPUT!G183&gt;=SUMIFS(BONUS_RULES!$G$5:$G$46,BONUS_RULES!$A$5:$A$46,$C183,BONUS_RULES!$B$5:$B$46,"Extra Bonus (PCS Score)"),SUMIFS(BONUS_RULES!$F$5:$F$46,BONUS_RULES!$A$5:$A$46,$C183,BONUS_RULES!$B$5:$B$46,"Extra Bonus (PCS Score)"),0)))</f>
        <v/>
      </c>
      <c r="M183" s="10">
        <f>IF($A183="","",MIN(IF(POLICY_APPROVAL!$B$6="Replacement",SUM(F183:K183)-H183+MAX(H183,L183),SUM(F183:L183)),POLICY_APPROVAL!$B$10))</f>
        <v/>
      </c>
      <c r="N183" s="10">
        <f>IF($A183="","",IFERROR(INDEX(BONUS_RULES!$J$5:$J$10,MATCH(MIN(MAX(AGENT_INPUT!K183,0),5),BONUS_RULES!$I$5:$I$10,0)),1))</f>
        <v/>
      </c>
      <c r="O183" s="10">
        <f>IF(M183="","",MAX(0,IF(POLICY_APPROVAL!$B$5="Percentage points",M183-N183,M183*(1-N183))))</f>
        <v/>
      </c>
      <c r="P183" s="11">
        <f>IF(D183&lt;&gt;"READY","",IF(AGENT_INPUT!O183&gt;0,AGENT_INPUT!O183,AGENT_INPUT!M183*AGENT_INPUT!N183/IF(POLICY_APPROVAL!$B$7="Annual",12,1)))</f>
        <v/>
      </c>
      <c r="Q183" s="10">
        <f>IF(D183&lt;&gt;"READY","",MIN(1,AGENT_INPUT!P183/AGENT_INPUT!Q183))</f>
        <v/>
      </c>
      <c r="R183" s="11">
        <f>IF(D183&lt;&gt;"READY","",ROUND(P183*Q183*O183,IF(POLICY_APPROVAL!$B$11="Whole MAD",0,2)))</f>
        <v/>
      </c>
      <c r="S183" s="11">
        <f>IF(AND(SETUP!$B$9="READY",T183="READY"),R183,"")</f>
        <v/>
      </c>
      <c r="T183" s="4">
        <f>IF($A183="","",IF(D183&lt;&gt;"READY","BLOCKED - INPUT",IF(E183&lt;&gt;"ELIGIBLE","BLOCKED - ELIGIBILITY",IF(AGENT_INPUT!S183&lt;&gt;"VALIDATED","BLOCKED - DATA",IF(SETUP!$B$9&lt;&gt;"READY","BLOCKED - POLICY","READY")))))</f>
        <v/>
      </c>
      <c r="U183" s="4">
        <f>IF($A183="","",IF(COUNTIFS(AGENT_INPUT!$A$5:$A$254,$A183,AGENT_INPUT!$D$5:$D$254,AGENT_INPUT!D183)&gt;1,"DUPLICATE AGENT + PERIOD",IF(D183&lt;&gt;"READY","INPUT OR CONFIG REVIEW",IF(T183&lt;&gt;"READY",T183,""))))</f>
        <v/>
      </c>
    </row>
    <row r="184" spans="1:21">
      <c r="A184" s="4">
        <f>IF(AGENT_INPUT!A184="","",AGENT_INPUT!A184)</f>
        <v/>
      </c>
      <c r="B184" s="4">
        <f>IF($A184="","",AGENT_INPUT!B184)</f>
        <v/>
      </c>
      <c r="C184" s="4">
        <f>IF($A184="","",AGENT_INPUT!C184)</f>
        <v/>
      </c>
      <c r="D184" s="4">
        <f>IF($A184="","",IF(AND(COUNT(AGENT_INPUT!E184:J184)=6,COUNT(AGENT_INPUT!K184)=1,COUNTIF(BONUS_RULES!$A$5:$A$46,AGENT_INPUT!C184)&gt;0,OR(AGENT_INPUT!O184&gt;0,AND(AGENT_INPUT!M184&gt;0,AGENT_INPUT!N184&gt;0)),AGENT_INPUT!P184&gt;=0,AGENT_INPUT!Q184&gt;0,AGENT_INPUT!P184&lt;=AGENT_INPUT!Q184,AGENT_INPUT!H184&gt;=0,AGENT_INPUT!H184&lt;=1,AGENT_INPUT!I184&gt;=0,AGENT_INPUT!I184&lt;=1,AGENT_INPUT!J184&gt;=0,AGENT_INPUT!J184&lt;=1),"READY","BLOCKED"))</f>
        <v/>
      </c>
      <c r="E184" s="4">
        <f>IF($A184="","",IF(AGENT_INPUT!R184&lt;&gt;"Active","REVIEW",IF(OR(POLICY_APPROVAL!$B$9="Eligibility only",POLICY_APPROVAL!$B$9="Both"),IF(AGENT_INPUT!J184&lt;=SUMIFS(BONUS_RULES!$E$5:$E$46,BONUS_RULES!$A$5:$A$46,$C184,BONUS_RULES!$B$5:$B$46,"Abs%"),"ELIGIBLE","INELIGIBLE ABS"),"ELIGIBLE")))</f>
        <v/>
      </c>
      <c r="F184" s="10">
        <f>IF(OR($A184="",$D184&lt;&gt;"READY"),"",IF(AGENT_INPUT!E184&lt;=SUMIFS(BONUS_RULES!$E$5:$E$46,BONUS_RULES!$A$5:$A$46,$C184,BONUS_RULES!$B$5:$B$46,"AHT"),SUMIFS(BONUS_RULES!$D$5:$D$46,BONUS_RULES!$A$5:$A$46,$C184,BONUS_RULES!$B$5:$B$46,"AHT"),IF(AGENT_INPUT!E184&lt;=SUMIFS(BONUS_RULES!$G$5:$G$46,BONUS_RULES!$A$5:$A$46,$C184,BONUS_RULES!$B$5:$B$46,"AHT"),SUMIFS(BONUS_RULES!$F$5:$F$46,BONUS_RULES!$A$5:$A$46,$C184,BONUS_RULES!$B$5:$B$46,"AHT"),0)))</f>
        <v/>
      </c>
      <c r="G184" s="10">
        <f>IF(OR($A184="",$D184&lt;&gt;"READY"),"",IF(AGENT_INPUT!F184&gt;=SUMIFS(BONUS_RULES!$E$5:$E$46,BONUS_RULES!$A$5:$A$46,$C184,BONUS_RULES!$B$5:$B$46,"Productivity"),SUMIFS(BONUS_RULES!$D$5:$D$46,BONUS_RULES!$A$5:$A$46,$C184,BONUS_RULES!$B$5:$B$46,"Productivity"),IF(AGENT_INPUT!F184&gt;=SUMIFS(BONUS_RULES!$G$5:$G$46,BONUS_RULES!$A$5:$A$46,$C184,BONUS_RULES!$B$5:$B$46,"Productivity"),SUMIFS(BONUS_RULES!$F$5:$F$46,BONUS_RULES!$A$5:$A$46,$C184,BONUS_RULES!$B$5:$B$46,"Productivity"),0)))</f>
        <v/>
      </c>
      <c r="H184" s="10">
        <f>IF(OR($A184="",$D184&lt;&gt;"READY"),"",IF(AGENT_INPUT!G184&gt;=SUMIFS(BONUS_RULES!$E$5:$E$46,BONUS_RULES!$A$5:$A$46,$C184,BONUS_RULES!$B$5:$B$46,"PCS Score"),SUMIFS(BONUS_RULES!$D$5:$D$46,BONUS_RULES!$A$5:$A$46,$C184,BONUS_RULES!$B$5:$B$46,"PCS Score"),IF(AGENT_INPUT!G184&gt;=SUMIFS(BONUS_RULES!$G$5:$G$46,BONUS_RULES!$A$5:$A$46,$C184,BONUS_RULES!$B$5:$B$46,"PCS Score"),SUMIFS(BONUS_RULES!$F$5:$F$46,BONUS_RULES!$A$5:$A$46,$C184,BONUS_RULES!$B$5:$B$46,"PCS Score"),0)))</f>
        <v/>
      </c>
      <c r="I184" s="10">
        <f>IF(OR($A184="",$D184&lt;&gt;"READY"),"",IF(AGENT_INPUT!H184&gt;=SUMIFS(BONUS_RULES!$E$5:$E$46,BONUS_RULES!$A$5:$A$46,$C184,BONUS_RULES!$B$5:$B$46,"PCS % (Participation)"),SUMIFS(BONUS_RULES!$D$5:$D$46,BONUS_RULES!$A$5:$A$46,$C184,BONUS_RULES!$B$5:$B$46,"PCS % (Participation)"),IF(AGENT_INPUT!H184&gt;=SUMIFS(BONUS_RULES!$G$5:$G$46,BONUS_RULES!$A$5:$A$46,$C184,BONUS_RULES!$B$5:$B$46,"PCS % (Participation)"),SUMIFS(BONUS_RULES!$F$5:$F$46,BONUS_RULES!$A$5:$A$46,$C184,BONUS_RULES!$B$5:$B$46,"PCS % (Participation)"),0)))</f>
        <v/>
      </c>
      <c r="J184" s="10">
        <f>IF(OR($A184="",$D184&lt;&gt;"READY"),"",IF(AGENT_INPUT!I184&gt;=SUMIFS(BONUS_RULES!$E$5:$E$46,BONUS_RULES!$A$5:$A$46,$C184,BONUS_RULES!$B$5:$B$46,"QM"),SUMIFS(BONUS_RULES!$D$5:$D$46,BONUS_RULES!$A$5:$A$46,$C184,BONUS_RULES!$B$5:$B$46,"QM"),IF(AGENT_INPUT!I184&gt;=SUMIFS(BONUS_RULES!$G$5:$G$46,BONUS_RULES!$A$5:$A$46,$C184,BONUS_RULES!$B$5:$B$46,"QM"),SUMIFS(BONUS_RULES!$F$5:$F$46,BONUS_RULES!$A$5:$A$46,$C184,BONUS_RULES!$B$5:$B$46,"QM"),0)))</f>
        <v/>
      </c>
      <c r="K184" s="10">
        <f>IF(POLICY_APPROVAL!$B$9="Eligibility only",0,IF(OR($A184="",$D184&lt;&gt;"READY"),"",IF(AGENT_INPUT!J184&lt;=SUMIFS(BONUS_RULES!$E$5:$E$46,BONUS_RULES!$A$5:$A$46,$C184,BONUS_RULES!$B$5:$B$46,"Abs%"),SUMIFS(BONUS_RULES!$D$5:$D$46,BONUS_RULES!$A$5:$A$46,$C184,BONUS_RULES!$B$5:$B$46,"Abs%"),IF(AGENT_INPUT!J184&lt;=SUMIFS(BONUS_RULES!$G$5:$G$46,BONUS_RULES!$A$5:$A$46,$C184,BONUS_RULES!$B$5:$B$46,"Abs%"),SUMIFS(BONUS_RULES!$F$5:$F$46,BONUS_RULES!$A$5:$A$46,$C184,BONUS_RULES!$B$5:$B$46,"Abs%"),0))))</f>
        <v/>
      </c>
      <c r="L184" s="10">
        <f>IF(OR($A184="",$D184&lt;&gt;"READY"),"",IF(AGENT_INPUT!G184&gt;=SUMIFS(BONUS_RULES!$E$5:$E$46,BONUS_RULES!$A$5:$A$46,$C184,BONUS_RULES!$B$5:$B$46,"Extra Bonus (PCS Score)"),SUMIFS(BONUS_RULES!$D$5:$D$46,BONUS_RULES!$A$5:$A$46,$C184,BONUS_RULES!$B$5:$B$46,"Extra Bonus (PCS Score)"),IF(AGENT_INPUT!G184&gt;=SUMIFS(BONUS_RULES!$G$5:$G$46,BONUS_RULES!$A$5:$A$46,$C184,BONUS_RULES!$B$5:$B$46,"Extra Bonus (PCS Score)"),SUMIFS(BONUS_RULES!$F$5:$F$46,BONUS_RULES!$A$5:$A$46,$C184,BONUS_RULES!$B$5:$B$46,"Extra Bonus (PCS Score)"),0)))</f>
        <v/>
      </c>
      <c r="M184" s="10">
        <f>IF($A184="","",MIN(IF(POLICY_APPROVAL!$B$6="Replacement",SUM(F184:K184)-H184+MAX(H184,L184),SUM(F184:L184)),POLICY_APPROVAL!$B$10))</f>
        <v/>
      </c>
      <c r="N184" s="10">
        <f>IF($A184="","",IFERROR(INDEX(BONUS_RULES!$J$5:$J$10,MATCH(MIN(MAX(AGENT_INPUT!K184,0),5),BONUS_RULES!$I$5:$I$10,0)),1))</f>
        <v/>
      </c>
      <c r="O184" s="10">
        <f>IF(M184="","",MAX(0,IF(POLICY_APPROVAL!$B$5="Percentage points",M184-N184,M184*(1-N184))))</f>
        <v/>
      </c>
      <c r="P184" s="11">
        <f>IF(D184&lt;&gt;"READY","",IF(AGENT_INPUT!O184&gt;0,AGENT_INPUT!O184,AGENT_INPUT!M184*AGENT_INPUT!N184/IF(POLICY_APPROVAL!$B$7="Annual",12,1)))</f>
        <v/>
      </c>
      <c r="Q184" s="10">
        <f>IF(D184&lt;&gt;"READY","",MIN(1,AGENT_INPUT!P184/AGENT_INPUT!Q184))</f>
        <v/>
      </c>
      <c r="R184" s="11">
        <f>IF(D184&lt;&gt;"READY","",ROUND(P184*Q184*O184,IF(POLICY_APPROVAL!$B$11="Whole MAD",0,2)))</f>
        <v/>
      </c>
      <c r="S184" s="11">
        <f>IF(AND(SETUP!$B$9="READY",T184="READY"),R184,"")</f>
        <v/>
      </c>
      <c r="T184" s="4">
        <f>IF($A184="","",IF(D184&lt;&gt;"READY","BLOCKED - INPUT",IF(E184&lt;&gt;"ELIGIBLE","BLOCKED - ELIGIBILITY",IF(AGENT_INPUT!S184&lt;&gt;"VALIDATED","BLOCKED - DATA",IF(SETUP!$B$9&lt;&gt;"READY","BLOCKED - POLICY","READY")))))</f>
        <v/>
      </c>
      <c r="U184" s="4">
        <f>IF($A184="","",IF(COUNTIFS(AGENT_INPUT!$A$5:$A$254,$A184,AGENT_INPUT!$D$5:$D$254,AGENT_INPUT!D184)&gt;1,"DUPLICATE AGENT + PERIOD",IF(D184&lt;&gt;"READY","INPUT OR CONFIG REVIEW",IF(T184&lt;&gt;"READY",T184,""))))</f>
        <v/>
      </c>
    </row>
    <row r="185" spans="1:21">
      <c r="A185" s="4">
        <f>IF(AGENT_INPUT!A185="","",AGENT_INPUT!A185)</f>
        <v/>
      </c>
      <c r="B185" s="4">
        <f>IF($A185="","",AGENT_INPUT!B185)</f>
        <v/>
      </c>
      <c r="C185" s="4">
        <f>IF($A185="","",AGENT_INPUT!C185)</f>
        <v/>
      </c>
      <c r="D185" s="4">
        <f>IF($A185="","",IF(AND(COUNT(AGENT_INPUT!E185:J185)=6,COUNT(AGENT_INPUT!K185)=1,COUNTIF(BONUS_RULES!$A$5:$A$46,AGENT_INPUT!C185)&gt;0,OR(AGENT_INPUT!O185&gt;0,AND(AGENT_INPUT!M185&gt;0,AGENT_INPUT!N185&gt;0)),AGENT_INPUT!P185&gt;=0,AGENT_INPUT!Q185&gt;0,AGENT_INPUT!P185&lt;=AGENT_INPUT!Q185,AGENT_INPUT!H185&gt;=0,AGENT_INPUT!H185&lt;=1,AGENT_INPUT!I185&gt;=0,AGENT_INPUT!I185&lt;=1,AGENT_INPUT!J185&gt;=0,AGENT_INPUT!J185&lt;=1),"READY","BLOCKED"))</f>
        <v/>
      </c>
      <c r="E185" s="4">
        <f>IF($A185="","",IF(AGENT_INPUT!R185&lt;&gt;"Active","REVIEW",IF(OR(POLICY_APPROVAL!$B$9="Eligibility only",POLICY_APPROVAL!$B$9="Both"),IF(AGENT_INPUT!J185&lt;=SUMIFS(BONUS_RULES!$E$5:$E$46,BONUS_RULES!$A$5:$A$46,$C185,BONUS_RULES!$B$5:$B$46,"Abs%"),"ELIGIBLE","INELIGIBLE ABS"),"ELIGIBLE")))</f>
        <v/>
      </c>
      <c r="F185" s="10">
        <f>IF(OR($A185="",$D185&lt;&gt;"READY"),"",IF(AGENT_INPUT!E185&lt;=SUMIFS(BONUS_RULES!$E$5:$E$46,BONUS_RULES!$A$5:$A$46,$C185,BONUS_RULES!$B$5:$B$46,"AHT"),SUMIFS(BONUS_RULES!$D$5:$D$46,BONUS_RULES!$A$5:$A$46,$C185,BONUS_RULES!$B$5:$B$46,"AHT"),IF(AGENT_INPUT!E185&lt;=SUMIFS(BONUS_RULES!$G$5:$G$46,BONUS_RULES!$A$5:$A$46,$C185,BONUS_RULES!$B$5:$B$46,"AHT"),SUMIFS(BONUS_RULES!$F$5:$F$46,BONUS_RULES!$A$5:$A$46,$C185,BONUS_RULES!$B$5:$B$46,"AHT"),0)))</f>
        <v/>
      </c>
      <c r="G185" s="10">
        <f>IF(OR($A185="",$D185&lt;&gt;"READY"),"",IF(AGENT_INPUT!F185&gt;=SUMIFS(BONUS_RULES!$E$5:$E$46,BONUS_RULES!$A$5:$A$46,$C185,BONUS_RULES!$B$5:$B$46,"Productivity"),SUMIFS(BONUS_RULES!$D$5:$D$46,BONUS_RULES!$A$5:$A$46,$C185,BONUS_RULES!$B$5:$B$46,"Productivity"),IF(AGENT_INPUT!F185&gt;=SUMIFS(BONUS_RULES!$G$5:$G$46,BONUS_RULES!$A$5:$A$46,$C185,BONUS_RULES!$B$5:$B$46,"Productivity"),SUMIFS(BONUS_RULES!$F$5:$F$46,BONUS_RULES!$A$5:$A$46,$C185,BONUS_RULES!$B$5:$B$46,"Productivity"),0)))</f>
        <v/>
      </c>
      <c r="H185" s="10">
        <f>IF(OR($A185="",$D185&lt;&gt;"READY"),"",IF(AGENT_INPUT!G185&gt;=SUMIFS(BONUS_RULES!$E$5:$E$46,BONUS_RULES!$A$5:$A$46,$C185,BONUS_RULES!$B$5:$B$46,"PCS Score"),SUMIFS(BONUS_RULES!$D$5:$D$46,BONUS_RULES!$A$5:$A$46,$C185,BONUS_RULES!$B$5:$B$46,"PCS Score"),IF(AGENT_INPUT!G185&gt;=SUMIFS(BONUS_RULES!$G$5:$G$46,BONUS_RULES!$A$5:$A$46,$C185,BONUS_RULES!$B$5:$B$46,"PCS Score"),SUMIFS(BONUS_RULES!$F$5:$F$46,BONUS_RULES!$A$5:$A$46,$C185,BONUS_RULES!$B$5:$B$46,"PCS Score"),0)))</f>
        <v/>
      </c>
      <c r="I185" s="10">
        <f>IF(OR($A185="",$D185&lt;&gt;"READY"),"",IF(AGENT_INPUT!H185&gt;=SUMIFS(BONUS_RULES!$E$5:$E$46,BONUS_RULES!$A$5:$A$46,$C185,BONUS_RULES!$B$5:$B$46,"PCS % (Participation)"),SUMIFS(BONUS_RULES!$D$5:$D$46,BONUS_RULES!$A$5:$A$46,$C185,BONUS_RULES!$B$5:$B$46,"PCS % (Participation)"),IF(AGENT_INPUT!H185&gt;=SUMIFS(BONUS_RULES!$G$5:$G$46,BONUS_RULES!$A$5:$A$46,$C185,BONUS_RULES!$B$5:$B$46,"PCS % (Participation)"),SUMIFS(BONUS_RULES!$F$5:$F$46,BONUS_RULES!$A$5:$A$46,$C185,BONUS_RULES!$B$5:$B$46,"PCS % (Participation)"),0)))</f>
        <v/>
      </c>
      <c r="J185" s="10">
        <f>IF(OR($A185="",$D185&lt;&gt;"READY"),"",IF(AGENT_INPUT!I185&gt;=SUMIFS(BONUS_RULES!$E$5:$E$46,BONUS_RULES!$A$5:$A$46,$C185,BONUS_RULES!$B$5:$B$46,"QM"),SUMIFS(BONUS_RULES!$D$5:$D$46,BONUS_RULES!$A$5:$A$46,$C185,BONUS_RULES!$B$5:$B$46,"QM"),IF(AGENT_INPUT!I185&gt;=SUMIFS(BONUS_RULES!$G$5:$G$46,BONUS_RULES!$A$5:$A$46,$C185,BONUS_RULES!$B$5:$B$46,"QM"),SUMIFS(BONUS_RULES!$F$5:$F$46,BONUS_RULES!$A$5:$A$46,$C185,BONUS_RULES!$B$5:$B$46,"QM"),0)))</f>
        <v/>
      </c>
      <c r="K185" s="10">
        <f>IF(POLICY_APPROVAL!$B$9="Eligibility only",0,IF(OR($A185="",$D185&lt;&gt;"READY"),"",IF(AGENT_INPUT!J185&lt;=SUMIFS(BONUS_RULES!$E$5:$E$46,BONUS_RULES!$A$5:$A$46,$C185,BONUS_RULES!$B$5:$B$46,"Abs%"),SUMIFS(BONUS_RULES!$D$5:$D$46,BONUS_RULES!$A$5:$A$46,$C185,BONUS_RULES!$B$5:$B$46,"Abs%"),IF(AGENT_INPUT!J185&lt;=SUMIFS(BONUS_RULES!$G$5:$G$46,BONUS_RULES!$A$5:$A$46,$C185,BONUS_RULES!$B$5:$B$46,"Abs%"),SUMIFS(BONUS_RULES!$F$5:$F$46,BONUS_RULES!$A$5:$A$46,$C185,BONUS_RULES!$B$5:$B$46,"Abs%"),0))))</f>
        <v/>
      </c>
      <c r="L185" s="10">
        <f>IF(OR($A185="",$D185&lt;&gt;"READY"),"",IF(AGENT_INPUT!G185&gt;=SUMIFS(BONUS_RULES!$E$5:$E$46,BONUS_RULES!$A$5:$A$46,$C185,BONUS_RULES!$B$5:$B$46,"Extra Bonus (PCS Score)"),SUMIFS(BONUS_RULES!$D$5:$D$46,BONUS_RULES!$A$5:$A$46,$C185,BONUS_RULES!$B$5:$B$46,"Extra Bonus (PCS Score)"),IF(AGENT_INPUT!G185&gt;=SUMIFS(BONUS_RULES!$G$5:$G$46,BONUS_RULES!$A$5:$A$46,$C185,BONUS_RULES!$B$5:$B$46,"Extra Bonus (PCS Score)"),SUMIFS(BONUS_RULES!$F$5:$F$46,BONUS_RULES!$A$5:$A$46,$C185,BONUS_RULES!$B$5:$B$46,"Extra Bonus (PCS Score)"),0)))</f>
        <v/>
      </c>
      <c r="M185" s="10">
        <f>IF($A185="","",MIN(IF(POLICY_APPROVAL!$B$6="Replacement",SUM(F185:K185)-H185+MAX(H185,L185),SUM(F185:L185)),POLICY_APPROVAL!$B$10))</f>
        <v/>
      </c>
      <c r="N185" s="10">
        <f>IF($A185="","",IFERROR(INDEX(BONUS_RULES!$J$5:$J$10,MATCH(MIN(MAX(AGENT_INPUT!K185,0),5),BONUS_RULES!$I$5:$I$10,0)),1))</f>
        <v/>
      </c>
      <c r="O185" s="10">
        <f>IF(M185="","",MAX(0,IF(POLICY_APPROVAL!$B$5="Percentage points",M185-N185,M185*(1-N185))))</f>
        <v/>
      </c>
      <c r="P185" s="11">
        <f>IF(D185&lt;&gt;"READY","",IF(AGENT_INPUT!O185&gt;0,AGENT_INPUT!O185,AGENT_INPUT!M185*AGENT_INPUT!N185/IF(POLICY_APPROVAL!$B$7="Annual",12,1)))</f>
        <v/>
      </c>
      <c r="Q185" s="10">
        <f>IF(D185&lt;&gt;"READY","",MIN(1,AGENT_INPUT!P185/AGENT_INPUT!Q185))</f>
        <v/>
      </c>
      <c r="R185" s="11">
        <f>IF(D185&lt;&gt;"READY","",ROUND(P185*Q185*O185,IF(POLICY_APPROVAL!$B$11="Whole MAD",0,2)))</f>
        <v/>
      </c>
      <c r="S185" s="11">
        <f>IF(AND(SETUP!$B$9="READY",T185="READY"),R185,"")</f>
        <v/>
      </c>
      <c r="T185" s="4">
        <f>IF($A185="","",IF(D185&lt;&gt;"READY","BLOCKED - INPUT",IF(E185&lt;&gt;"ELIGIBLE","BLOCKED - ELIGIBILITY",IF(AGENT_INPUT!S185&lt;&gt;"VALIDATED","BLOCKED - DATA",IF(SETUP!$B$9&lt;&gt;"READY","BLOCKED - POLICY","READY")))))</f>
        <v/>
      </c>
      <c r="U185" s="4">
        <f>IF($A185="","",IF(COUNTIFS(AGENT_INPUT!$A$5:$A$254,$A185,AGENT_INPUT!$D$5:$D$254,AGENT_INPUT!D185)&gt;1,"DUPLICATE AGENT + PERIOD",IF(D185&lt;&gt;"READY","INPUT OR CONFIG REVIEW",IF(T185&lt;&gt;"READY",T185,""))))</f>
        <v/>
      </c>
    </row>
    <row r="186" spans="1:21">
      <c r="A186" s="4">
        <f>IF(AGENT_INPUT!A186="","",AGENT_INPUT!A186)</f>
        <v/>
      </c>
      <c r="B186" s="4">
        <f>IF($A186="","",AGENT_INPUT!B186)</f>
        <v/>
      </c>
      <c r="C186" s="4">
        <f>IF($A186="","",AGENT_INPUT!C186)</f>
        <v/>
      </c>
      <c r="D186" s="4">
        <f>IF($A186="","",IF(AND(COUNT(AGENT_INPUT!E186:J186)=6,COUNT(AGENT_INPUT!K186)=1,COUNTIF(BONUS_RULES!$A$5:$A$46,AGENT_INPUT!C186)&gt;0,OR(AGENT_INPUT!O186&gt;0,AND(AGENT_INPUT!M186&gt;0,AGENT_INPUT!N186&gt;0)),AGENT_INPUT!P186&gt;=0,AGENT_INPUT!Q186&gt;0,AGENT_INPUT!P186&lt;=AGENT_INPUT!Q186,AGENT_INPUT!H186&gt;=0,AGENT_INPUT!H186&lt;=1,AGENT_INPUT!I186&gt;=0,AGENT_INPUT!I186&lt;=1,AGENT_INPUT!J186&gt;=0,AGENT_INPUT!J186&lt;=1),"READY","BLOCKED"))</f>
        <v/>
      </c>
      <c r="E186" s="4">
        <f>IF($A186="","",IF(AGENT_INPUT!R186&lt;&gt;"Active","REVIEW",IF(OR(POLICY_APPROVAL!$B$9="Eligibility only",POLICY_APPROVAL!$B$9="Both"),IF(AGENT_INPUT!J186&lt;=SUMIFS(BONUS_RULES!$E$5:$E$46,BONUS_RULES!$A$5:$A$46,$C186,BONUS_RULES!$B$5:$B$46,"Abs%"),"ELIGIBLE","INELIGIBLE ABS"),"ELIGIBLE")))</f>
        <v/>
      </c>
      <c r="F186" s="10">
        <f>IF(OR($A186="",$D186&lt;&gt;"READY"),"",IF(AGENT_INPUT!E186&lt;=SUMIFS(BONUS_RULES!$E$5:$E$46,BONUS_RULES!$A$5:$A$46,$C186,BONUS_RULES!$B$5:$B$46,"AHT"),SUMIFS(BONUS_RULES!$D$5:$D$46,BONUS_RULES!$A$5:$A$46,$C186,BONUS_RULES!$B$5:$B$46,"AHT"),IF(AGENT_INPUT!E186&lt;=SUMIFS(BONUS_RULES!$G$5:$G$46,BONUS_RULES!$A$5:$A$46,$C186,BONUS_RULES!$B$5:$B$46,"AHT"),SUMIFS(BONUS_RULES!$F$5:$F$46,BONUS_RULES!$A$5:$A$46,$C186,BONUS_RULES!$B$5:$B$46,"AHT"),0)))</f>
        <v/>
      </c>
      <c r="G186" s="10">
        <f>IF(OR($A186="",$D186&lt;&gt;"READY"),"",IF(AGENT_INPUT!F186&gt;=SUMIFS(BONUS_RULES!$E$5:$E$46,BONUS_RULES!$A$5:$A$46,$C186,BONUS_RULES!$B$5:$B$46,"Productivity"),SUMIFS(BONUS_RULES!$D$5:$D$46,BONUS_RULES!$A$5:$A$46,$C186,BONUS_RULES!$B$5:$B$46,"Productivity"),IF(AGENT_INPUT!F186&gt;=SUMIFS(BONUS_RULES!$G$5:$G$46,BONUS_RULES!$A$5:$A$46,$C186,BONUS_RULES!$B$5:$B$46,"Productivity"),SUMIFS(BONUS_RULES!$F$5:$F$46,BONUS_RULES!$A$5:$A$46,$C186,BONUS_RULES!$B$5:$B$46,"Productivity"),0)))</f>
        <v/>
      </c>
      <c r="H186" s="10">
        <f>IF(OR($A186="",$D186&lt;&gt;"READY"),"",IF(AGENT_INPUT!G186&gt;=SUMIFS(BONUS_RULES!$E$5:$E$46,BONUS_RULES!$A$5:$A$46,$C186,BONUS_RULES!$B$5:$B$46,"PCS Score"),SUMIFS(BONUS_RULES!$D$5:$D$46,BONUS_RULES!$A$5:$A$46,$C186,BONUS_RULES!$B$5:$B$46,"PCS Score"),IF(AGENT_INPUT!G186&gt;=SUMIFS(BONUS_RULES!$G$5:$G$46,BONUS_RULES!$A$5:$A$46,$C186,BONUS_RULES!$B$5:$B$46,"PCS Score"),SUMIFS(BONUS_RULES!$F$5:$F$46,BONUS_RULES!$A$5:$A$46,$C186,BONUS_RULES!$B$5:$B$46,"PCS Score"),0)))</f>
        <v/>
      </c>
      <c r="I186" s="10">
        <f>IF(OR($A186="",$D186&lt;&gt;"READY"),"",IF(AGENT_INPUT!H186&gt;=SUMIFS(BONUS_RULES!$E$5:$E$46,BONUS_RULES!$A$5:$A$46,$C186,BONUS_RULES!$B$5:$B$46,"PCS % (Participation)"),SUMIFS(BONUS_RULES!$D$5:$D$46,BONUS_RULES!$A$5:$A$46,$C186,BONUS_RULES!$B$5:$B$46,"PCS % (Participation)"),IF(AGENT_INPUT!H186&gt;=SUMIFS(BONUS_RULES!$G$5:$G$46,BONUS_RULES!$A$5:$A$46,$C186,BONUS_RULES!$B$5:$B$46,"PCS % (Participation)"),SUMIFS(BONUS_RULES!$F$5:$F$46,BONUS_RULES!$A$5:$A$46,$C186,BONUS_RULES!$B$5:$B$46,"PCS % (Participation)"),0)))</f>
        <v/>
      </c>
      <c r="J186" s="10">
        <f>IF(OR($A186="",$D186&lt;&gt;"READY"),"",IF(AGENT_INPUT!I186&gt;=SUMIFS(BONUS_RULES!$E$5:$E$46,BONUS_RULES!$A$5:$A$46,$C186,BONUS_RULES!$B$5:$B$46,"QM"),SUMIFS(BONUS_RULES!$D$5:$D$46,BONUS_RULES!$A$5:$A$46,$C186,BONUS_RULES!$B$5:$B$46,"QM"),IF(AGENT_INPUT!I186&gt;=SUMIFS(BONUS_RULES!$G$5:$G$46,BONUS_RULES!$A$5:$A$46,$C186,BONUS_RULES!$B$5:$B$46,"QM"),SUMIFS(BONUS_RULES!$F$5:$F$46,BONUS_RULES!$A$5:$A$46,$C186,BONUS_RULES!$B$5:$B$46,"QM"),0)))</f>
        <v/>
      </c>
      <c r="K186" s="10">
        <f>IF(POLICY_APPROVAL!$B$9="Eligibility only",0,IF(OR($A186="",$D186&lt;&gt;"READY"),"",IF(AGENT_INPUT!J186&lt;=SUMIFS(BONUS_RULES!$E$5:$E$46,BONUS_RULES!$A$5:$A$46,$C186,BONUS_RULES!$B$5:$B$46,"Abs%"),SUMIFS(BONUS_RULES!$D$5:$D$46,BONUS_RULES!$A$5:$A$46,$C186,BONUS_RULES!$B$5:$B$46,"Abs%"),IF(AGENT_INPUT!J186&lt;=SUMIFS(BONUS_RULES!$G$5:$G$46,BONUS_RULES!$A$5:$A$46,$C186,BONUS_RULES!$B$5:$B$46,"Abs%"),SUMIFS(BONUS_RULES!$F$5:$F$46,BONUS_RULES!$A$5:$A$46,$C186,BONUS_RULES!$B$5:$B$46,"Abs%"),0))))</f>
        <v/>
      </c>
      <c r="L186" s="10">
        <f>IF(OR($A186="",$D186&lt;&gt;"READY"),"",IF(AGENT_INPUT!G186&gt;=SUMIFS(BONUS_RULES!$E$5:$E$46,BONUS_RULES!$A$5:$A$46,$C186,BONUS_RULES!$B$5:$B$46,"Extra Bonus (PCS Score)"),SUMIFS(BONUS_RULES!$D$5:$D$46,BONUS_RULES!$A$5:$A$46,$C186,BONUS_RULES!$B$5:$B$46,"Extra Bonus (PCS Score)"),IF(AGENT_INPUT!G186&gt;=SUMIFS(BONUS_RULES!$G$5:$G$46,BONUS_RULES!$A$5:$A$46,$C186,BONUS_RULES!$B$5:$B$46,"Extra Bonus (PCS Score)"),SUMIFS(BONUS_RULES!$F$5:$F$46,BONUS_RULES!$A$5:$A$46,$C186,BONUS_RULES!$B$5:$B$46,"Extra Bonus (PCS Score)"),0)))</f>
        <v/>
      </c>
      <c r="M186" s="10">
        <f>IF($A186="","",MIN(IF(POLICY_APPROVAL!$B$6="Replacement",SUM(F186:K186)-H186+MAX(H186,L186),SUM(F186:L186)),POLICY_APPROVAL!$B$10))</f>
        <v/>
      </c>
      <c r="N186" s="10">
        <f>IF($A186="","",IFERROR(INDEX(BONUS_RULES!$J$5:$J$10,MATCH(MIN(MAX(AGENT_INPUT!K186,0),5),BONUS_RULES!$I$5:$I$10,0)),1))</f>
        <v/>
      </c>
      <c r="O186" s="10">
        <f>IF(M186="","",MAX(0,IF(POLICY_APPROVAL!$B$5="Percentage points",M186-N186,M186*(1-N186))))</f>
        <v/>
      </c>
      <c r="P186" s="11">
        <f>IF(D186&lt;&gt;"READY","",IF(AGENT_INPUT!O186&gt;0,AGENT_INPUT!O186,AGENT_INPUT!M186*AGENT_INPUT!N186/IF(POLICY_APPROVAL!$B$7="Annual",12,1)))</f>
        <v/>
      </c>
      <c r="Q186" s="10">
        <f>IF(D186&lt;&gt;"READY","",MIN(1,AGENT_INPUT!P186/AGENT_INPUT!Q186))</f>
        <v/>
      </c>
      <c r="R186" s="11">
        <f>IF(D186&lt;&gt;"READY","",ROUND(P186*Q186*O186,IF(POLICY_APPROVAL!$B$11="Whole MAD",0,2)))</f>
        <v/>
      </c>
      <c r="S186" s="11">
        <f>IF(AND(SETUP!$B$9="READY",T186="READY"),R186,"")</f>
        <v/>
      </c>
      <c r="T186" s="4">
        <f>IF($A186="","",IF(D186&lt;&gt;"READY","BLOCKED - INPUT",IF(E186&lt;&gt;"ELIGIBLE","BLOCKED - ELIGIBILITY",IF(AGENT_INPUT!S186&lt;&gt;"VALIDATED","BLOCKED - DATA",IF(SETUP!$B$9&lt;&gt;"READY","BLOCKED - POLICY","READY")))))</f>
        <v/>
      </c>
      <c r="U186" s="4">
        <f>IF($A186="","",IF(COUNTIFS(AGENT_INPUT!$A$5:$A$254,$A186,AGENT_INPUT!$D$5:$D$254,AGENT_INPUT!D186)&gt;1,"DUPLICATE AGENT + PERIOD",IF(D186&lt;&gt;"READY","INPUT OR CONFIG REVIEW",IF(T186&lt;&gt;"READY",T186,""))))</f>
        <v/>
      </c>
    </row>
    <row r="187" spans="1:21">
      <c r="A187" s="4">
        <f>IF(AGENT_INPUT!A187="","",AGENT_INPUT!A187)</f>
        <v/>
      </c>
      <c r="B187" s="4">
        <f>IF($A187="","",AGENT_INPUT!B187)</f>
        <v/>
      </c>
      <c r="C187" s="4">
        <f>IF($A187="","",AGENT_INPUT!C187)</f>
        <v/>
      </c>
      <c r="D187" s="4">
        <f>IF($A187="","",IF(AND(COUNT(AGENT_INPUT!E187:J187)=6,COUNT(AGENT_INPUT!K187)=1,COUNTIF(BONUS_RULES!$A$5:$A$46,AGENT_INPUT!C187)&gt;0,OR(AGENT_INPUT!O187&gt;0,AND(AGENT_INPUT!M187&gt;0,AGENT_INPUT!N187&gt;0)),AGENT_INPUT!P187&gt;=0,AGENT_INPUT!Q187&gt;0,AGENT_INPUT!P187&lt;=AGENT_INPUT!Q187,AGENT_INPUT!H187&gt;=0,AGENT_INPUT!H187&lt;=1,AGENT_INPUT!I187&gt;=0,AGENT_INPUT!I187&lt;=1,AGENT_INPUT!J187&gt;=0,AGENT_INPUT!J187&lt;=1),"READY","BLOCKED"))</f>
        <v/>
      </c>
      <c r="E187" s="4">
        <f>IF($A187="","",IF(AGENT_INPUT!R187&lt;&gt;"Active","REVIEW",IF(OR(POLICY_APPROVAL!$B$9="Eligibility only",POLICY_APPROVAL!$B$9="Both"),IF(AGENT_INPUT!J187&lt;=SUMIFS(BONUS_RULES!$E$5:$E$46,BONUS_RULES!$A$5:$A$46,$C187,BONUS_RULES!$B$5:$B$46,"Abs%"),"ELIGIBLE","INELIGIBLE ABS"),"ELIGIBLE")))</f>
        <v/>
      </c>
      <c r="F187" s="10">
        <f>IF(OR($A187="",$D187&lt;&gt;"READY"),"",IF(AGENT_INPUT!E187&lt;=SUMIFS(BONUS_RULES!$E$5:$E$46,BONUS_RULES!$A$5:$A$46,$C187,BONUS_RULES!$B$5:$B$46,"AHT"),SUMIFS(BONUS_RULES!$D$5:$D$46,BONUS_RULES!$A$5:$A$46,$C187,BONUS_RULES!$B$5:$B$46,"AHT"),IF(AGENT_INPUT!E187&lt;=SUMIFS(BONUS_RULES!$G$5:$G$46,BONUS_RULES!$A$5:$A$46,$C187,BONUS_RULES!$B$5:$B$46,"AHT"),SUMIFS(BONUS_RULES!$F$5:$F$46,BONUS_RULES!$A$5:$A$46,$C187,BONUS_RULES!$B$5:$B$46,"AHT"),0)))</f>
        <v/>
      </c>
      <c r="G187" s="10">
        <f>IF(OR($A187="",$D187&lt;&gt;"READY"),"",IF(AGENT_INPUT!F187&gt;=SUMIFS(BONUS_RULES!$E$5:$E$46,BONUS_RULES!$A$5:$A$46,$C187,BONUS_RULES!$B$5:$B$46,"Productivity"),SUMIFS(BONUS_RULES!$D$5:$D$46,BONUS_RULES!$A$5:$A$46,$C187,BONUS_RULES!$B$5:$B$46,"Productivity"),IF(AGENT_INPUT!F187&gt;=SUMIFS(BONUS_RULES!$G$5:$G$46,BONUS_RULES!$A$5:$A$46,$C187,BONUS_RULES!$B$5:$B$46,"Productivity"),SUMIFS(BONUS_RULES!$F$5:$F$46,BONUS_RULES!$A$5:$A$46,$C187,BONUS_RULES!$B$5:$B$46,"Productivity"),0)))</f>
        <v/>
      </c>
      <c r="H187" s="10">
        <f>IF(OR($A187="",$D187&lt;&gt;"READY"),"",IF(AGENT_INPUT!G187&gt;=SUMIFS(BONUS_RULES!$E$5:$E$46,BONUS_RULES!$A$5:$A$46,$C187,BONUS_RULES!$B$5:$B$46,"PCS Score"),SUMIFS(BONUS_RULES!$D$5:$D$46,BONUS_RULES!$A$5:$A$46,$C187,BONUS_RULES!$B$5:$B$46,"PCS Score"),IF(AGENT_INPUT!G187&gt;=SUMIFS(BONUS_RULES!$G$5:$G$46,BONUS_RULES!$A$5:$A$46,$C187,BONUS_RULES!$B$5:$B$46,"PCS Score"),SUMIFS(BONUS_RULES!$F$5:$F$46,BONUS_RULES!$A$5:$A$46,$C187,BONUS_RULES!$B$5:$B$46,"PCS Score"),0)))</f>
        <v/>
      </c>
      <c r="I187" s="10">
        <f>IF(OR($A187="",$D187&lt;&gt;"READY"),"",IF(AGENT_INPUT!H187&gt;=SUMIFS(BONUS_RULES!$E$5:$E$46,BONUS_RULES!$A$5:$A$46,$C187,BONUS_RULES!$B$5:$B$46,"PCS % (Participation)"),SUMIFS(BONUS_RULES!$D$5:$D$46,BONUS_RULES!$A$5:$A$46,$C187,BONUS_RULES!$B$5:$B$46,"PCS % (Participation)"),IF(AGENT_INPUT!H187&gt;=SUMIFS(BONUS_RULES!$G$5:$G$46,BONUS_RULES!$A$5:$A$46,$C187,BONUS_RULES!$B$5:$B$46,"PCS % (Participation)"),SUMIFS(BONUS_RULES!$F$5:$F$46,BONUS_RULES!$A$5:$A$46,$C187,BONUS_RULES!$B$5:$B$46,"PCS % (Participation)"),0)))</f>
        <v/>
      </c>
      <c r="J187" s="10">
        <f>IF(OR($A187="",$D187&lt;&gt;"READY"),"",IF(AGENT_INPUT!I187&gt;=SUMIFS(BONUS_RULES!$E$5:$E$46,BONUS_RULES!$A$5:$A$46,$C187,BONUS_RULES!$B$5:$B$46,"QM"),SUMIFS(BONUS_RULES!$D$5:$D$46,BONUS_RULES!$A$5:$A$46,$C187,BONUS_RULES!$B$5:$B$46,"QM"),IF(AGENT_INPUT!I187&gt;=SUMIFS(BONUS_RULES!$G$5:$G$46,BONUS_RULES!$A$5:$A$46,$C187,BONUS_RULES!$B$5:$B$46,"QM"),SUMIFS(BONUS_RULES!$F$5:$F$46,BONUS_RULES!$A$5:$A$46,$C187,BONUS_RULES!$B$5:$B$46,"QM"),0)))</f>
        <v/>
      </c>
      <c r="K187" s="10">
        <f>IF(POLICY_APPROVAL!$B$9="Eligibility only",0,IF(OR($A187="",$D187&lt;&gt;"READY"),"",IF(AGENT_INPUT!J187&lt;=SUMIFS(BONUS_RULES!$E$5:$E$46,BONUS_RULES!$A$5:$A$46,$C187,BONUS_RULES!$B$5:$B$46,"Abs%"),SUMIFS(BONUS_RULES!$D$5:$D$46,BONUS_RULES!$A$5:$A$46,$C187,BONUS_RULES!$B$5:$B$46,"Abs%"),IF(AGENT_INPUT!J187&lt;=SUMIFS(BONUS_RULES!$G$5:$G$46,BONUS_RULES!$A$5:$A$46,$C187,BONUS_RULES!$B$5:$B$46,"Abs%"),SUMIFS(BONUS_RULES!$F$5:$F$46,BONUS_RULES!$A$5:$A$46,$C187,BONUS_RULES!$B$5:$B$46,"Abs%"),0))))</f>
        <v/>
      </c>
      <c r="L187" s="10">
        <f>IF(OR($A187="",$D187&lt;&gt;"READY"),"",IF(AGENT_INPUT!G187&gt;=SUMIFS(BONUS_RULES!$E$5:$E$46,BONUS_RULES!$A$5:$A$46,$C187,BONUS_RULES!$B$5:$B$46,"Extra Bonus (PCS Score)"),SUMIFS(BONUS_RULES!$D$5:$D$46,BONUS_RULES!$A$5:$A$46,$C187,BONUS_RULES!$B$5:$B$46,"Extra Bonus (PCS Score)"),IF(AGENT_INPUT!G187&gt;=SUMIFS(BONUS_RULES!$G$5:$G$46,BONUS_RULES!$A$5:$A$46,$C187,BONUS_RULES!$B$5:$B$46,"Extra Bonus (PCS Score)"),SUMIFS(BONUS_RULES!$F$5:$F$46,BONUS_RULES!$A$5:$A$46,$C187,BONUS_RULES!$B$5:$B$46,"Extra Bonus (PCS Score)"),0)))</f>
        <v/>
      </c>
      <c r="M187" s="10">
        <f>IF($A187="","",MIN(IF(POLICY_APPROVAL!$B$6="Replacement",SUM(F187:K187)-H187+MAX(H187,L187),SUM(F187:L187)),POLICY_APPROVAL!$B$10))</f>
        <v/>
      </c>
      <c r="N187" s="10">
        <f>IF($A187="","",IFERROR(INDEX(BONUS_RULES!$J$5:$J$10,MATCH(MIN(MAX(AGENT_INPUT!K187,0),5),BONUS_RULES!$I$5:$I$10,0)),1))</f>
        <v/>
      </c>
      <c r="O187" s="10">
        <f>IF(M187="","",MAX(0,IF(POLICY_APPROVAL!$B$5="Percentage points",M187-N187,M187*(1-N187))))</f>
        <v/>
      </c>
      <c r="P187" s="11">
        <f>IF(D187&lt;&gt;"READY","",IF(AGENT_INPUT!O187&gt;0,AGENT_INPUT!O187,AGENT_INPUT!M187*AGENT_INPUT!N187/IF(POLICY_APPROVAL!$B$7="Annual",12,1)))</f>
        <v/>
      </c>
      <c r="Q187" s="10">
        <f>IF(D187&lt;&gt;"READY","",MIN(1,AGENT_INPUT!P187/AGENT_INPUT!Q187))</f>
        <v/>
      </c>
      <c r="R187" s="11">
        <f>IF(D187&lt;&gt;"READY","",ROUND(P187*Q187*O187,IF(POLICY_APPROVAL!$B$11="Whole MAD",0,2)))</f>
        <v/>
      </c>
      <c r="S187" s="11">
        <f>IF(AND(SETUP!$B$9="READY",T187="READY"),R187,"")</f>
        <v/>
      </c>
      <c r="T187" s="4">
        <f>IF($A187="","",IF(D187&lt;&gt;"READY","BLOCKED - INPUT",IF(E187&lt;&gt;"ELIGIBLE","BLOCKED - ELIGIBILITY",IF(AGENT_INPUT!S187&lt;&gt;"VALIDATED","BLOCKED - DATA",IF(SETUP!$B$9&lt;&gt;"READY","BLOCKED - POLICY","READY")))))</f>
        <v/>
      </c>
      <c r="U187" s="4">
        <f>IF($A187="","",IF(COUNTIFS(AGENT_INPUT!$A$5:$A$254,$A187,AGENT_INPUT!$D$5:$D$254,AGENT_INPUT!D187)&gt;1,"DUPLICATE AGENT + PERIOD",IF(D187&lt;&gt;"READY","INPUT OR CONFIG REVIEW",IF(T187&lt;&gt;"READY",T187,""))))</f>
        <v/>
      </c>
    </row>
    <row r="188" spans="1:21">
      <c r="A188" s="4">
        <f>IF(AGENT_INPUT!A188="","",AGENT_INPUT!A188)</f>
        <v/>
      </c>
      <c r="B188" s="4">
        <f>IF($A188="","",AGENT_INPUT!B188)</f>
        <v/>
      </c>
      <c r="C188" s="4">
        <f>IF($A188="","",AGENT_INPUT!C188)</f>
        <v/>
      </c>
      <c r="D188" s="4">
        <f>IF($A188="","",IF(AND(COUNT(AGENT_INPUT!E188:J188)=6,COUNT(AGENT_INPUT!K188)=1,COUNTIF(BONUS_RULES!$A$5:$A$46,AGENT_INPUT!C188)&gt;0,OR(AGENT_INPUT!O188&gt;0,AND(AGENT_INPUT!M188&gt;0,AGENT_INPUT!N188&gt;0)),AGENT_INPUT!P188&gt;=0,AGENT_INPUT!Q188&gt;0,AGENT_INPUT!P188&lt;=AGENT_INPUT!Q188,AGENT_INPUT!H188&gt;=0,AGENT_INPUT!H188&lt;=1,AGENT_INPUT!I188&gt;=0,AGENT_INPUT!I188&lt;=1,AGENT_INPUT!J188&gt;=0,AGENT_INPUT!J188&lt;=1),"READY","BLOCKED"))</f>
        <v/>
      </c>
      <c r="E188" s="4">
        <f>IF($A188="","",IF(AGENT_INPUT!R188&lt;&gt;"Active","REVIEW",IF(OR(POLICY_APPROVAL!$B$9="Eligibility only",POLICY_APPROVAL!$B$9="Both"),IF(AGENT_INPUT!J188&lt;=SUMIFS(BONUS_RULES!$E$5:$E$46,BONUS_RULES!$A$5:$A$46,$C188,BONUS_RULES!$B$5:$B$46,"Abs%"),"ELIGIBLE","INELIGIBLE ABS"),"ELIGIBLE")))</f>
        <v/>
      </c>
      <c r="F188" s="10">
        <f>IF(OR($A188="",$D188&lt;&gt;"READY"),"",IF(AGENT_INPUT!E188&lt;=SUMIFS(BONUS_RULES!$E$5:$E$46,BONUS_RULES!$A$5:$A$46,$C188,BONUS_RULES!$B$5:$B$46,"AHT"),SUMIFS(BONUS_RULES!$D$5:$D$46,BONUS_RULES!$A$5:$A$46,$C188,BONUS_RULES!$B$5:$B$46,"AHT"),IF(AGENT_INPUT!E188&lt;=SUMIFS(BONUS_RULES!$G$5:$G$46,BONUS_RULES!$A$5:$A$46,$C188,BONUS_RULES!$B$5:$B$46,"AHT"),SUMIFS(BONUS_RULES!$F$5:$F$46,BONUS_RULES!$A$5:$A$46,$C188,BONUS_RULES!$B$5:$B$46,"AHT"),0)))</f>
        <v/>
      </c>
      <c r="G188" s="10">
        <f>IF(OR($A188="",$D188&lt;&gt;"READY"),"",IF(AGENT_INPUT!F188&gt;=SUMIFS(BONUS_RULES!$E$5:$E$46,BONUS_RULES!$A$5:$A$46,$C188,BONUS_RULES!$B$5:$B$46,"Productivity"),SUMIFS(BONUS_RULES!$D$5:$D$46,BONUS_RULES!$A$5:$A$46,$C188,BONUS_RULES!$B$5:$B$46,"Productivity"),IF(AGENT_INPUT!F188&gt;=SUMIFS(BONUS_RULES!$G$5:$G$46,BONUS_RULES!$A$5:$A$46,$C188,BONUS_RULES!$B$5:$B$46,"Productivity"),SUMIFS(BONUS_RULES!$F$5:$F$46,BONUS_RULES!$A$5:$A$46,$C188,BONUS_RULES!$B$5:$B$46,"Productivity"),0)))</f>
        <v/>
      </c>
      <c r="H188" s="10">
        <f>IF(OR($A188="",$D188&lt;&gt;"READY"),"",IF(AGENT_INPUT!G188&gt;=SUMIFS(BONUS_RULES!$E$5:$E$46,BONUS_RULES!$A$5:$A$46,$C188,BONUS_RULES!$B$5:$B$46,"PCS Score"),SUMIFS(BONUS_RULES!$D$5:$D$46,BONUS_RULES!$A$5:$A$46,$C188,BONUS_RULES!$B$5:$B$46,"PCS Score"),IF(AGENT_INPUT!G188&gt;=SUMIFS(BONUS_RULES!$G$5:$G$46,BONUS_RULES!$A$5:$A$46,$C188,BONUS_RULES!$B$5:$B$46,"PCS Score"),SUMIFS(BONUS_RULES!$F$5:$F$46,BONUS_RULES!$A$5:$A$46,$C188,BONUS_RULES!$B$5:$B$46,"PCS Score"),0)))</f>
        <v/>
      </c>
      <c r="I188" s="10">
        <f>IF(OR($A188="",$D188&lt;&gt;"READY"),"",IF(AGENT_INPUT!H188&gt;=SUMIFS(BONUS_RULES!$E$5:$E$46,BONUS_RULES!$A$5:$A$46,$C188,BONUS_RULES!$B$5:$B$46,"PCS % (Participation)"),SUMIFS(BONUS_RULES!$D$5:$D$46,BONUS_RULES!$A$5:$A$46,$C188,BONUS_RULES!$B$5:$B$46,"PCS % (Participation)"),IF(AGENT_INPUT!H188&gt;=SUMIFS(BONUS_RULES!$G$5:$G$46,BONUS_RULES!$A$5:$A$46,$C188,BONUS_RULES!$B$5:$B$46,"PCS % (Participation)"),SUMIFS(BONUS_RULES!$F$5:$F$46,BONUS_RULES!$A$5:$A$46,$C188,BONUS_RULES!$B$5:$B$46,"PCS % (Participation)"),0)))</f>
        <v/>
      </c>
      <c r="J188" s="10">
        <f>IF(OR($A188="",$D188&lt;&gt;"READY"),"",IF(AGENT_INPUT!I188&gt;=SUMIFS(BONUS_RULES!$E$5:$E$46,BONUS_RULES!$A$5:$A$46,$C188,BONUS_RULES!$B$5:$B$46,"QM"),SUMIFS(BONUS_RULES!$D$5:$D$46,BONUS_RULES!$A$5:$A$46,$C188,BONUS_RULES!$B$5:$B$46,"QM"),IF(AGENT_INPUT!I188&gt;=SUMIFS(BONUS_RULES!$G$5:$G$46,BONUS_RULES!$A$5:$A$46,$C188,BONUS_RULES!$B$5:$B$46,"QM"),SUMIFS(BONUS_RULES!$F$5:$F$46,BONUS_RULES!$A$5:$A$46,$C188,BONUS_RULES!$B$5:$B$46,"QM"),0)))</f>
        <v/>
      </c>
      <c r="K188" s="10">
        <f>IF(POLICY_APPROVAL!$B$9="Eligibility only",0,IF(OR($A188="",$D188&lt;&gt;"READY"),"",IF(AGENT_INPUT!J188&lt;=SUMIFS(BONUS_RULES!$E$5:$E$46,BONUS_RULES!$A$5:$A$46,$C188,BONUS_RULES!$B$5:$B$46,"Abs%"),SUMIFS(BONUS_RULES!$D$5:$D$46,BONUS_RULES!$A$5:$A$46,$C188,BONUS_RULES!$B$5:$B$46,"Abs%"),IF(AGENT_INPUT!J188&lt;=SUMIFS(BONUS_RULES!$G$5:$G$46,BONUS_RULES!$A$5:$A$46,$C188,BONUS_RULES!$B$5:$B$46,"Abs%"),SUMIFS(BONUS_RULES!$F$5:$F$46,BONUS_RULES!$A$5:$A$46,$C188,BONUS_RULES!$B$5:$B$46,"Abs%"),0))))</f>
        <v/>
      </c>
      <c r="L188" s="10">
        <f>IF(OR($A188="",$D188&lt;&gt;"READY"),"",IF(AGENT_INPUT!G188&gt;=SUMIFS(BONUS_RULES!$E$5:$E$46,BONUS_RULES!$A$5:$A$46,$C188,BONUS_RULES!$B$5:$B$46,"Extra Bonus (PCS Score)"),SUMIFS(BONUS_RULES!$D$5:$D$46,BONUS_RULES!$A$5:$A$46,$C188,BONUS_RULES!$B$5:$B$46,"Extra Bonus (PCS Score)"),IF(AGENT_INPUT!G188&gt;=SUMIFS(BONUS_RULES!$G$5:$G$46,BONUS_RULES!$A$5:$A$46,$C188,BONUS_RULES!$B$5:$B$46,"Extra Bonus (PCS Score)"),SUMIFS(BONUS_RULES!$F$5:$F$46,BONUS_RULES!$A$5:$A$46,$C188,BONUS_RULES!$B$5:$B$46,"Extra Bonus (PCS Score)"),0)))</f>
        <v/>
      </c>
      <c r="M188" s="10">
        <f>IF($A188="","",MIN(IF(POLICY_APPROVAL!$B$6="Replacement",SUM(F188:K188)-H188+MAX(H188,L188),SUM(F188:L188)),POLICY_APPROVAL!$B$10))</f>
        <v/>
      </c>
      <c r="N188" s="10">
        <f>IF($A188="","",IFERROR(INDEX(BONUS_RULES!$J$5:$J$10,MATCH(MIN(MAX(AGENT_INPUT!K188,0),5),BONUS_RULES!$I$5:$I$10,0)),1))</f>
        <v/>
      </c>
      <c r="O188" s="10">
        <f>IF(M188="","",MAX(0,IF(POLICY_APPROVAL!$B$5="Percentage points",M188-N188,M188*(1-N188))))</f>
        <v/>
      </c>
      <c r="P188" s="11">
        <f>IF(D188&lt;&gt;"READY","",IF(AGENT_INPUT!O188&gt;0,AGENT_INPUT!O188,AGENT_INPUT!M188*AGENT_INPUT!N188/IF(POLICY_APPROVAL!$B$7="Annual",12,1)))</f>
        <v/>
      </c>
      <c r="Q188" s="10">
        <f>IF(D188&lt;&gt;"READY","",MIN(1,AGENT_INPUT!P188/AGENT_INPUT!Q188))</f>
        <v/>
      </c>
      <c r="R188" s="11">
        <f>IF(D188&lt;&gt;"READY","",ROUND(P188*Q188*O188,IF(POLICY_APPROVAL!$B$11="Whole MAD",0,2)))</f>
        <v/>
      </c>
      <c r="S188" s="11">
        <f>IF(AND(SETUP!$B$9="READY",T188="READY"),R188,"")</f>
        <v/>
      </c>
      <c r="T188" s="4">
        <f>IF($A188="","",IF(D188&lt;&gt;"READY","BLOCKED - INPUT",IF(E188&lt;&gt;"ELIGIBLE","BLOCKED - ELIGIBILITY",IF(AGENT_INPUT!S188&lt;&gt;"VALIDATED","BLOCKED - DATA",IF(SETUP!$B$9&lt;&gt;"READY","BLOCKED - POLICY","READY")))))</f>
        <v/>
      </c>
      <c r="U188" s="4">
        <f>IF($A188="","",IF(COUNTIFS(AGENT_INPUT!$A$5:$A$254,$A188,AGENT_INPUT!$D$5:$D$254,AGENT_INPUT!D188)&gt;1,"DUPLICATE AGENT + PERIOD",IF(D188&lt;&gt;"READY","INPUT OR CONFIG REVIEW",IF(T188&lt;&gt;"READY",T188,""))))</f>
        <v/>
      </c>
    </row>
    <row r="189" spans="1:21">
      <c r="A189" s="4">
        <f>IF(AGENT_INPUT!A189="","",AGENT_INPUT!A189)</f>
        <v/>
      </c>
      <c r="B189" s="4">
        <f>IF($A189="","",AGENT_INPUT!B189)</f>
        <v/>
      </c>
      <c r="C189" s="4">
        <f>IF($A189="","",AGENT_INPUT!C189)</f>
        <v/>
      </c>
      <c r="D189" s="4">
        <f>IF($A189="","",IF(AND(COUNT(AGENT_INPUT!E189:J189)=6,COUNT(AGENT_INPUT!K189)=1,COUNTIF(BONUS_RULES!$A$5:$A$46,AGENT_INPUT!C189)&gt;0,OR(AGENT_INPUT!O189&gt;0,AND(AGENT_INPUT!M189&gt;0,AGENT_INPUT!N189&gt;0)),AGENT_INPUT!P189&gt;=0,AGENT_INPUT!Q189&gt;0,AGENT_INPUT!P189&lt;=AGENT_INPUT!Q189,AGENT_INPUT!H189&gt;=0,AGENT_INPUT!H189&lt;=1,AGENT_INPUT!I189&gt;=0,AGENT_INPUT!I189&lt;=1,AGENT_INPUT!J189&gt;=0,AGENT_INPUT!J189&lt;=1),"READY","BLOCKED"))</f>
        <v/>
      </c>
      <c r="E189" s="4">
        <f>IF($A189="","",IF(AGENT_INPUT!R189&lt;&gt;"Active","REVIEW",IF(OR(POLICY_APPROVAL!$B$9="Eligibility only",POLICY_APPROVAL!$B$9="Both"),IF(AGENT_INPUT!J189&lt;=SUMIFS(BONUS_RULES!$E$5:$E$46,BONUS_RULES!$A$5:$A$46,$C189,BONUS_RULES!$B$5:$B$46,"Abs%"),"ELIGIBLE","INELIGIBLE ABS"),"ELIGIBLE")))</f>
        <v/>
      </c>
      <c r="F189" s="10">
        <f>IF(OR($A189="",$D189&lt;&gt;"READY"),"",IF(AGENT_INPUT!E189&lt;=SUMIFS(BONUS_RULES!$E$5:$E$46,BONUS_RULES!$A$5:$A$46,$C189,BONUS_RULES!$B$5:$B$46,"AHT"),SUMIFS(BONUS_RULES!$D$5:$D$46,BONUS_RULES!$A$5:$A$46,$C189,BONUS_RULES!$B$5:$B$46,"AHT"),IF(AGENT_INPUT!E189&lt;=SUMIFS(BONUS_RULES!$G$5:$G$46,BONUS_RULES!$A$5:$A$46,$C189,BONUS_RULES!$B$5:$B$46,"AHT"),SUMIFS(BONUS_RULES!$F$5:$F$46,BONUS_RULES!$A$5:$A$46,$C189,BONUS_RULES!$B$5:$B$46,"AHT"),0)))</f>
        <v/>
      </c>
      <c r="G189" s="10">
        <f>IF(OR($A189="",$D189&lt;&gt;"READY"),"",IF(AGENT_INPUT!F189&gt;=SUMIFS(BONUS_RULES!$E$5:$E$46,BONUS_RULES!$A$5:$A$46,$C189,BONUS_RULES!$B$5:$B$46,"Productivity"),SUMIFS(BONUS_RULES!$D$5:$D$46,BONUS_RULES!$A$5:$A$46,$C189,BONUS_RULES!$B$5:$B$46,"Productivity"),IF(AGENT_INPUT!F189&gt;=SUMIFS(BONUS_RULES!$G$5:$G$46,BONUS_RULES!$A$5:$A$46,$C189,BONUS_RULES!$B$5:$B$46,"Productivity"),SUMIFS(BONUS_RULES!$F$5:$F$46,BONUS_RULES!$A$5:$A$46,$C189,BONUS_RULES!$B$5:$B$46,"Productivity"),0)))</f>
        <v/>
      </c>
      <c r="H189" s="10">
        <f>IF(OR($A189="",$D189&lt;&gt;"READY"),"",IF(AGENT_INPUT!G189&gt;=SUMIFS(BONUS_RULES!$E$5:$E$46,BONUS_RULES!$A$5:$A$46,$C189,BONUS_RULES!$B$5:$B$46,"PCS Score"),SUMIFS(BONUS_RULES!$D$5:$D$46,BONUS_RULES!$A$5:$A$46,$C189,BONUS_RULES!$B$5:$B$46,"PCS Score"),IF(AGENT_INPUT!G189&gt;=SUMIFS(BONUS_RULES!$G$5:$G$46,BONUS_RULES!$A$5:$A$46,$C189,BONUS_RULES!$B$5:$B$46,"PCS Score"),SUMIFS(BONUS_RULES!$F$5:$F$46,BONUS_RULES!$A$5:$A$46,$C189,BONUS_RULES!$B$5:$B$46,"PCS Score"),0)))</f>
        <v/>
      </c>
      <c r="I189" s="10">
        <f>IF(OR($A189="",$D189&lt;&gt;"READY"),"",IF(AGENT_INPUT!H189&gt;=SUMIFS(BONUS_RULES!$E$5:$E$46,BONUS_RULES!$A$5:$A$46,$C189,BONUS_RULES!$B$5:$B$46,"PCS % (Participation)"),SUMIFS(BONUS_RULES!$D$5:$D$46,BONUS_RULES!$A$5:$A$46,$C189,BONUS_RULES!$B$5:$B$46,"PCS % (Participation)"),IF(AGENT_INPUT!H189&gt;=SUMIFS(BONUS_RULES!$G$5:$G$46,BONUS_RULES!$A$5:$A$46,$C189,BONUS_RULES!$B$5:$B$46,"PCS % (Participation)"),SUMIFS(BONUS_RULES!$F$5:$F$46,BONUS_RULES!$A$5:$A$46,$C189,BONUS_RULES!$B$5:$B$46,"PCS % (Participation)"),0)))</f>
        <v/>
      </c>
      <c r="J189" s="10">
        <f>IF(OR($A189="",$D189&lt;&gt;"READY"),"",IF(AGENT_INPUT!I189&gt;=SUMIFS(BONUS_RULES!$E$5:$E$46,BONUS_RULES!$A$5:$A$46,$C189,BONUS_RULES!$B$5:$B$46,"QM"),SUMIFS(BONUS_RULES!$D$5:$D$46,BONUS_RULES!$A$5:$A$46,$C189,BONUS_RULES!$B$5:$B$46,"QM"),IF(AGENT_INPUT!I189&gt;=SUMIFS(BONUS_RULES!$G$5:$G$46,BONUS_RULES!$A$5:$A$46,$C189,BONUS_RULES!$B$5:$B$46,"QM"),SUMIFS(BONUS_RULES!$F$5:$F$46,BONUS_RULES!$A$5:$A$46,$C189,BONUS_RULES!$B$5:$B$46,"QM"),0)))</f>
        <v/>
      </c>
      <c r="K189" s="10">
        <f>IF(POLICY_APPROVAL!$B$9="Eligibility only",0,IF(OR($A189="",$D189&lt;&gt;"READY"),"",IF(AGENT_INPUT!J189&lt;=SUMIFS(BONUS_RULES!$E$5:$E$46,BONUS_RULES!$A$5:$A$46,$C189,BONUS_RULES!$B$5:$B$46,"Abs%"),SUMIFS(BONUS_RULES!$D$5:$D$46,BONUS_RULES!$A$5:$A$46,$C189,BONUS_RULES!$B$5:$B$46,"Abs%"),IF(AGENT_INPUT!J189&lt;=SUMIFS(BONUS_RULES!$G$5:$G$46,BONUS_RULES!$A$5:$A$46,$C189,BONUS_RULES!$B$5:$B$46,"Abs%"),SUMIFS(BONUS_RULES!$F$5:$F$46,BONUS_RULES!$A$5:$A$46,$C189,BONUS_RULES!$B$5:$B$46,"Abs%"),0))))</f>
        <v/>
      </c>
      <c r="L189" s="10">
        <f>IF(OR($A189="",$D189&lt;&gt;"READY"),"",IF(AGENT_INPUT!G189&gt;=SUMIFS(BONUS_RULES!$E$5:$E$46,BONUS_RULES!$A$5:$A$46,$C189,BONUS_RULES!$B$5:$B$46,"Extra Bonus (PCS Score)"),SUMIFS(BONUS_RULES!$D$5:$D$46,BONUS_RULES!$A$5:$A$46,$C189,BONUS_RULES!$B$5:$B$46,"Extra Bonus (PCS Score)"),IF(AGENT_INPUT!G189&gt;=SUMIFS(BONUS_RULES!$G$5:$G$46,BONUS_RULES!$A$5:$A$46,$C189,BONUS_RULES!$B$5:$B$46,"Extra Bonus (PCS Score)"),SUMIFS(BONUS_RULES!$F$5:$F$46,BONUS_RULES!$A$5:$A$46,$C189,BONUS_RULES!$B$5:$B$46,"Extra Bonus (PCS Score)"),0)))</f>
        <v/>
      </c>
      <c r="M189" s="10">
        <f>IF($A189="","",MIN(IF(POLICY_APPROVAL!$B$6="Replacement",SUM(F189:K189)-H189+MAX(H189,L189),SUM(F189:L189)),POLICY_APPROVAL!$B$10))</f>
        <v/>
      </c>
      <c r="N189" s="10">
        <f>IF($A189="","",IFERROR(INDEX(BONUS_RULES!$J$5:$J$10,MATCH(MIN(MAX(AGENT_INPUT!K189,0),5),BONUS_RULES!$I$5:$I$10,0)),1))</f>
        <v/>
      </c>
      <c r="O189" s="10">
        <f>IF(M189="","",MAX(0,IF(POLICY_APPROVAL!$B$5="Percentage points",M189-N189,M189*(1-N189))))</f>
        <v/>
      </c>
      <c r="P189" s="11">
        <f>IF(D189&lt;&gt;"READY","",IF(AGENT_INPUT!O189&gt;0,AGENT_INPUT!O189,AGENT_INPUT!M189*AGENT_INPUT!N189/IF(POLICY_APPROVAL!$B$7="Annual",12,1)))</f>
        <v/>
      </c>
      <c r="Q189" s="10">
        <f>IF(D189&lt;&gt;"READY","",MIN(1,AGENT_INPUT!P189/AGENT_INPUT!Q189))</f>
        <v/>
      </c>
      <c r="R189" s="11">
        <f>IF(D189&lt;&gt;"READY","",ROUND(P189*Q189*O189,IF(POLICY_APPROVAL!$B$11="Whole MAD",0,2)))</f>
        <v/>
      </c>
      <c r="S189" s="11">
        <f>IF(AND(SETUP!$B$9="READY",T189="READY"),R189,"")</f>
        <v/>
      </c>
      <c r="T189" s="4">
        <f>IF($A189="","",IF(D189&lt;&gt;"READY","BLOCKED - INPUT",IF(E189&lt;&gt;"ELIGIBLE","BLOCKED - ELIGIBILITY",IF(AGENT_INPUT!S189&lt;&gt;"VALIDATED","BLOCKED - DATA",IF(SETUP!$B$9&lt;&gt;"READY","BLOCKED - POLICY","READY")))))</f>
        <v/>
      </c>
      <c r="U189" s="4">
        <f>IF($A189="","",IF(COUNTIFS(AGENT_INPUT!$A$5:$A$254,$A189,AGENT_INPUT!$D$5:$D$254,AGENT_INPUT!D189)&gt;1,"DUPLICATE AGENT + PERIOD",IF(D189&lt;&gt;"READY","INPUT OR CONFIG REVIEW",IF(T189&lt;&gt;"READY",T189,""))))</f>
        <v/>
      </c>
    </row>
    <row r="190" spans="1:21">
      <c r="A190" s="4">
        <f>IF(AGENT_INPUT!A190="","",AGENT_INPUT!A190)</f>
        <v/>
      </c>
      <c r="B190" s="4">
        <f>IF($A190="","",AGENT_INPUT!B190)</f>
        <v/>
      </c>
      <c r="C190" s="4">
        <f>IF($A190="","",AGENT_INPUT!C190)</f>
        <v/>
      </c>
      <c r="D190" s="4">
        <f>IF($A190="","",IF(AND(COUNT(AGENT_INPUT!E190:J190)=6,COUNT(AGENT_INPUT!K190)=1,COUNTIF(BONUS_RULES!$A$5:$A$46,AGENT_INPUT!C190)&gt;0,OR(AGENT_INPUT!O190&gt;0,AND(AGENT_INPUT!M190&gt;0,AGENT_INPUT!N190&gt;0)),AGENT_INPUT!P190&gt;=0,AGENT_INPUT!Q190&gt;0,AGENT_INPUT!P190&lt;=AGENT_INPUT!Q190,AGENT_INPUT!H190&gt;=0,AGENT_INPUT!H190&lt;=1,AGENT_INPUT!I190&gt;=0,AGENT_INPUT!I190&lt;=1,AGENT_INPUT!J190&gt;=0,AGENT_INPUT!J190&lt;=1),"READY","BLOCKED"))</f>
        <v/>
      </c>
      <c r="E190" s="4">
        <f>IF($A190="","",IF(AGENT_INPUT!R190&lt;&gt;"Active","REVIEW",IF(OR(POLICY_APPROVAL!$B$9="Eligibility only",POLICY_APPROVAL!$B$9="Both"),IF(AGENT_INPUT!J190&lt;=SUMIFS(BONUS_RULES!$E$5:$E$46,BONUS_RULES!$A$5:$A$46,$C190,BONUS_RULES!$B$5:$B$46,"Abs%"),"ELIGIBLE","INELIGIBLE ABS"),"ELIGIBLE")))</f>
        <v/>
      </c>
      <c r="F190" s="10">
        <f>IF(OR($A190="",$D190&lt;&gt;"READY"),"",IF(AGENT_INPUT!E190&lt;=SUMIFS(BONUS_RULES!$E$5:$E$46,BONUS_RULES!$A$5:$A$46,$C190,BONUS_RULES!$B$5:$B$46,"AHT"),SUMIFS(BONUS_RULES!$D$5:$D$46,BONUS_RULES!$A$5:$A$46,$C190,BONUS_RULES!$B$5:$B$46,"AHT"),IF(AGENT_INPUT!E190&lt;=SUMIFS(BONUS_RULES!$G$5:$G$46,BONUS_RULES!$A$5:$A$46,$C190,BONUS_RULES!$B$5:$B$46,"AHT"),SUMIFS(BONUS_RULES!$F$5:$F$46,BONUS_RULES!$A$5:$A$46,$C190,BONUS_RULES!$B$5:$B$46,"AHT"),0)))</f>
        <v/>
      </c>
      <c r="G190" s="10">
        <f>IF(OR($A190="",$D190&lt;&gt;"READY"),"",IF(AGENT_INPUT!F190&gt;=SUMIFS(BONUS_RULES!$E$5:$E$46,BONUS_RULES!$A$5:$A$46,$C190,BONUS_RULES!$B$5:$B$46,"Productivity"),SUMIFS(BONUS_RULES!$D$5:$D$46,BONUS_RULES!$A$5:$A$46,$C190,BONUS_RULES!$B$5:$B$46,"Productivity"),IF(AGENT_INPUT!F190&gt;=SUMIFS(BONUS_RULES!$G$5:$G$46,BONUS_RULES!$A$5:$A$46,$C190,BONUS_RULES!$B$5:$B$46,"Productivity"),SUMIFS(BONUS_RULES!$F$5:$F$46,BONUS_RULES!$A$5:$A$46,$C190,BONUS_RULES!$B$5:$B$46,"Productivity"),0)))</f>
        <v/>
      </c>
      <c r="H190" s="10">
        <f>IF(OR($A190="",$D190&lt;&gt;"READY"),"",IF(AGENT_INPUT!G190&gt;=SUMIFS(BONUS_RULES!$E$5:$E$46,BONUS_RULES!$A$5:$A$46,$C190,BONUS_RULES!$B$5:$B$46,"PCS Score"),SUMIFS(BONUS_RULES!$D$5:$D$46,BONUS_RULES!$A$5:$A$46,$C190,BONUS_RULES!$B$5:$B$46,"PCS Score"),IF(AGENT_INPUT!G190&gt;=SUMIFS(BONUS_RULES!$G$5:$G$46,BONUS_RULES!$A$5:$A$46,$C190,BONUS_RULES!$B$5:$B$46,"PCS Score"),SUMIFS(BONUS_RULES!$F$5:$F$46,BONUS_RULES!$A$5:$A$46,$C190,BONUS_RULES!$B$5:$B$46,"PCS Score"),0)))</f>
        <v/>
      </c>
      <c r="I190" s="10">
        <f>IF(OR($A190="",$D190&lt;&gt;"READY"),"",IF(AGENT_INPUT!H190&gt;=SUMIFS(BONUS_RULES!$E$5:$E$46,BONUS_RULES!$A$5:$A$46,$C190,BONUS_RULES!$B$5:$B$46,"PCS % (Participation)"),SUMIFS(BONUS_RULES!$D$5:$D$46,BONUS_RULES!$A$5:$A$46,$C190,BONUS_RULES!$B$5:$B$46,"PCS % (Participation)"),IF(AGENT_INPUT!H190&gt;=SUMIFS(BONUS_RULES!$G$5:$G$46,BONUS_RULES!$A$5:$A$46,$C190,BONUS_RULES!$B$5:$B$46,"PCS % (Participation)"),SUMIFS(BONUS_RULES!$F$5:$F$46,BONUS_RULES!$A$5:$A$46,$C190,BONUS_RULES!$B$5:$B$46,"PCS % (Participation)"),0)))</f>
        <v/>
      </c>
      <c r="J190" s="10">
        <f>IF(OR($A190="",$D190&lt;&gt;"READY"),"",IF(AGENT_INPUT!I190&gt;=SUMIFS(BONUS_RULES!$E$5:$E$46,BONUS_RULES!$A$5:$A$46,$C190,BONUS_RULES!$B$5:$B$46,"QM"),SUMIFS(BONUS_RULES!$D$5:$D$46,BONUS_RULES!$A$5:$A$46,$C190,BONUS_RULES!$B$5:$B$46,"QM"),IF(AGENT_INPUT!I190&gt;=SUMIFS(BONUS_RULES!$G$5:$G$46,BONUS_RULES!$A$5:$A$46,$C190,BONUS_RULES!$B$5:$B$46,"QM"),SUMIFS(BONUS_RULES!$F$5:$F$46,BONUS_RULES!$A$5:$A$46,$C190,BONUS_RULES!$B$5:$B$46,"QM"),0)))</f>
        <v/>
      </c>
      <c r="K190" s="10">
        <f>IF(POLICY_APPROVAL!$B$9="Eligibility only",0,IF(OR($A190="",$D190&lt;&gt;"READY"),"",IF(AGENT_INPUT!J190&lt;=SUMIFS(BONUS_RULES!$E$5:$E$46,BONUS_RULES!$A$5:$A$46,$C190,BONUS_RULES!$B$5:$B$46,"Abs%"),SUMIFS(BONUS_RULES!$D$5:$D$46,BONUS_RULES!$A$5:$A$46,$C190,BONUS_RULES!$B$5:$B$46,"Abs%"),IF(AGENT_INPUT!J190&lt;=SUMIFS(BONUS_RULES!$G$5:$G$46,BONUS_RULES!$A$5:$A$46,$C190,BONUS_RULES!$B$5:$B$46,"Abs%"),SUMIFS(BONUS_RULES!$F$5:$F$46,BONUS_RULES!$A$5:$A$46,$C190,BONUS_RULES!$B$5:$B$46,"Abs%"),0))))</f>
        <v/>
      </c>
      <c r="L190" s="10">
        <f>IF(OR($A190="",$D190&lt;&gt;"READY"),"",IF(AGENT_INPUT!G190&gt;=SUMIFS(BONUS_RULES!$E$5:$E$46,BONUS_RULES!$A$5:$A$46,$C190,BONUS_RULES!$B$5:$B$46,"Extra Bonus (PCS Score)"),SUMIFS(BONUS_RULES!$D$5:$D$46,BONUS_RULES!$A$5:$A$46,$C190,BONUS_RULES!$B$5:$B$46,"Extra Bonus (PCS Score)"),IF(AGENT_INPUT!G190&gt;=SUMIFS(BONUS_RULES!$G$5:$G$46,BONUS_RULES!$A$5:$A$46,$C190,BONUS_RULES!$B$5:$B$46,"Extra Bonus (PCS Score)"),SUMIFS(BONUS_RULES!$F$5:$F$46,BONUS_RULES!$A$5:$A$46,$C190,BONUS_RULES!$B$5:$B$46,"Extra Bonus (PCS Score)"),0)))</f>
        <v/>
      </c>
      <c r="M190" s="10">
        <f>IF($A190="","",MIN(IF(POLICY_APPROVAL!$B$6="Replacement",SUM(F190:K190)-H190+MAX(H190,L190),SUM(F190:L190)),POLICY_APPROVAL!$B$10))</f>
        <v/>
      </c>
      <c r="N190" s="10">
        <f>IF($A190="","",IFERROR(INDEX(BONUS_RULES!$J$5:$J$10,MATCH(MIN(MAX(AGENT_INPUT!K190,0),5),BONUS_RULES!$I$5:$I$10,0)),1))</f>
        <v/>
      </c>
      <c r="O190" s="10">
        <f>IF(M190="","",MAX(0,IF(POLICY_APPROVAL!$B$5="Percentage points",M190-N190,M190*(1-N190))))</f>
        <v/>
      </c>
      <c r="P190" s="11">
        <f>IF(D190&lt;&gt;"READY","",IF(AGENT_INPUT!O190&gt;0,AGENT_INPUT!O190,AGENT_INPUT!M190*AGENT_INPUT!N190/IF(POLICY_APPROVAL!$B$7="Annual",12,1)))</f>
        <v/>
      </c>
      <c r="Q190" s="10">
        <f>IF(D190&lt;&gt;"READY","",MIN(1,AGENT_INPUT!P190/AGENT_INPUT!Q190))</f>
        <v/>
      </c>
      <c r="R190" s="11">
        <f>IF(D190&lt;&gt;"READY","",ROUND(P190*Q190*O190,IF(POLICY_APPROVAL!$B$11="Whole MAD",0,2)))</f>
        <v/>
      </c>
      <c r="S190" s="11">
        <f>IF(AND(SETUP!$B$9="READY",T190="READY"),R190,"")</f>
        <v/>
      </c>
      <c r="T190" s="4">
        <f>IF($A190="","",IF(D190&lt;&gt;"READY","BLOCKED - INPUT",IF(E190&lt;&gt;"ELIGIBLE","BLOCKED - ELIGIBILITY",IF(AGENT_INPUT!S190&lt;&gt;"VALIDATED","BLOCKED - DATA",IF(SETUP!$B$9&lt;&gt;"READY","BLOCKED - POLICY","READY")))))</f>
        <v/>
      </c>
      <c r="U190" s="4">
        <f>IF($A190="","",IF(COUNTIFS(AGENT_INPUT!$A$5:$A$254,$A190,AGENT_INPUT!$D$5:$D$254,AGENT_INPUT!D190)&gt;1,"DUPLICATE AGENT + PERIOD",IF(D190&lt;&gt;"READY","INPUT OR CONFIG REVIEW",IF(T190&lt;&gt;"READY",T190,""))))</f>
        <v/>
      </c>
    </row>
    <row r="191" spans="1:21">
      <c r="A191" s="4">
        <f>IF(AGENT_INPUT!A191="","",AGENT_INPUT!A191)</f>
        <v/>
      </c>
      <c r="B191" s="4">
        <f>IF($A191="","",AGENT_INPUT!B191)</f>
        <v/>
      </c>
      <c r="C191" s="4">
        <f>IF($A191="","",AGENT_INPUT!C191)</f>
        <v/>
      </c>
      <c r="D191" s="4">
        <f>IF($A191="","",IF(AND(COUNT(AGENT_INPUT!E191:J191)=6,COUNT(AGENT_INPUT!K191)=1,COUNTIF(BONUS_RULES!$A$5:$A$46,AGENT_INPUT!C191)&gt;0,OR(AGENT_INPUT!O191&gt;0,AND(AGENT_INPUT!M191&gt;0,AGENT_INPUT!N191&gt;0)),AGENT_INPUT!P191&gt;=0,AGENT_INPUT!Q191&gt;0,AGENT_INPUT!P191&lt;=AGENT_INPUT!Q191,AGENT_INPUT!H191&gt;=0,AGENT_INPUT!H191&lt;=1,AGENT_INPUT!I191&gt;=0,AGENT_INPUT!I191&lt;=1,AGENT_INPUT!J191&gt;=0,AGENT_INPUT!J191&lt;=1),"READY","BLOCKED"))</f>
        <v/>
      </c>
      <c r="E191" s="4">
        <f>IF($A191="","",IF(AGENT_INPUT!R191&lt;&gt;"Active","REVIEW",IF(OR(POLICY_APPROVAL!$B$9="Eligibility only",POLICY_APPROVAL!$B$9="Both"),IF(AGENT_INPUT!J191&lt;=SUMIFS(BONUS_RULES!$E$5:$E$46,BONUS_RULES!$A$5:$A$46,$C191,BONUS_RULES!$B$5:$B$46,"Abs%"),"ELIGIBLE","INELIGIBLE ABS"),"ELIGIBLE")))</f>
        <v/>
      </c>
      <c r="F191" s="10">
        <f>IF(OR($A191="",$D191&lt;&gt;"READY"),"",IF(AGENT_INPUT!E191&lt;=SUMIFS(BONUS_RULES!$E$5:$E$46,BONUS_RULES!$A$5:$A$46,$C191,BONUS_RULES!$B$5:$B$46,"AHT"),SUMIFS(BONUS_RULES!$D$5:$D$46,BONUS_RULES!$A$5:$A$46,$C191,BONUS_RULES!$B$5:$B$46,"AHT"),IF(AGENT_INPUT!E191&lt;=SUMIFS(BONUS_RULES!$G$5:$G$46,BONUS_RULES!$A$5:$A$46,$C191,BONUS_RULES!$B$5:$B$46,"AHT"),SUMIFS(BONUS_RULES!$F$5:$F$46,BONUS_RULES!$A$5:$A$46,$C191,BONUS_RULES!$B$5:$B$46,"AHT"),0)))</f>
        <v/>
      </c>
      <c r="G191" s="10">
        <f>IF(OR($A191="",$D191&lt;&gt;"READY"),"",IF(AGENT_INPUT!F191&gt;=SUMIFS(BONUS_RULES!$E$5:$E$46,BONUS_RULES!$A$5:$A$46,$C191,BONUS_RULES!$B$5:$B$46,"Productivity"),SUMIFS(BONUS_RULES!$D$5:$D$46,BONUS_RULES!$A$5:$A$46,$C191,BONUS_RULES!$B$5:$B$46,"Productivity"),IF(AGENT_INPUT!F191&gt;=SUMIFS(BONUS_RULES!$G$5:$G$46,BONUS_RULES!$A$5:$A$46,$C191,BONUS_RULES!$B$5:$B$46,"Productivity"),SUMIFS(BONUS_RULES!$F$5:$F$46,BONUS_RULES!$A$5:$A$46,$C191,BONUS_RULES!$B$5:$B$46,"Productivity"),0)))</f>
        <v/>
      </c>
      <c r="H191" s="10">
        <f>IF(OR($A191="",$D191&lt;&gt;"READY"),"",IF(AGENT_INPUT!G191&gt;=SUMIFS(BONUS_RULES!$E$5:$E$46,BONUS_RULES!$A$5:$A$46,$C191,BONUS_RULES!$B$5:$B$46,"PCS Score"),SUMIFS(BONUS_RULES!$D$5:$D$46,BONUS_RULES!$A$5:$A$46,$C191,BONUS_RULES!$B$5:$B$46,"PCS Score"),IF(AGENT_INPUT!G191&gt;=SUMIFS(BONUS_RULES!$G$5:$G$46,BONUS_RULES!$A$5:$A$46,$C191,BONUS_RULES!$B$5:$B$46,"PCS Score"),SUMIFS(BONUS_RULES!$F$5:$F$46,BONUS_RULES!$A$5:$A$46,$C191,BONUS_RULES!$B$5:$B$46,"PCS Score"),0)))</f>
        <v/>
      </c>
      <c r="I191" s="10">
        <f>IF(OR($A191="",$D191&lt;&gt;"READY"),"",IF(AGENT_INPUT!H191&gt;=SUMIFS(BONUS_RULES!$E$5:$E$46,BONUS_RULES!$A$5:$A$46,$C191,BONUS_RULES!$B$5:$B$46,"PCS % (Participation)"),SUMIFS(BONUS_RULES!$D$5:$D$46,BONUS_RULES!$A$5:$A$46,$C191,BONUS_RULES!$B$5:$B$46,"PCS % (Participation)"),IF(AGENT_INPUT!H191&gt;=SUMIFS(BONUS_RULES!$G$5:$G$46,BONUS_RULES!$A$5:$A$46,$C191,BONUS_RULES!$B$5:$B$46,"PCS % (Participation)"),SUMIFS(BONUS_RULES!$F$5:$F$46,BONUS_RULES!$A$5:$A$46,$C191,BONUS_RULES!$B$5:$B$46,"PCS % (Participation)"),0)))</f>
        <v/>
      </c>
      <c r="J191" s="10">
        <f>IF(OR($A191="",$D191&lt;&gt;"READY"),"",IF(AGENT_INPUT!I191&gt;=SUMIFS(BONUS_RULES!$E$5:$E$46,BONUS_RULES!$A$5:$A$46,$C191,BONUS_RULES!$B$5:$B$46,"QM"),SUMIFS(BONUS_RULES!$D$5:$D$46,BONUS_RULES!$A$5:$A$46,$C191,BONUS_RULES!$B$5:$B$46,"QM"),IF(AGENT_INPUT!I191&gt;=SUMIFS(BONUS_RULES!$G$5:$G$46,BONUS_RULES!$A$5:$A$46,$C191,BONUS_RULES!$B$5:$B$46,"QM"),SUMIFS(BONUS_RULES!$F$5:$F$46,BONUS_RULES!$A$5:$A$46,$C191,BONUS_RULES!$B$5:$B$46,"QM"),0)))</f>
        <v/>
      </c>
      <c r="K191" s="10">
        <f>IF(POLICY_APPROVAL!$B$9="Eligibility only",0,IF(OR($A191="",$D191&lt;&gt;"READY"),"",IF(AGENT_INPUT!J191&lt;=SUMIFS(BONUS_RULES!$E$5:$E$46,BONUS_RULES!$A$5:$A$46,$C191,BONUS_RULES!$B$5:$B$46,"Abs%"),SUMIFS(BONUS_RULES!$D$5:$D$46,BONUS_RULES!$A$5:$A$46,$C191,BONUS_RULES!$B$5:$B$46,"Abs%"),IF(AGENT_INPUT!J191&lt;=SUMIFS(BONUS_RULES!$G$5:$G$46,BONUS_RULES!$A$5:$A$46,$C191,BONUS_RULES!$B$5:$B$46,"Abs%"),SUMIFS(BONUS_RULES!$F$5:$F$46,BONUS_RULES!$A$5:$A$46,$C191,BONUS_RULES!$B$5:$B$46,"Abs%"),0))))</f>
        <v/>
      </c>
      <c r="L191" s="10">
        <f>IF(OR($A191="",$D191&lt;&gt;"READY"),"",IF(AGENT_INPUT!G191&gt;=SUMIFS(BONUS_RULES!$E$5:$E$46,BONUS_RULES!$A$5:$A$46,$C191,BONUS_RULES!$B$5:$B$46,"Extra Bonus (PCS Score)"),SUMIFS(BONUS_RULES!$D$5:$D$46,BONUS_RULES!$A$5:$A$46,$C191,BONUS_RULES!$B$5:$B$46,"Extra Bonus (PCS Score)"),IF(AGENT_INPUT!G191&gt;=SUMIFS(BONUS_RULES!$G$5:$G$46,BONUS_RULES!$A$5:$A$46,$C191,BONUS_RULES!$B$5:$B$46,"Extra Bonus (PCS Score)"),SUMIFS(BONUS_RULES!$F$5:$F$46,BONUS_RULES!$A$5:$A$46,$C191,BONUS_RULES!$B$5:$B$46,"Extra Bonus (PCS Score)"),0)))</f>
        <v/>
      </c>
      <c r="M191" s="10">
        <f>IF($A191="","",MIN(IF(POLICY_APPROVAL!$B$6="Replacement",SUM(F191:K191)-H191+MAX(H191,L191),SUM(F191:L191)),POLICY_APPROVAL!$B$10))</f>
        <v/>
      </c>
      <c r="N191" s="10">
        <f>IF($A191="","",IFERROR(INDEX(BONUS_RULES!$J$5:$J$10,MATCH(MIN(MAX(AGENT_INPUT!K191,0),5),BONUS_RULES!$I$5:$I$10,0)),1))</f>
        <v/>
      </c>
      <c r="O191" s="10">
        <f>IF(M191="","",MAX(0,IF(POLICY_APPROVAL!$B$5="Percentage points",M191-N191,M191*(1-N191))))</f>
        <v/>
      </c>
      <c r="P191" s="11">
        <f>IF(D191&lt;&gt;"READY","",IF(AGENT_INPUT!O191&gt;0,AGENT_INPUT!O191,AGENT_INPUT!M191*AGENT_INPUT!N191/IF(POLICY_APPROVAL!$B$7="Annual",12,1)))</f>
        <v/>
      </c>
      <c r="Q191" s="10">
        <f>IF(D191&lt;&gt;"READY","",MIN(1,AGENT_INPUT!P191/AGENT_INPUT!Q191))</f>
        <v/>
      </c>
      <c r="R191" s="11">
        <f>IF(D191&lt;&gt;"READY","",ROUND(P191*Q191*O191,IF(POLICY_APPROVAL!$B$11="Whole MAD",0,2)))</f>
        <v/>
      </c>
      <c r="S191" s="11">
        <f>IF(AND(SETUP!$B$9="READY",T191="READY"),R191,"")</f>
        <v/>
      </c>
      <c r="T191" s="4">
        <f>IF($A191="","",IF(D191&lt;&gt;"READY","BLOCKED - INPUT",IF(E191&lt;&gt;"ELIGIBLE","BLOCKED - ELIGIBILITY",IF(AGENT_INPUT!S191&lt;&gt;"VALIDATED","BLOCKED - DATA",IF(SETUP!$B$9&lt;&gt;"READY","BLOCKED - POLICY","READY")))))</f>
        <v/>
      </c>
      <c r="U191" s="4">
        <f>IF($A191="","",IF(COUNTIFS(AGENT_INPUT!$A$5:$A$254,$A191,AGENT_INPUT!$D$5:$D$254,AGENT_INPUT!D191)&gt;1,"DUPLICATE AGENT + PERIOD",IF(D191&lt;&gt;"READY","INPUT OR CONFIG REVIEW",IF(T191&lt;&gt;"READY",T191,""))))</f>
        <v/>
      </c>
    </row>
    <row r="192" spans="1:21">
      <c r="A192" s="4">
        <f>IF(AGENT_INPUT!A192="","",AGENT_INPUT!A192)</f>
        <v/>
      </c>
      <c r="B192" s="4">
        <f>IF($A192="","",AGENT_INPUT!B192)</f>
        <v/>
      </c>
      <c r="C192" s="4">
        <f>IF($A192="","",AGENT_INPUT!C192)</f>
        <v/>
      </c>
      <c r="D192" s="4">
        <f>IF($A192="","",IF(AND(COUNT(AGENT_INPUT!E192:J192)=6,COUNT(AGENT_INPUT!K192)=1,COUNTIF(BONUS_RULES!$A$5:$A$46,AGENT_INPUT!C192)&gt;0,OR(AGENT_INPUT!O192&gt;0,AND(AGENT_INPUT!M192&gt;0,AGENT_INPUT!N192&gt;0)),AGENT_INPUT!P192&gt;=0,AGENT_INPUT!Q192&gt;0,AGENT_INPUT!P192&lt;=AGENT_INPUT!Q192,AGENT_INPUT!H192&gt;=0,AGENT_INPUT!H192&lt;=1,AGENT_INPUT!I192&gt;=0,AGENT_INPUT!I192&lt;=1,AGENT_INPUT!J192&gt;=0,AGENT_INPUT!J192&lt;=1),"READY","BLOCKED"))</f>
        <v/>
      </c>
      <c r="E192" s="4">
        <f>IF($A192="","",IF(AGENT_INPUT!R192&lt;&gt;"Active","REVIEW",IF(OR(POLICY_APPROVAL!$B$9="Eligibility only",POLICY_APPROVAL!$B$9="Both"),IF(AGENT_INPUT!J192&lt;=SUMIFS(BONUS_RULES!$E$5:$E$46,BONUS_RULES!$A$5:$A$46,$C192,BONUS_RULES!$B$5:$B$46,"Abs%"),"ELIGIBLE","INELIGIBLE ABS"),"ELIGIBLE")))</f>
        <v/>
      </c>
      <c r="F192" s="10">
        <f>IF(OR($A192="",$D192&lt;&gt;"READY"),"",IF(AGENT_INPUT!E192&lt;=SUMIFS(BONUS_RULES!$E$5:$E$46,BONUS_RULES!$A$5:$A$46,$C192,BONUS_RULES!$B$5:$B$46,"AHT"),SUMIFS(BONUS_RULES!$D$5:$D$46,BONUS_RULES!$A$5:$A$46,$C192,BONUS_RULES!$B$5:$B$46,"AHT"),IF(AGENT_INPUT!E192&lt;=SUMIFS(BONUS_RULES!$G$5:$G$46,BONUS_RULES!$A$5:$A$46,$C192,BONUS_RULES!$B$5:$B$46,"AHT"),SUMIFS(BONUS_RULES!$F$5:$F$46,BONUS_RULES!$A$5:$A$46,$C192,BONUS_RULES!$B$5:$B$46,"AHT"),0)))</f>
        <v/>
      </c>
      <c r="G192" s="10">
        <f>IF(OR($A192="",$D192&lt;&gt;"READY"),"",IF(AGENT_INPUT!F192&gt;=SUMIFS(BONUS_RULES!$E$5:$E$46,BONUS_RULES!$A$5:$A$46,$C192,BONUS_RULES!$B$5:$B$46,"Productivity"),SUMIFS(BONUS_RULES!$D$5:$D$46,BONUS_RULES!$A$5:$A$46,$C192,BONUS_RULES!$B$5:$B$46,"Productivity"),IF(AGENT_INPUT!F192&gt;=SUMIFS(BONUS_RULES!$G$5:$G$46,BONUS_RULES!$A$5:$A$46,$C192,BONUS_RULES!$B$5:$B$46,"Productivity"),SUMIFS(BONUS_RULES!$F$5:$F$46,BONUS_RULES!$A$5:$A$46,$C192,BONUS_RULES!$B$5:$B$46,"Productivity"),0)))</f>
        <v/>
      </c>
      <c r="H192" s="10">
        <f>IF(OR($A192="",$D192&lt;&gt;"READY"),"",IF(AGENT_INPUT!G192&gt;=SUMIFS(BONUS_RULES!$E$5:$E$46,BONUS_RULES!$A$5:$A$46,$C192,BONUS_RULES!$B$5:$B$46,"PCS Score"),SUMIFS(BONUS_RULES!$D$5:$D$46,BONUS_RULES!$A$5:$A$46,$C192,BONUS_RULES!$B$5:$B$46,"PCS Score"),IF(AGENT_INPUT!G192&gt;=SUMIFS(BONUS_RULES!$G$5:$G$46,BONUS_RULES!$A$5:$A$46,$C192,BONUS_RULES!$B$5:$B$46,"PCS Score"),SUMIFS(BONUS_RULES!$F$5:$F$46,BONUS_RULES!$A$5:$A$46,$C192,BONUS_RULES!$B$5:$B$46,"PCS Score"),0)))</f>
        <v/>
      </c>
      <c r="I192" s="10">
        <f>IF(OR($A192="",$D192&lt;&gt;"READY"),"",IF(AGENT_INPUT!H192&gt;=SUMIFS(BONUS_RULES!$E$5:$E$46,BONUS_RULES!$A$5:$A$46,$C192,BONUS_RULES!$B$5:$B$46,"PCS % (Participation)"),SUMIFS(BONUS_RULES!$D$5:$D$46,BONUS_RULES!$A$5:$A$46,$C192,BONUS_RULES!$B$5:$B$46,"PCS % (Participation)"),IF(AGENT_INPUT!H192&gt;=SUMIFS(BONUS_RULES!$G$5:$G$46,BONUS_RULES!$A$5:$A$46,$C192,BONUS_RULES!$B$5:$B$46,"PCS % (Participation)"),SUMIFS(BONUS_RULES!$F$5:$F$46,BONUS_RULES!$A$5:$A$46,$C192,BONUS_RULES!$B$5:$B$46,"PCS % (Participation)"),0)))</f>
        <v/>
      </c>
      <c r="J192" s="10">
        <f>IF(OR($A192="",$D192&lt;&gt;"READY"),"",IF(AGENT_INPUT!I192&gt;=SUMIFS(BONUS_RULES!$E$5:$E$46,BONUS_RULES!$A$5:$A$46,$C192,BONUS_RULES!$B$5:$B$46,"QM"),SUMIFS(BONUS_RULES!$D$5:$D$46,BONUS_RULES!$A$5:$A$46,$C192,BONUS_RULES!$B$5:$B$46,"QM"),IF(AGENT_INPUT!I192&gt;=SUMIFS(BONUS_RULES!$G$5:$G$46,BONUS_RULES!$A$5:$A$46,$C192,BONUS_RULES!$B$5:$B$46,"QM"),SUMIFS(BONUS_RULES!$F$5:$F$46,BONUS_RULES!$A$5:$A$46,$C192,BONUS_RULES!$B$5:$B$46,"QM"),0)))</f>
        <v/>
      </c>
      <c r="K192" s="10">
        <f>IF(POLICY_APPROVAL!$B$9="Eligibility only",0,IF(OR($A192="",$D192&lt;&gt;"READY"),"",IF(AGENT_INPUT!J192&lt;=SUMIFS(BONUS_RULES!$E$5:$E$46,BONUS_RULES!$A$5:$A$46,$C192,BONUS_RULES!$B$5:$B$46,"Abs%"),SUMIFS(BONUS_RULES!$D$5:$D$46,BONUS_RULES!$A$5:$A$46,$C192,BONUS_RULES!$B$5:$B$46,"Abs%"),IF(AGENT_INPUT!J192&lt;=SUMIFS(BONUS_RULES!$G$5:$G$46,BONUS_RULES!$A$5:$A$46,$C192,BONUS_RULES!$B$5:$B$46,"Abs%"),SUMIFS(BONUS_RULES!$F$5:$F$46,BONUS_RULES!$A$5:$A$46,$C192,BONUS_RULES!$B$5:$B$46,"Abs%"),0))))</f>
        <v/>
      </c>
      <c r="L192" s="10">
        <f>IF(OR($A192="",$D192&lt;&gt;"READY"),"",IF(AGENT_INPUT!G192&gt;=SUMIFS(BONUS_RULES!$E$5:$E$46,BONUS_RULES!$A$5:$A$46,$C192,BONUS_RULES!$B$5:$B$46,"Extra Bonus (PCS Score)"),SUMIFS(BONUS_RULES!$D$5:$D$46,BONUS_RULES!$A$5:$A$46,$C192,BONUS_RULES!$B$5:$B$46,"Extra Bonus (PCS Score)"),IF(AGENT_INPUT!G192&gt;=SUMIFS(BONUS_RULES!$G$5:$G$46,BONUS_RULES!$A$5:$A$46,$C192,BONUS_RULES!$B$5:$B$46,"Extra Bonus (PCS Score)"),SUMIFS(BONUS_RULES!$F$5:$F$46,BONUS_RULES!$A$5:$A$46,$C192,BONUS_RULES!$B$5:$B$46,"Extra Bonus (PCS Score)"),0)))</f>
        <v/>
      </c>
      <c r="M192" s="10">
        <f>IF($A192="","",MIN(IF(POLICY_APPROVAL!$B$6="Replacement",SUM(F192:K192)-H192+MAX(H192,L192),SUM(F192:L192)),POLICY_APPROVAL!$B$10))</f>
        <v/>
      </c>
      <c r="N192" s="10">
        <f>IF($A192="","",IFERROR(INDEX(BONUS_RULES!$J$5:$J$10,MATCH(MIN(MAX(AGENT_INPUT!K192,0),5),BONUS_RULES!$I$5:$I$10,0)),1))</f>
        <v/>
      </c>
      <c r="O192" s="10">
        <f>IF(M192="","",MAX(0,IF(POLICY_APPROVAL!$B$5="Percentage points",M192-N192,M192*(1-N192))))</f>
        <v/>
      </c>
      <c r="P192" s="11">
        <f>IF(D192&lt;&gt;"READY","",IF(AGENT_INPUT!O192&gt;0,AGENT_INPUT!O192,AGENT_INPUT!M192*AGENT_INPUT!N192/IF(POLICY_APPROVAL!$B$7="Annual",12,1)))</f>
        <v/>
      </c>
      <c r="Q192" s="10">
        <f>IF(D192&lt;&gt;"READY","",MIN(1,AGENT_INPUT!P192/AGENT_INPUT!Q192))</f>
        <v/>
      </c>
      <c r="R192" s="11">
        <f>IF(D192&lt;&gt;"READY","",ROUND(P192*Q192*O192,IF(POLICY_APPROVAL!$B$11="Whole MAD",0,2)))</f>
        <v/>
      </c>
      <c r="S192" s="11">
        <f>IF(AND(SETUP!$B$9="READY",T192="READY"),R192,"")</f>
        <v/>
      </c>
      <c r="T192" s="4">
        <f>IF($A192="","",IF(D192&lt;&gt;"READY","BLOCKED - INPUT",IF(E192&lt;&gt;"ELIGIBLE","BLOCKED - ELIGIBILITY",IF(AGENT_INPUT!S192&lt;&gt;"VALIDATED","BLOCKED - DATA",IF(SETUP!$B$9&lt;&gt;"READY","BLOCKED - POLICY","READY")))))</f>
        <v/>
      </c>
      <c r="U192" s="4">
        <f>IF($A192="","",IF(COUNTIFS(AGENT_INPUT!$A$5:$A$254,$A192,AGENT_INPUT!$D$5:$D$254,AGENT_INPUT!D192)&gt;1,"DUPLICATE AGENT + PERIOD",IF(D192&lt;&gt;"READY","INPUT OR CONFIG REVIEW",IF(T192&lt;&gt;"READY",T192,""))))</f>
        <v/>
      </c>
    </row>
    <row r="193" spans="1:21">
      <c r="A193" s="4">
        <f>IF(AGENT_INPUT!A193="","",AGENT_INPUT!A193)</f>
        <v/>
      </c>
      <c r="B193" s="4">
        <f>IF($A193="","",AGENT_INPUT!B193)</f>
        <v/>
      </c>
      <c r="C193" s="4">
        <f>IF($A193="","",AGENT_INPUT!C193)</f>
        <v/>
      </c>
      <c r="D193" s="4">
        <f>IF($A193="","",IF(AND(COUNT(AGENT_INPUT!E193:J193)=6,COUNT(AGENT_INPUT!K193)=1,COUNTIF(BONUS_RULES!$A$5:$A$46,AGENT_INPUT!C193)&gt;0,OR(AGENT_INPUT!O193&gt;0,AND(AGENT_INPUT!M193&gt;0,AGENT_INPUT!N193&gt;0)),AGENT_INPUT!P193&gt;=0,AGENT_INPUT!Q193&gt;0,AGENT_INPUT!P193&lt;=AGENT_INPUT!Q193,AGENT_INPUT!H193&gt;=0,AGENT_INPUT!H193&lt;=1,AGENT_INPUT!I193&gt;=0,AGENT_INPUT!I193&lt;=1,AGENT_INPUT!J193&gt;=0,AGENT_INPUT!J193&lt;=1),"READY","BLOCKED"))</f>
        <v/>
      </c>
      <c r="E193" s="4">
        <f>IF($A193="","",IF(AGENT_INPUT!R193&lt;&gt;"Active","REVIEW",IF(OR(POLICY_APPROVAL!$B$9="Eligibility only",POLICY_APPROVAL!$B$9="Both"),IF(AGENT_INPUT!J193&lt;=SUMIFS(BONUS_RULES!$E$5:$E$46,BONUS_RULES!$A$5:$A$46,$C193,BONUS_RULES!$B$5:$B$46,"Abs%"),"ELIGIBLE","INELIGIBLE ABS"),"ELIGIBLE")))</f>
        <v/>
      </c>
      <c r="F193" s="10">
        <f>IF(OR($A193="",$D193&lt;&gt;"READY"),"",IF(AGENT_INPUT!E193&lt;=SUMIFS(BONUS_RULES!$E$5:$E$46,BONUS_RULES!$A$5:$A$46,$C193,BONUS_RULES!$B$5:$B$46,"AHT"),SUMIFS(BONUS_RULES!$D$5:$D$46,BONUS_RULES!$A$5:$A$46,$C193,BONUS_RULES!$B$5:$B$46,"AHT"),IF(AGENT_INPUT!E193&lt;=SUMIFS(BONUS_RULES!$G$5:$G$46,BONUS_RULES!$A$5:$A$46,$C193,BONUS_RULES!$B$5:$B$46,"AHT"),SUMIFS(BONUS_RULES!$F$5:$F$46,BONUS_RULES!$A$5:$A$46,$C193,BONUS_RULES!$B$5:$B$46,"AHT"),0)))</f>
        <v/>
      </c>
      <c r="G193" s="10">
        <f>IF(OR($A193="",$D193&lt;&gt;"READY"),"",IF(AGENT_INPUT!F193&gt;=SUMIFS(BONUS_RULES!$E$5:$E$46,BONUS_RULES!$A$5:$A$46,$C193,BONUS_RULES!$B$5:$B$46,"Productivity"),SUMIFS(BONUS_RULES!$D$5:$D$46,BONUS_RULES!$A$5:$A$46,$C193,BONUS_RULES!$B$5:$B$46,"Productivity"),IF(AGENT_INPUT!F193&gt;=SUMIFS(BONUS_RULES!$G$5:$G$46,BONUS_RULES!$A$5:$A$46,$C193,BONUS_RULES!$B$5:$B$46,"Productivity"),SUMIFS(BONUS_RULES!$F$5:$F$46,BONUS_RULES!$A$5:$A$46,$C193,BONUS_RULES!$B$5:$B$46,"Productivity"),0)))</f>
        <v/>
      </c>
      <c r="H193" s="10">
        <f>IF(OR($A193="",$D193&lt;&gt;"READY"),"",IF(AGENT_INPUT!G193&gt;=SUMIFS(BONUS_RULES!$E$5:$E$46,BONUS_RULES!$A$5:$A$46,$C193,BONUS_RULES!$B$5:$B$46,"PCS Score"),SUMIFS(BONUS_RULES!$D$5:$D$46,BONUS_RULES!$A$5:$A$46,$C193,BONUS_RULES!$B$5:$B$46,"PCS Score"),IF(AGENT_INPUT!G193&gt;=SUMIFS(BONUS_RULES!$G$5:$G$46,BONUS_RULES!$A$5:$A$46,$C193,BONUS_RULES!$B$5:$B$46,"PCS Score"),SUMIFS(BONUS_RULES!$F$5:$F$46,BONUS_RULES!$A$5:$A$46,$C193,BONUS_RULES!$B$5:$B$46,"PCS Score"),0)))</f>
        <v/>
      </c>
      <c r="I193" s="10">
        <f>IF(OR($A193="",$D193&lt;&gt;"READY"),"",IF(AGENT_INPUT!H193&gt;=SUMIFS(BONUS_RULES!$E$5:$E$46,BONUS_RULES!$A$5:$A$46,$C193,BONUS_RULES!$B$5:$B$46,"PCS % (Participation)"),SUMIFS(BONUS_RULES!$D$5:$D$46,BONUS_RULES!$A$5:$A$46,$C193,BONUS_RULES!$B$5:$B$46,"PCS % (Participation)"),IF(AGENT_INPUT!H193&gt;=SUMIFS(BONUS_RULES!$G$5:$G$46,BONUS_RULES!$A$5:$A$46,$C193,BONUS_RULES!$B$5:$B$46,"PCS % (Participation)"),SUMIFS(BONUS_RULES!$F$5:$F$46,BONUS_RULES!$A$5:$A$46,$C193,BONUS_RULES!$B$5:$B$46,"PCS % (Participation)"),0)))</f>
        <v/>
      </c>
      <c r="J193" s="10">
        <f>IF(OR($A193="",$D193&lt;&gt;"READY"),"",IF(AGENT_INPUT!I193&gt;=SUMIFS(BONUS_RULES!$E$5:$E$46,BONUS_RULES!$A$5:$A$46,$C193,BONUS_RULES!$B$5:$B$46,"QM"),SUMIFS(BONUS_RULES!$D$5:$D$46,BONUS_RULES!$A$5:$A$46,$C193,BONUS_RULES!$B$5:$B$46,"QM"),IF(AGENT_INPUT!I193&gt;=SUMIFS(BONUS_RULES!$G$5:$G$46,BONUS_RULES!$A$5:$A$46,$C193,BONUS_RULES!$B$5:$B$46,"QM"),SUMIFS(BONUS_RULES!$F$5:$F$46,BONUS_RULES!$A$5:$A$46,$C193,BONUS_RULES!$B$5:$B$46,"QM"),0)))</f>
        <v/>
      </c>
      <c r="K193" s="10">
        <f>IF(POLICY_APPROVAL!$B$9="Eligibility only",0,IF(OR($A193="",$D193&lt;&gt;"READY"),"",IF(AGENT_INPUT!J193&lt;=SUMIFS(BONUS_RULES!$E$5:$E$46,BONUS_RULES!$A$5:$A$46,$C193,BONUS_RULES!$B$5:$B$46,"Abs%"),SUMIFS(BONUS_RULES!$D$5:$D$46,BONUS_RULES!$A$5:$A$46,$C193,BONUS_RULES!$B$5:$B$46,"Abs%"),IF(AGENT_INPUT!J193&lt;=SUMIFS(BONUS_RULES!$G$5:$G$46,BONUS_RULES!$A$5:$A$46,$C193,BONUS_RULES!$B$5:$B$46,"Abs%"),SUMIFS(BONUS_RULES!$F$5:$F$46,BONUS_RULES!$A$5:$A$46,$C193,BONUS_RULES!$B$5:$B$46,"Abs%"),0))))</f>
        <v/>
      </c>
      <c r="L193" s="10">
        <f>IF(OR($A193="",$D193&lt;&gt;"READY"),"",IF(AGENT_INPUT!G193&gt;=SUMIFS(BONUS_RULES!$E$5:$E$46,BONUS_RULES!$A$5:$A$46,$C193,BONUS_RULES!$B$5:$B$46,"Extra Bonus (PCS Score)"),SUMIFS(BONUS_RULES!$D$5:$D$46,BONUS_RULES!$A$5:$A$46,$C193,BONUS_RULES!$B$5:$B$46,"Extra Bonus (PCS Score)"),IF(AGENT_INPUT!G193&gt;=SUMIFS(BONUS_RULES!$G$5:$G$46,BONUS_RULES!$A$5:$A$46,$C193,BONUS_RULES!$B$5:$B$46,"Extra Bonus (PCS Score)"),SUMIFS(BONUS_RULES!$F$5:$F$46,BONUS_RULES!$A$5:$A$46,$C193,BONUS_RULES!$B$5:$B$46,"Extra Bonus (PCS Score)"),0)))</f>
        <v/>
      </c>
      <c r="M193" s="10">
        <f>IF($A193="","",MIN(IF(POLICY_APPROVAL!$B$6="Replacement",SUM(F193:K193)-H193+MAX(H193,L193),SUM(F193:L193)),POLICY_APPROVAL!$B$10))</f>
        <v/>
      </c>
      <c r="N193" s="10">
        <f>IF($A193="","",IFERROR(INDEX(BONUS_RULES!$J$5:$J$10,MATCH(MIN(MAX(AGENT_INPUT!K193,0),5),BONUS_RULES!$I$5:$I$10,0)),1))</f>
        <v/>
      </c>
      <c r="O193" s="10">
        <f>IF(M193="","",MAX(0,IF(POLICY_APPROVAL!$B$5="Percentage points",M193-N193,M193*(1-N193))))</f>
        <v/>
      </c>
      <c r="P193" s="11">
        <f>IF(D193&lt;&gt;"READY","",IF(AGENT_INPUT!O193&gt;0,AGENT_INPUT!O193,AGENT_INPUT!M193*AGENT_INPUT!N193/IF(POLICY_APPROVAL!$B$7="Annual",12,1)))</f>
        <v/>
      </c>
      <c r="Q193" s="10">
        <f>IF(D193&lt;&gt;"READY","",MIN(1,AGENT_INPUT!P193/AGENT_INPUT!Q193))</f>
        <v/>
      </c>
      <c r="R193" s="11">
        <f>IF(D193&lt;&gt;"READY","",ROUND(P193*Q193*O193,IF(POLICY_APPROVAL!$B$11="Whole MAD",0,2)))</f>
        <v/>
      </c>
      <c r="S193" s="11">
        <f>IF(AND(SETUP!$B$9="READY",T193="READY"),R193,"")</f>
        <v/>
      </c>
      <c r="T193" s="4">
        <f>IF($A193="","",IF(D193&lt;&gt;"READY","BLOCKED - INPUT",IF(E193&lt;&gt;"ELIGIBLE","BLOCKED - ELIGIBILITY",IF(AGENT_INPUT!S193&lt;&gt;"VALIDATED","BLOCKED - DATA",IF(SETUP!$B$9&lt;&gt;"READY","BLOCKED - POLICY","READY")))))</f>
        <v/>
      </c>
      <c r="U193" s="4">
        <f>IF($A193="","",IF(COUNTIFS(AGENT_INPUT!$A$5:$A$254,$A193,AGENT_INPUT!$D$5:$D$254,AGENT_INPUT!D193)&gt;1,"DUPLICATE AGENT + PERIOD",IF(D193&lt;&gt;"READY","INPUT OR CONFIG REVIEW",IF(T193&lt;&gt;"READY",T193,""))))</f>
        <v/>
      </c>
    </row>
    <row r="194" spans="1:21">
      <c r="A194" s="4">
        <f>IF(AGENT_INPUT!A194="","",AGENT_INPUT!A194)</f>
        <v/>
      </c>
      <c r="B194" s="4">
        <f>IF($A194="","",AGENT_INPUT!B194)</f>
        <v/>
      </c>
      <c r="C194" s="4">
        <f>IF($A194="","",AGENT_INPUT!C194)</f>
        <v/>
      </c>
      <c r="D194" s="4">
        <f>IF($A194="","",IF(AND(COUNT(AGENT_INPUT!E194:J194)=6,COUNT(AGENT_INPUT!K194)=1,COUNTIF(BONUS_RULES!$A$5:$A$46,AGENT_INPUT!C194)&gt;0,OR(AGENT_INPUT!O194&gt;0,AND(AGENT_INPUT!M194&gt;0,AGENT_INPUT!N194&gt;0)),AGENT_INPUT!P194&gt;=0,AGENT_INPUT!Q194&gt;0,AGENT_INPUT!P194&lt;=AGENT_INPUT!Q194,AGENT_INPUT!H194&gt;=0,AGENT_INPUT!H194&lt;=1,AGENT_INPUT!I194&gt;=0,AGENT_INPUT!I194&lt;=1,AGENT_INPUT!J194&gt;=0,AGENT_INPUT!J194&lt;=1),"READY","BLOCKED"))</f>
        <v/>
      </c>
      <c r="E194" s="4">
        <f>IF($A194="","",IF(AGENT_INPUT!R194&lt;&gt;"Active","REVIEW",IF(OR(POLICY_APPROVAL!$B$9="Eligibility only",POLICY_APPROVAL!$B$9="Both"),IF(AGENT_INPUT!J194&lt;=SUMIFS(BONUS_RULES!$E$5:$E$46,BONUS_RULES!$A$5:$A$46,$C194,BONUS_RULES!$B$5:$B$46,"Abs%"),"ELIGIBLE","INELIGIBLE ABS"),"ELIGIBLE")))</f>
        <v/>
      </c>
      <c r="F194" s="10">
        <f>IF(OR($A194="",$D194&lt;&gt;"READY"),"",IF(AGENT_INPUT!E194&lt;=SUMIFS(BONUS_RULES!$E$5:$E$46,BONUS_RULES!$A$5:$A$46,$C194,BONUS_RULES!$B$5:$B$46,"AHT"),SUMIFS(BONUS_RULES!$D$5:$D$46,BONUS_RULES!$A$5:$A$46,$C194,BONUS_RULES!$B$5:$B$46,"AHT"),IF(AGENT_INPUT!E194&lt;=SUMIFS(BONUS_RULES!$G$5:$G$46,BONUS_RULES!$A$5:$A$46,$C194,BONUS_RULES!$B$5:$B$46,"AHT"),SUMIFS(BONUS_RULES!$F$5:$F$46,BONUS_RULES!$A$5:$A$46,$C194,BONUS_RULES!$B$5:$B$46,"AHT"),0)))</f>
        <v/>
      </c>
      <c r="G194" s="10">
        <f>IF(OR($A194="",$D194&lt;&gt;"READY"),"",IF(AGENT_INPUT!F194&gt;=SUMIFS(BONUS_RULES!$E$5:$E$46,BONUS_RULES!$A$5:$A$46,$C194,BONUS_RULES!$B$5:$B$46,"Productivity"),SUMIFS(BONUS_RULES!$D$5:$D$46,BONUS_RULES!$A$5:$A$46,$C194,BONUS_RULES!$B$5:$B$46,"Productivity"),IF(AGENT_INPUT!F194&gt;=SUMIFS(BONUS_RULES!$G$5:$G$46,BONUS_RULES!$A$5:$A$46,$C194,BONUS_RULES!$B$5:$B$46,"Productivity"),SUMIFS(BONUS_RULES!$F$5:$F$46,BONUS_RULES!$A$5:$A$46,$C194,BONUS_RULES!$B$5:$B$46,"Productivity"),0)))</f>
        <v/>
      </c>
      <c r="H194" s="10">
        <f>IF(OR($A194="",$D194&lt;&gt;"READY"),"",IF(AGENT_INPUT!G194&gt;=SUMIFS(BONUS_RULES!$E$5:$E$46,BONUS_RULES!$A$5:$A$46,$C194,BONUS_RULES!$B$5:$B$46,"PCS Score"),SUMIFS(BONUS_RULES!$D$5:$D$46,BONUS_RULES!$A$5:$A$46,$C194,BONUS_RULES!$B$5:$B$46,"PCS Score"),IF(AGENT_INPUT!G194&gt;=SUMIFS(BONUS_RULES!$G$5:$G$46,BONUS_RULES!$A$5:$A$46,$C194,BONUS_RULES!$B$5:$B$46,"PCS Score"),SUMIFS(BONUS_RULES!$F$5:$F$46,BONUS_RULES!$A$5:$A$46,$C194,BONUS_RULES!$B$5:$B$46,"PCS Score"),0)))</f>
        <v/>
      </c>
      <c r="I194" s="10">
        <f>IF(OR($A194="",$D194&lt;&gt;"READY"),"",IF(AGENT_INPUT!H194&gt;=SUMIFS(BONUS_RULES!$E$5:$E$46,BONUS_RULES!$A$5:$A$46,$C194,BONUS_RULES!$B$5:$B$46,"PCS % (Participation)"),SUMIFS(BONUS_RULES!$D$5:$D$46,BONUS_RULES!$A$5:$A$46,$C194,BONUS_RULES!$B$5:$B$46,"PCS % (Participation)"),IF(AGENT_INPUT!H194&gt;=SUMIFS(BONUS_RULES!$G$5:$G$46,BONUS_RULES!$A$5:$A$46,$C194,BONUS_RULES!$B$5:$B$46,"PCS % (Participation)"),SUMIFS(BONUS_RULES!$F$5:$F$46,BONUS_RULES!$A$5:$A$46,$C194,BONUS_RULES!$B$5:$B$46,"PCS % (Participation)"),0)))</f>
        <v/>
      </c>
      <c r="J194" s="10">
        <f>IF(OR($A194="",$D194&lt;&gt;"READY"),"",IF(AGENT_INPUT!I194&gt;=SUMIFS(BONUS_RULES!$E$5:$E$46,BONUS_RULES!$A$5:$A$46,$C194,BONUS_RULES!$B$5:$B$46,"QM"),SUMIFS(BONUS_RULES!$D$5:$D$46,BONUS_RULES!$A$5:$A$46,$C194,BONUS_RULES!$B$5:$B$46,"QM"),IF(AGENT_INPUT!I194&gt;=SUMIFS(BONUS_RULES!$G$5:$G$46,BONUS_RULES!$A$5:$A$46,$C194,BONUS_RULES!$B$5:$B$46,"QM"),SUMIFS(BONUS_RULES!$F$5:$F$46,BONUS_RULES!$A$5:$A$46,$C194,BONUS_RULES!$B$5:$B$46,"QM"),0)))</f>
        <v/>
      </c>
      <c r="K194" s="10">
        <f>IF(POLICY_APPROVAL!$B$9="Eligibility only",0,IF(OR($A194="",$D194&lt;&gt;"READY"),"",IF(AGENT_INPUT!J194&lt;=SUMIFS(BONUS_RULES!$E$5:$E$46,BONUS_RULES!$A$5:$A$46,$C194,BONUS_RULES!$B$5:$B$46,"Abs%"),SUMIFS(BONUS_RULES!$D$5:$D$46,BONUS_RULES!$A$5:$A$46,$C194,BONUS_RULES!$B$5:$B$46,"Abs%"),IF(AGENT_INPUT!J194&lt;=SUMIFS(BONUS_RULES!$G$5:$G$46,BONUS_RULES!$A$5:$A$46,$C194,BONUS_RULES!$B$5:$B$46,"Abs%"),SUMIFS(BONUS_RULES!$F$5:$F$46,BONUS_RULES!$A$5:$A$46,$C194,BONUS_RULES!$B$5:$B$46,"Abs%"),0))))</f>
        <v/>
      </c>
      <c r="L194" s="10">
        <f>IF(OR($A194="",$D194&lt;&gt;"READY"),"",IF(AGENT_INPUT!G194&gt;=SUMIFS(BONUS_RULES!$E$5:$E$46,BONUS_RULES!$A$5:$A$46,$C194,BONUS_RULES!$B$5:$B$46,"Extra Bonus (PCS Score)"),SUMIFS(BONUS_RULES!$D$5:$D$46,BONUS_RULES!$A$5:$A$46,$C194,BONUS_RULES!$B$5:$B$46,"Extra Bonus (PCS Score)"),IF(AGENT_INPUT!G194&gt;=SUMIFS(BONUS_RULES!$G$5:$G$46,BONUS_RULES!$A$5:$A$46,$C194,BONUS_RULES!$B$5:$B$46,"Extra Bonus (PCS Score)"),SUMIFS(BONUS_RULES!$F$5:$F$46,BONUS_RULES!$A$5:$A$46,$C194,BONUS_RULES!$B$5:$B$46,"Extra Bonus (PCS Score)"),0)))</f>
        <v/>
      </c>
      <c r="M194" s="10">
        <f>IF($A194="","",MIN(IF(POLICY_APPROVAL!$B$6="Replacement",SUM(F194:K194)-H194+MAX(H194,L194),SUM(F194:L194)),POLICY_APPROVAL!$B$10))</f>
        <v/>
      </c>
      <c r="N194" s="10">
        <f>IF($A194="","",IFERROR(INDEX(BONUS_RULES!$J$5:$J$10,MATCH(MIN(MAX(AGENT_INPUT!K194,0),5),BONUS_RULES!$I$5:$I$10,0)),1))</f>
        <v/>
      </c>
      <c r="O194" s="10">
        <f>IF(M194="","",MAX(0,IF(POLICY_APPROVAL!$B$5="Percentage points",M194-N194,M194*(1-N194))))</f>
        <v/>
      </c>
      <c r="P194" s="11">
        <f>IF(D194&lt;&gt;"READY","",IF(AGENT_INPUT!O194&gt;0,AGENT_INPUT!O194,AGENT_INPUT!M194*AGENT_INPUT!N194/IF(POLICY_APPROVAL!$B$7="Annual",12,1)))</f>
        <v/>
      </c>
      <c r="Q194" s="10">
        <f>IF(D194&lt;&gt;"READY","",MIN(1,AGENT_INPUT!P194/AGENT_INPUT!Q194))</f>
        <v/>
      </c>
      <c r="R194" s="11">
        <f>IF(D194&lt;&gt;"READY","",ROUND(P194*Q194*O194,IF(POLICY_APPROVAL!$B$11="Whole MAD",0,2)))</f>
        <v/>
      </c>
      <c r="S194" s="11">
        <f>IF(AND(SETUP!$B$9="READY",T194="READY"),R194,"")</f>
        <v/>
      </c>
      <c r="T194" s="4">
        <f>IF($A194="","",IF(D194&lt;&gt;"READY","BLOCKED - INPUT",IF(E194&lt;&gt;"ELIGIBLE","BLOCKED - ELIGIBILITY",IF(AGENT_INPUT!S194&lt;&gt;"VALIDATED","BLOCKED - DATA",IF(SETUP!$B$9&lt;&gt;"READY","BLOCKED - POLICY","READY")))))</f>
        <v/>
      </c>
      <c r="U194" s="4">
        <f>IF($A194="","",IF(COUNTIFS(AGENT_INPUT!$A$5:$A$254,$A194,AGENT_INPUT!$D$5:$D$254,AGENT_INPUT!D194)&gt;1,"DUPLICATE AGENT + PERIOD",IF(D194&lt;&gt;"READY","INPUT OR CONFIG REVIEW",IF(T194&lt;&gt;"READY",T194,""))))</f>
        <v/>
      </c>
    </row>
    <row r="195" spans="1:21">
      <c r="A195" s="4">
        <f>IF(AGENT_INPUT!A195="","",AGENT_INPUT!A195)</f>
        <v/>
      </c>
      <c r="B195" s="4">
        <f>IF($A195="","",AGENT_INPUT!B195)</f>
        <v/>
      </c>
      <c r="C195" s="4">
        <f>IF($A195="","",AGENT_INPUT!C195)</f>
        <v/>
      </c>
      <c r="D195" s="4">
        <f>IF($A195="","",IF(AND(COUNT(AGENT_INPUT!E195:J195)=6,COUNT(AGENT_INPUT!K195)=1,COUNTIF(BONUS_RULES!$A$5:$A$46,AGENT_INPUT!C195)&gt;0,OR(AGENT_INPUT!O195&gt;0,AND(AGENT_INPUT!M195&gt;0,AGENT_INPUT!N195&gt;0)),AGENT_INPUT!P195&gt;=0,AGENT_INPUT!Q195&gt;0,AGENT_INPUT!P195&lt;=AGENT_INPUT!Q195,AGENT_INPUT!H195&gt;=0,AGENT_INPUT!H195&lt;=1,AGENT_INPUT!I195&gt;=0,AGENT_INPUT!I195&lt;=1,AGENT_INPUT!J195&gt;=0,AGENT_INPUT!J195&lt;=1),"READY","BLOCKED"))</f>
        <v/>
      </c>
      <c r="E195" s="4">
        <f>IF($A195="","",IF(AGENT_INPUT!R195&lt;&gt;"Active","REVIEW",IF(OR(POLICY_APPROVAL!$B$9="Eligibility only",POLICY_APPROVAL!$B$9="Both"),IF(AGENT_INPUT!J195&lt;=SUMIFS(BONUS_RULES!$E$5:$E$46,BONUS_RULES!$A$5:$A$46,$C195,BONUS_RULES!$B$5:$B$46,"Abs%"),"ELIGIBLE","INELIGIBLE ABS"),"ELIGIBLE")))</f>
        <v/>
      </c>
      <c r="F195" s="10">
        <f>IF(OR($A195="",$D195&lt;&gt;"READY"),"",IF(AGENT_INPUT!E195&lt;=SUMIFS(BONUS_RULES!$E$5:$E$46,BONUS_RULES!$A$5:$A$46,$C195,BONUS_RULES!$B$5:$B$46,"AHT"),SUMIFS(BONUS_RULES!$D$5:$D$46,BONUS_RULES!$A$5:$A$46,$C195,BONUS_RULES!$B$5:$B$46,"AHT"),IF(AGENT_INPUT!E195&lt;=SUMIFS(BONUS_RULES!$G$5:$G$46,BONUS_RULES!$A$5:$A$46,$C195,BONUS_RULES!$B$5:$B$46,"AHT"),SUMIFS(BONUS_RULES!$F$5:$F$46,BONUS_RULES!$A$5:$A$46,$C195,BONUS_RULES!$B$5:$B$46,"AHT"),0)))</f>
        <v/>
      </c>
      <c r="G195" s="10">
        <f>IF(OR($A195="",$D195&lt;&gt;"READY"),"",IF(AGENT_INPUT!F195&gt;=SUMIFS(BONUS_RULES!$E$5:$E$46,BONUS_RULES!$A$5:$A$46,$C195,BONUS_RULES!$B$5:$B$46,"Productivity"),SUMIFS(BONUS_RULES!$D$5:$D$46,BONUS_RULES!$A$5:$A$46,$C195,BONUS_RULES!$B$5:$B$46,"Productivity"),IF(AGENT_INPUT!F195&gt;=SUMIFS(BONUS_RULES!$G$5:$G$46,BONUS_RULES!$A$5:$A$46,$C195,BONUS_RULES!$B$5:$B$46,"Productivity"),SUMIFS(BONUS_RULES!$F$5:$F$46,BONUS_RULES!$A$5:$A$46,$C195,BONUS_RULES!$B$5:$B$46,"Productivity"),0)))</f>
        <v/>
      </c>
      <c r="H195" s="10">
        <f>IF(OR($A195="",$D195&lt;&gt;"READY"),"",IF(AGENT_INPUT!G195&gt;=SUMIFS(BONUS_RULES!$E$5:$E$46,BONUS_RULES!$A$5:$A$46,$C195,BONUS_RULES!$B$5:$B$46,"PCS Score"),SUMIFS(BONUS_RULES!$D$5:$D$46,BONUS_RULES!$A$5:$A$46,$C195,BONUS_RULES!$B$5:$B$46,"PCS Score"),IF(AGENT_INPUT!G195&gt;=SUMIFS(BONUS_RULES!$G$5:$G$46,BONUS_RULES!$A$5:$A$46,$C195,BONUS_RULES!$B$5:$B$46,"PCS Score"),SUMIFS(BONUS_RULES!$F$5:$F$46,BONUS_RULES!$A$5:$A$46,$C195,BONUS_RULES!$B$5:$B$46,"PCS Score"),0)))</f>
        <v/>
      </c>
      <c r="I195" s="10">
        <f>IF(OR($A195="",$D195&lt;&gt;"READY"),"",IF(AGENT_INPUT!H195&gt;=SUMIFS(BONUS_RULES!$E$5:$E$46,BONUS_RULES!$A$5:$A$46,$C195,BONUS_RULES!$B$5:$B$46,"PCS % (Participation)"),SUMIFS(BONUS_RULES!$D$5:$D$46,BONUS_RULES!$A$5:$A$46,$C195,BONUS_RULES!$B$5:$B$46,"PCS % (Participation)"),IF(AGENT_INPUT!H195&gt;=SUMIFS(BONUS_RULES!$G$5:$G$46,BONUS_RULES!$A$5:$A$46,$C195,BONUS_RULES!$B$5:$B$46,"PCS % (Participation)"),SUMIFS(BONUS_RULES!$F$5:$F$46,BONUS_RULES!$A$5:$A$46,$C195,BONUS_RULES!$B$5:$B$46,"PCS % (Participation)"),0)))</f>
        <v/>
      </c>
      <c r="J195" s="10">
        <f>IF(OR($A195="",$D195&lt;&gt;"READY"),"",IF(AGENT_INPUT!I195&gt;=SUMIFS(BONUS_RULES!$E$5:$E$46,BONUS_RULES!$A$5:$A$46,$C195,BONUS_RULES!$B$5:$B$46,"QM"),SUMIFS(BONUS_RULES!$D$5:$D$46,BONUS_RULES!$A$5:$A$46,$C195,BONUS_RULES!$B$5:$B$46,"QM"),IF(AGENT_INPUT!I195&gt;=SUMIFS(BONUS_RULES!$G$5:$G$46,BONUS_RULES!$A$5:$A$46,$C195,BONUS_RULES!$B$5:$B$46,"QM"),SUMIFS(BONUS_RULES!$F$5:$F$46,BONUS_RULES!$A$5:$A$46,$C195,BONUS_RULES!$B$5:$B$46,"QM"),0)))</f>
        <v/>
      </c>
      <c r="K195" s="10">
        <f>IF(POLICY_APPROVAL!$B$9="Eligibility only",0,IF(OR($A195="",$D195&lt;&gt;"READY"),"",IF(AGENT_INPUT!J195&lt;=SUMIFS(BONUS_RULES!$E$5:$E$46,BONUS_RULES!$A$5:$A$46,$C195,BONUS_RULES!$B$5:$B$46,"Abs%"),SUMIFS(BONUS_RULES!$D$5:$D$46,BONUS_RULES!$A$5:$A$46,$C195,BONUS_RULES!$B$5:$B$46,"Abs%"),IF(AGENT_INPUT!J195&lt;=SUMIFS(BONUS_RULES!$G$5:$G$46,BONUS_RULES!$A$5:$A$46,$C195,BONUS_RULES!$B$5:$B$46,"Abs%"),SUMIFS(BONUS_RULES!$F$5:$F$46,BONUS_RULES!$A$5:$A$46,$C195,BONUS_RULES!$B$5:$B$46,"Abs%"),0))))</f>
        <v/>
      </c>
      <c r="L195" s="10">
        <f>IF(OR($A195="",$D195&lt;&gt;"READY"),"",IF(AGENT_INPUT!G195&gt;=SUMIFS(BONUS_RULES!$E$5:$E$46,BONUS_RULES!$A$5:$A$46,$C195,BONUS_RULES!$B$5:$B$46,"Extra Bonus (PCS Score)"),SUMIFS(BONUS_RULES!$D$5:$D$46,BONUS_RULES!$A$5:$A$46,$C195,BONUS_RULES!$B$5:$B$46,"Extra Bonus (PCS Score)"),IF(AGENT_INPUT!G195&gt;=SUMIFS(BONUS_RULES!$G$5:$G$46,BONUS_RULES!$A$5:$A$46,$C195,BONUS_RULES!$B$5:$B$46,"Extra Bonus (PCS Score)"),SUMIFS(BONUS_RULES!$F$5:$F$46,BONUS_RULES!$A$5:$A$46,$C195,BONUS_RULES!$B$5:$B$46,"Extra Bonus (PCS Score)"),0)))</f>
        <v/>
      </c>
      <c r="M195" s="10">
        <f>IF($A195="","",MIN(IF(POLICY_APPROVAL!$B$6="Replacement",SUM(F195:K195)-H195+MAX(H195,L195),SUM(F195:L195)),POLICY_APPROVAL!$B$10))</f>
        <v/>
      </c>
      <c r="N195" s="10">
        <f>IF($A195="","",IFERROR(INDEX(BONUS_RULES!$J$5:$J$10,MATCH(MIN(MAX(AGENT_INPUT!K195,0),5),BONUS_RULES!$I$5:$I$10,0)),1))</f>
        <v/>
      </c>
      <c r="O195" s="10">
        <f>IF(M195="","",MAX(0,IF(POLICY_APPROVAL!$B$5="Percentage points",M195-N195,M195*(1-N195))))</f>
        <v/>
      </c>
      <c r="P195" s="11">
        <f>IF(D195&lt;&gt;"READY","",IF(AGENT_INPUT!O195&gt;0,AGENT_INPUT!O195,AGENT_INPUT!M195*AGENT_INPUT!N195/IF(POLICY_APPROVAL!$B$7="Annual",12,1)))</f>
        <v/>
      </c>
      <c r="Q195" s="10">
        <f>IF(D195&lt;&gt;"READY","",MIN(1,AGENT_INPUT!P195/AGENT_INPUT!Q195))</f>
        <v/>
      </c>
      <c r="R195" s="11">
        <f>IF(D195&lt;&gt;"READY","",ROUND(P195*Q195*O195,IF(POLICY_APPROVAL!$B$11="Whole MAD",0,2)))</f>
        <v/>
      </c>
      <c r="S195" s="11">
        <f>IF(AND(SETUP!$B$9="READY",T195="READY"),R195,"")</f>
        <v/>
      </c>
      <c r="T195" s="4">
        <f>IF($A195="","",IF(D195&lt;&gt;"READY","BLOCKED - INPUT",IF(E195&lt;&gt;"ELIGIBLE","BLOCKED - ELIGIBILITY",IF(AGENT_INPUT!S195&lt;&gt;"VALIDATED","BLOCKED - DATA",IF(SETUP!$B$9&lt;&gt;"READY","BLOCKED - POLICY","READY")))))</f>
        <v/>
      </c>
      <c r="U195" s="4">
        <f>IF($A195="","",IF(COUNTIFS(AGENT_INPUT!$A$5:$A$254,$A195,AGENT_INPUT!$D$5:$D$254,AGENT_INPUT!D195)&gt;1,"DUPLICATE AGENT + PERIOD",IF(D195&lt;&gt;"READY","INPUT OR CONFIG REVIEW",IF(T195&lt;&gt;"READY",T195,""))))</f>
        <v/>
      </c>
    </row>
    <row r="196" spans="1:21">
      <c r="A196" s="4">
        <f>IF(AGENT_INPUT!A196="","",AGENT_INPUT!A196)</f>
        <v/>
      </c>
      <c r="B196" s="4">
        <f>IF($A196="","",AGENT_INPUT!B196)</f>
        <v/>
      </c>
      <c r="C196" s="4">
        <f>IF($A196="","",AGENT_INPUT!C196)</f>
        <v/>
      </c>
      <c r="D196" s="4">
        <f>IF($A196="","",IF(AND(COUNT(AGENT_INPUT!E196:J196)=6,COUNT(AGENT_INPUT!K196)=1,COUNTIF(BONUS_RULES!$A$5:$A$46,AGENT_INPUT!C196)&gt;0,OR(AGENT_INPUT!O196&gt;0,AND(AGENT_INPUT!M196&gt;0,AGENT_INPUT!N196&gt;0)),AGENT_INPUT!P196&gt;=0,AGENT_INPUT!Q196&gt;0,AGENT_INPUT!P196&lt;=AGENT_INPUT!Q196,AGENT_INPUT!H196&gt;=0,AGENT_INPUT!H196&lt;=1,AGENT_INPUT!I196&gt;=0,AGENT_INPUT!I196&lt;=1,AGENT_INPUT!J196&gt;=0,AGENT_INPUT!J196&lt;=1),"READY","BLOCKED"))</f>
        <v/>
      </c>
      <c r="E196" s="4">
        <f>IF($A196="","",IF(AGENT_INPUT!R196&lt;&gt;"Active","REVIEW",IF(OR(POLICY_APPROVAL!$B$9="Eligibility only",POLICY_APPROVAL!$B$9="Both"),IF(AGENT_INPUT!J196&lt;=SUMIFS(BONUS_RULES!$E$5:$E$46,BONUS_RULES!$A$5:$A$46,$C196,BONUS_RULES!$B$5:$B$46,"Abs%"),"ELIGIBLE","INELIGIBLE ABS"),"ELIGIBLE")))</f>
        <v/>
      </c>
      <c r="F196" s="10">
        <f>IF(OR($A196="",$D196&lt;&gt;"READY"),"",IF(AGENT_INPUT!E196&lt;=SUMIFS(BONUS_RULES!$E$5:$E$46,BONUS_RULES!$A$5:$A$46,$C196,BONUS_RULES!$B$5:$B$46,"AHT"),SUMIFS(BONUS_RULES!$D$5:$D$46,BONUS_RULES!$A$5:$A$46,$C196,BONUS_RULES!$B$5:$B$46,"AHT"),IF(AGENT_INPUT!E196&lt;=SUMIFS(BONUS_RULES!$G$5:$G$46,BONUS_RULES!$A$5:$A$46,$C196,BONUS_RULES!$B$5:$B$46,"AHT"),SUMIFS(BONUS_RULES!$F$5:$F$46,BONUS_RULES!$A$5:$A$46,$C196,BONUS_RULES!$B$5:$B$46,"AHT"),0)))</f>
        <v/>
      </c>
      <c r="G196" s="10">
        <f>IF(OR($A196="",$D196&lt;&gt;"READY"),"",IF(AGENT_INPUT!F196&gt;=SUMIFS(BONUS_RULES!$E$5:$E$46,BONUS_RULES!$A$5:$A$46,$C196,BONUS_RULES!$B$5:$B$46,"Productivity"),SUMIFS(BONUS_RULES!$D$5:$D$46,BONUS_RULES!$A$5:$A$46,$C196,BONUS_RULES!$B$5:$B$46,"Productivity"),IF(AGENT_INPUT!F196&gt;=SUMIFS(BONUS_RULES!$G$5:$G$46,BONUS_RULES!$A$5:$A$46,$C196,BONUS_RULES!$B$5:$B$46,"Productivity"),SUMIFS(BONUS_RULES!$F$5:$F$46,BONUS_RULES!$A$5:$A$46,$C196,BONUS_RULES!$B$5:$B$46,"Productivity"),0)))</f>
        <v/>
      </c>
      <c r="H196" s="10">
        <f>IF(OR($A196="",$D196&lt;&gt;"READY"),"",IF(AGENT_INPUT!G196&gt;=SUMIFS(BONUS_RULES!$E$5:$E$46,BONUS_RULES!$A$5:$A$46,$C196,BONUS_RULES!$B$5:$B$46,"PCS Score"),SUMIFS(BONUS_RULES!$D$5:$D$46,BONUS_RULES!$A$5:$A$46,$C196,BONUS_RULES!$B$5:$B$46,"PCS Score"),IF(AGENT_INPUT!G196&gt;=SUMIFS(BONUS_RULES!$G$5:$G$46,BONUS_RULES!$A$5:$A$46,$C196,BONUS_RULES!$B$5:$B$46,"PCS Score"),SUMIFS(BONUS_RULES!$F$5:$F$46,BONUS_RULES!$A$5:$A$46,$C196,BONUS_RULES!$B$5:$B$46,"PCS Score"),0)))</f>
        <v/>
      </c>
      <c r="I196" s="10">
        <f>IF(OR($A196="",$D196&lt;&gt;"READY"),"",IF(AGENT_INPUT!H196&gt;=SUMIFS(BONUS_RULES!$E$5:$E$46,BONUS_RULES!$A$5:$A$46,$C196,BONUS_RULES!$B$5:$B$46,"PCS % (Participation)"),SUMIFS(BONUS_RULES!$D$5:$D$46,BONUS_RULES!$A$5:$A$46,$C196,BONUS_RULES!$B$5:$B$46,"PCS % (Participation)"),IF(AGENT_INPUT!H196&gt;=SUMIFS(BONUS_RULES!$G$5:$G$46,BONUS_RULES!$A$5:$A$46,$C196,BONUS_RULES!$B$5:$B$46,"PCS % (Participation)"),SUMIFS(BONUS_RULES!$F$5:$F$46,BONUS_RULES!$A$5:$A$46,$C196,BONUS_RULES!$B$5:$B$46,"PCS % (Participation)"),0)))</f>
        <v/>
      </c>
      <c r="J196" s="10">
        <f>IF(OR($A196="",$D196&lt;&gt;"READY"),"",IF(AGENT_INPUT!I196&gt;=SUMIFS(BONUS_RULES!$E$5:$E$46,BONUS_RULES!$A$5:$A$46,$C196,BONUS_RULES!$B$5:$B$46,"QM"),SUMIFS(BONUS_RULES!$D$5:$D$46,BONUS_RULES!$A$5:$A$46,$C196,BONUS_RULES!$B$5:$B$46,"QM"),IF(AGENT_INPUT!I196&gt;=SUMIFS(BONUS_RULES!$G$5:$G$46,BONUS_RULES!$A$5:$A$46,$C196,BONUS_RULES!$B$5:$B$46,"QM"),SUMIFS(BONUS_RULES!$F$5:$F$46,BONUS_RULES!$A$5:$A$46,$C196,BONUS_RULES!$B$5:$B$46,"QM"),0)))</f>
        <v/>
      </c>
      <c r="K196" s="10">
        <f>IF(POLICY_APPROVAL!$B$9="Eligibility only",0,IF(OR($A196="",$D196&lt;&gt;"READY"),"",IF(AGENT_INPUT!J196&lt;=SUMIFS(BONUS_RULES!$E$5:$E$46,BONUS_RULES!$A$5:$A$46,$C196,BONUS_RULES!$B$5:$B$46,"Abs%"),SUMIFS(BONUS_RULES!$D$5:$D$46,BONUS_RULES!$A$5:$A$46,$C196,BONUS_RULES!$B$5:$B$46,"Abs%"),IF(AGENT_INPUT!J196&lt;=SUMIFS(BONUS_RULES!$G$5:$G$46,BONUS_RULES!$A$5:$A$46,$C196,BONUS_RULES!$B$5:$B$46,"Abs%"),SUMIFS(BONUS_RULES!$F$5:$F$46,BONUS_RULES!$A$5:$A$46,$C196,BONUS_RULES!$B$5:$B$46,"Abs%"),0))))</f>
        <v/>
      </c>
      <c r="L196" s="10">
        <f>IF(OR($A196="",$D196&lt;&gt;"READY"),"",IF(AGENT_INPUT!G196&gt;=SUMIFS(BONUS_RULES!$E$5:$E$46,BONUS_RULES!$A$5:$A$46,$C196,BONUS_RULES!$B$5:$B$46,"Extra Bonus (PCS Score)"),SUMIFS(BONUS_RULES!$D$5:$D$46,BONUS_RULES!$A$5:$A$46,$C196,BONUS_RULES!$B$5:$B$46,"Extra Bonus (PCS Score)"),IF(AGENT_INPUT!G196&gt;=SUMIFS(BONUS_RULES!$G$5:$G$46,BONUS_RULES!$A$5:$A$46,$C196,BONUS_RULES!$B$5:$B$46,"Extra Bonus (PCS Score)"),SUMIFS(BONUS_RULES!$F$5:$F$46,BONUS_RULES!$A$5:$A$46,$C196,BONUS_RULES!$B$5:$B$46,"Extra Bonus (PCS Score)"),0)))</f>
        <v/>
      </c>
      <c r="M196" s="10">
        <f>IF($A196="","",MIN(IF(POLICY_APPROVAL!$B$6="Replacement",SUM(F196:K196)-H196+MAX(H196,L196),SUM(F196:L196)),POLICY_APPROVAL!$B$10))</f>
        <v/>
      </c>
      <c r="N196" s="10">
        <f>IF($A196="","",IFERROR(INDEX(BONUS_RULES!$J$5:$J$10,MATCH(MIN(MAX(AGENT_INPUT!K196,0),5),BONUS_RULES!$I$5:$I$10,0)),1))</f>
        <v/>
      </c>
      <c r="O196" s="10">
        <f>IF(M196="","",MAX(0,IF(POLICY_APPROVAL!$B$5="Percentage points",M196-N196,M196*(1-N196))))</f>
        <v/>
      </c>
      <c r="P196" s="11">
        <f>IF(D196&lt;&gt;"READY","",IF(AGENT_INPUT!O196&gt;0,AGENT_INPUT!O196,AGENT_INPUT!M196*AGENT_INPUT!N196/IF(POLICY_APPROVAL!$B$7="Annual",12,1)))</f>
        <v/>
      </c>
      <c r="Q196" s="10">
        <f>IF(D196&lt;&gt;"READY","",MIN(1,AGENT_INPUT!P196/AGENT_INPUT!Q196))</f>
        <v/>
      </c>
      <c r="R196" s="11">
        <f>IF(D196&lt;&gt;"READY","",ROUND(P196*Q196*O196,IF(POLICY_APPROVAL!$B$11="Whole MAD",0,2)))</f>
        <v/>
      </c>
      <c r="S196" s="11">
        <f>IF(AND(SETUP!$B$9="READY",T196="READY"),R196,"")</f>
        <v/>
      </c>
      <c r="T196" s="4">
        <f>IF($A196="","",IF(D196&lt;&gt;"READY","BLOCKED - INPUT",IF(E196&lt;&gt;"ELIGIBLE","BLOCKED - ELIGIBILITY",IF(AGENT_INPUT!S196&lt;&gt;"VALIDATED","BLOCKED - DATA",IF(SETUP!$B$9&lt;&gt;"READY","BLOCKED - POLICY","READY")))))</f>
        <v/>
      </c>
      <c r="U196" s="4">
        <f>IF($A196="","",IF(COUNTIFS(AGENT_INPUT!$A$5:$A$254,$A196,AGENT_INPUT!$D$5:$D$254,AGENT_INPUT!D196)&gt;1,"DUPLICATE AGENT + PERIOD",IF(D196&lt;&gt;"READY","INPUT OR CONFIG REVIEW",IF(T196&lt;&gt;"READY",T196,""))))</f>
        <v/>
      </c>
    </row>
    <row r="197" spans="1:21">
      <c r="A197" s="4">
        <f>IF(AGENT_INPUT!A197="","",AGENT_INPUT!A197)</f>
        <v/>
      </c>
      <c r="B197" s="4">
        <f>IF($A197="","",AGENT_INPUT!B197)</f>
        <v/>
      </c>
      <c r="C197" s="4">
        <f>IF($A197="","",AGENT_INPUT!C197)</f>
        <v/>
      </c>
      <c r="D197" s="4">
        <f>IF($A197="","",IF(AND(COUNT(AGENT_INPUT!E197:J197)=6,COUNT(AGENT_INPUT!K197)=1,COUNTIF(BONUS_RULES!$A$5:$A$46,AGENT_INPUT!C197)&gt;0,OR(AGENT_INPUT!O197&gt;0,AND(AGENT_INPUT!M197&gt;0,AGENT_INPUT!N197&gt;0)),AGENT_INPUT!P197&gt;=0,AGENT_INPUT!Q197&gt;0,AGENT_INPUT!P197&lt;=AGENT_INPUT!Q197,AGENT_INPUT!H197&gt;=0,AGENT_INPUT!H197&lt;=1,AGENT_INPUT!I197&gt;=0,AGENT_INPUT!I197&lt;=1,AGENT_INPUT!J197&gt;=0,AGENT_INPUT!J197&lt;=1),"READY","BLOCKED"))</f>
        <v/>
      </c>
      <c r="E197" s="4">
        <f>IF($A197="","",IF(AGENT_INPUT!R197&lt;&gt;"Active","REVIEW",IF(OR(POLICY_APPROVAL!$B$9="Eligibility only",POLICY_APPROVAL!$B$9="Both"),IF(AGENT_INPUT!J197&lt;=SUMIFS(BONUS_RULES!$E$5:$E$46,BONUS_RULES!$A$5:$A$46,$C197,BONUS_RULES!$B$5:$B$46,"Abs%"),"ELIGIBLE","INELIGIBLE ABS"),"ELIGIBLE")))</f>
        <v/>
      </c>
      <c r="F197" s="10">
        <f>IF(OR($A197="",$D197&lt;&gt;"READY"),"",IF(AGENT_INPUT!E197&lt;=SUMIFS(BONUS_RULES!$E$5:$E$46,BONUS_RULES!$A$5:$A$46,$C197,BONUS_RULES!$B$5:$B$46,"AHT"),SUMIFS(BONUS_RULES!$D$5:$D$46,BONUS_RULES!$A$5:$A$46,$C197,BONUS_RULES!$B$5:$B$46,"AHT"),IF(AGENT_INPUT!E197&lt;=SUMIFS(BONUS_RULES!$G$5:$G$46,BONUS_RULES!$A$5:$A$46,$C197,BONUS_RULES!$B$5:$B$46,"AHT"),SUMIFS(BONUS_RULES!$F$5:$F$46,BONUS_RULES!$A$5:$A$46,$C197,BONUS_RULES!$B$5:$B$46,"AHT"),0)))</f>
        <v/>
      </c>
      <c r="G197" s="10">
        <f>IF(OR($A197="",$D197&lt;&gt;"READY"),"",IF(AGENT_INPUT!F197&gt;=SUMIFS(BONUS_RULES!$E$5:$E$46,BONUS_RULES!$A$5:$A$46,$C197,BONUS_RULES!$B$5:$B$46,"Productivity"),SUMIFS(BONUS_RULES!$D$5:$D$46,BONUS_RULES!$A$5:$A$46,$C197,BONUS_RULES!$B$5:$B$46,"Productivity"),IF(AGENT_INPUT!F197&gt;=SUMIFS(BONUS_RULES!$G$5:$G$46,BONUS_RULES!$A$5:$A$46,$C197,BONUS_RULES!$B$5:$B$46,"Productivity"),SUMIFS(BONUS_RULES!$F$5:$F$46,BONUS_RULES!$A$5:$A$46,$C197,BONUS_RULES!$B$5:$B$46,"Productivity"),0)))</f>
        <v/>
      </c>
      <c r="H197" s="10">
        <f>IF(OR($A197="",$D197&lt;&gt;"READY"),"",IF(AGENT_INPUT!G197&gt;=SUMIFS(BONUS_RULES!$E$5:$E$46,BONUS_RULES!$A$5:$A$46,$C197,BONUS_RULES!$B$5:$B$46,"PCS Score"),SUMIFS(BONUS_RULES!$D$5:$D$46,BONUS_RULES!$A$5:$A$46,$C197,BONUS_RULES!$B$5:$B$46,"PCS Score"),IF(AGENT_INPUT!G197&gt;=SUMIFS(BONUS_RULES!$G$5:$G$46,BONUS_RULES!$A$5:$A$46,$C197,BONUS_RULES!$B$5:$B$46,"PCS Score"),SUMIFS(BONUS_RULES!$F$5:$F$46,BONUS_RULES!$A$5:$A$46,$C197,BONUS_RULES!$B$5:$B$46,"PCS Score"),0)))</f>
        <v/>
      </c>
      <c r="I197" s="10">
        <f>IF(OR($A197="",$D197&lt;&gt;"READY"),"",IF(AGENT_INPUT!H197&gt;=SUMIFS(BONUS_RULES!$E$5:$E$46,BONUS_RULES!$A$5:$A$46,$C197,BONUS_RULES!$B$5:$B$46,"PCS % (Participation)"),SUMIFS(BONUS_RULES!$D$5:$D$46,BONUS_RULES!$A$5:$A$46,$C197,BONUS_RULES!$B$5:$B$46,"PCS % (Participation)"),IF(AGENT_INPUT!H197&gt;=SUMIFS(BONUS_RULES!$G$5:$G$46,BONUS_RULES!$A$5:$A$46,$C197,BONUS_RULES!$B$5:$B$46,"PCS % (Participation)"),SUMIFS(BONUS_RULES!$F$5:$F$46,BONUS_RULES!$A$5:$A$46,$C197,BONUS_RULES!$B$5:$B$46,"PCS % (Participation)"),0)))</f>
        <v/>
      </c>
      <c r="J197" s="10">
        <f>IF(OR($A197="",$D197&lt;&gt;"READY"),"",IF(AGENT_INPUT!I197&gt;=SUMIFS(BONUS_RULES!$E$5:$E$46,BONUS_RULES!$A$5:$A$46,$C197,BONUS_RULES!$B$5:$B$46,"QM"),SUMIFS(BONUS_RULES!$D$5:$D$46,BONUS_RULES!$A$5:$A$46,$C197,BONUS_RULES!$B$5:$B$46,"QM"),IF(AGENT_INPUT!I197&gt;=SUMIFS(BONUS_RULES!$G$5:$G$46,BONUS_RULES!$A$5:$A$46,$C197,BONUS_RULES!$B$5:$B$46,"QM"),SUMIFS(BONUS_RULES!$F$5:$F$46,BONUS_RULES!$A$5:$A$46,$C197,BONUS_RULES!$B$5:$B$46,"QM"),0)))</f>
        <v/>
      </c>
      <c r="K197" s="10">
        <f>IF(POLICY_APPROVAL!$B$9="Eligibility only",0,IF(OR($A197="",$D197&lt;&gt;"READY"),"",IF(AGENT_INPUT!J197&lt;=SUMIFS(BONUS_RULES!$E$5:$E$46,BONUS_RULES!$A$5:$A$46,$C197,BONUS_RULES!$B$5:$B$46,"Abs%"),SUMIFS(BONUS_RULES!$D$5:$D$46,BONUS_RULES!$A$5:$A$46,$C197,BONUS_RULES!$B$5:$B$46,"Abs%"),IF(AGENT_INPUT!J197&lt;=SUMIFS(BONUS_RULES!$G$5:$G$46,BONUS_RULES!$A$5:$A$46,$C197,BONUS_RULES!$B$5:$B$46,"Abs%"),SUMIFS(BONUS_RULES!$F$5:$F$46,BONUS_RULES!$A$5:$A$46,$C197,BONUS_RULES!$B$5:$B$46,"Abs%"),0))))</f>
        <v/>
      </c>
      <c r="L197" s="10">
        <f>IF(OR($A197="",$D197&lt;&gt;"READY"),"",IF(AGENT_INPUT!G197&gt;=SUMIFS(BONUS_RULES!$E$5:$E$46,BONUS_RULES!$A$5:$A$46,$C197,BONUS_RULES!$B$5:$B$46,"Extra Bonus (PCS Score)"),SUMIFS(BONUS_RULES!$D$5:$D$46,BONUS_RULES!$A$5:$A$46,$C197,BONUS_RULES!$B$5:$B$46,"Extra Bonus (PCS Score)"),IF(AGENT_INPUT!G197&gt;=SUMIFS(BONUS_RULES!$G$5:$G$46,BONUS_RULES!$A$5:$A$46,$C197,BONUS_RULES!$B$5:$B$46,"Extra Bonus (PCS Score)"),SUMIFS(BONUS_RULES!$F$5:$F$46,BONUS_RULES!$A$5:$A$46,$C197,BONUS_RULES!$B$5:$B$46,"Extra Bonus (PCS Score)"),0)))</f>
        <v/>
      </c>
      <c r="M197" s="10">
        <f>IF($A197="","",MIN(IF(POLICY_APPROVAL!$B$6="Replacement",SUM(F197:K197)-H197+MAX(H197,L197),SUM(F197:L197)),POLICY_APPROVAL!$B$10))</f>
        <v/>
      </c>
      <c r="N197" s="10">
        <f>IF($A197="","",IFERROR(INDEX(BONUS_RULES!$J$5:$J$10,MATCH(MIN(MAX(AGENT_INPUT!K197,0),5),BONUS_RULES!$I$5:$I$10,0)),1))</f>
        <v/>
      </c>
      <c r="O197" s="10">
        <f>IF(M197="","",MAX(0,IF(POLICY_APPROVAL!$B$5="Percentage points",M197-N197,M197*(1-N197))))</f>
        <v/>
      </c>
      <c r="P197" s="11">
        <f>IF(D197&lt;&gt;"READY","",IF(AGENT_INPUT!O197&gt;0,AGENT_INPUT!O197,AGENT_INPUT!M197*AGENT_INPUT!N197/IF(POLICY_APPROVAL!$B$7="Annual",12,1)))</f>
        <v/>
      </c>
      <c r="Q197" s="10">
        <f>IF(D197&lt;&gt;"READY","",MIN(1,AGENT_INPUT!P197/AGENT_INPUT!Q197))</f>
        <v/>
      </c>
      <c r="R197" s="11">
        <f>IF(D197&lt;&gt;"READY","",ROUND(P197*Q197*O197,IF(POLICY_APPROVAL!$B$11="Whole MAD",0,2)))</f>
        <v/>
      </c>
      <c r="S197" s="11">
        <f>IF(AND(SETUP!$B$9="READY",T197="READY"),R197,"")</f>
        <v/>
      </c>
      <c r="T197" s="4">
        <f>IF($A197="","",IF(D197&lt;&gt;"READY","BLOCKED - INPUT",IF(E197&lt;&gt;"ELIGIBLE","BLOCKED - ELIGIBILITY",IF(AGENT_INPUT!S197&lt;&gt;"VALIDATED","BLOCKED - DATA",IF(SETUP!$B$9&lt;&gt;"READY","BLOCKED - POLICY","READY")))))</f>
        <v/>
      </c>
      <c r="U197" s="4">
        <f>IF($A197="","",IF(COUNTIFS(AGENT_INPUT!$A$5:$A$254,$A197,AGENT_INPUT!$D$5:$D$254,AGENT_INPUT!D197)&gt;1,"DUPLICATE AGENT + PERIOD",IF(D197&lt;&gt;"READY","INPUT OR CONFIG REVIEW",IF(T197&lt;&gt;"READY",T197,""))))</f>
        <v/>
      </c>
    </row>
    <row r="198" spans="1:21">
      <c r="A198" s="4">
        <f>IF(AGENT_INPUT!A198="","",AGENT_INPUT!A198)</f>
        <v/>
      </c>
      <c r="B198" s="4">
        <f>IF($A198="","",AGENT_INPUT!B198)</f>
        <v/>
      </c>
      <c r="C198" s="4">
        <f>IF($A198="","",AGENT_INPUT!C198)</f>
        <v/>
      </c>
      <c r="D198" s="4">
        <f>IF($A198="","",IF(AND(COUNT(AGENT_INPUT!E198:J198)=6,COUNT(AGENT_INPUT!K198)=1,COUNTIF(BONUS_RULES!$A$5:$A$46,AGENT_INPUT!C198)&gt;0,OR(AGENT_INPUT!O198&gt;0,AND(AGENT_INPUT!M198&gt;0,AGENT_INPUT!N198&gt;0)),AGENT_INPUT!P198&gt;=0,AGENT_INPUT!Q198&gt;0,AGENT_INPUT!P198&lt;=AGENT_INPUT!Q198,AGENT_INPUT!H198&gt;=0,AGENT_INPUT!H198&lt;=1,AGENT_INPUT!I198&gt;=0,AGENT_INPUT!I198&lt;=1,AGENT_INPUT!J198&gt;=0,AGENT_INPUT!J198&lt;=1),"READY","BLOCKED"))</f>
        <v/>
      </c>
      <c r="E198" s="4">
        <f>IF($A198="","",IF(AGENT_INPUT!R198&lt;&gt;"Active","REVIEW",IF(OR(POLICY_APPROVAL!$B$9="Eligibility only",POLICY_APPROVAL!$B$9="Both"),IF(AGENT_INPUT!J198&lt;=SUMIFS(BONUS_RULES!$E$5:$E$46,BONUS_RULES!$A$5:$A$46,$C198,BONUS_RULES!$B$5:$B$46,"Abs%"),"ELIGIBLE","INELIGIBLE ABS"),"ELIGIBLE")))</f>
        <v/>
      </c>
      <c r="F198" s="10">
        <f>IF(OR($A198="",$D198&lt;&gt;"READY"),"",IF(AGENT_INPUT!E198&lt;=SUMIFS(BONUS_RULES!$E$5:$E$46,BONUS_RULES!$A$5:$A$46,$C198,BONUS_RULES!$B$5:$B$46,"AHT"),SUMIFS(BONUS_RULES!$D$5:$D$46,BONUS_RULES!$A$5:$A$46,$C198,BONUS_RULES!$B$5:$B$46,"AHT"),IF(AGENT_INPUT!E198&lt;=SUMIFS(BONUS_RULES!$G$5:$G$46,BONUS_RULES!$A$5:$A$46,$C198,BONUS_RULES!$B$5:$B$46,"AHT"),SUMIFS(BONUS_RULES!$F$5:$F$46,BONUS_RULES!$A$5:$A$46,$C198,BONUS_RULES!$B$5:$B$46,"AHT"),0)))</f>
        <v/>
      </c>
      <c r="G198" s="10">
        <f>IF(OR($A198="",$D198&lt;&gt;"READY"),"",IF(AGENT_INPUT!F198&gt;=SUMIFS(BONUS_RULES!$E$5:$E$46,BONUS_RULES!$A$5:$A$46,$C198,BONUS_RULES!$B$5:$B$46,"Productivity"),SUMIFS(BONUS_RULES!$D$5:$D$46,BONUS_RULES!$A$5:$A$46,$C198,BONUS_RULES!$B$5:$B$46,"Productivity"),IF(AGENT_INPUT!F198&gt;=SUMIFS(BONUS_RULES!$G$5:$G$46,BONUS_RULES!$A$5:$A$46,$C198,BONUS_RULES!$B$5:$B$46,"Productivity"),SUMIFS(BONUS_RULES!$F$5:$F$46,BONUS_RULES!$A$5:$A$46,$C198,BONUS_RULES!$B$5:$B$46,"Productivity"),0)))</f>
        <v/>
      </c>
      <c r="H198" s="10">
        <f>IF(OR($A198="",$D198&lt;&gt;"READY"),"",IF(AGENT_INPUT!G198&gt;=SUMIFS(BONUS_RULES!$E$5:$E$46,BONUS_RULES!$A$5:$A$46,$C198,BONUS_RULES!$B$5:$B$46,"PCS Score"),SUMIFS(BONUS_RULES!$D$5:$D$46,BONUS_RULES!$A$5:$A$46,$C198,BONUS_RULES!$B$5:$B$46,"PCS Score"),IF(AGENT_INPUT!G198&gt;=SUMIFS(BONUS_RULES!$G$5:$G$46,BONUS_RULES!$A$5:$A$46,$C198,BONUS_RULES!$B$5:$B$46,"PCS Score"),SUMIFS(BONUS_RULES!$F$5:$F$46,BONUS_RULES!$A$5:$A$46,$C198,BONUS_RULES!$B$5:$B$46,"PCS Score"),0)))</f>
        <v/>
      </c>
      <c r="I198" s="10">
        <f>IF(OR($A198="",$D198&lt;&gt;"READY"),"",IF(AGENT_INPUT!H198&gt;=SUMIFS(BONUS_RULES!$E$5:$E$46,BONUS_RULES!$A$5:$A$46,$C198,BONUS_RULES!$B$5:$B$46,"PCS % (Participation)"),SUMIFS(BONUS_RULES!$D$5:$D$46,BONUS_RULES!$A$5:$A$46,$C198,BONUS_RULES!$B$5:$B$46,"PCS % (Participation)"),IF(AGENT_INPUT!H198&gt;=SUMIFS(BONUS_RULES!$G$5:$G$46,BONUS_RULES!$A$5:$A$46,$C198,BONUS_RULES!$B$5:$B$46,"PCS % (Participation)"),SUMIFS(BONUS_RULES!$F$5:$F$46,BONUS_RULES!$A$5:$A$46,$C198,BONUS_RULES!$B$5:$B$46,"PCS % (Participation)"),0)))</f>
        <v/>
      </c>
      <c r="J198" s="10">
        <f>IF(OR($A198="",$D198&lt;&gt;"READY"),"",IF(AGENT_INPUT!I198&gt;=SUMIFS(BONUS_RULES!$E$5:$E$46,BONUS_RULES!$A$5:$A$46,$C198,BONUS_RULES!$B$5:$B$46,"QM"),SUMIFS(BONUS_RULES!$D$5:$D$46,BONUS_RULES!$A$5:$A$46,$C198,BONUS_RULES!$B$5:$B$46,"QM"),IF(AGENT_INPUT!I198&gt;=SUMIFS(BONUS_RULES!$G$5:$G$46,BONUS_RULES!$A$5:$A$46,$C198,BONUS_RULES!$B$5:$B$46,"QM"),SUMIFS(BONUS_RULES!$F$5:$F$46,BONUS_RULES!$A$5:$A$46,$C198,BONUS_RULES!$B$5:$B$46,"QM"),0)))</f>
        <v/>
      </c>
      <c r="K198" s="10">
        <f>IF(POLICY_APPROVAL!$B$9="Eligibility only",0,IF(OR($A198="",$D198&lt;&gt;"READY"),"",IF(AGENT_INPUT!J198&lt;=SUMIFS(BONUS_RULES!$E$5:$E$46,BONUS_RULES!$A$5:$A$46,$C198,BONUS_RULES!$B$5:$B$46,"Abs%"),SUMIFS(BONUS_RULES!$D$5:$D$46,BONUS_RULES!$A$5:$A$46,$C198,BONUS_RULES!$B$5:$B$46,"Abs%"),IF(AGENT_INPUT!J198&lt;=SUMIFS(BONUS_RULES!$G$5:$G$46,BONUS_RULES!$A$5:$A$46,$C198,BONUS_RULES!$B$5:$B$46,"Abs%"),SUMIFS(BONUS_RULES!$F$5:$F$46,BONUS_RULES!$A$5:$A$46,$C198,BONUS_RULES!$B$5:$B$46,"Abs%"),0))))</f>
        <v/>
      </c>
      <c r="L198" s="10">
        <f>IF(OR($A198="",$D198&lt;&gt;"READY"),"",IF(AGENT_INPUT!G198&gt;=SUMIFS(BONUS_RULES!$E$5:$E$46,BONUS_RULES!$A$5:$A$46,$C198,BONUS_RULES!$B$5:$B$46,"Extra Bonus (PCS Score)"),SUMIFS(BONUS_RULES!$D$5:$D$46,BONUS_RULES!$A$5:$A$46,$C198,BONUS_RULES!$B$5:$B$46,"Extra Bonus (PCS Score)"),IF(AGENT_INPUT!G198&gt;=SUMIFS(BONUS_RULES!$G$5:$G$46,BONUS_RULES!$A$5:$A$46,$C198,BONUS_RULES!$B$5:$B$46,"Extra Bonus (PCS Score)"),SUMIFS(BONUS_RULES!$F$5:$F$46,BONUS_RULES!$A$5:$A$46,$C198,BONUS_RULES!$B$5:$B$46,"Extra Bonus (PCS Score)"),0)))</f>
        <v/>
      </c>
      <c r="M198" s="10">
        <f>IF($A198="","",MIN(IF(POLICY_APPROVAL!$B$6="Replacement",SUM(F198:K198)-H198+MAX(H198,L198),SUM(F198:L198)),POLICY_APPROVAL!$B$10))</f>
        <v/>
      </c>
      <c r="N198" s="10">
        <f>IF($A198="","",IFERROR(INDEX(BONUS_RULES!$J$5:$J$10,MATCH(MIN(MAX(AGENT_INPUT!K198,0),5),BONUS_RULES!$I$5:$I$10,0)),1))</f>
        <v/>
      </c>
      <c r="O198" s="10">
        <f>IF(M198="","",MAX(0,IF(POLICY_APPROVAL!$B$5="Percentage points",M198-N198,M198*(1-N198))))</f>
        <v/>
      </c>
      <c r="P198" s="11">
        <f>IF(D198&lt;&gt;"READY","",IF(AGENT_INPUT!O198&gt;0,AGENT_INPUT!O198,AGENT_INPUT!M198*AGENT_INPUT!N198/IF(POLICY_APPROVAL!$B$7="Annual",12,1)))</f>
        <v/>
      </c>
      <c r="Q198" s="10">
        <f>IF(D198&lt;&gt;"READY","",MIN(1,AGENT_INPUT!P198/AGENT_INPUT!Q198))</f>
        <v/>
      </c>
      <c r="R198" s="11">
        <f>IF(D198&lt;&gt;"READY","",ROUND(P198*Q198*O198,IF(POLICY_APPROVAL!$B$11="Whole MAD",0,2)))</f>
        <v/>
      </c>
      <c r="S198" s="11">
        <f>IF(AND(SETUP!$B$9="READY",T198="READY"),R198,"")</f>
        <v/>
      </c>
      <c r="T198" s="4">
        <f>IF($A198="","",IF(D198&lt;&gt;"READY","BLOCKED - INPUT",IF(E198&lt;&gt;"ELIGIBLE","BLOCKED - ELIGIBILITY",IF(AGENT_INPUT!S198&lt;&gt;"VALIDATED","BLOCKED - DATA",IF(SETUP!$B$9&lt;&gt;"READY","BLOCKED - POLICY","READY")))))</f>
        <v/>
      </c>
      <c r="U198" s="4">
        <f>IF($A198="","",IF(COUNTIFS(AGENT_INPUT!$A$5:$A$254,$A198,AGENT_INPUT!$D$5:$D$254,AGENT_INPUT!D198)&gt;1,"DUPLICATE AGENT + PERIOD",IF(D198&lt;&gt;"READY","INPUT OR CONFIG REVIEW",IF(T198&lt;&gt;"READY",T198,""))))</f>
        <v/>
      </c>
    </row>
    <row r="199" spans="1:21">
      <c r="A199" s="4">
        <f>IF(AGENT_INPUT!A199="","",AGENT_INPUT!A199)</f>
        <v/>
      </c>
      <c r="B199" s="4">
        <f>IF($A199="","",AGENT_INPUT!B199)</f>
        <v/>
      </c>
      <c r="C199" s="4">
        <f>IF($A199="","",AGENT_INPUT!C199)</f>
        <v/>
      </c>
      <c r="D199" s="4">
        <f>IF($A199="","",IF(AND(COUNT(AGENT_INPUT!E199:J199)=6,COUNT(AGENT_INPUT!K199)=1,COUNTIF(BONUS_RULES!$A$5:$A$46,AGENT_INPUT!C199)&gt;0,OR(AGENT_INPUT!O199&gt;0,AND(AGENT_INPUT!M199&gt;0,AGENT_INPUT!N199&gt;0)),AGENT_INPUT!P199&gt;=0,AGENT_INPUT!Q199&gt;0,AGENT_INPUT!P199&lt;=AGENT_INPUT!Q199,AGENT_INPUT!H199&gt;=0,AGENT_INPUT!H199&lt;=1,AGENT_INPUT!I199&gt;=0,AGENT_INPUT!I199&lt;=1,AGENT_INPUT!J199&gt;=0,AGENT_INPUT!J199&lt;=1),"READY","BLOCKED"))</f>
        <v/>
      </c>
      <c r="E199" s="4">
        <f>IF($A199="","",IF(AGENT_INPUT!R199&lt;&gt;"Active","REVIEW",IF(OR(POLICY_APPROVAL!$B$9="Eligibility only",POLICY_APPROVAL!$B$9="Both"),IF(AGENT_INPUT!J199&lt;=SUMIFS(BONUS_RULES!$E$5:$E$46,BONUS_RULES!$A$5:$A$46,$C199,BONUS_RULES!$B$5:$B$46,"Abs%"),"ELIGIBLE","INELIGIBLE ABS"),"ELIGIBLE")))</f>
        <v/>
      </c>
      <c r="F199" s="10">
        <f>IF(OR($A199="",$D199&lt;&gt;"READY"),"",IF(AGENT_INPUT!E199&lt;=SUMIFS(BONUS_RULES!$E$5:$E$46,BONUS_RULES!$A$5:$A$46,$C199,BONUS_RULES!$B$5:$B$46,"AHT"),SUMIFS(BONUS_RULES!$D$5:$D$46,BONUS_RULES!$A$5:$A$46,$C199,BONUS_RULES!$B$5:$B$46,"AHT"),IF(AGENT_INPUT!E199&lt;=SUMIFS(BONUS_RULES!$G$5:$G$46,BONUS_RULES!$A$5:$A$46,$C199,BONUS_RULES!$B$5:$B$46,"AHT"),SUMIFS(BONUS_RULES!$F$5:$F$46,BONUS_RULES!$A$5:$A$46,$C199,BONUS_RULES!$B$5:$B$46,"AHT"),0)))</f>
        <v/>
      </c>
      <c r="G199" s="10">
        <f>IF(OR($A199="",$D199&lt;&gt;"READY"),"",IF(AGENT_INPUT!F199&gt;=SUMIFS(BONUS_RULES!$E$5:$E$46,BONUS_RULES!$A$5:$A$46,$C199,BONUS_RULES!$B$5:$B$46,"Productivity"),SUMIFS(BONUS_RULES!$D$5:$D$46,BONUS_RULES!$A$5:$A$46,$C199,BONUS_RULES!$B$5:$B$46,"Productivity"),IF(AGENT_INPUT!F199&gt;=SUMIFS(BONUS_RULES!$G$5:$G$46,BONUS_RULES!$A$5:$A$46,$C199,BONUS_RULES!$B$5:$B$46,"Productivity"),SUMIFS(BONUS_RULES!$F$5:$F$46,BONUS_RULES!$A$5:$A$46,$C199,BONUS_RULES!$B$5:$B$46,"Productivity"),0)))</f>
        <v/>
      </c>
      <c r="H199" s="10">
        <f>IF(OR($A199="",$D199&lt;&gt;"READY"),"",IF(AGENT_INPUT!G199&gt;=SUMIFS(BONUS_RULES!$E$5:$E$46,BONUS_RULES!$A$5:$A$46,$C199,BONUS_RULES!$B$5:$B$46,"PCS Score"),SUMIFS(BONUS_RULES!$D$5:$D$46,BONUS_RULES!$A$5:$A$46,$C199,BONUS_RULES!$B$5:$B$46,"PCS Score"),IF(AGENT_INPUT!G199&gt;=SUMIFS(BONUS_RULES!$G$5:$G$46,BONUS_RULES!$A$5:$A$46,$C199,BONUS_RULES!$B$5:$B$46,"PCS Score"),SUMIFS(BONUS_RULES!$F$5:$F$46,BONUS_RULES!$A$5:$A$46,$C199,BONUS_RULES!$B$5:$B$46,"PCS Score"),0)))</f>
        <v/>
      </c>
      <c r="I199" s="10">
        <f>IF(OR($A199="",$D199&lt;&gt;"READY"),"",IF(AGENT_INPUT!H199&gt;=SUMIFS(BONUS_RULES!$E$5:$E$46,BONUS_RULES!$A$5:$A$46,$C199,BONUS_RULES!$B$5:$B$46,"PCS % (Participation)"),SUMIFS(BONUS_RULES!$D$5:$D$46,BONUS_RULES!$A$5:$A$46,$C199,BONUS_RULES!$B$5:$B$46,"PCS % (Participation)"),IF(AGENT_INPUT!H199&gt;=SUMIFS(BONUS_RULES!$G$5:$G$46,BONUS_RULES!$A$5:$A$46,$C199,BONUS_RULES!$B$5:$B$46,"PCS % (Participation)"),SUMIFS(BONUS_RULES!$F$5:$F$46,BONUS_RULES!$A$5:$A$46,$C199,BONUS_RULES!$B$5:$B$46,"PCS % (Participation)"),0)))</f>
        <v/>
      </c>
      <c r="J199" s="10">
        <f>IF(OR($A199="",$D199&lt;&gt;"READY"),"",IF(AGENT_INPUT!I199&gt;=SUMIFS(BONUS_RULES!$E$5:$E$46,BONUS_RULES!$A$5:$A$46,$C199,BONUS_RULES!$B$5:$B$46,"QM"),SUMIFS(BONUS_RULES!$D$5:$D$46,BONUS_RULES!$A$5:$A$46,$C199,BONUS_RULES!$B$5:$B$46,"QM"),IF(AGENT_INPUT!I199&gt;=SUMIFS(BONUS_RULES!$G$5:$G$46,BONUS_RULES!$A$5:$A$46,$C199,BONUS_RULES!$B$5:$B$46,"QM"),SUMIFS(BONUS_RULES!$F$5:$F$46,BONUS_RULES!$A$5:$A$46,$C199,BONUS_RULES!$B$5:$B$46,"QM"),0)))</f>
        <v/>
      </c>
      <c r="K199" s="10">
        <f>IF(POLICY_APPROVAL!$B$9="Eligibility only",0,IF(OR($A199="",$D199&lt;&gt;"READY"),"",IF(AGENT_INPUT!J199&lt;=SUMIFS(BONUS_RULES!$E$5:$E$46,BONUS_RULES!$A$5:$A$46,$C199,BONUS_RULES!$B$5:$B$46,"Abs%"),SUMIFS(BONUS_RULES!$D$5:$D$46,BONUS_RULES!$A$5:$A$46,$C199,BONUS_RULES!$B$5:$B$46,"Abs%"),IF(AGENT_INPUT!J199&lt;=SUMIFS(BONUS_RULES!$G$5:$G$46,BONUS_RULES!$A$5:$A$46,$C199,BONUS_RULES!$B$5:$B$46,"Abs%"),SUMIFS(BONUS_RULES!$F$5:$F$46,BONUS_RULES!$A$5:$A$46,$C199,BONUS_RULES!$B$5:$B$46,"Abs%"),0))))</f>
        <v/>
      </c>
      <c r="L199" s="10">
        <f>IF(OR($A199="",$D199&lt;&gt;"READY"),"",IF(AGENT_INPUT!G199&gt;=SUMIFS(BONUS_RULES!$E$5:$E$46,BONUS_RULES!$A$5:$A$46,$C199,BONUS_RULES!$B$5:$B$46,"Extra Bonus (PCS Score)"),SUMIFS(BONUS_RULES!$D$5:$D$46,BONUS_RULES!$A$5:$A$46,$C199,BONUS_RULES!$B$5:$B$46,"Extra Bonus (PCS Score)"),IF(AGENT_INPUT!G199&gt;=SUMIFS(BONUS_RULES!$G$5:$G$46,BONUS_RULES!$A$5:$A$46,$C199,BONUS_RULES!$B$5:$B$46,"Extra Bonus (PCS Score)"),SUMIFS(BONUS_RULES!$F$5:$F$46,BONUS_RULES!$A$5:$A$46,$C199,BONUS_RULES!$B$5:$B$46,"Extra Bonus (PCS Score)"),0)))</f>
        <v/>
      </c>
      <c r="M199" s="10">
        <f>IF($A199="","",MIN(IF(POLICY_APPROVAL!$B$6="Replacement",SUM(F199:K199)-H199+MAX(H199,L199),SUM(F199:L199)),POLICY_APPROVAL!$B$10))</f>
        <v/>
      </c>
      <c r="N199" s="10">
        <f>IF($A199="","",IFERROR(INDEX(BONUS_RULES!$J$5:$J$10,MATCH(MIN(MAX(AGENT_INPUT!K199,0),5),BONUS_RULES!$I$5:$I$10,0)),1))</f>
        <v/>
      </c>
      <c r="O199" s="10">
        <f>IF(M199="","",MAX(0,IF(POLICY_APPROVAL!$B$5="Percentage points",M199-N199,M199*(1-N199))))</f>
        <v/>
      </c>
      <c r="P199" s="11">
        <f>IF(D199&lt;&gt;"READY","",IF(AGENT_INPUT!O199&gt;0,AGENT_INPUT!O199,AGENT_INPUT!M199*AGENT_INPUT!N199/IF(POLICY_APPROVAL!$B$7="Annual",12,1)))</f>
        <v/>
      </c>
      <c r="Q199" s="10">
        <f>IF(D199&lt;&gt;"READY","",MIN(1,AGENT_INPUT!P199/AGENT_INPUT!Q199))</f>
        <v/>
      </c>
      <c r="R199" s="11">
        <f>IF(D199&lt;&gt;"READY","",ROUND(P199*Q199*O199,IF(POLICY_APPROVAL!$B$11="Whole MAD",0,2)))</f>
        <v/>
      </c>
      <c r="S199" s="11">
        <f>IF(AND(SETUP!$B$9="READY",T199="READY"),R199,"")</f>
        <v/>
      </c>
      <c r="T199" s="4">
        <f>IF($A199="","",IF(D199&lt;&gt;"READY","BLOCKED - INPUT",IF(E199&lt;&gt;"ELIGIBLE","BLOCKED - ELIGIBILITY",IF(AGENT_INPUT!S199&lt;&gt;"VALIDATED","BLOCKED - DATA",IF(SETUP!$B$9&lt;&gt;"READY","BLOCKED - POLICY","READY")))))</f>
        <v/>
      </c>
      <c r="U199" s="4">
        <f>IF($A199="","",IF(COUNTIFS(AGENT_INPUT!$A$5:$A$254,$A199,AGENT_INPUT!$D$5:$D$254,AGENT_INPUT!D199)&gt;1,"DUPLICATE AGENT + PERIOD",IF(D199&lt;&gt;"READY","INPUT OR CONFIG REVIEW",IF(T199&lt;&gt;"READY",T199,""))))</f>
        <v/>
      </c>
    </row>
    <row r="200" spans="1:21">
      <c r="A200" s="4">
        <f>IF(AGENT_INPUT!A200="","",AGENT_INPUT!A200)</f>
        <v/>
      </c>
      <c r="B200" s="4">
        <f>IF($A200="","",AGENT_INPUT!B200)</f>
        <v/>
      </c>
      <c r="C200" s="4">
        <f>IF($A200="","",AGENT_INPUT!C200)</f>
        <v/>
      </c>
      <c r="D200" s="4">
        <f>IF($A200="","",IF(AND(COUNT(AGENT_INPUT!E200:J200)=6,COUNT(AGENT_INPUT!K200)=1,COUNTIF(BONUS_RULES!$A$5:$A$46,AGENT_INPUT!C200)&gt;0,OR(AGENT_INPUT!O200&gt;0,AND(AGENT_INPUT!M200&gt;0,AGENT_INPUT!N200&gt;0)),AGENT_INPUT!P200&gt;=0,AGENT_INPUT!Q200&gt;0,AGENT_INPUT!P200&lt;=AGENT_INPUT!Q200,AGENT_INPUT!H200&gt;=0,AGENT_INPUT!H200&lt;=1,AGENT_INPUT!I200&gt;=0,AGENT_INPUT!I200&lt;=1,AGENT_INPUT!J200&gt;=0,AGENT_INPUT!J200&lt;=1),"READY","BLOCKED"))</f>
        <v/>
      </c>
      <c r="E200" s="4">
        <f>IF($A200="","",IF(AGENT_INPUT!R200&lt;&gt;"Active","REVIEW",IF(OR(POLICY_APPROVAL!$B$9="Eligibility only",POLICY_APPROVAL!$B$9="Both"),IF(AGENT_INPUT!J200&lt;=SUMIFS(BONUS_RULES!$E$5:$E$46,BONUS_RULES!$A$5:$A$46,$C200,BONUS_RULES!$B$5:$B$46,"Abs%"),"ELIGIBLE","INELIGIBLE ABS"),"ELIGIBLE")))</f>
        <v/>
      </c>
      <c r="F200" s="10">
        <f>IF(OR($A200="",$D200&lt;&gt;"READY"),"",IF(AGENT_INPUT!E200&lt;=SUMIFS(BONUS_RULES!$E$5:$E$46,BONUS_RULES!$A$5:$A$46,$C200,BONUS_RULES!$B$5:$B$46,"AHT"),SUMIFS(BONUS_RULES!$D$5:$D$46,BONUS_RULES!$A$5:$A$46,$C200,BONUS_RULES!$B$5:$B$46,"AHT"),IF(AGENT_INPUT!E200&lt;=SUMIFS(BONUS_RULES!$G$5:$G$46,BONUS_RULES!$A$5:$A$46,$C200,BONUS_RULES!$B$5:$B$46,"AHT"),SUMIFS(BONUS_RULES!$F$5:$F$46,BONUS_RULES!$A$5:$A$46,$C200,BONUS_RULES!$B$5:$B$46,"AHT"),0)))</f>
        <v/>
      </c>
      <c r="G200" s="10">
        <f>IF(OR($A200="",$D200&lt;&gt;"READY"),"",IF(AGENT_INPUT!F200&gt;=SUMIFS(BONUS_RULES!$E$5:$E$46,BONUS_RULES!$A$5:$A$46,$C200,BONUS_RULES!$B$5:$B$46,"Productivity"),SUMIFS(BONUS_RULES!$D$5:$D$46,BONUS_RULES!$A$5:$A$46,$C200,BONUS_RULES!$B$5:$B$46,"Productivity"),IF(AGENT_INPUT!F200&gt;=SUMIFS(BONUS_RULES!$G$5:$G$46,BONUS_RULES!$A$5:$A$46,$C200,BONUS_RULES!$B$5:$B$46,"Productivity"),SUMIFS(BONUS_RULES!$F$5:$F$46,BONUS_RULES!$A$5:$A$46,$C200,BONUS_RULES!$B$5:$B$46,"Productivity"),0)))</f>
        <v/>
      </c>
      <c r="H200" s="10">
        <f>IF(OR($A200="",$D200&lt;&gt;"READY"),"",IF(AGENT_INPUT!G200&gt;=SUMIFS(BONUS_RULES!$E$5:$E$46,BONUS_RULES!$A$5:$A$46,$C200,BONUS_RULES!$B$5:$B$46,"PCS Score"),SUMIFS(BONUS_RULES!$D$5:$D$46,BONUS_RULES!$A$5:$A$46,$C200,BONUS_RULES!$B$5:$B$46,"PCS Score"),IF(AGENT_INPUT!G200&gt;=SUMIFS(BONUS_RULES!$G$5:$G$46,BONUS_RULES!$A$5:$A$46,$C200,BONUS_RULES!$B$5:$B$46,"PCS Score"),SUMIFS(BONUS_RULES!$F$5:$F$46,BONUS_RULES!$A$5:$A$46,$C200,BONUS_RULES!$B$5:$B$46,"PCS Score"),0)))</f>
        <v/>
      </c>
      <c r="I200" s="10">
        <f>IF(OR($A200="",$D200&lt;&gt;"READY"),"",IF(AGENT_INPUT!H200&gt;=SUMIFS(BONUS_RULES!$E$5:$E$46,BONUS_RULES!$A$5:$A$46,$C200,BONUS_RULES!$B$5:$B$46,"PCS % (Participation)"),SUMIFS(BONUS_RULES!$D$5:$D$46,BONUS_RULES!$A$5:$A$46,$C200,BONUS_RULES!$B$5:$B$46,"PCS % (Participation)"),IF(AGENT_INPUT!H200&gt;=SUMIFS(BONUS_RULES!$G$5:$G$46,BONUS_RULES!$A$5:$A$46,$C200,BONUS_RULES!$B$5:$B$46,"PCS % (Participation)"),SUMIFS(BONUS_RULES!$F$5:$F$46,BONUS_RULES!$A$5:$A$46,$C200,BONUS_RULES!$B$5:$B$46,"PCS % (Participation)"),0)))</f>
        <v/>
      </c>
      <c r="J200" s="10">
        <f>IF(OR($A200="",$D200&lt;&gt;"READY"),"",IF(AGENT_INPUT!I200&gt;=SUMIFS(BONUS_RULES!$E$5:$E$46,BONUS_RULES!$A$5:$A$46,$C200,BONUS_RULES!$B$5:$B$46,"QM"),SUMIFS(BONUS_RULES!$D$5:$D$46,BONUS_RULES!$A$5:$A$46,$C200,BONUS_RULES!$B$5:$B$46,"QM"),IF(AGENT_INPUT!I200&gt;=SUMIFS(BONUS_RULES!$G$5:$G$46,BONUS_RULES!$A$5:$A$46,$C200,BONUS_RULES!$B$5:$B$46,"QM"),SUMIFS(BONUS_RULES!$F$5:$F$46,BONUS_RULES!$A$5:$A$46,$C200,BONUS_RULES!$B$5:$B$46,"QM"),0)))</f>
        <v/>
      </c>
      <c r="K200" s="10">
        <f>IF(POLICY_APPROVAL!$B$9="Eligibility only",0,IF(OR($A200="",$D200&lt;&gt;"READY"),"",IF(AGENT_INPUT!J200&lt;=SUMIFS(BONUS_RULES!$E$5:$E$46,BONUS_RULES!$A$5:$A$46,$C200,BONUS_RULES!$B$5:$B$46,"Abs%"),SUMIFS(BONUS_RULES!$D$5:$D$46,BONUS_RULES!$A$5:$A$46,$C200,BONUS_RULES!$B$5:$B$46,"Abs%"),IF(AGENT_INPUT!J200&lt;=SUMIFS(BONUS_RULES!$G$5:$G$46,BONUS_RULES!$A$5:$A$46,$C200,BONUS_RULES!$B$5:$B$46,"Abs%"),SUMIFS(BONUS_RULES!$F$5:$F$46,BONUS_RULES!$A$5:$A$46,$C200,BONUS_RULES!$B$5:$B$46,"Abs%"),0))))</f>
        <v/>
      </c>
      <c r="L200" s="10">
        <f>IF(OR($A200="",$D200&lt;&gt;"READY"),"",IF(AGENT_INPUT!G200&gt;=SUMIFS(BONUS_RULES!$E$5:$E$46,BONUS_RULES!$A$5:$A$46,$C200,BONUS_RULES!$B$5:$B$46,"Extra Bonus (PCS Score)"),SUMIFS(BONUS_RULES!$D$5:$D$46,BONUS_RULES!$A$5:$A$46,$C200,BONUS_RULES!$B$5:$B$46,"Extra Bonus (PCS Score)"),IF(AGENT_INPUT!G200&gt;=SUMIFS(BONUS_RULES!$G$5:$G$46,BONUS_RULES!$A$5:$A$46,$C200,BONUS_RULES!$B$5:$B$46,"Extra Bonus (PCS Score)"),SUMIFS(BONUS_RULES!$F$5:$F$46,BONUS_RULES!$A$5:$A$46,$C200,BONUS_RULES!$B$5:$B$46,"Extra Bonus (PCS Score)"),0)))</f>
        <v/>
      </c>
      <c r="M200" s="10">
        <f>IF($A200="","",MIN(IF(POLICY_APPROVAL!$B$6="Replacement",SUM(F200:K200)-H200+MAX(H200,L200),SUM(F200:L200)),POLICY_APPROVAL!$B$10))</f>
        <v/>
      </c>
      <c r="N200" s="10">
        <f>IF($A200="","",IFERROR(INDEX(BONUS_RULES!$J$5:$J$10,MATCH(MIN(MAX(AGENT_INPUT!K200,0),5),BONUS_RULES!$I$5:$I$10,0)),1))</f>
        <v/>
      </c>
      <c r="O200" s="10">
        <f>IF(M200="","",MAX(0,IF(POLICY_APPROVAL!$B$5="Percentage points",M200-N200,M200*(1-N200))))</f>
        <v/>
      </c>
      <c r="P200" s="11">
        <f>IF(D200&lt;&gt;"READY","",IF(AGENT_INPUT!O200&gt;0,AGENT_INPUT!O200,AGENT_INPUT!M200*AGENT_INPUT!N200/IF(POLICY_APPROVAL!$B$7="Annual",12,1)))</f>
        <v/>
      </c>
      <c r="Q200" s="10">
        <f>IF(D200&lt;&gt;"READY","",MIN(1,AGENT_INPUT!P200/AGENT_INPUT!Q200))</f>
        <v/>
      </c>
      <c r="R200" s="11">
        <f>IF(D200&lt;&gt;"READY","",ROUND(P200*Q200*O200,IF(POLICY_APPROVAL!$B$11="Whole MAD",0,2)))</f>
        <v/>
      </c>
      <c r="S200" s="11">
        <f>IF(AND(SETUP!$B$9="READY",T200="READY"),R200,"")</f>
        <v/>
      </c>
      <c r="T200" s="4">
        <f>IF($A200="","",IF(D200&lt;&gt;"READY","BLOCKED - INPUT",IF(E200&lt;&gt;"ELIGIBLE","BLOCKED - ELIGIBILITY",IF(AGENT_INPUT!S200&lt;&gt;"VALIDATED","BLOCKED - DATA",IF(SETUP!$B$9&lt;&gt;"READY","BLOCKED - POLICY","READY")))))</f>
        <v/>
      </c>
      <c r="U200" s="4">
        <f>IF($A200="","",IF(COUNTIFS(AGENT_INPUT!$A$5:$A$254,$A200,AGENT_INPUT!$D$5:$D$254,AGENT_INPUT!D200)&gt;1,"DUPLICATE AGENT + PERIOD",IF(D200&lt;&gt;"READY","INPUT OR CONFIG REVIEW",IF(T200&lt;&gt;"READY",T200,""))))</f>
        <v/>
      </c>
    </row>
    <row r="201" spans="1:21">
      <c r="A201" s="4">
        <f>IF(AGENT_INPUT!A201="","",AGENT_INPUT!A201)</f>
        <v/>
      </c>
      <c r="B201" s="4">
        <f>IF($A201="","",AGENT_INPUT!B201)</f>
        <v/>
      </c>
      <c r="C201" s="4">
        <f>IF($A201="","",AGENT_INPUT!C201)</f>
        <v/>
      </c>
      <c r="D201" s="4">
        <f>IF($A201="","",IF(AND(COUNT(AGENT_INPUT!E201:J201)=6,COUNT(AGENT_INPUT!K201)=1,COUNTIF(BONUS_RULES!$A$5:$A$46,AGENT_INPUT!C201)&gt;0,OR(AGENT_INPUT!O201&gt;0,AND(AGENT_INPUT!M201&gt;0,AGENT_INPUT!N201&gt;0)),AGENT_INPUT!P201&gt;=0,AGENT_INPUT!Q201&gt;0,AGENT_INPUT!P201&lt;=AGENT_INPUT!Q201,AGENT_INPUT!H201&gt;=0,AGENT_INPUT!H201&lt;=1,AGENT_INPUT!I201&gt;=0,AGENT_INPUT!I201&lt;=1,AGENT_INPUT!J201&gt;=0,AGENT_INPUT!J201&lt;=1),"READY","BLOCKED"))</f>
        <v/>
      </c>
      <c r="E201" s="4">
        <f>IF($A201="","",IF(AGENT_INPUT!R201&lt;&gt;"Active","REVIEW",IF(OR(POLICY_APPROVAL!$B$9="Eligibility only",POLICY_APPROVAL!$B$9="Both"),IF(AGENT_INPUT!J201&lt;=SUMIFS(BONUS_RULES!$E$5:$E$46,BONUS_RULES!$A$5:$A$46,$C201,BONUS_RULES!$B$5:$B$46,"Abs%"),"ELIGIBLE","INELIGIBLE ABS"),"ELIGIBLE")))</f>
        <v/>
      </c>
      <c r="F201" s="10">
        <f>IF(OR($A201="",$D201&lt;&gt;"READY"),"",IF(AGENT_INPUT!E201&lt;=SUMIFS(BONUS_RULES!$E$5:$E$46,BONUS_RULES!$A$5:$A$46,$C201,BONUS_RULES!$B$5:$B$46,"AHT"),SUMIFS(BONUS_RULES!$D$5:$D$46,BONUS_RULES!$A$5:$A$46,$C201,BONUS_RULES!$B$5:$B$46,"AHT"),IF(AGENT_INPUT!E201&lt;=SUMIFS(BONUS_RULES!$G$5:$G$46,BONUS_RULES!$A$5:$A$46,$C201,BONUS_RULES!$B$5:$B$46,"AHT"),SUMIFS(BONUS_RULES!$F$5:$F$46,BONUS_RULES!$A$5:$A$46,$C201,BONUS_RULES!$B$5:$B$46,"AHT"),0)))</f>
        <v/>
      </c>
      <c r="G201" s="10">
        <f>IF(OR($A201="",$D201&lt;&gt;"READY"),"",IF(AGENT_INPUT!F201&gt;=SUMIFS(BONUS_RULES!$E$5:$E$46,BONUS_RULES!$A$5:$A$46,$C201,BONUS_RULES!$B$5:$B$46,"Productivity"),SUMIFS(BONUS_RULES!$D$5:$D$46,BONUS_RULES!$A$5:$A$46,$C201,BONUS_RULES!$B$5:$B$46,"Productivity"),IF(AGENT_INPUT!F201&gt;=SUMIFS(BONUS_RULES!$G$5:$G$46,BONUS_RULES!$A$5:$A$46,$C201,BONUS_RULES!$B$5:$B$46,"Productivity"),SUMIFS(BONUS_RULES!$F$5:$F$46,BONUS_RULES!$A$5:$A$46,$C201,BONUS_RULES!$B$5:$B$46,"Productivity"),0)))</f>
        <v/>
      </c>
      <c r="H201" s="10">
        <f>IF(OR($A201="",$D201&lt;&gt;"READY"),"",IF(AGENT_INPUT!G201&gt;=SUMIFS(BONUS_RULES!$E$5:$E$46,BONUS_RULES!$A$5:$A$46,$C201,BONUS_RULES!$B$5:$B$46,"PCS Score"),SUMIFS(BONUS_RULES!$D$5:$D$46,BONUS_RULES!$A$5:$A$46,$C201,BONUS_RULES!$B$5:$B$46,"PCS Score"),IF(AGENT_INPUT!G201&gt;=SUMIFS(BONUS_RULES!$G$5:$G$46,BONUS_RULES!$A$5:$A$46,$C201,BONUS_RULES!$B$5:$B$46,"PCS Score"),SUMIFS(BONUS_RULES!$F$5:$F$46,BONUS_RULES!$A$5:$A$46,$C201,BONUS_RULES!$B$5:$B$46,"PCS Score"),0)))</f>
        <v/>
      </c>
      <c r="I201" s="10">
        <f>IF(OR($A201="",$D201&lt;&gt;"READY"),"",IF(AGENT_INPUT!H201&gt;=SUMIFS(BONUS_RULES!$E$5:$E$46,BONUS_RULES!$A$5:$A$46,$C201,BONUS_RULES!$B$5:$B$46,"PCS % (Participation)"),SUMIFS(BONUS_RULES!$D$5:$D$46,BONUS_RULES!$A$5:$A$46,$C201,BONUS_RULES!$B$5:$B$46,"PCS % (Participation)"),IF(AGENT_INPUT!H201&gt;=SUMIFS(BONUS_RULES!$G$5:$G$46,BONUS_RULES!$A$5:$A$46,$C201,BONUS_RULES!$B$5:$B$46,"PCS % (Participation)"),SUMIFS(BONUS_RULES!$F$5:$F$46,BONUS_RULES!$A$5:$A$46,$C201,BONUS_RULES!$B$5:$B$46,"PCS % (Participation)"),0)))</f>
        <v/>
      </c>
      <c r="J201" s="10">
        <f>IF(OR($A201="",$D201&lt;&gt;"READY"),"",IF(AGENT_INPUT!I201&gt;=SUMIFS(BONUS_RULES!$E$5:$E$46,BONUS_RULES!$A$5:$A$46,$C201,BONUS_RULES!$B$5:$B$46,"QM"),SUMIFS(BONUS_RULES!$D$5:$D$46,BONUS_RULES!$A$5:$A$46,$C201,BONUS_RULES!$B$5:$B$46,"QM"),IF(AGENT_INPUT!I201&gt;=SUMIFS(BONUS_RULES!$G$5:$G$46,BONUS_RULES!$A$5:$A$46,$C201,BONUS_RULES!$B$5:$B$46,"QM"),SUMIFS(BONUS_RULES!$F$5:$F$46,BONUS_RULES!$A$5:$A$46,$C201,BONUS_RULES!$B$5:$B$46,"QM"),0)))</f>
        <v/>
      </c>
      <c r="K201" s="10">
        <f>IF(POLICY_APPROVAL!$B$9="Eligibility only",0,IF(OR($A201="",$D201&lt;&gt;"READY"),"",IF(AGENT_INPUT!J201&lt;=SUMIFS(BONUS_RULES!$E$5:$E$46,BONUS_RULES!$A$5:$A$46,$C201,BONUS_RULES!$B$5:$B$46,"Abs%"),SUMIFS(BONUS_RULES!$D$5:$D$46,BONUS_RULES!$A$5:$A$46,$C201,BONUS_RULES!$B$5:$B$46,"Abs%"),IF(AGENT_INPUT!J201&lt;=SUMIFS(BONUS_RULES!$G$5:$G$46,BONUS_RULES!$A$5:$A$46,$C201,BONUS_RULES!$B$5:$B$46,"Abs%"),SUMIFS(BONUS_RULES!$F$5:$F$46,BONUS_RULES!$A$5:$A$46,$C201,BONUS_RULES!$B$5:$B$46,"Abs%"),0))))</f>
        <v/>
      </c>
      <c r="L201" s="10">
        <f>IF(OR($A201="",$D201&lt;&gt;"READY"),"",IF(AGENT_INPUT!G201&gt;=SUMIFS(BONUS_RULES!$E$5:$E$46,BONUS_RULES!$A$5:$A$46,$C201,BONUS_RULES!$B$5:$B$46,"Extra Bonus (PCS Score)"),SUMIFS(BONUS_RULES!$D$5:$D$46,BONUS_RULES!$A$5:$A$46,$C201,BONUS_RULES!$B$5:$B$46,"Extra Bonus (PCS Score)"),IF(AGENT_INPUT!G201&gt;=SUMIFS(BONUS_RULES!$G$5:$G$46,BONUS_RULES!$A$5:$A$46,$C201,BONUS_RULES!$B$5:$B$46,"Extra Bonus (PCS Score)"),SUMIFS(BONUS_RULES!$F$5:$F$46,BONUS_RULES!$A$5:$A$46,$C201,BONUS_RULES!$B$5:$B$46,"Extra Bonus (PCS Score)"),0)))</f>
        <v/>
      </c>
      <c r="M201" s="10">
        <f>IF($A201="","",MIN(IF(POLICY_APPROVAL!$B$6="Replacement",SUM(F201:K201)-H201+MAX(H201,L201),SUM(F201:L201)),POLICY_APPROVAL!$B$10))</f>
        <v/>
      </c>
      <c r="N201" s="10">
        <f>IF($A201="","",IFERROR(INDEX(BONUS_RULES!$J$5:$J$10,MATCH(MIN(MAX(AGENT_INPUT!K201,0),5),BONUS_RULES!$I$5:$I$10,0)),1))</f>
        <v/>
      </c>
      <c r="O201" s="10">
        <f>IF(M201="","",MAX(0,IF(POLICY_APPROVAL!$B$5="Percentage points",M201-N201,M201*(1-N201))))</f>
        <v/>
      </c>
      <c r="P201" s="11">
        <f>IF(D201&lt;&gt;"READY","",IF(AGENT_INPUT!O201&gt;0,AGENT_INPUT!O201,AGENT_INPUT!M201*AGENT_INPUT!N201/IF(POLICY_APPROVAL!$B$7="Annual",12,1)))</f>
        <v/>
      </c>
      <c r="Q201" s="10">
        <f>IF(D201&lt;&gt;"READY","",MIN(1,AGENT_INPUT!P201/AGENT_INPUT!Q201))</f>
        <v/>
      </c>
      <c r="R201" s="11">
        <f>IF(D201&lt;&gt;"READY","",ROUND(P201*Q201*O201,IF(POLICY_APPROVAL!$B$11="Whole MAD",0,2)))</f>
        <v/>
      </c>
      <c r="S201" s="11">
        <f>IF(AND(SETUP!$B$9="READY",T201="READY"),R201,"")</f>
        <v/>
      </c>
      <c r="T201" s="4">
        <f>IF($A201="","",IF(D201&lt;&gt;"READY","BLOCKED - INPUT",IF(E201&lt;&gt;"ELIGIBLE","BLOCKED - ELIGIBILITY",IF(AGENT_INPUT!S201&lt;&gt;"VALIDATED","BLOCKED - DATA",IF(SETUP!$B$9&lt;&gt;"READY","BLOCKED - POLICY","READY")))))</f>
        <v/>
      </c>
      <c r="U201" s="4">
        <f>IF($A201="","",IF(COUNTIFS(AGENT_INPUT!$A$5:$A$254,$A201,AGENT_INPUT!$D$5:$D$254,AGENT_INPUT!D201)&gt;1,"DUPLICATE AGENT + PERIOD",IF(D201&lt;&gt;"READY","INPUT OR CONFIG REVIEW",IF(T201&lt;&gt;"READY",T201,""))))</f>
        <v/>
      </c>
    </row>
    <row r="202" spans="1:21">
      <c r="A202" s="4">
        <f>IF(AGENT_INPUT!A202="","",AGENT_INPUT!A202)</f>
        <v/>
      </c>
      <c r="B202" s="4">
        <f>IF($A202="","",AGENT_INPUT!B202)</f>
        <v/>
      </c>
      <c r="C202" s="4">
        <f>IF($A202="","",AGENT_INPUT!C202)</f>
        <v/>
      </c>
      <c r="D202" s="4">
        <f>IF($A202="","",IF(AND(COUNT(AGENT_INPUT!E202:J202)=6,COUNT(AGENT_INPUT!K202)=1,COUNTIF(BONUS_RULES!$A$5:$A$46,AGENT_INPUT!C202)&gt;0,OR(AGENT_INPUT!O202&gt;0,AND(AGENT_INPUT!M202&gt;0,AGENT_INPUT!N202&gt;0)),AGENT_INPUT!P202&gt;=0,AGENT_INPUT!Q202&gt;0,AGENT_INPUT!P202&lt;=AGENT_INPUT!Q202,AGENT_INPUT!H202&gt;=0,AGENT_INPUT!H202&lt;=1,AGENT_INPUT!I202&gt;=0,AGENT_INPUT!I202&lt;=1,AGENT_INPUT!J202&gt;=0,AGENT_INPUT!J202&lt;=1),"READY","BLOCKED"))</f>
        <v/>
      </c>
      <c r="E202" s="4">
        <f>IF($A202="","",IF(AGENT_INPUT!R202&lt;&gt;"Active","REVIEW",IF(OR(POLICY_APPROVAL!$B$9="Eligibility only",POLICY_APPROVAL!$B$9="Both"),IF(AGENT_INPUT!J202&lt;=SUMIFS(BONUS_RULES!$E$5:$E$46,BONUS_RULES!$A$5:$A$46,$C202,BONUS_RULES!$B$5:$B$46,"Abs%"),"ELIGIBLE","INELIGIBLE ABS"),"ELIGIBLE")))</f>
        <v/>
      </c>
      <c r="F202" s="10">
        <f>IF(OR($A202="",$D202&lt;&gt;"READY"),"",IF(AGENT_INPUT!E202&lt;=SUMIFS(BONUS_RULES!$E$5:$E$46,BONUS_RULES!$A$5:$A$46,$C202,BONUS_RULES!$B$5:$B$46,"AHT"),SUMIFS(BONUS_RULES!$D$5:$D$46,BONUS_RULES!$A$5:$A$46,$C202,BONUS_RULES!$B$5:$B$46,"AHT"),IF(AGENT_INPUT!E202&lt;=SUMIFS(BONUS_RULES!$G$5:$G$46,BONUS_RULES!$A$5:$A$46,$C202,BONUS_RULES!$B$5:$B$46,"AHT"),SUMIFS(BONUS_RULES!$F$5:$F$46,BONUS_RULES!$A$5:$A$46,$C202,BONUS_RULES!$B$5:$B$46,"AHT"),0)))</f>
        <v/>
      </c>
      <c r="G202" s="10">
        <f>IF(OR($A202="",$D202&lt;&gt;"READY"),"",IF(AGENT_INPUT!F202&gt;=SUMIFS(BONUS_RULES!$E$5:$E$46,BONUS_RULES!$A$5:$A$46,$C202,BONUS_RULES!$B$5:$B$46,"Productivity"),SUMIFS(BONUS_RULES!$D$5:$D$46,BONUS_RULES!$A$5:$A$46,$C202,BONUS_RULES!$B$5:$B$46,"Productivity"),IF(AGENT_INPUT!F202&gt;=SUMIFS(BONUS_RULES!$G$5:$G$46,BONUS_RULES!$A$5:$A$46,$C202,BONUS_RULES!$B$5:$B$46,"Productivity"),SUMIFS(BONUS_RULES!$F$5:$F$46,BONUS_RULES!$A$5:$A$46,$C202,BONUS_RULES!$B$5:$B$46,"Productivity"),0)))</f>
        <v/>
      </c>
      <c r="H202" s="10">
        <f>IF(OR($A202="",$D202&lt;&gt;"READY"),"",IF(AGENT_INPUT!G202&gt;=SUMIFS(BONUS_RULES!$E$5:$E$46,BONUS_RULES!$A$5:$A$46,$C202,BONUS_RULES!$B$5:$B$46,"PCS Score"),SUMIFS(BONUS_RULES!$D$5:$D$46,BONUS_RULES!$A$5:$A$46,$C202,BONUS_RULES!$B$5:$B$46,"PCS Score"),IF(AGENT_INPUT!G202&gt;=SUMIFS(BONUS_RULES!$G$5:$G$46,BONUS_RULES!$A$5:$A$46,$C202,BONUS_RULES!$B$5:$B$46,"PCS Score"),SUMIFS(BONUS_RULES!$F$5:$F$46,BONUS_RULES!$A$5:$A$46,$C202,BONUS_RULES!$B$5:$B$46,"PCS Score"),0)))</f>
        <v/>
      </c>
      <c r="I202" s="10">
        <f>IF(OR($A202="",$D202&lt;&gt;"READY"),"",IF(AGENT_INPUT!H202&gt;=SUMIFS(BONUS_RULES!$E$5:$E$46,BONUS_RULES!$A$5:$A$46,$C202,BONUS_RULES!$B$5:$B$46,"PCS % (Participation)"),SUMIFS(BONUS_RULES!$D$5:$D$46,BONUS_RULES!$A$5:$A$46,$C202,BONUS_RULES!$B$5:$B$46,"PCS % (Participation)"),IF(AGENT_INPUT!H202&gt;=SUMIFS(BONUS_RULES!$G$5:$G$46,BONUS_RULES!$A$5:$A$46,$C202,BONUS_RULES!$B$5:$B$46,"PCS % (Participation)"),SUMIFS(BONUS_RULES!$F$5:$F$46,BONUS_RULES!$A$5:$A$46,$C202,BONUS_RULES!$B$5:$B$46,"PCS % (Participation)"),0)))</f>
        <v/>
      </c>
      <c r="J202" s="10">
        <f>IF(OR($A202="",$D202&lt;&gt;"READY"),"",IF(AGENT_INPUT!I202&gt;=SUMIFS(BONUS_RULES!$E$5:$E$46,BONUS_RULES!$A$5:$A$46,$C202,BONUS_RULES!$B$5:$B$46,"QM"),SUMIFS(BONUS_RULES!$D$5:$D$46,BONUS_RULES!$A$5:$A$46,$C202,BONUS_RULES!$B$5:$B$46,"QM"),IF(AGENT_INPUT!I202&gt;=SUMIFS(BONUS_RULES!$G$5:$G$46,BONUS_RULES!$A$5:$A$46,$C202,BONUS_RULES!$B$5:$B$46,"QM"),SUMIFS(BONUS_RULES!$F$5:$F$46,BONUS_RULES!$A$5:$A$46,$C202,BONUS_RULES!$B$5:$B$46,"QM"),0)))</f>
        <v/>
      </c>
      <c r="K202" s="10">
        <f>IF(POLICY_APPROVAL!$B$9="Eligibility only",0,IF(OR($A202="",$D202&lt;&gt;"READY"),"",IF(AGENT_INPUT!J202&lt;=SUMIFS(BONUS_RULES!$E$5:$E$46,BONUS_RULES!$A$5:$A$46,$C202,BONUS_RULES!$B$5:$B$46,"Abs%"),SUMIFS(BONUS_RULES!$D$5:$D$46,BONUS_RULES!$A$5:$A$46,$C202,BONUS_RULES!$B$5:$B$46,"Abs%"),IF(AGENT_INPUT!J202&lt;=SUMIFS(BONUS_RULES!$G$5:$G$46,BONUS_RULES!$A$5:$A$46,$C202,BONUS_RULES!$B$5:$B$46,"Abs%"),SUMIFS(BONUS_RULES!$F$5:$F$46,BONUS_RULES!$A$5:$A$46,$C202,BONUS_RULES!$B$5:$B$46,"Abs%"),0))))</f>
        <v/>
      </c>
      <c r="L202" s="10">
        <f>IF(OR($A202="",$D202&lt;&gt;"READY"),"",IF(AGENT_INPUT!G202&gt;=SUMIFS(BONUS_RULES!$E$5:$E$46,BONUS_RULES!$A$5:$A$46,$C202,BONUS_RULES!$B$5:$B$46,"Extra Bonus (PCS Score)"),SUMIFS(BONUS_RULES!$D$5:$D$46,BONUS_RULES!$A$5:$A$46,$C202,BONUS_RULES!$B$5:$B$46,"Extra Bonus (PCS Score)"),IF(AGENT_INPUT!G202&gt;=SUMIFS(BONUS_RULES!$G$5:$G$46,BONUS_RULES!$A$5:$A$46,$C202,BONUS_RULES!$B$5:$B$46,"Extra Bonus (PCS Score)"),SUMIFS(BONUS_RULES!$F$5:$F$46,BONUS_RULES!$A$5:$A$46,$C202,BONUS_RULES!$B$5:$B$46,"Extra Bonus (PCS Score)"),0)))</f>
        <v/>
      </c>
      <c r="M202" s="10">
        <f>IF($A202="","",MIN(IF(POLICY_APPROVAL!$B$6="Replacement",SUM(F202:K202)-H202+MAX(H202,L202),SUM(F202:L202)),POLICY_APPROVAL!$B$10))</f>
        <v/>
      </c>
      <c r="N202" s="10">
        <f>IF($A202="","",IFERROR(INDEX(BONUS_RULES!$J$5:$J$10,MATCH(MIN(MAX(AGENT_INPUT!K202,0),5),BONUS_RULES!$I$5:$I$10,0)),1))</f>
        <v/>
      </c>
      <c r="O202" s="10">
        <f>IF(M202="","",MAX(0,IF(POLICY_APPROVAL!$B$5="Percentage points",M202-N202,M202*(1-N202))))</f>
        <v/>
      </c>
      <c r="P202" s="11">
        <f>IF(D202&lt;&gt;"READY","",IF(AGENT_INPUT!O202&gt;0,AGENT_INPUT!O202,AGENT_INPUT!M202*AGENT_INPUT!N202/IF(POLICY_APPROVAL!$B$7="Annual",12,1)))</f>
        <v/>
      </c>
      <c r="Q202" s="10">
        <f>IF(D202&lt;&gt;"READY","",MIN(1,AGENT_INPUT!P202/AGENT_INPUT!Q202))</f>
        <v/>
      </c>
      <c r="R202" s="11">
        <f>IF(D202&lt;&gt;"READY","",ROUND(P202*Q202*O202,IF(POLICY_APPROVAL!$B$11="Whole MAD",0,2)))</f>
        <v/>
      </c>
      <c r="S202" s="11">
        <f>IF(AND(SETUP!$B$9="READY",T202="READY"),R202,"")</f>
        <v/>
      </c>
      <c r="T202" s="4">
        <f>IF($A202="","",IF(D202&lt;&gt;"READY","BLOCKED - INPUT",IF(E202&lt;&gt;"ELIGIBLE","BLOCKED - ELIGIBILITY",IF(AGENT_INPUT!S202&lt;&gt;"VALIDATED","BLOCKED - DATA",IF(SETUP!$B$9&lt;&gt;"READY","BLOCKED - POLICY","READY")))))</f>
        <v/>
      </c>
      <c r="U202" s="4">
        <f>IF($A202="","",IF(COUNTIFS(AGENT_INPUT!$A$5:$A$254,$A202,AGENT_INPUT!$D$5:$D$254,AGENT_INPUT!D202)&gt;1,"DUPLICATE AGENT + PERIOD",IF(D202&lt;&gt;"READY","INPUT OR CONFIG REVIEW",IF(T202&lt;&gt;"READY",T202,""))))</f>
        <v/>
      </c>
    </row>
    <row r="203" spans="1:21">
      <c r="A203" s="4">
        <f>IF(AGENT_INPUT!A203="","",AGENT_INPUT!A203)</f>
        <v/>
      </c>
      <c r="B203" s="4">
        <f>IF($A203="","",AGENT_INPUT!B203)</f>
        <v/>
      </c>
      <c r="C203" s="4">
        <f>IF($A203="","",AGENT_INPUT!C203)</f>
        <v/>
      </c>
      <c r="D203" s="4">
        <f>IF($A203="","",IF(AND(COUNT(AGENT_INPUT!E203:J203)=6,COUNT(AGENT_INPUT!K203)=1,COUNTIF(BONUS_RULES!$A$5:$A$46,AGENT_INPUT!C203)&gt;0,OR(AGENT_INPUT!O203&gt;0,AND(AGENT_INPUT!M203&gt;0,AGENT_INPUT!N203&gt;0)),AGENT_INPUT!P203&gt;=0,AGENT_INPUT!Q203&gt;0,AGENT_INPUT!P203&lt;=AGENT_INPUT!Q203,AGENT_INPUT!H203&gt;=0,AGENT_INPUT!H203&lt;=1,AGENT_INPUT!I203&gt;=0,AGENT_INPUT!I203&lt;=1,AGENT_INPUT!J203&gt;=0,AGENT_INPUT!J203&lt;=1),"READY","BLOCKED"))</f>
        <v/>
      </c>
      <c r="E203" s="4">
        <f>IF($A203="","",IF(AGENT_INPUT!R203&lt;&gt;"Active","REVIEW",IF(OR(POLICY_APPROVAL!$B$9="Eligibility only",POLICY_APPROVAL!$B$9="Both"),IF(AGENT_INPUT!J203&lt;=SUMIFS(BONUS_RULES!$E$5:$E$46,BONUS_RULES!$A$5:$A$46,$C203,BONUS_RULES!$B$5:$B$46,"Abs%"),"ELIGIBLE","INELIGIBLE ABS"),"ELIGIBLE")))</f>
        <v/>
      </c>
      <c r="F203" s="10">
        <f>IF(OR($A203="",$D203&lt;&gt;"READY"),"",IF(AGENT_INPUT!E203&lt;=SUMIFS(BONUS_RULES!$E$5:$E$46,BONUS_RULES!$A$5:$A$46,$C203,BONUS_RULES!$B$5:$B$46,"AHT"),SUMIFS(BONUS_RULES!$D$5:$D$46,BONUS_RULES!$A$5:$A$46,$C203,BONUS_RULES!$B$5:$B$46,"AHT"),IF(AGENT_INPUT!E203&lt;=SUMIFS(BONUS_RULES!$G$5:$G$46,BONUS_RULES!$A$5:$A$46,$C203,BONUS_RULES!$B$5:$B$46,"AHT"),SUMIFS(BONUS_RULES!$F$5:$F$46,BONUS_RULES!$A$5:$A$46,$C203,BONUS_RULES!$B$5:$B$46,"AHT"),0)))</f>
        <v/>
      </c>
      <c r="G203" s="10">
        <f>IF(OR($A203="",$D203&lt;&gt;"READY"),"",IF(AGENT_INPUT!F203&gt;=SUMIFS(BONUS_RULES!$E$5:$E$46,BONUS_RULES!$A$5:$A$46,$C203,BONUS_RULES!$B$5:$B$46,"Productivity"),SUMIFS(BONUS_RULES!$D$5:$D$46,BONUS_RULES!$A$5:$A$46,$C203,BONUS_RULES!$B$5:$B$46,"Productivity"),IF(AGENT_INPUT!F203&gt;=SUMIFS(BONUS_RULES!$G$5:$G$46,BONUS_RULES!$A$5:$A$46,$C203,BONUS_RULES!$B$5:$B$46,"Productivity"),SUMIFS(BONUS_RULES!$F$5:$F$46,BONUS_RULES!$A$5:$A$46,$C203,BONUS_RULES!$B$5:$B$46,"Productivity"),0)))</f>
        <v/>
      </c>
      <c r="H203" s="10">
        <f>IF(OR($A203="",$D203&lt;&gt;"READY"),"",IF(AGENT_INPUT!G203&gt;=SUMIFS(BONUS_RULES!$E$5:$E$46,BONUS_RULES!$A$5:$A$46,$C203,BONUS_RULES!$B$5:$B$46,"PCS Score"),SUMIFS(BONUS_RULES!$D$5:$D$46,BONUS_RULES!$A$5:$A$46,$C203,BONUS_RULES!$B$5:$B$46,"PCS Score"),IF(AGENT_INPUT!G203&gt;=SUMIFS(BONUS_RULES!$G$5:$G$46,BONUS_RULES!$A$5:$A$46,$C203,BONUS_RULES!$B$5:$B$46,"PCS Score"),SUMIFS(BONUS_RULES!$F$5:$F$46,BONUS_RULES!$A$5:$A$46,$C203,BONUS_RULES!$B$5:$B$46,"PCS Score"),0)))</f>
        <v/>
      </c>
      <c r="I203" s="10">
        <f>IF(OR($A203="",$D203&lt;&gt;"READY"),"",IF(AGENT_INPUT!H203&gt;=SUMIFS(BONUS_RULES!$E$5:$E$46,BONUS_RULES!$A$5:$A$46,$C203,BONUS_RULES!$B$5:$B$46,"PCS % (Participation)"),SUMIFS(BONUS_RULES!$D$5:$D$46,BONUS_RULES!$A$5:$A$46,$C203,BONUS_RULES!$B$5:$B$46,"PCS % (Participation)"),IF(AGENT_INPUT!H203&gt;=SUMIFS(BONUS_RULES!$G$5:$G$46,BONUS_RULES!$A$5:$A$46,$C203,BONUS_RULES!$B$5:$B$46,"PCS % (Participation)"),SUMIFS(BONUS_RULES!$F$5:$F$46,BONUS_RULES!$A$5:$A$46,$C203,BONUS_RULES!$B$5:$B$46,"PCS % (Participation)"),0)))</f>
        <v/>
      </c>
      <c r="J203" s="10">
        <f>IF(OR($A203="",$D203&lt;&gt;"READY"),"",IF(AGENT_INPUT!I203&gt;=SUMIFS(BONUS_RULES!$E$5:$E$46,BONUS_RULES!$A$5:$A$46,$C203,BONUS_RULES!$B$5:$B$46,"QM"),SUMIFS(BONUS_RULES!$D$5:$D$46,BONUS_RULES!$A$5:$A$46,$C203,BONUS_RULES!$B$5:$B$46,"QM"),IF(AGENT_INPUT!I203&gt;=SUMIFS(BONUS_RULES!$G$5:$G$46,BONUS_RULES!$A$5:$A$46,$C203,BONUS_RULES!$B$5:$B$46,"QM"),SUMIFS(BONUS_RULES!$F$5:$F$46,BONUS_RULES!$A$5:$A$46,$C203,BONUS_RULES!$B$5:$B$46,"QM"),0)))</f>
        <v/>
      </c>
      <c r="K203" s="10">
        <f>IF(POLICY_APPROVAL!$B$9="Eligibility only",0,IF(OR($A203="",$D203&lt;&gt;"READY"),"",IF(AGENT_INPUT!J203&lt;=SUMIFS(BONUS_RULES!$E$5:$E$46,BONUS_RULES!$A$5:$A$46,$C203,BONUS_RULES!$B$5:$B$46,"Abs%"),SUMIFS(BONUS_RULES!$D$5:$D$46,BONUS_RULES!$A$5:$A$46,$C203,BONUS_RULES!$B$5:$B$46,"Abs%"),IF(AGENT_INPUT!J203&lt;=SUMIFS(BONUS_RULES!$G$5:$G$46,BONUS_RULES!$A$5:$A$46,$C203,BONUS_RULES!$B$5:$B$46,"Abs%"),SUMIFS(BONUS_RULES!$F$5:$F$46,BONUS_RULES!$A$5:$A$46,$C203,BONUS_RULES!$B$5:$B$46,"Abs%"),0))))</f>
        <v/>
      </c>
      <c r="L203" s="10">
        <f>IF(OR($A203="",$D203&lt;&gt;"READY"),"",IF(AGENT_INPUT!G203&gt;=SUMIFS(BONUS_RULES!$E$5:$E$46,BONUS_RULES!$A$5:$A$46,$C203,BONUS_RULES!$B$5:$B$46,"Extra Bonus (PCS Score)"),SUMIFS(BONUS_RULES!$D$5:$D$46,BONUS_RULES!$A$5:$A$46,$C203,BONUS_RULES!$B$5:$B$46,"Extra Bonus (PCS Score)"),IF(AGENT_INPUT!G203&gt;=SUMIFS(BONUS_RULES!$G$5:$G$46,BONUS_RULES!$A$5:$A$46,$C203,BONUS_RULES!$B$5:$B$46,"Extra Bonus (PCS Score)"),SUMIFS(BONUS_RULES!$F$5:$F$46,BONUS_RULES!$A$5:$A$46,$C203,BONUS_RULES!$B$5:$B$46,"Extra Bonus (PCS Score)"),0)))</f>
        <v/>
      </c>
      <c r="M203" s="10">
        <f>IF($A203="","",MIN(IF(POLICY_APPROVAL!$B$6="Replacement",SUM(F203:K203)-H203+MAX(H203,L203),SUM(F203:L203)),POLICY_APPROVAL!$B$10))</f>
        <v/>
      </c>
      <c r="N203" s="10">
        <f>IF($A203="","",IFERROR(INDEX(BONUS_RULES!$J$5:$J$10,MATCH(MIN(MAX(AGENT_INPUT!K203,0),5),BONUS_RULES!$I$5:$I$10,0)),1))</f>
        <v/>
      </c>
      <c r="O203" s="10">
        <f>IF(M203="","",MAX(0,IF(POLICY_APPROVAL!$B$5="Percentage points",M203-N203,M203*(1-N203))))</f>
        <v/>
      </c>
      <c r="P203" s="11">
        <f>IF(D203&lt;&gt;"READY","",IF(AGENT_INPUT!O203&gt;0,AGENT_INPUT!O203,AGENT_INPUT!M203*AGENT_INPUT!N203/IF(POLICY_APPROVAL!$B$7="Annual",12,1)))</f>
        <v/>
      </c>
      <c r="Q203" s="10">
        <f>IF(D203&lt;&gt;"READY","",MIN(1,AGENT_INPUT!P203/AGENT_INPUT!Q203))</f>
        <v/>
      </c>
      <c r="R203" s="11">
        <f>IF(D203&lt;&gt;"READY","",ROUND(P203*Q203*O203,IF(POLICY_APPROVAL!$B$11="Whole MAD",0,2)))</f>
        <v/>
      </c>
      <c r="S203" s="11">
        <f>IF(AND(SETUP!$B$9="READY",T203="READY"),R203,"")</f>
        <v/>
      </c>
      <c r="T203" s="4">
        <f>IF($A203="","",IF(D203&lt;&gt;"READY","BLOCKED - INPUT",IF(E203&lt;&gt;"ELIGIBLE","BLOCKED - ELIGIBILITY",IF(AGENT_INPUT!S203&lt;&gt;"VALIDATED","BLOCKED - DATA",IF(SETUP!$B$9&lt;&gt;"READY","BLOCKED - POLICY","READY")))))</f>
        <v/>
      </c>
      <c r="U203" s="4">
        <f>IF($A203="","",IF(COUNTIFS(AGENT_INPUT!$A$5:$A$254,$A203,AGENT_INPUT!$D$5:$D$254,AGENT_INPUT!D203)&gt;1,"DUPLICATE AGENT + PERIOD",IF(D203&lt;&gt;"READY","INPUT OR CONFIG REVIEW",IF(T203&lt;&gt;"READY",T203,""))))</f>
        <v/>
      </c>
    </row>
    <row r="204" spans="1:21">
      <c r="A204" s="4">
        <f>IF(AGENT_INPUT!A204="","",AGENT_INPUT!A204)</f>
        <v/>
      </c>
      <c r="B204" s="4">
        <f>IF($A204="","",AGENT_INPUT!B204)</f>
        <v/>
      </c>
      <c r="C204" s="4">
        <f>IF($A204="","",AGENT_INPUT!C204)</f>
        <v/>
      </c>
      <c r="D204" s="4">
        <f>IF($A204="","",IF(AND(COUNT(AGENT_INPUT!E204:J204)=6,COUNT(AGENT_INPUT!K204)=1,COUNTIF(BONUS_RULES!$A$5:$A$46,AGENT_INPUT!C204)&gt;0,OR(AGENT_INPUT!O204&gt;0,AND(AGENT_INPUT!M204&gt;0,AGENT_INPUT!N204&gt;0)),AGENT_INPUT!P204&gt;=0,AGENT_INPUT!Q204&gt;0,AGENT_INPUT!P204&lt;=AGENT_INPUT!Q204,AGENT_INPUT!H204&gt;=0,AGENT_INPUT!H204&lt;=1,AGENT_INPUT!I204&gt;=0,AGENT_INPUT!I204&lt;=1,AGENT_INPUT!J204&gt;=0,AGENT_INPUT!J204&lt;=1),"READY","BLOCKED"))</f>
        <v/>
      </c>
      <c r="E204" s="4">
        <f>IF($A204="","",IF(AGENT_INPUT!R204&lt;&gt;"Active","REVIEW",IF(OR(POLICY_APPROVAL!$B$9="Eligibility only",POLICY_APPROVAL!$B$9="Both"),IF(AGENT_INPUT!J204&lt;=SUMIFS(BONUS_RULES!$E$5:$E$46,BONUS_RULES!$A$5:$A$46,$C204,BONUS_RULES!$B$5:$B$46,"Abs%"),"ELIGIBLE","INELIGIBLE ABS"),"ELIGIBLE")))</f>
        <v/>
      </c>
      <c r="F204" s="10">
        <f>IF(OR($A204="",$D204&lt;&gt;"READY"),"",IF(AGENT_INPUT!E204&lt;=SUMIFS(BONUS_RULES!$E$5:$E$46,BONUS_RULES!$A$5:$A$46,$C204,BONUS_RULES!$B$5:$B$46,"AHT"),SUMIFS(BONUS_RULES!$D$5:$D$46,BONUS_RULES!$A$5:$A$46,$C204,BONUS_RULES!$B$5:$B$46,"AHT"),IF(AGENT_INPUT!E204&lt;=SUMIFS(BONUS_RULES!$G$5:$G$46,BONUS_RULES!$A$5:$A$46,$C204,BONUS_RULES!$B$5:$B$46,"AHT"),SUMIFS(BONUS_RULES!$F$5:$F$46,BONUS_RULES!$A$5:$A$46,$C204,BONUS_RULES!$B$5:$B$46,"AHT"),0)))</f>
        <v/>
      </c>
      <c r="G204" s="10">
        <f>IF(OR($A204="",$D204&lt;&gt;"READY"),"",IF(AGENT_INPUT!F204&gt;=SUMIFS(BONUS_RULES!$E$5:$E$46,BONUS_RULES!$A$5:$A$46,$C204,BONUS_RULES!$B$5:$B$46,"Productivity"),SUMIFS(BONUS_RULES!$D$5:$D$46,BONUS_RULES!$A$5:$A$46,$C204,BONUS_RULES!$B$5:$B$46,"Productivity"),IF(AGENT_INPUT!F204&gt;=SUMIFS(BONUS_RULES!$G$5:$G$46,BONUS_RULES!$A$5:$A$46,$C204,BONUS_RULES!$B$5:$B$46,"Productivity"),SUMIFS(BONUS_RULES!$F$5:$F$46,BONUS_RULES!$A$5:$A$46,$C204,BONUS_RULES!$B$5:$B$46,"Productivity"),0)))</f>
        <v/>
      </c>
      <c r="H204" s="10">
        <f>IF(OR($A204="",$D204&lt;&gt;"READY"),"",IF(AGENT_INPUT!G204&gt;=SUMIFS(BONUS_RULES!$E$5:$E$46,BONUS_RULES!$A$5:$A$46,$C204,BONUS_RULES!$B$5:$B$46,"PCS Score"),SUMIFS(BONUS_RULES!$D$5:$D$46,BONUS_RULES!$A$5:$A$46,$C204,BONUS_RULES!$B$5:$B$46,"PCS Score"),IF(AGENT_INPUT!G204&gt;=SUMIFS(BONUS_RULES!$G$5:$G$46,BONUS_RULES!$A$5:$A$46,$C204,BONUS_RULES!$B$5:$B$46,"PCS Score"),SUMIFS(BONUS_RULES!$F$5:$F$46,BONUS_RULES!$A$5:$A$46,$C204,BONUS_RULES!$B$5:$B$46,"PCS Score"),0)))</f>
        <v/>
      </c>
      <c r="I204" s="10">
        <f>IF(OR($A204="",$D204&lt;&gt;"READY"),"",IF(AGENT_INPUT!H204&gt;=SUMIFS(BONUS_RULES!$E$5:$E$46,BONUS_RULES!$A$5:$A$46,$C204,BONUS_RULES!$B$5:$B$46,"PCS % (Participation)"),SUMIFS(BONUS_RULES!$D$5:$D$46,BONUS_RULES!$A$5:$A$46,$C204,BONUS_RULES!$B$5:$B$46,"PCS % (Participation)"),IF(AGENT_INPUT!H204&gt;=SUMIFS(BONUS_RULES!$G$5:$G$46,BONUS_RULES!$A$5:$A$46,$C204,BONUS_RULES!$B$5:$B$46,"PCS % (Participation)"),SUMIFS(BONUS_RULES!$F$5:$F$46,BONUS_RULES!$A$5:$A$46,$C204,BONUS_RULES!$B$5:$B$46,"PCS % (Participation)"),0)))</f>
        <v/>
      </c>
      <c r="J204" s="10">
        <f>IF(OR($A204="",$D204&lt;&gt;"READY"),"",IF(AGENT_INPUT!I204&gt;=SUMIFS(BONUS_RULES!$E$5:$E$46,BONUS_RULES!$A$5:$A$46,$C204,BONUS_RULES!$B$5:$B$46,"QM"),SUMIFS(BONUS_RULES!$D$5:$D$46,BONUS_RULES!$A$5:$A$46,$C204,BONUS_RULES!$B$5:$B$46,"QM"),IF(AGENT_INPUT!I204&gt;=SUMIFS(BONUS_RULES!$G$5:$G$46,BONUS_RULES!$A$5:$A$46,$C204,BONUS_RULES!$B$5:$B$46,"QM"),SUMIFS(BONUS_RULES!$F$5:$F$46,BONUS_RULES!$A$5:$A$46,$C204,BONUS_RULES!$B$5:$B$46,"QM"),0)))</f>
        <v/>
      </c>
      <c r="K204" s="10">
        <f>IF(POLICY_APPROVAL!$B$9="Eligibility only",0,IF(OR($A204="",$D204&lt;&gt;"READY"),"",IF(AGENT_INPUT!J204&lt;=SUMIFS(BONUS_RULES!$E$5:$E$46,BONUS_RULES!$A$5:$A$46,$C204,BONUS_RULES!$B$5:$B$46,"Abs%"),SUMIFS(BONUS_RULES!$D$5:$D$46,BONUS_RULES!$A$5:$A$46,$C204,BONUS_RULES!$B$5:$B$46,"Abs%"),IF(AGENT_INPUT!J204&lt;=SUMIFS(BONUS_RULES!$G$5:$G$46,BONUS_RULES!$A$5:$A$46,$C204,BONUS_RULES!$B$5:$B$46,"Abs%"),SUMIFS(BONUS_RULES!$F$5:$F$46,BONUS_RULES!$A$5:$A$46,$C204,BONUS_RULES!$B$5:$B$46,"Abs%"),0))))</f>
        <v/>
      </c>
      <c r="L204" s="10">
        <f>IF(OR($A204="",$D204&lt;&gt;"READY"),"",IF(AGENT_INPUT!G204&gt;=SUMIFS(BONUS_RULES!$E$5:$E$46,BONUS_RULES!$A$5:$A$46,$C204,BONUS_RULES!$B$5:$B$46,"Extra Bonus (PCS Score)"),SUMIFS(BONUS_RULES!$D$5:$D$46,BONUS_RULES!$A$5:$A$46,$C204,BONUS_RULES!$B$5:$B$46,"Extra Bonus (PCS Score)"),IF(AGENT_INPUT!G204&gt;=SUMIFS(BONUS_RULES!$G$5:$G$46,BONUS_RULES!$A$5:$A$46,$C204,BONUS_RULES!$B$5:$B$46,"Extra Bonus (PCS Score)"),SUMIFS(BONUS_RULES!$F$5:$F$46,BONUS_RULES!$A$5:$A$46,$C204,BONUS_RULES!$B$5:$B$46,"Extra Bonus (PCS Score)"),0)))</f>
        <v/>
      </c>
      <c r="M204" s="10">
        <f>IF($A204="","",MIN(IF(POLICY_APPROVAL!$B$6="Replacement",SUM(F204:K204)-H204+MAX(H204,L204),SUM(F204:L204)),POLICY_APPROVAL!$B$10))</f>
        <v/>
      </c>
      <c r="N204" s="10">
        <f>IF($A204="","",IFERROR(INDEX(BONUS_RULES!$J$5:$J$10,MATCH(MIN(MAX(AGENT_INPUT!K204,0),5),BONUS_RULES!$I$5:$I$10,0)),1))</f>
        <v/>
      </c>
      <c r="O204" s="10">
        <f>IF(M204="","",MAX(0,IF(POLICY_APPROVAL!$B$5="Percentage points",M204-N204,M204*(1-N204))))</f>
        <v/>
      </c>
      <c r="P204" s="11">
        <f>IF(D204&lt;&gt;"READY","",IF(AGENT_INPUT!O204&gt;0,AGENT_INPUT!O204,AGENT_INPUT!M204*AGENT_INPUT!N204/IF(POLICY_APPROVAL!$B$7="Annual",12,1)))</f>
        <v/>
      </c>
      <c r="Q204" s="10">
        <f>IF(D204&lt;&gt;"READY","",MIN(1,AGENT_INPUT!P204/AGENT_INPUT!Q204))</f>
        <v/>
      </c>
      <c r="R204" s="11">
        <f>IF(D204&lt;&gt;"READY","",ROUND(P204*Q204*O204,IF(POLICY_APPROVAL!$B$11="Whole MAD",0,2)))</f>
        <v/>
      </c>
      <c r="S204" s="11">
        <f>IF(AND(SETUP!$B$9="READY",T204="READY"),R204,"")</f>
        <v/>
      </c>
      <c r="T204" s="4">
        <f>IF($A204="","",IF(D204&lt;&gt;"READY","BLOCKED - INPUT",IF(E204&lt;&gt;"ELIGIBLE","BLOCKED - ELIGIBILITY",IF(AGENT_INPUT!S204&lt;&gt;"VALIDATED","BLOCKED - DATA",IF(SETUP!$B$9&lt;&gt;"READY","BLOCKED - POLICY","READY")))))</f>
        <v/>
      </c>
      <c r="U204" s="4">
        <f>IF($A204="","",IF(COUNTIFS(AGENT_INPUT!$A$5:$A$254,$A204,AGENT_INPUT!$D$5:$D$254,AGENT_INPUT!D204)&gt;1,"DUPLICATE AGENT + PERIOD",IF(D204&lt;&gt;"READY","INPUT OR CONFIG REVIEW",IF(T204&lt;&gt;"READY",T204,""))))</f>
        <v/>
      </c>
    </row>
    <row r="205" spans="1:21">
      <c r="A205" s="4">
        <f>IF(AGENT_INPUT!A205="","",AGENT_INPUT!A205)</f>
        <v/>
      </c>
      <c r="B205" s="4">
        <f>IF($A205="","",AGENT_INPUT!B205)</f>
        <v/>
      </c>
      <c r="C205" s="4">
        <f>IF($A205="","",AGENT_INPUT!C205)</f>
        <v/>
      </c>
      <c r="D205" s="4">
        <f>IF($A205="","",IF(AND(COUNT(AGENT_INPUT!E205:J205)=6,COUNT(AGENT_INPUT!K205)=1,COUNTIF(BONUS_RULES!$A$5:$A$46,AGENT_INPUT!C205)&gt;0,OR(AGENT_INPUT!O205&gt;0,AND(AGENT_INPUT!M205&gt;0,AGENT_INPUT!N205&gt;0)),AGENT_INPUT!P205&gt;=0,AGENT_INPUT!Q205&gt;0,AGENT_INPUT!P205&lt;=AGENT_INPUT!Q205,AGENT_INPUT!H205&gt;=0,AGENT_INPUT!H205&lt;=1,AGENT_INPUT!I205&gt;=0,AGENT_INPUT!I205&lt;=1,AGENT_INPUT!J205&gt;=0,AGENT_INPUT!J205&lt;=1),"READY","BLOCKED"))</f>
        <v/>
      </c>
      <c r="E205" s="4">
        <f>IF($A205="","",IF(AGENT_INPUT!R205&lt;&gt;"Active","REVIEW",IF(OR(POLICY_APPROVAL!$B$9="Eligibility only",POLICY_APPROVAL!$B$9="Both"),IF(AGENT_INPUT!J205&lt;=SUMIFS(BONUS_RULES!$E$5:$E$46,BONUS_RULES!$A$5:$A$46,$C205,BONUS_RULES!$B$5:$B$46,"Abs%"),"ELIGIBLE","INELIGIBLE ABS"),"ELIGIBLE")))</f>
        <v/>
      </c>
      <c r="F205" s="10">
        <f>IF(OR($A205="",$D205&lt;&gt;"READY"),"",IF(AGENT_INPUT!E205&lt;=SUMIFS(BONUS_RULES!$E$5:$E$46,BONUS_RULES!$A$5:$A$46,$C205,BONUS_RULES!$B$5:$B$46,"AHT"),SUMIFS(BONUS_RULES!$D$5:$D$46,BONUS_RULES!$A$5:$A$46,$C205,BONUS_RULES!$B$5:$B$46,"AHT"),IF(AGENT_INPUT!E205&lt;=SUMIFS(BONUS_RULES!$G$5:$G$46,BONUS_RULES!$A$5:$A$46,$C205,BONUS_RULES!$B$5:$B$46,"AHT"),SUMIFS(BONUS_RULES!$F$5:$F$46,BONUS_RULES!$A$5:$A$46,$C205,BONUS_RULES!$B$5:$B$46,"AHT"),0)))</f>
        <v/>
      </c>
      <c r="G205" s="10">
        <f>IF(OR($A205="",$D205&lt;&gt;"READY"),"",IF(AGENT_INPUT!F205&gt;=SUMIFS(BONUS_RULES!$E$5:$E$46,BONUS_RULES!$A$5:$A$46,$C205,BONUS_RULES!$B$5:$B$46,"Productivity"),SUMIFS(BONUS_RULES!$D$5:$D$46,BONUS_RULES!$A$5:$A$46,$C205,BONUS_RULES!$B$5:$B$46,"Productivity"),IF(AGENT_INPUT!F205&gt;=SUMIFS(BONUS_RULES!$G$5:$G$46,BONUS_RULES!$A$5:$A$46,$C205,BONUS_RULES!$B$5:$B$46,"Productivity"),SUMIFS(BONUS_RULES!$F$5:$F$46,BONUS_RULES!$A$5:$A$46,$C205,BONUS_RULES!$B$5:$B$46,"Productivity"),0)))</f>
        <v/>
      </c>
      <c r="H205" s="10">
        <f>IF(OR($A205="",$D205&lt;&gt;"READY"),"",IF(AGENT_INPUT!G205&gt;=SUMIFS(BONUS_RULES!$E$5:$E$46,BONUS_RULES!$A$5:$A$46,$C205,BONUS_RULES!$B$5:$B$46,"PCS Score"),SUMIFS(BONUS_RULES!$D$5:$D$46,BONUS_RULES!$A$5:$A$46,$C205,BONUS_RULES!$B$5:$B$46,"PCS Score"),IF(AGENT_INPUT!G205&gt;=SUMIFS(BONUS_RULES!$G$5:$G$46,BONUS_RULES!$A$5:$A$46,$C205,BONUS_RULES!$B$5:$B$46,"PCS Score"),SUMIFS(BONUS_RULES!$F$5:$F$46,BONUS_RULES!$A$5:$A$46,$C205,BONUS_RULES!$B$5:$B$46,"PCS Score"),0)))</f>
        <v/>
      </c>
      <c r="I205" s="10">
        <f>IF(OR($A205="",$D205&lt;&gt;"READY"),"",IF(AGENT_INPUT!H205&gt;=SUMIFS(BONUS_RULES!$E$5:$E$46,BONUS_RULES!$A$5:$A$46,$C205,BONUS_RULES!$B$5:$B$46,"PCS % (Participation)"),SUMIFS(BONUS_RULES!$D$5:$D$46,BONUS_RULES!$A$5:$A$46,$C205,BONUS_RULES!$B$5:$B$46,"PCS % (Participation)"),IF(AGENT_INPUT!H205&gt;=SUMIFS(BONUS_RULES!$G$5:$G$46,BONUS_RULES!$A$5:$A$46,$C205,BONUS_RULES!$B$5:$B$46,"PCS % (Participation)"),SUMIFS(BONUS_RULES!$F$5:$F$46,BONUS_RULES!$A$5:$A$46,$C205,BONUS_RULES!$B$5:$B$46,"PCS % (Participation)"),0)))</f>
        <v/>
      </c>
      <c r="J205" s="10">
        <f>IF(OR($A205="",$D205&lt;&gt;"READY"),"",IF(AGENT_INPUT!I205&gt;=SUMIFS(BONUS_RULES!$E$5:$E$46,BONUS_RULES!$A$5:$A$46,$C205,BONUS_RULES!$B$5:$B$46,"QM"),SUMIFS(BONUS_RULES!$D$5:$D$46,BONUS_RULES!$A$5:$A$46,$C205,BONUS_RULES!$B$5:$B$46,"QM"),IF(AGENT_INPUT!I205&gt;=SUMIFS(BONUS_RULES!$G$5:$G$46,BONUS_RULES!$A$5:$A$46,$C205,BONUS_RULES!$B$5:$B$46,"QM"),SUMIFS(BONUS_RULES!$F$5:$F$46,BONUS_RULES!$A$5:$A$46,$C205,BONUS_RULES!$B$5:$B$46,"QM"),0)))</f>
        <v/>
      </c>
      <c r="K205" s="10">
        <f>IF(POLICY_APPROVAL!$B$9="Eligibility only",0,IF(OR($A205="",$D205&lt;&gt;"READY"),"",IF(AGENT_INPUT!J205&lt;=SUMIFS(BONUS_RULES!$E$5:$E$46,BONUS_RULES!$A$5:$A$46,$C205,BONUS_RULES!$B$5:$B$46,"Abs%"),SUMIFS(BONUS_RULES!$D$5:$D$46,BONUS_RULES!$A$5:$A$46,$C205,BONUS_RULES!$B$5:$B$46,"Abs%"),IF(AGENT_INPUT!J205&lt;=SUMIFS(BONUS_RULES!$G$5:$G$46,BONUS_RULES!$A$5:$A$46,$C205,BONUS_RULES!$B$5:$B$46,"Abs%"),SUMIFS(BONUS_RULES!$F$5:$F$46,BONUS_RULES!$A$5:$A$46,$C205,BONUS_RULES!$B$5:$B$46,"Abs%"),0))))</f>
        <v/>
      </c>
      <c r="L205" s="10">
        <f>IF(OR($A205="",$D205&lt;&gt;"READY"),"",IF(AGENT_INPUT!G205&gt;=SUMIFS(BONUS_RULES!$E$5:$E$46,BONUS_RULES!$A$5:$A$46,$C205,BONUS_RULES!$B$5:$B$46,"Extra Bonus (PCS Score)"),SUMIFS(BONUS_RULES!$D$5:$D$46,BONUS_RULES!$A$5:$A$46,$C205,BONUS_RULES!$B$5:$B$46,"Extra Bonus (PCS Score)"),IF(AGENT_INPUT!G205&gt;=SUMIFS(BONUS_RULES!$G$5:$G$46,BONUS_RULES!$A$5:$A$46,$C205,BONUS_RULES!$B$5:$B$46,"Extra Bonus (PCS Score)"),SUMIFS(BONUS_RULES!$F$5:$F$46,BONUS_RULES!$A$5:$A$46,$C205,BONUS_RULES!$B$5:$B$46,"Extra Bonus (PCS Score)"),0)))</f>
        <v/>
      </c>
      <c r="M205" s="10">
        <f>IF($A205="","",MIN(IF(POLICY_APPROVAL!$B$6="Replacement",SUM(F205:K205)-H205+MAX(H205,L205),SUM(F205:L205)),POLICY_APPROVAL!$B$10))</f>
        <v/>
      </c>
      <c r="N205" s="10">
        <f>IF($A205="","",IFERROR(INDEX(BONUS_RULES!$J$5:$J$10,MATCH(MIN(MAX(AGENT_INPUT!K205,0),5),BONUS_RULES!$I$5:$I$10,0)),1))</f>
        <v/>
      </c>
      <c r="O205" s="10">
        <f>IF(M205="","",MAX(0,IF(POLICY_APPROVAL!$B$5="Percentage points",M205-N205,M205*(1-N205))))</f>
        <v/>
      </c>
      <c r="P205" s="11">
        <f>IF(D205&lt;&gt;"READY","",IF(AGENT_INPUT!O205&gt;0,AGENT_INPUT!O205,AGENT_INPUT!M205*AGENT_INPUT!N205/IF(POLICY_APPROVAL!$B$7="Annual",12,1)))</f>
        <v/>
      </c>
      <c r="Q205" s="10">
        <f>IF(D205&lt;&gt;"READY","",MIN(1,AGENT_INPUT!P205/AGENT_INPUT!Q205))</f>
        <v/>
      </c>
      <c r="R205" s="11">
        <f>IF(D205&lt;&gt;"READY","",ROUND(P205*Q205*O205,IF(POLICY_APPROVAL!$B$11="Whole MAD",0,2)))</f>
        <v/>
      </c>
      <c r="S205" s="11">
        <f>IF(AND(SETUP!$B$9="READY",T205="READY"),R205,"")</f>
        <v/>
      </c>
      <c r="T205" s="4">
        <f>IF($A205="","",IF(D205&lt;&gt;"READY","BLOCKED - INPUT",IF(E205&lt;&gt;"ELIGIBLE","BLOCKED - ELIGIBILITY",IF(AGENT_INPUT!S205&lt;&gt;"VALIDATED","BLOCKED - DATA",IF(SETUP!$B$9&lt;&gt;"READY","BLOCKED - POLICY","READY")))))</f>
        <v/>
      </c>
      <c r="U205" s="4">
        <f>IF($A205="","",IF(COUNTIFS(AGENT_INPUT!$A$5:$A$254,$A205,AGENT_INPUT!$D$5:$D$254,AGENT_INPUT!D205)&gt;1,"DUPLICATE AGENT + PERIOD",IF(D205&lt;&gt;"READY","INPUT OR CONFIG REVIEW",IF(T205&lt;&gt;"READY",T205,""))))</f>
        <v/>
      </c>
    </row>
    <row r="206" spans="1:21">
      <c r="A206" s="4">
        <f>IF(AGENT_INPUT!A206="","",AGENT_INPUT!A206)</f>
        <v/>
      </c>
      <c r="B206" s="4">
        <f>IF($A206="","",AGENT_INPUT!B206)</f>
        <v/>
      </c>
      <c r="C206" s="4">
        <f>IF($A206="","",AGENT_INPUT!C206)</f>
        <v/>
      </c>
      <c r="D206" s="4">
        <f>IF($A206="","",IF(AND(COUNT(AGENT_INPUT!E206:J206)=6,COUNT(AGENT_INPUT!K206)=1,COUNTIF(BONUS_RULES!$A$5:$A$46,AGENT_INPUT!C206)&gt;0,OR(AGENT_INPUT!O206&gt;0,AND(AGENT_INPUT!M206&gt;0,AGENT_INPUT!N206&gt;0)),AGENT_INPUT!P206&gt;=0,AGENT_INPUT!Q206&gt;0,AGENT_INPUT!P206&lt;=AGENT_INPUT!Q206,AGENT_INPUT!H206&gt;=0,AGENT_INPUT!H206&lt;=1,AGENT_INPUT!I206&gt;=0,AGENT_INPUT!I206&lt;=1,AGENT_INPUT!J206&gt;=0,AGENT_INPUT!J206&lt;=1),"READY","BLOCKED"))</f>
        <v/>
      </c>
      <c r="E206" s="4">
        <f>IF($A206="","",IF(AGENT_INPUT!R206&lt;&gt;"Active","REVIEW",IF(OR(POLICY_APPROVAL!$B$9="Eligibility only",POLICY_APPROVAL!$B$9="Both"),IF(AGENT_INPUT!J206&lt;=SUMIFS(BONUS_RULES!$E$5:$E$46,BONUS_RULES!$A$5:$A$46,$C206,BONUS_RULES!$B$5:$B$46,"Abs%"),"ELIGIBLE","INELIGIBLE ABS"),"ELIGIBLE")))</f>
        <v/>
      </c>
      <c r="F206" s="10">
        <f>IF(OR($A206="",$D206&lt;&gt;"READY"),"",IF(AGENT_INPUT!E206&lt;=SUMIFS(BONUS_RULES!$E$5:$E$46,BONUS_RULES!$A$5:$A$46,$C206,BONUS_RULES!$B$5:$B$46,"AHT"),SUMIFS(BONUS_RULES!$D$5:$D$46,BONUS_RULES!$A$5:$A$46,$C206,BONUS_RULES!$B$5:$B$46,"AHT"),IF(AGENT_INPUT!E206&lt;=SUMIFS(BONUS_RULES!$G$5:$G$46,BONUS_RULES!$A$5:$A$46,$C206,BONUS_RULES!$B$5:$B$46,"AHT"),SUMIFS(BONUS_RULES!$F$5:$F$46,BONUS_RULES!$A$5:$A$46,$C206,BONUS_RULES!$B$5:$B$46,"AHT"),0)))</f>
        <v/>
      </c>
      <c r="G206" s="10">
        <f>IF(OR($A206="",$D206&lt;&gt;"READY"),"",IF(AGENT_INPUT!F206&gt;=SUMIFS(BONUS_RULES!$E$5:$E$46,BONUS_RULES!$A$5:$A$46,$C206,BONUS_RULES!$B$5:$B$46,"Productivity"),SUMIFS(BONUS_RULES!$D$5:$D$46,BONUS_RULES!$A$5:$A$46,$C206,BONUS_RULES!$B$5:$B$46,"Productivity"),IF(AGENT_INPUT!F206&gt;=SUMIFS(BONUS_RULES!$G$5:$G$46,BONUS_RULES!$A$5:$A$46,$C206,BONUS_RULES!$B$5:$B$46,"Productivity"),SUMIFS(BONUS_RULES!$F$5:$F$46,BONUS_RULES!$A$5:$A$46,$C206,BONUS_RULES!$B$5:$B$46,"Productivity"),0)))</f>
        <v/>
      </c>
      <c r="H206" s="10">
        <f>IF(OR($A206="",$D206&lt;&gt;"READY"),"",IF(AGENT_INPUT!G206&gt;=SUMIFS(BONUS_RULES!$E$5:$E$46,BONUS_RULES!$A$5:$A$46,$C206,BONUS_RULES!$B$5:$B$46,"PCS Score"),SUMIFS(BONUS_RULES!$D$5:$D$46,BONUS_RULES!$A$5:$A$46,$C206,BONUS_RULES!$B$5:$B$46,"PCS Score"),IF(AGENT_INPUT!G206&gt;=SUMIFS(BONUS_RULES!$G$5:$G$46,BONUS_RULES!$A$5:$A$46,$C206,BONUS_RULES!$B$5:$B$46,"PCS Score"),SUMIFS(BONUS_RULES!$F$5:$F$46,BONUS_RULES!$A$5:$A$46,$C206,BONUS_RULES!$B$5:$B$46,"PCS Score"),0)))</f>
        <v/>
      </c>
      <c r="I206" s="10">
        <f>IF(OR($A206="",$D206&lt;&gt;"READY"),"",IF(AGENT_INPUT!H206&gt;=SUMIFS(BONUS_RULES!$E$5:$E$46,BONUS_RULES!$A$5:$A$46,$C206,BONUS_RULES!$B$5:$B$46,"PCS % (Participation)"),SUMIFS(BONUS_RULES!$D$5:$D$46,BONUS_RULES!$A$5:$A$46,$C206,BONUS_RULES!$B$5:$B$46,"PCS % (Participation)"),IF(AGENT_INPUT!H206&gt;=SUMIFS(BONUS_RULES!$G$5:$G$46,BONUS_RULES!$A$5:$A$46,$C206,BONUS_RULES!$B$5:$B$46,"PCS % (Participation)"),SUMIFS(BONUS_RULES!$F$5:$F$46,BONUS_RULES!$A$5:$A$46,$C206,BONUS_RULES!$B$5:$B$46,"PCS % (Participation)"),0)))</f>
        <v/>
      </c>
      <c r="J206" s="10">
        <f>IF(OR($A206="",$D206&lt;&gt;"READY"),"",IF(AGENT_INPUT!I206&gt;=SUMIFS(BONUS_RULES!$E$5:$E$46,BONUS_RULES!$A$5:$A$46,$C206,BONUS_RULES!$B$5:$B$46,"QM"),SUMIFS(BONUS_RULES!$D$5:$D$46,BONUS_RULES!$A$5:$A$46,$C206,BONUS_RULES!$B$5:$B$46,"QM"),IF(AGENT_INPUT!I206&gt;=SUMIFS(BONUS_RULES!$G$5:$G$46,BONUS_RULES!$A$5:$A$46,$C206,BONUS_RULES!$B$5:$B$46,"QM"),SUMIFS(BONUS_RULES!$F$5:$F$46,BONUS_RULES!$A$5:$A$46,$C206,BONUS_RULES!$B$5:$B$46,"QM"),0)))</f>
        <v/>
      </c>
      <c r="K206" s="10">
        <f>IF(POLICY_APPROVAL!$B$9="Eligibility only",0,IF(OR($A206="",$D206&lt;&gt;"READY"),"",IF(AGENT_INPUT!J206&lt;=SUMIFS(BONUS_RULES!$E$5:$E$46,BONUS_RULES!$A$5:$A$46,$C206,BONUS_RULES!$B$5:$B$46,"Abs%"),SUMIFS(BONUS_RULES!$D$5:$D$46,BONUS_RULES!$A$5:$A$46,$C206,BONUS_RULES!$B$5:$B$46,"Abs%"),IF(AGENT_INPUT!J206&lt;=SUMIFS(BONUS_RULES!$G$5:$G$46,BONUS_RULES!$A$5:$A$46,$C206,BONUS_RULES!$B$5:$B$46,"Abs%"),SUMIFS(BONUS_RULES!$F$5:$F$46,BONUS_RULES!$A$5:$A$46,$C206,BONUS_RULES!$B$5:$B$46,"Abs%"),0))))</f>
        <v/>
      </c>
      <c r="L206" s="10">
        <f>IF(OR($A206="",$D206&lt;&gt;"READY"),"",IF(AGENT_INPUT!G206&gt;=SUMIFS(BONUS_RULES!$E$5:$E$46,BONUS_RULES!$A$5:$A$46,$C206,BONUS_RULES!$B$5:$B$46,"Extra Bonus (PCS Score)"),SUMIFS(BONUS_RULES!$D$5:$D$46,BONUS_RULES!$A$5:$A$46,$C206,BONUS_RULES!$B$5:$B$46,"Extra Bonus (PCS Score)"),IF(AGENT_INPUT!G206&gt;=SUMIFS(BONUS_RULES!$G$5:$G$46,BONUS_RULES!$A$5:$A$46,$C206,BONUS_RULES!$B$5:$B$46,"Extra Bonus (PCS Score)"),SUMIFS(BONUS_RULES!$F$5:$F$46,BONUS_RULES!$A$5:$A$46,$C206,BONUS_RULES!$B$5:$B$46,"Extra Bonus (PCS Score)"),0)))</f>
        <v/>
      </c>
      <c r="M206" s="10">
        <f>IF($A206="","",MIN(IF(POLICY_APPROVAL!$B$6="Replacement",SUM(F206:K206)-H206+MAX(H206,L206),SUM(F206:L206)),POLICY_APPROVAL!$B$10))</f>
        <v/>
      </c>
      <c r="N206" s="10">
        <f>IF($A206="","",IFERROR(INDEX(BONUS_RULES!$J$5:$J$10,MATCH(MIN(MAX(AGENT_INPUT!K206,0),5),BONUS_RULES!$I$5:$I$10,0)),1))</f>
        <v/>
      </c>
      <c r="O206" s="10">
        <f>IF(M206="","",MAX(0,IF(POLICY_APPROVAL!$B$5="Percentage points",M206-N206,M206*(1-N206))))</f>
        <v/>
      </c>
      <c r="P206" s="11">
        <f>IF(D206&lt;&gt;"READY","",IF(AGENT_INPUT!O206&gt;0,AGENT_INPUT!O206,AGENT_INPUT!M206*AGENT_INPUT!N206/IF(POLICY_APPROVAL!$B$7="Annual",12,1)))</f>
        <v/>
      </c>
      <c r="Q206" s="10">
        <f>IF(D206&lt;&gt;"READY","",MIN(1,AGENT_INPUT!P206/AGENT_INPUT!Q206))</f>
        <v/>
      </c>
      <c r="R206" s="11">
        <f>IF(D206&lt;&gt;"READY","",ROUND(P206*Q206*O206,IF(POLICY_APPROVAL!$B$11="Whole MAD",0,2)))</f>
        <v/>
      </c>
      <c r="S206" s="11">
        <f>IF(AND(SETUP!$B$9="READY",T206="READY"),R206,"")</f>
        <v/>
      </c>
      <c r="T206" s="4">
        <f>IF($A206="","",IF(D206&lt;&gt;"READY","BLOCKED - INPUT",IF(E206&lt;&gt;"ELIGIBLE","BLOCKED - ELIGIBILITY",IF(AGENT_INPUT!S206&lt;&gt;"VALIDATED","BLOCKED - DATA",IF(SETUP!$B$9&lt;&gt;"READY","BLOCKED - POLICY","READY")))))</f>
        <v/>
      </c>
      <c r="U206" s="4">
        <f>IF($A206="","",IF(COUNTIFS(AGENT_INPUT!$A$5:$A$254,$A206,AGENT_INPUT!$D$5:$D$254,AGENT_INPUT!D206)&gt;1,"DUPLICATE AGENT + PERIOD",IF(D206&lt;&gt;"READY","INPUT OR CONFIG REVIEW",IF(T206&lt;&gt;"READY",T206,""))))</f>
        <v/>
      </c>
    </row>
    <row r="207" spans="1:21">
      <c r="A207" s="4">
        <f>IF(AGENT_INPUT!A207="","",AGENT_INPUT!A207)</f>
        <v/>
      </c>
      <c r="B207" s="4">
        <f>IF($A207="","",AGENT_INPUT!B207)</f>
        <v/>
      </c>
      <c r="C207" s="4">
        <f>IF($A207="","",AGENT_INPUT!C207)</f>
        <v/>
      </c>
      <c r="D207" s="4">
        <f>IF($A207="","",IF(AND(COUNT(AGENT_INPUT!E207:J207)=6,COUNT(AGENT_INPUT!K207)=1,COUNTIF(BONUS_RULES!$A$5:$A$46,AGENT_INPUT!C207)&gt;0,OR(AGENT_INPUT!O207&gt;0,AND(AGENT_INPUT!M207&gt;0,AGENT_INPUT!N207&gt;0)),AGENT_INPUT!P207&gt;=0,AGENT_INPUT!Q207&gt;0,AGENT_INPUT!P207&lt;=AGENT_INPUT!Q207,AGENT_INPUT!H207&gt;=0,AGENT_INPUT!H207&lt;=1,AGENT_INPUT!I207&gt;=0,AGENT_INPUT!I207&lt;=1,AGENT_INPUT!J207&gt;=0,AGENT_INPUT!J207&lt;=1),"READY","BLOCKED"))</f>
        <v/>
      </c>
      <c r="E207" s="4">
        <f>IF($A207="","",IF(AGENT_INPUT!R207&lt;&gt;"Active","REVIEW",IF(OR(POLICY_APPROVAL!$B$9="Eligibility only",POLICY_APPROVAL!$B$9="Both"),IF(AGENT_INPUT!J207&lt;=SUMIFS(BONUS_RULES!$E$5:$E$46,BONUS_RULES!$A$5:$A$46,$C207,BONUS_RULES!$B$5:$B$46,"Abs%"),"ELIGIBLE","INELIGIBLE ABS"),"ELIGIBLE")))</f>
        <v/>
      </c>
      <c r="F207" s="10">
        <f>IF(OR($A207="",$D207&lt;&gt;"READY"),"",IF(AGENT_INPUT!E207&lt;=SUMIFS(BONUS_RULES!$E$5:$E$46,BONUS_RULES!$A$5:$A$46,$C207,BONUS_RULES!$B$5:$B$46,"AHT"),SUMIFS(BONUS_RULES!$D$5:$D$46,BONUS_RULES!$A$5:$A$46,$C207,BONUS_RULES!$B$5:$B$46,"AHT"),IF(AGENT_INPUT!E207&lt;=SUMIFS(BONUS_RULES!$G$5:$G$46,BONUS_RULES!$A$5:$A$46,$C207,BONUS_RULES!$B$5:$B$46,"AHT"),SUMIFS(BONUS_RULES!$F$5:$F$46,BONUS_RULES!$A$5:$A$46,$C207,BONUS_RULES!$B$5:$B$46,"AHT"),0)))</f>
        <v/>
      </c>
      <c r="G207" s="10">
        <f>IF(OR($A207="",$D207&lt;&gt;"READY"),"",IF(AGENT_INPUT!F207&gt;=SUMIFS(BONUS_RULES!$E$5:$E$46,BONUS_RULES!$A$5:$A$46,$C207,BONUS_RULES!$B$5:$B$46,"Productivity"),SUMIFS(BONUS_RULES!$D$5:$D$46,BONUS_RULES!$A$5:$A$46,$C207,BONUS_RULES!$B$5:$B$46,"Productivity"),IF(AGENT_INPUT!F207&gt;=SUMIFS(BONUS_RULES!$G$5:$G$46,BONUS_RULES!$A$5:$A$46,$C207,BONUS_RULES!$B$5:$B$46,"Productivity"),SUMIFS(BONUS_RULES!$F$5:$F$46,BONUS_RULES!$A$5:$A$46,$C207,BONUS_RULES!$B$5:$B$46,"Productivity"),0)))</f>
        <v/>
      </c>
      <c r="H207" s="10">
        <f>IF(OR($A207="",$D207&lt;&gt;"READY"),"",IF(AGENT_INPUT!G207&gt;=SUMIFS(BONUS_RULES!$E$5:$E$46,BONUS_RULES!$A$5:$A$46,$C207,BONUS_RULES!$B$5:$B$46,"PCS Score"),SUMIFS(BONUS_RULES!$D$5:$D$46,BONUS_RULES!$A$5:$A$46,$C207,BONUS_RULES!$B$5:$B$46,"PCS Score"),IF(AGENT_INPUT!G207&gt;=SUMIFS(BONUS_RULES!$G$5:$G$46,BONUS_RULES!$A$5:$A$46,$C207,BONUS_RULES!$B$5:$B$46,"PCS Score"),SUMIFS(BONUS_RULES!$F$5:$F$46,BONUS_RULES!$A$5:$A$46,$C207,BONUS_RULES!$B$5:$B$46,"PCS Score"),0)))</f>
        <v/>
      </c>
      <c r="I207" s="10">
        <f>IF(OR($A207="",$D207&lt;&gt;"READY"),"",IF(AGENT_INPUT!H207&gt;=SUMIFS(BONUS_RULES!$E$5:$E$46,BONUS_RULES!$A$5:$A$46,$C207,BONUS_RULES!$B$5:$B$46,"PCS % (Participation)"),SUMIFS(BONUS_RULES!$D$5:$D$46,BONUS_RULES!$A$5:$A$46,$C207,BONUS_RULES!$B$5:$B$46,"PCS % (Participation)"),IF(AGENT_INPUT!H207&gt;=SUMIFS(BONUS_RULES!$G$5:$G$46,BONUS_RULES!$A$5:$A$46,$C207,BONUS_RULES!$B$5:$B$46,"PCS % (Participation)"),SUMIFS(BONUS_RULES!$F$5:$F$46,BONUS_RULES!$A$5:$A$46,$C207,BONUS_RULES!$B$5:$B$46,"PCS % (Participation)"),0)))</f>
        <v/>
      </c>
      <c r="J207" s="10">
        <f>IF(OR($A207="",$D207&lt;&gt;"READY"),"",IF(AGENT_INPUT!I207&gt;=SUMIFS(BONUS_RULES!$E$5:$E$46,BONUS_RULES!$A$5:$A$46,$C207,BONUS_RULES!$B$5:$B$46,"QM"),SUMIFS(BONUS_RULES!$D$5:$D$46,BONUS_RULES!$A$5:$A$46,$C207,BONUS_RULES!$B$5:$B$46,"QM"),IF(AGENT_INPUT!I207&gt;=SUMIFS(BONUS_RULES!$G$5:$G$46,BONUS_RULES!$A$5:$A$46,$C207,BONUS_RULES!$B$5:$B$46,"QM"),SUMIFS(BONUS_RULES!$F$5:$F$46,BONUS_RULES!$A$5:$A$46,$C207,BONUS_RULES!$B$5:$B$46,"QM"),0)))</f>
        <v/>
      </c>
      <c r="K207" s="10">
        <f>IF(POLICY_APPROVAL!$B$9="Eligibility only",0,IF(OR($A207="",$D207&lt;&gt;"READY"),"",IF(AGENT_INPUT!J207&lt;=SUMIFS(BONUS_RULES!$E$5:$E$46,BONUS_RULES!$A$5:$A$46,$C207,BONUS_RULES!$B$5:$B$46,"Abs%"),SUMIFS(BONUS_RULES!$D$5:$D$46,BONUS_RULES!$A$5:$A$46,$C207,BONUS_RULES!$B$5:$B$46,"Abs%"),IF(AGENT_INPUT!J207&lt;=SUMIFS(BONUS_RULES!$G$5:$G$46,BONUS_RULES!$A$5:$A$46,$C207,BONUS_RULES!$B$5:$B$46,"Abs%"),SUMIFS(BONUS_RULES!$F$5:$F$46,BONUS_RULES!$A$5:$A$46,$C207,BONUS_RULES!$B$5:$B$46,"Abs%"),0))))</f>
        <v/>
      </c>
      <c r="L207" s="10">
        <f>IF(OR($A207="",$D207&lt;&gt;"READY"),"",IF(AGENT_INPUT!G207&gt;=SUMIFS(BONUS_RULES!$E$5:$E$46,BONUS_RULES!$A$5:$A$46,$C207,BONUS_RULES!$B$5:$B$46,"Extra Bonus (PCS Score)"),SUMIFS(BONUS_RULES!$D$5:$D$46,BONUS_RULES!$A$5:$A$46,$C207,BONUS_RULES!$B$5:$B$46,"Extra Bonus (PCS Score)"),IF(AGENT_INPUT!G207&gt;=SUMIFS(BONUS_RULES!$G$5:$G$46,BONUS_RULES!$A$5:$A$46,$C207,BONUS_RULES!$B$5:$B$46,"Extra Bonus (PCS Score)"),SUMIFS(BONUS_RULES!$F$5:$F$46,BONUS_RULES!$A$5:$A$46,$C207,BONUS_RULES!$B$5:$B$46,"Extra Bonus (PCS Score)"),0)))</f>
        <v/>
      </c>
      <c r="M207" s="10">
        <f>IF($A207="","",MIN(IF(POLICY_APPROVAL!$B$6="Replacement",SUM(F207:K207)-H207+MAX(H207,L207),SUM(F207:L207)),POLICY_APPROVAL!$B$10))</f>
        <v/>
      </c>
      <c r="N207" s="10">
        <f>IF($A207="","",IFERROR(INDEX(BONUS_RULES!$J$5:$J$10,MATCH(MIN(MAX(AGENT_INPUT!K207,0),5),BONUS_RULES!$I$5:$I$10,0)),1))</f>
        <v/>
      </c>
      <c r="O207" s="10">
        <f>IF(M207="","",MAX(0,IF(POLICY_APPROVAL!$B$5="Percentage points",M207-N207,M207*(1-N207))))</f>
        <v/>
      </c>
      <c r="P207" s="11">
        <f>IF(D207&lt;&gt;"READY","",IF(AGENT_INPUT!O207&gt;0,AGENT_INPUT!O207,AGENT_INPUT!M207*AGENT_INPUT!N207/IF(POLICY_APPROVAL!$B$7="Annual",12,1)))</f>
        <v/>
      </c>
      <c r="Q207" s="10">
        <f>IF(D207&lt;&gt;"READY","",MIN(1,AGENT_INPUT!P207/AGENT_INPUT!Q207))</f>
        <v/>
      </c>
      <c r="R207" s="11">
        <f>IF(D207&lt;&gt;"READY","",ROUND(P207*Q207*O207,IF(POLICY_APPROVAL!$B$11="Whole MAD",0,2)))</f>
        <v/>
      </c>
      <c r="S207" s="11">
        <f>IF(AND(SETUP!$B$9="READY",T207="READY"),R207,"")</f>
        <v/>
      </c>
      <c r="T207" s="4">
        <f>IF($A207="","",IF(D207&lt;&gt;"READY","BLOCKED - INPUT",IF(E207&lt;&gt;"ELIGIBLE","BLOCKED - ELIGIBILITY",IF(AGENT_INPUT!S207&lt;&gt;"VALIDATED","BLOCKED - DATA",IF(SETUP!$B$9&lt;&gt;"READY","BLOCKED - POLICY","READY")))))</f>
        <v/>
      </c>
      <c r="U207" s="4">
        <f>IF($A207="","",IF(COUNTIFS(AGENT_INPUT!$A$5:$A$254,$A207,AGENT_INPUT!$D$5:$D$254,AGENT_INPUT!D207)&gt;1,"DUPLICATE AGENT + PERIOD",IF(D207&lt;&gt;"READY","INPUT OR CONFIG REVIEW",IF(T207&lt;&gt;"READY",T207,""))))</f>
        <v/>
      </c>
    </row>
    <row r="208" spans="1:21">
      <c r="A208" s="4">
        <f>IF(AGENT_INPUT!A208="","",AGENT_INPUT!A208)</f>
        <v/>
      </c>
      <c r="B208" s="4">
        <f>IF($A208="","",AGENT_INPUT!B208)</f>
        <v/>
      </c>
      <c r="C208" s="4">
        <f>IF($A208="","",AGENT_INPUT!C208)</f>
        <v/>
      </c>
      <c r="D208" s="4">
        <f>IF($A208="","",IF(AND(COUNT(AGENT_INPUT!E208:J208)=6,COUNT(AGENT_INPUT!K208)=1,COUNTIF(BONUS_RULES!$A$5:$A$46,AGENT_INPUT!C208)&gt;0,OR(AGENT_INPUT!O208&gt;0,AND(AGENT_INPUT!M208&gt;0,AGENT_INPUT!N208&gt;0)),AGENT_INPUT!P208&gt;=0,AGENT_INPUT!Q208&gt;0,AGENT_INPUT!P208&lt;=AGENT_INPUT!Q208,AGENT_INPUT!H208&gt;=0,AGENT_INPUT!H208&lt;=1,AGENT_INPUT!I208&gt;=0,AGENT_INPUT!I208&lt;=1,AGENT_INPUT!J208&gt;=0,AGENT_INPUT!J208&lt;=1),"READY","BLOCKED"))</f>
        <v/>
      </c>
      <c r="E208" s="4">
        <f>IF($A208="","",IF(AGENT_INPUT!R208&lt;&gt;"Active","REVIEW",IF(OR(POLICY_APPROVAL!$B$9="Eligibility only",POLICY_APPROVAL!$B$9="Both"),IF(AGENT_INPUT!J208&lt;=SUMIFS(BONUS_RULES!$E$5:$E$46,BONUS_RULES!$A$5:$A$46,$C208,BONUS_RULES!$B$5:$B$46,"Abs%"),"ELIGIBLE","INELIGIBLE ABS"),"ELIGIBLE")))</f>
        <v/>
      </c>
      <c r="F208" s="10">
        <f>IF(OR($A208="",$D208&lt;&gt;"READY"),"",IF(AGENT_INPUT!E208&lt;=SUMIFS(BONUS_RULES!$E$5:$E$46,BONUS_RULES!$A$5:$A$46,$C208,BONUS_RULES!$B$5:$B$46,"AHT"),SUMIFS(BONUS_RULES!$D$5:$D$46,BONUS_RULES!$A$5:$A$46,$C208,BONUS_RULES!$B$5:$B$46,"AHT"),IF(AGENT_INPUT!E208&lt;=SUMIFS(BONUS_RULES!$G$5:$G$46,BONUS_RULES!$A$5:$A$46,$C208,BONUS_RULES!$B$5:$B$46,"AHT"),SUMIFS(BONUS_RULES!$F$5:$F$46,BONUS_RULES!$A$5:$A$46,$C208,BONUS_RULES!$B$5:$B$46,"AHT"),0)))</f>
        <v/>
      </c>
      <c r="G208" s="10">
        <f>IF(OR($A208="",$D208&lt;&gt;"READY"),"",IF(AGENT_INPUT!F208&gt;=SUMIFS(BONUS_RULES!$E$5:$E$46,BONUS_RULES!$A$5:$A$46,$C208,BONUS_RULES!$B$5:$B$46,"Productivity"),SUMIFS(BONUS_RULES!$D$5:$D$46,BONUS_RULES!$A$5:$A$46,$C208,BONUS_RULES!$B$5:$B$46,"Productivity"),IF(AGENT_INPUT!F208&gt;=SUMIFS(BONUS_RULES!$G$5:$G$46,BONUS_RULES!$A$5:$A$46,$C208,BONUS_RULES!$B$5:$B$46,"Productivity"),SUMIFS(BONUS_RULES!$F$5:$F$46,BONUS_RULES!$A$5:$A$46,$C208,BONUS_RULES!$B$5:$B$46,"Productivity"),0)))</f>
        <v/>
      </c>
      <c r="H208" s="10">
        <f>IF(OR($A208="",$D208&lt;&gt;"READY"),"",IF(AGENT_INPUT!G208&gt;=SUMIFS(BONUS_RULES!$E$5:$E$46,BONUS_RULES!$A$5:$A$46,$C208,BONUS_RULES!$B$5:$B$46,"PCS Score"),SUMIFS(BONUS_RULES!$D$5:$D$46,BONUS_RULES!$A$5:$A$46,$C208,BONUS_RULES!$B$5:$B$46,"PCS Score"),IF(AGENT_INPUT!G208&gt;=SUMIFS(BONUS_RULES!$G$5:$G$46,BONUS_RULES!$A$5:$A$46,$C208,BONUS_RULES!$B$5:$B$46,"PCS Score"),SUMIFS(BONUS_RULES!$F$5:$F$46,BONUS_RULES!$A$5:$A$46,$C208,BONUS_RULES!$B$5:$B$46,"PCS Score"),0)))</f>
        <v/>
      </c>
      <c r="I208" s="10">
        <f>IF(OR($A208="",$D208&lt;&gt;"READY"),"",IF(AGENT_INPUT!H208&gt;=SUMIFS(BONUS_RULES!$E$5:$E$46,BONUS_RULES!$A$5:$A$46,$C208,BONUS_RULES!$B$5:$B$46,"PCS % (Participation)"),SUMIFS(BONUS_RULES!$D$5:$D$46,BONUS_RULES!$A$5:$A$46,$C208,BONUS_RULES!$B$5:$B$46,"PCS % (Participation)"),IF(AGENT_INPUT!H208&gt;=SUMIFS(BONUS_RULES!$G$5:$G$46,BONUS_RULES!$A$5:$A$46,$C208,BONUS_RULES!$B$5:$B$46,"PCS % (Participation)"),SUMIFS(BONUS_RULES!$F$5:$F$46,BONUS_RULES!$A$5:$A$46,$C208,BONUS_RULES!$B$5:$B$46,"PCS % (Participation)"),0)))</f>
        <v/>
      </c>
      <c r="J208" s="10">
        <f>IF(OR($A208="",$D208&lt;&gt;"READY"),"",IF(AGENT_INPUT!I208&gt;=SUMIFS(BONUS_RULES!$E$5:$E$46,BONUS_RULES!$A$5:$A$46,$C208,BONUS_RULES!$B$5:$B$46,"QM"),SUMIFS(BONUS_RULES!$D$5:$D$46,BONUS_RULES!$A$5:$A$46,$C208,BONUS_RULES!$B$5:$B$46,"QM"),IF(AGENT_INPUT!I208&gt;=SUMIFS(BONUS_RULES!$G$5:$G$46,BONUS_RULES!$A$5:$A$46,$C208,BONUS_RULES!$B$5:$B$46,"QM"),SUMIFS(BONUS_RULES!$F$5:$F$46,BONUS_RULES!$A$5:$A$46,$C208,BONUS_RULES!$B$5:$B$46,"QM"),0)))</f>
        <v/>
      </c>
      <c r="K208" s="10">
        <f>IF(POLICY_APPROVAL!$B$9="Eligibility only",0,IF(OR($A208="",$D208&lt;&gt;"READY"),"",IF(AGENT_INPUT!J208&lt;=SUMIFS(BONUS_RULES!$E$5:$E$46,BONUS_RULES!$A$5:$A$46,$C208,BONUS_RULES!$B$5:$B$46,"Abs%"),SUMIFS(BONUS_RULES!$D$5:$D$46,BONUS_RULES!$A$5:$A$46,$C208,BONUS_RULES!$B$5:$B$46,"Abs%"),IF(AGENT_INPUT!J208&lt;=SUMIFS(BONUS_RULES!$G$5:$G$46,BONUS_RULES!$A$5:$A$46,$C208,BONUS_RULES!$B$5:$B$46,"Abs%"),SUMIFS(BONUS_RULES!$F$5:$F$46,BONUS_RULES!$A$5:$A$46,$C208,BONUS_RULES!$B$5:$B$46,"Abs%"),0))))</f>
        <v/>
      </c>
      <c r="L208" s="10">
        <f>IF(OR($A208="",$D208&lt;&gt;"READY"),"",IF(AGENT_INPUT!G208&gt;=SUMIFS(BONUS_RULES!$E$5:$E$46,BONUS_RULES!$A$5:$A$46,$C208,BONUS_RULES!$B$5:$B$46,"Extra Bonus (PCS Score)"),SUMIFS(BONUS_RULES!$D$5:$D$46,BONUS_RULES!$A$5:$A$46,$C208,BONUS_RULES!$B$5:$B$46,"Extra Bonus (PCS Score)"),IF(AGENT_INPUT!G208&gt;=SUMIFS(BONUS_RULES!$G$5:$G$46,BONUS_RULES!$A$5:$A$46,$C208,BONUS_RULES!$B$5:$B$46,"Extra Bonus (PCS Score)"),SUMIFS(BONUS_RULES!$F$5:$F$46,BONUS_RULES!$A$5:$A$46,$C208,BONUS_RULES!$B$5:$B$46,"Extra Bonus (PCS Score)"),0)))</f>
        <v/>
      </c>
      <c r="M208" s="10">
        <f>IF($A208="","",MIN(IF(POLICY_APPROVAL!$B$6="Replacement",SUM(F208:K208)-H208+MAX(H208,L208),SUM(F208:L208)),POLICY_APPROVAL!$B$10))</f>
        <v/>
      </c>
      <c r="N208" s="10">
        <f>IF($A208="","",IFERROR(INDEX(BONUS_RULES!$J$5:$J$10,MATCH(MIN(MAX(AGENT_INPUT!K208,0),5),BONUS_RULES!$I$5:$I$10,0)),1))</f>
        <v/>
      </c>
      <c r="O208" s="10">
        <f>IF(M208="","",MAX(0,IF(POLICY_APPROVAL!$B$5="Percentage points",M208-N208,M208*(1-N208))))</f>
        <v/>
      </c>
      <c r="P208" s="11">
        <f>IF(D208&lt;&gt;"READY","",IF(AGENT_INPUT!O208&gt;0,AGENT_INPUT!O208,AGENT_INPUT!M208*AGENT_INPUT!N208/IF(POLICY_APPROVAL!$B$7="Annual",12,1)))</f>
        <v/>
      </c>
      <c r="Q208" s="10">
        <f>IF(D208&lt;&gt;"READY","",MIN(1,AGENT_INPUT!P208/AGENT_INPUT!Q208))</f>
        <v/>
      </c>
      <c r="R208" s="11">
        <f>IF(D208&lt;&gt;"READY","",ROUND(P208*Q208*O208,IF(POLICY_APPROVAL!$B$11="Whole MAD",0,2)))</f>
        <v/>
      </c>
      <c r="S208" s="11">
        <f>IF(AND(SETUP!$B$9="READY",T208="READY"),R208,"")</f>
        <v/>
      </c>
      <c r="T208" s="4">
        <f>IF($A208="","",IF(D208&lt;&gt;"READY","BLOCKED - INPUT",IF(E208&lt;&gt;"ELIGIBLE","BLOCKED - ELIGIBILITY",IF(AGENT_INPUT!S208&lt;&gt;"VALIDATED","BLOCKED - DATA",IF(SETUP!$B$9&lt;&gt;"READY","BLOCKED - POLICY","READY")))))</f>
        <v/>
      </c>
      <c r="U208" s="4">
        <f>IF($A208="","",IF(COUNTIFS(AGENT_INPUT!$A$5:$A$254,$A208,AGENT_INPUT!$D$5:$D$254,AGENT_INPUT!D208)&gt;1,"DUPLICATE AGENT + PERIOD",IF(D208&lt;&gt;"READY","INPUT OR CONFIG REVIEW",IF(T208&lt;&gt;"READY",T208,""))))</f>
        <v/>
      </c>
    </row>
    <row r="209" spans="1:21">
      <c r="A209" s="4">
        <f>IF(AGENT_INPUT!A209="","",AGENT_INPUT!A209)</f>
        <v/>
      </c>
      <c r="B209" s="4">
        <f>IF($A209="","",AGENT_INPUT!B209)</f>
        <v/>
      </c>
      <c r="C209" s="4">
        <f>IF($A209="","",AGENT_INPUT!C209)</f>
        <v/>
      </c>
      <c r="D209" s="4">
        <f>IF($A209="","",IF(AND(COUNT(AGENT_INPUT!E209:J209)=6,COUNT(AGENT_INPUT!K209)=1,COUNTIF(BONUS_RULES!$A$5:$A$46,AGENT_INPUT!C209)&gt;0,OR(AGENT_INPUT!O209&gt;0,AND(AGENT_INPUT!M209&gt;0,AGENT_INPUT!N209&gt;0)),AGENT_INPUT!P209&gt;=0,AGENT_INPUT!Q209&gt;0,AGENT_INPUT!P209&lt;=AGENT_INPUT!Q209,AGENT_INPUT!H209&gt;=0,AGENT_INPUT!H209&lt;=1,AGENT_INPUT!I209&gt;=0,AGENT_INPUT!I209&lt;=1,AGENT_INPUT!J209&gt;=0,AGENT_INPUT!J209&lt;=1),"READY","BLOCKED"))</f>
        <v/>
      </c>
      <c r="E209" s="4">
        <f>IF($A209="","",IF(AGENT_INPUT!R209&lt;&gt;"Active","REVIEW",IF(OR(POLICY_APPROVAL!$B$9="Eligibility only",POLICY_APPROVAL!$B$9="Both"),IF(AGENT_INPUT!J209&lt;=SUMIFS(BONUS_RULES!$E$5:$E$46,BONUS_RULES!$A$5:$A$46,$C209,BONUS_RULES!$B$5:$B$46,"Abs%"),"ELIGIBLE","INELIGIBLE ABS"),"ELIGIBLE")))</f>
        <v/>
      </c>
      <c r="F209" s="10">
        <f>IF(OR($A209="",$D209&lt;&gt;"READY"),"",IF(AGENT_INPUT!E209&lt;=SUMIFS(BONUS_RULES!$E$5:$E$46,BONUS_RULES!$A$5:$A$46,$C209,BONUS_RULES!$B$5:$B$46,"AHT"),SUMIFS(BONUS_RULES!$D$5:$D$46,BONUS_RULES!$A$5:$A$46,$C209,BONUS_RULES!$B$5:$B$46,"AHT"),IF(AGENT_INPUT!E209&lt;=SUMIFS(BONUS_RULES!$G$5:$G$46,BONUS_RULES!$A$5:$A$46,$C209,BONUS_RULES!$B$5:$B$46,"AHT"),SUMIFS(BONUS_RULES!$F$5:$F$46,BONUS_RULES!$A$5:$A$46,$C209,BONUS_RULES!$B$5:$B$46,"AHT"),0)))</f>
        <v/>
      </c>
      <c r="G209" s="10">
        <f>IF(OR($A209="",$D209&lt;&gt;"READY"),"",IF(AGENT_INPUT!F209&gt;=SUMIFS(BONUS_RULES!$E$5:$E$46,BONUS_RULES!$A$5:$A$46,$C209,BONUS_RULES!$B$5:$B$46,"Productivity"),SUMIFS(BONUS_RULES!$D$5:$D$46,BONUS_RULES!$A$5:$A$46,$C209,BONUS_RULES!$B$5:$B$46,"Productivity"),IF(AGENT_INPUT!F209&gt;=SUMIFS(BONUS_RULES!$G$5:$G$46,BONUS_RULES!$A$5:$A$46,$C209,BONUS_RULES!$B$5:$B$46,"Productivity"),SUMIFS(BONUS_RULES!$F$5:$F$46,BONUS_RULES!$A$5:$A$46,$C209,BONUS_RULES!$B$5:$B$46,"Productivity"),0)))</f>
        <v/>
      </c>
      <c r="H209" s="10">
        <f>IF(OR($A209="",$D209&lt;&gt;"READY"),"",IF(AGENT_INPUT!G209&gt;=SUMIFS(BONUS_RULES!$E$5:$E$46,BONUS_RULES!$A$5:$A$46,$C209,BONUS_RULES!$B$5:$B$46,"PCS Score"),SUMIFS(BONUS_RULES!$D$5:$D$46,BONUS_RULES!$A$5:$A$46,$C209,BONUS_RULES!$B$5:$B$46,"PCS Score"),IF(AGENT_INPUT!G209&gt;=SUMIFS(BONUS_RULES!$G$5:$G$46,BONUS_RULES!$A$5:$A$46,$C209,BONUS_RULES!$B$5:$B$46,"PCS Score"),SUMIFS(BONUS_RULES!$F$5:$F$46,BONUS_RULES!$A$5:$A$46,$C209,BONUS_RULES!$B$5:$B$46,"PCS Score"),0)))</f>
        <v/>
      </c>
      <c r="I209" s="10">
        <f>IF(OR($A209="",$D209&lt;&gt;"READY"),"",IF(AGENT_INPUT!H209&gt;=SUMIFS(BONUS_RULES!$E$5:$E$46,BONUS_RULES!$A$5:$A$46,$C209,BONUS_RULES!$B$5:$B$46,"PCS % (Participation)"),SUMIFS(BONUS_RULES!$D$5:$D$46,BONUS_RULES!$A$5:$A$46,$C209,BONUS_RULES!$B$5:$B$46,"PCS % (Participation)"),IF(AGENT_INPUT!H209&gt;=SUMIFS(BONUS_RULES!$G$5:$G$46,BONUS_RULES!$A$5:$A$46,$C209,BONUS_RULES!$B$5:$B$46,"PCS % (Participation)"),SUMIFS(BONUS_RULES!$F$5:$F$46,BONUS_RULES!$A$5:$A$46,$C209,BONUS_RULES!$B$5:$B$46,"PCS % (Participation)"),0)))</f>
        <v/>
      </c>
      <c r="J209" s="10">
        <f>IF(OR($A209="",$D209&lt;&gt;"READY"),"",IF(AGENT_INPUT!I209&gt;=SUMIFS(BONUS_RULES!$E$5:$E$46,BONUS_RULES!$A$5:$A$46,$C209,BONUS_RULES!$B$5:$B$46,"QM"),SUMIFS(BONUS_RULES!$D$5:$D$46,BONUS_RULES!$A$5:$A$46,$C209,BONUS_RULES!$B$5:$B$46,"QM"),IF(AGENT_INPUT!I209&gt;=SUMIFS(BONUS_RULES!$G$5:$G$46,BONUS_RULES!$A$5:$A$46,$C209,BONUS_RULES!$B$5:$B$46,"QM"),SUMIFS(BONUS_RULES!$F$5:$F$46,BONUS_RULES!$A$5:$A$46,$C209,BONUS_RULES!$B$5:$B$46,"QM"),0)))</f>
        <v/>
      </c>
      <c r="K209" s="10">
        <f>IF(POLICY_APPROVAL!$B$9="Eligibility only",0,IF(OR($A209="",$D209&lt;&gt;"READY"),"",IF(AGENT_INPUT!J209&lt;=SUMIFS(BONUS_RULES!$E$5:$E$46,BONUS_RULES!$A$5:$A$46,$C209,BONUS_RULES!$B$5:$B$46,"Abs%"),SUMIFS(BONUS_RULES!$D$5:$D$46,BONUS_RULES!$A$5:$A$46,$C209,BONUS_RULES!$B$5:$B$46,"Abs%"),IF(AGENT_INPUT!J209&lt;=SUMIFS(BONUS_RULES!$G$5:$G$46,BONUS_RULES!$A$5:$A$46,$C209,BONUS_RULES!$B$5:$B$46,"Abs%"),SUMIFS(BONUS_RULES!$F$5:$F$46,BONUS_RULES!$A$5:$A$46,$C209,BONUS_RULES!$B$5:$B$46,"Abs%"),0))))</f>
        <v/>
      </c>
      <c r="L209" s="10">
        <f>IF(OR($A209="",$D209&lt;&gt;"READY"),"",IF(AGENT_INPUT!G209&gt;=SUMIFS(BONUS_RULES!$E$5:$E$46,BONUS_RULES!$A$5:$A$46,$C209,BONUS_RULES!$B$5:$B$46,"Extra Bonus (PCS Score)"),SUMIFS(BONUS_RULES!$D$5:$D$46,BONUS_RULES!$A$5:$A$46,$C209,BONUS_RULES!$B$5:$B$46,"Extra Bonus (PCS Score)"),IF(AGENT_INPUT!G209&gt;=SUMIFS(BONUS_RULES!$G$5:$G$46,BONUS_RULES!$A$5:$A$46,$C209,BONUS_RULES!$B$5:$B$46,"Extra Bonus (PCS Score)"),SUMIFS(BONUS_RULES!$F$5:$F$46,BONUS_RULES!$A$5:$A$46,$C209,BONUS_RULES!$B$5:$B$46,"Extra Bonus (PCS Score)"),0)))</f>
        <v/>
      </c>
      <c r="M209" s="10">
        <f>IF($A209="","",MIN(IF(POLICY_APPROVAL!$B$6="Replacement",SUM(F209:K209)-H209+MAX(H209,L209),SUM(F209:L209)),POLICY_APPROVAL!$B$10))</f>
        <v/>
      </c>
      <c r="N209" s="10">
        <f>IF($A209="","",IFERROR(INDEX(BONUS_RULES!$J$5:$J$10,MATCH(MIN(MAX(AGENT_INPUT!K209,0),5),BONUS_RULES!$I$5:$I$10,0)),1))</f>
        <v/>
      </c>
      <c r="O209" s="10">
        <f>IF(M209="","",MAX(0,IF(POLICY_APPROVAL!$B$5="Percentage points",M209-N209,M209*(1-N209))))</f>
        <v/>
      </c>
      <c r="P209" s="11">
        <f>IF(D209&lt;&gt;"READY","",IF(AGENT_INPUT!O209&gt;0,AGENT_INPUT!O209,AGENT_INPUT!M209*AGENT_INPUT!N209/IF(POLICY_APPROVAL!$B$7="Annual",12,1)))</f>
        <v/>
      </c>
      <c r="Q209" s="10">
        <f>IF(D209&lt;&gt;"READY","",MIN(1,AGENT_INPUT!P209/AGENT_INPUT!Q209))</f>
        <v/>
      </c>
      <c r="R209" s="11">
        <f>IF(D209&lt;&gt;"READY","",ROUND(P209*Q209*O209,IF(POLICY_APPROVAL!$B$11="Whole MAD",0,2)))</f>
        <v/>
      </c>
      <c r="S209" s="11">
        <f>IF(AND(SETUP!$B$9="READY",T209="READY"),R209,"")</f>
        <v/>
      </c>
      <c r="T209" s="4">
        <f>IF($A209="","",IF(D209&lt;&gt;"READY","BLOCKED - INPUT",IF(E209&lt;&gt;"ELIGIBLE","BLOCKED - ELIGIBILITY",IF(AGENT_INPUT!S209&lt;&gt;"VALIDATED","BLOCKED - DATA",IF(SETUP!$B$9&lt;&gt;"READY","BLOCKED - POLICY","READY")))))</f>
        <v/>
      </c>
      <c r="U209" s="4">
        <f>IF($A209="","",IF(COUNTIFS(AGENT_INPUT!$A$5:$A$254,$A209,AGENT_INPUT!$D$5:$D$254,AGENT_INPUT!D209)&gt;1,"DUPLICATE AGENT + PERIOD",IF(D209&lt;&gt;"READY","INPUT OR CONFIG REVIEW",IF(T209&lt;&gt;"READY",T209,""))))</f>
        <v/>
      </c>
    </row>
    <row r="210" spans="1:21">
      <c r="A210" s="4">
        <f>IF(AGENT_INPUT!A210="","",AGENT_INPUT!A210)</f>
        <v/>
      </c>
      <c r="B210" s="4">
        <f>IF($A210="","",AGENT_INPUT!B210)</f>
        <v/>
      </c>
      <c r="C210" s="4">
        <f>IF($A210="","",AGENT_INPUT!C210)</f>
        <v/>
      </c>
      <c r="D210" s="4">
        <f>IF($A210="","",IF(AND(COUNT(AGENT_INPUT!E210:J210)=6,COUNT(AGENT_INPUT!K210)=1,COUNTIF(BONUS_RULES!$A$5:$A$46,AGENT_INPUT!C210)&gt;0,OR(AGENT_INPUT!O210&gt;0,AND(AGENT_INPUT!M210&gt;0,AGENT_INPUT!N210&gt;0)),AGENT_INPUT!P210&gt;=0,AGENT_INPUT!Q210&gt;0,AGENT_INPUT!P210&lt;=AGENT_INPUT!Q210,AGENT_INPUT!H210&gt;=0,AGENT_INPUT!H210&lt;=1,AGENT_INPUT!I210&gt;=0,AGENT_INPUT!I210&lt;=1,AGENT_INPUT!J210&gt;=0,AGENT_INPUT!J210&lt;=1),"READY","BLOCKED"))</f>
        <v/>
      </c>
      <c r="E210" s="4">
        <f>IF($A210="","",IF(AGENT_INPUT!R210&lt;&gt;"Active","REVIEW",IF(OR(POLICY_APPROVAL!$B$9="Eligibility only",POLICY_APPROVAL!$B$9="Both"),IF(AGENT_INPUT!J210&lt;=SUMIFS(BONUS_RULES!$E$5:$E$46,BONUS_RULES!$A$5:$A$46,$C210,BONUS_RULES!$B$5:$B$46,"Abs%"),"ELIGIBLE","INELIGIBLE ABS"),"ELIGIBLE")))</f>
        <v/>
      </c>
      <c r="F210" s="10">
        <f>IF(OR($A210="",$D210&lt;&gt;"READY"),"",IF(AGENT_INPUT!E210&lt;=SUMIFS(BONUS_RULES!$E$5:$E$46,BONUS_RULES!$A$5:$A$46,$C210,BONUS_RULES!$B$5:$B$46,"AHT"),SUMIFS(BONUS_RULES!$D$5:$D$46,BONUS_RULES!$A$5:$A$46,$C210,BONUS_RULES!$B$5:$B$46,"AHT"),IF(AGENT_INPUT!E210&lt;=SUMIFS(BONUS_RULES!$G$5:$G$46,BONUS_RULES!$A$5:$A$46,$C210,BONUS_RULES!$B$5:$B$46,"AHT"),SUMIFS(BONUS_RULES!$F$5:$F$46,BONUS_RULES!$A$5:$A$46,$C210,BONUS_RULES!$B$5:$B$46,"AHT"),0)))</f>
        <v/>
      </c>
      <c r="G210" s="10">
        <f>IF(OR($A210="",$D210&lt;&gt;"READY"),"",IF(AGENT_INPUT!F210&gt;=SUMIFS(BONUS_RULES!$E$5:$E$46,BONUS_RULES!$A$5:$A$46,$C210,BONUS_RULES!$B$5:$B$46,"Productivity"),SUMIFS(BONUS_RULES!$D$5:$D$46,BONUS_RULES!$A$5:$A$46,$C210,BONUS_RULES!$B$5:$B$46,"Productivity"),IF(AGENT_INPUT!F210&gt;=SUMIFS(BONUS_RULES!$G$5:$G$46,BONUS_RULES!$A$5:$A$46,$C210,BONUS_RULES!$B$5:$B$46,"Productivity"),SUMIFS(BONUS_RULES!$F$5:$F$46,BONUS_RULES!$A$5:$A$46,$C210,BONUS_RULES!$B$5:$B$46,"Productivity"),0)))</f>
        <v/>
      </c>
      <c r="H210" s="10">
        <f>IF(OR($A210="",$D210&lt;&gt;"READY"),"",IF(AGENT_INPUT!G210&gt;=SUMIFS(BONUS_RULES!$E$5:$E$46,BONUS_RULES!$A$5:$A$46,$C210,BONUS_RULES!$B$5:$B$46,"PCS Score"),SUMIFS(BONUS_RULES!$D$5:$D$46,BONUS_RULES!$A$5:$A$46,$C210,BONUS_RULES!$B$5:$B$46,"PCS Score"),IF(AGENT_INPUT!G210&gt;=SUMIFS(BONUS_RULES!$G$5:$G$46,BONUS_RULES!$A$5:$A$46,$C210,BONUS_RULES!$B$5:$B$46,"PCS Score"),SUMIFS(BONUS_RULES!$F$5:$F$46,BONUS_RULES!$A$5:$A$46,$C210,BONUS_RULES!$B$5:$B$46,"PCS Score"),0)))</f>
        <v/>
      </c>
      <c r="I210" s="10">
        <f>IF(OR($A210="",$D210&lt;&gt;"READY"),"",IF(AGENT_INPUT!H210&gt;=SUMIFS(BONUS_RULES!$E$5:$E$46,BONUS_RULES!$A$5:$A$46,$C210,BONUS_RULES!$B$5:$B$46,"PCS % (Participation)"),SUMIFS(BONUS_RULES!$D$5:$D$46,BONUS_RULES!$A$5:$A$46,$C210,BONUS_RULES!$B$5:$B$46,"PCS % (Participation)"),IF(AGENT_INPUT!H210&gt;=SUMIFS(BONUS_RULES!$G$5:$G$46,BONUS_RULES!$A$5:$A$46,$C210,BONUS_RULES!$B$5:$B$46,"PCS % (Participation)"),SUMIFS(BONUS_RULES!$F$5:$F$46,BONUS_RULES!$A$5:$A$46,$C210,BONUS_RULES!$B$5:$B$46,"PCS % (Participation)"),0)))</f>
        <v/>
      </c>
      <c r="J210" s="10">
        <f>IF(OR($A210="",$D210&lt;&gt;"READY"),"",IF(AGENT_INPUT!I210&gt;=SUMIFS(BONUS_RULES!$E$5:$E$46,BONUS_RULES!$A$5:$A$46,$C210,BONUS_RULES!$B$5:$B$46,"QM"),SUMIFS(BONUS_RULES!$D$5:$D$46,BONUS_RULES!$A$5:$A$46,$C210,BONUS_RULES!$B$5:$B$46,"QM"),IF(AGENT_INPUT!I210&gt;=SUMIFS(BONUS_RULES!$G$5:$G$46,BONUS_RULES!$A$5:$A$46,$C210,BONUS_RULES!$B$5:$B$46,"QM"),SUMIFS(BONUS_RULES!$F$5:$F$46,BONUS_RULES!$A$5:$A$46,$C210,BONUS_RULES!$B$5:$B$46,"QM"),0)))</f>
        <v/>
      </c>
      <c r="K210" s="10">
        <f>IF(POLICY_APPROVAL!$B$9="Eligibility only",0,IF(OR($A210="",$D210&lt;&gt;"READY"),"",IF(AGENT_INPUT!J210&lt;=SUMIFS(BONUS_RULES!$E$5:$E$46,BONUS_RULES!$A$5:$A$46,$C210,BONUS_RULES!$B$5:$B$46,"Abs%"),SUMIFS(BONUS_RULES!$D$5:$D$46,BONUS_RULES!$A$5:$A$46,$C210,BONUS_RULES!$B$5:$B$46,"Abs%"),IF(AGENT_INPUT!J210&lt;=SUMIFS(BONUS_RULES!$G$5:$G$46,BONUS_RULES!$A$5:$A$46,$C210,BONUS_RULES!$B$5:$B$46,"Abs%"),SUMIFS(BONUS_RULES!$F$5:$F$46,BONUS_RULES!$A$5:$A$46,$C210,BONUS_RULES!$B$5:$B$46,"Abs%"),0))))</f>
        <v/>
      </c>
      <c r="L210" s="10">
        <f>IF(OR($A210="",$D210&lt;&gt;"READY"),"",IF(AGENT_INPUT!G210&gt;=SUMIFS(BONUS_RULES!$E$5:$E$46,BONUS_RULES!$A$5:$A$46,$C210,BONUS_RULES!$B$5:$B$46,"Extra Bonus (PCS Score)"),SUMIFS(BONUS_RULES!$D$5:$D$46,BONUS_RULES!$A$5:$A$46,$C210,BONUS_RULES!$B$5:$B$46,"Extra Bonus (PCS Score)"),IF(AGENT_INPUT!G210&gt;=SUMIFS(BONUS_RULES!$G$5:$G$46,BONUS_RULES!$A$5:$A$46,$C210,BONUS_RULES!$B$5:$B$46,"Extra Bonus (PCS Score)"),SUMIFS(BONUS_RULES!$F$5:$F$46,BONUS_RULES!$A$5:$A$46,$C210,BONUS_RULES!$B$5:$B$46,"Extra Bonus (PCS Score)"),0)))</f>
        <v/>
      </c>
      <c r="M210" s="10">
        <f>IF($A210="","",MIN(IF(POLICY_APPROVAL!$B$6="Replacement",SUM(F210:K210)-H210+MAX(H210,L210),SUM(F210:L210)),POLICY_APPROVAL!$B$10))</f>
        <v/>
      </c>
      <c r="N210" s="10">
        <f>IF($A210="","",IFERROR(INDEX(BONUS_RULES!$J$5:$J$10,MATCH(MIN(MAX(AGENT_INPUT!K210,0),5),BONUS_RULES!$I$5:$I$10,0)),1))</f>
        <v/>
      </c>
      <c r="O210" s="10">
        <f>IF(M210="","",MAX(0,IF(POLICY_APPROVAL!$B$5="Percentage points",M210-N210,M210*(1-N210))))</f>
        <v/>
      </c>
      <c r="P210" s="11">
        <f>IF(D210&lt;&gt;"READY","",IF(AGENT_INPUT!O210&gt;0,AGENT_INPUT!O210,AGENT_INPUT!M210*AGENT_INPUT!N210/IF(POLICY_APPROVAL!$B$7="Annual",12,1)))</f>
        <v/>
      </c>
      <c r="Q210" s="10">
        <f>IF(D210&lt;&gt;"READY","",MIN(1,AGENT_INPUT!P210/AGENT_INPUT!Q210))</f>
        <v/>
      </c>
      <c r="R210" s="11">
        <f>IF(D210&lt;&gt;"READY","",ROUND(P210*Q210*O210,IF(POLICY_APPROVAL!$B$11="Whole MAD",0,2)))</f>
        <v/>
      </c>
      <c r="S210" s="11">
        <f>IF(AND(SETUP!$B$9="READY",T210="READY"),R210,"")</f>
        <v/>
      </c>
      <c r="T210" s="4">
        <f>IF($A210="","",IF(D210&lt;&gt;"READY","BLOCKED - INPUT",IF(E210&lt;&gt;"ELIGIBLE","BLOCKED - ELIGIBILITY",IF(AGENT_INPUT!S210&lt;&gt;"VALIDATED","BLOCKED - DATA",IF(SETUP!$B$9&lt;&gt;"READY","BLOCKED - POLICY","READY")))))</f>
        <v/>
      </c>
      <c r="U210" s="4">
        <f>IF($A210="","",IF(COUNTIFS(AGENT_INPUT!$A$5:$A$254,$A210,AGENT_INPUT!$D$5:$D$254,AGENT_INPUT!D210)&gt;1,"DUPLICATE AGENT + PERIOD",IF(D210&lt;&gt;"READY","INPUT OR CONFIG REVIEW",IF(T210&lt;&gt;"READY",T210,""))))</f>
        <v/>
      </c>
    </row>
    <row r="211" spans="1:21">
      <c r="A211" s="4">
        <f>IF(AGENT_INPUT!A211="","",AGENT_INPUT!A211)</f>
        <v/>
      </c>
      <c r="B211" s="4">
        <f>IF($A211="","",AGENT_INPUT!B211)</f>
        <v/>
      </c>
      <c r="C211" s="4">
        <f>IF($A211="","",AGENT_INPUT!C211)</f>
        <v/>
      </c>
      <c r="D211" s="4">
        <f>IF($A211="","",IF(AND(COUNT(AGENT_INPUT!E211:J211)=6,COUNT(AGENT_INPUT!K211)=1,COUNTIF(BONUS_RULES!$A$5:$A$46,AGENT_INPUT!C211)&gt;0,OR(AGENT_INPUT!O211&gt;0,AND(AGENT_INPUT!M211&gt;0,AGENT_INPUT!N211&gt;0)),AGENT_INPUT!P211&gt;=0,AGENT_INPUT!Q211&gt;0,AGENT_INPUT!P211&lt;=AGENT_INPUT!Q211,AGENT_INPUT!H211&gt;=0,AGENT_INPUT!H211&lt;=1,AGENT_INPUT!I211&gt;=0,AGENT_INPUT!I211&lt;=1,AGENT_INPUT!J211&gt;=0,AGENT_INPUT!J211&lt;=1),"READY","BLOCKED"))</f>
        <v/>
      </c>
      <c r="E211" s="4">
        <f>IF($A211="","",IF(AGENT_INPUT!R211&lt;&gt;"Active","REVIEW",IF(OR(POLICY_APPROVAL!$B$9="Eligibility only",POLICY_APPROVAL!$B$9="Both"),IF(AGENT_INPUT!J211&lt;=SUMIFS(BONUS_RULES!$E$5:$E$46,BONUS_RULES!$A$5:$A$46,$C211,BONUS_RULES!$B$5:$B$46,"Abs%"),"ELIGIBLE","INELIGIBLE ABS"),"ELIGIBLE")))</f>
        <v/>
      </c>
      <c r="F211" s="10">
        <f>IF(OR($A211="",$D211&lt;&gt;"READY"),"",IF(AGENT_INPUT!E211&lt;=SUMIFS(BONUS_RULES!$E$5:$E$46,BONUS_RULES!$A$5:$A$46,$C211,BONUS_RULES!$B$5:$B$46,"AHT"),SUMIFS(BONUS_RULES!$D$5:$D$46,BONUS_RULES!$A$5:$A$46,$C211,BONUS_RULES!$B$5:$B$46,"AHT"),IF(AGENT_INPUT!E211&lt;=SUMIFS(BONUS_RULES!$G$5:$G$46,BONUS_RULES!$A$5:$A$46,$C211,BONUS_RULES!$B$5:$B$46,"AHT"),SUMIFS(BONUS_RULES!$F$5:$F$46,BONUS_RULES!$A$5:$A$46,$C211,BONUS_RULES!$B$5:$B$46,"AHT"),0)))</f>
        <v/>
      </c>
      <c r="G211" s="10">
        <f>IF(OR($A211="",$D211&lt;&gt;"READY"),"",IF(AGENT_INPUT!F211&gt;=SUMIFS(BONUS_RULES!$E$5:$E$46,BONUS_RULES!$A$5:$A$46,$C211,BONUS_RULES!$B$5:$B$46,"Productivity"),SUMIFS(BONUS_RULES!$D$5:$D$46,BONUS_RULES!$A$5:$A$46,$C211,BONUS_RULES!$B$5:$B$46,"Productivity"),IF(AGENT_INPUT!F211&gt;=SUMIFS(BONUS_RULES!$G$5:$G$46,BONUS_RULES!$A$5:$A$46,$C211,BONUS_RULES!$B$5:$B$46,"Productivity"),SUMIFS(BONUS_RULES!$F$5:$F$46,BONUS_RULES!$A$5:$A$46,$C211,BONUS_RULES!$B$5:$B$46,"Productivity"),0)))</f>
        <v/>
      </c>
      <c r="H211" s="10">
        <f>IF(OR($A211="",$D211&lt;&gt;"READY"),"",IF(AGENT_INPUT!G211&gt;=SUMIFS(BONUS_RULES!$E$5:$E$46,BONUS_RULES!$A$5:$A$46,$C211,BONUS_RULES!$B$5:$B$46,"PCS Score"),SUMIFS(BONUS_RULES!$D$5:$D$46,BONUS_RULES!$A$5:$A$46,$C211,BONUS_RULES!$B$5:$B$46,"PCS Score"),IF(AGENT_INPUT!G211&gt;=SUMIFS(BONUS_RULES!$G$5:$G$46,BONUS_RULES!$A$5:$A$46,$C211,BONUS_RULES!$B$5:$B$46,"PCS Score"),SUMIFS(BONUS_RULES!$F$5:$F$46,BONUS_RULES!$A$5:$A$46,$C211,BONUS_RULES!$B$5:$B$46,"PCS Score"),0)))</f>
        <v/>
      </c>
      <c r="I211" s="10">
        <f>IF(OR($A211="",$D211&lt;&gt;"READY"),"",IF(AGENT_INPUT!H211&gt;=SUMIFS(BONUS_RULES!$E$5:$E$46,BONUS_RULES!$A$5:$A$46,$C211,BONUS_RULES!$B$5:$B$46,"PCS % (Participation)"),SUMIFS(BONUS_RULES!$D$5:$D$46,BONUS_RULES!$A$5:$A$46,$C211,BONUS_RULES!$B$5:$B$46,"PCS % (Participation)"),IF(AGENT_INPUT!H211&gt;=SUMIFS(BONUS_RULES!$G$5:$G$46,BONUS_RULES!$A$5:$A$46,$C211,BONUS_RULES!$B$5:$B$46,"PCS % (Participation)"),SUMIFS(BONUS_RULES!$F$5:$F$46,BONUS_RULES!$A$5:$A$46,$C211,BONUS_RULES!$B$5:$B$46,"PCS % (Participation)"),0)))</f>
        <v/>
      </c>
      <c r="J211" s="10">
        <f>IF(OR($A211="",$D211&lt;&gt;"READY"),"",IF(AGENT_INPUT!I211&gt;=SUMIFS(BONUS_RULES!$E$5:$E$46,BONUS_RULES!$A$5:$A$46,$C211,BONUS_RULES!$B$5:$B$46,"QM"),SUMIFS(BONUS_RULES!$D$5:$D$46,BONUS_RULES!$A$5:$A$46,$C211,BONUS_RULES!$B$5:$B$46,"QM"),IF(AGENT_INPUT!I211&gt;=SUMIFS(BONUS_RULES!$G$5:$G$46,BONUS_RULES!$A$5:$A$46,$C211,BONUS_RULES!$B$5:$B$46,"QM"),SUMIFS(BONUS_RULES!$F$5:$F$46,BONUS_RULES!$A$5:$A$46,$C211,BONUS_RULES!$B$5:$B$46,"QM"),0)))</f>
        <v/>
      </c>
      <c r="K211" s="10">
        <f>IF(POLICY_APPROVAL!$B$9="Eligibility only",0,IF(OR($A211="",$D211&lt;&gt;"READY"),"",IF(AGENT_INPUT!J211&lt;=SUMIFS(BONUS_RULES!$E$5:$E$46,BONUS_RULES!$A$5:$A$46,$C211,BONUS_RULES!$B$5:$B$46,"Abs%"),SUMIFS(BONUS_RULES!$D$5:$D$46,BONUS_RULES!$A$5:$A$46,$C211,BONUS_RULES!$B$5:$B$46,"Abs%"),IF(AGENT_INPUT!J211&lt;=SUMIFS(BONUS_RULES!$G$5:$G$46,BONUS_RULES!$A$5:$A$46,$C211,BONUS_RULES!$B$5:$B$46,"Abs%"),SUMIFS(BONUS_RULES!$F$5:$F$46,BONUS_RULES!$A$5:$A$46,$C211,BONUS_RULES!$B$5:$B$46,"Abs%"),0))))</f>
        <v/>
      </c>
      <c r="L211" s="10">
        <f>IF(OR($A211="",$D211&lt;&gt;"READY"),"",IF(AGENT_INPUT!G211&gt;=SUMIFS(BONUS_RULES!$E$5:$E$46,BONUS_RULES!$A$5:$A$46,$C211,BONUS_RULES!$B$5:$B$46,"Extra Bonus (PCS Score)"),SUMIFS(BONUS_RULES!$D$5:$D$46,BONUS_RULES!$A$5:$A$46,$C211,BONUS_RULES!$B$5:$B$46,"Extra Bonus (PCS Score)"),IF(AGENT_INPUT!G211&gt;=SUMIFS(BONUS_RULES!$G$5:$G$46,BONUS_RULES!$A$5:$A$46,$C211,BONUS_RULES!$B$5:$B$46,"Extra Bonus (PCS Score)"),SUMIFS(BONUS_RULES!$F$5:$F$46,BONUS_RULES!$A$5:$A$46,$C211,BONUS_RULES!$B$5:$B$46,"Extra Bonus (PCS Score)"),0)))</f>
        <v/>
      </c>
      <c r="M211" s="10">
        <f>IF($A211="","",MIN(IF(POLICY_APPROVAL!$B$6="Replacement",SUM(F211:K211)-H211+MAX(H211,L211),SUM(F211:L211)),POLICY_APPROVAL!$B$10))</f>
        <v/>
      </c>
      <c r="N211" s="10">
        <f>IF($A211="","",IFERROR(INDEX(BONUS_RULES!$J$5:$J$10,MATCH(MIN(MAX(AGENT_INPUT!K211,0),5),BONUS_RULES!$I$5:$I$10,0)),1))</f>
        <v/>
      </c>
      <c r="O211" s="10">
        <f>IF(M211="","",MAX(0,IF(POLICY_APPROVAL!$B$5="Percentage points",M211-N211,M211*(1-N211))))</f>
        <v/>
      </c>
      <c r="P211" s="11">
        <f>IF(D211&lt;&gt;"READY","",IF(AGENT_INPUT!O211&gt;0,AGENT_INPUT!O211,AGENT_INPUT!M211*AGENT_INPUT!N211/IF(POLICY_APPROVAL!$B$7="Annual",12,1)))</f>
        <v/>
      </c>
      <c r="Q211" s="10">
        <f>IF(D211&lt;&gt;"READY","",MIN(1,AGENT_INPUT!P211/AGENT_INPUT!Q211))</f>
        <v/>
      </c>
      <c r="R211" s="11">
        <f>IF(D211&lt;&gt;"READY","",ROUND(P211*Q211*O211,IF(POLICY_APPROVAL!$B$11="Whole MAD",0,2)))</f>
        <v/>
      </c>
      <c r="S211" s="11">
        <f>IF(AND(SETUP!$B$9="READY",T211="READY"),R211,"")</f>
        <v/>
      </c>
      <c r="T211" s="4">
        <f>IF($A211="","",IF(D211&lt;&gt;"READY","BLOCKED - INPUT",IF(E211&lt;&gt;"ELIGIBLE","BLOCKED - ELIGIBILITY",IF(AGENT_INPUT!S211&lt;&gt;"VALIDATED","BLOCKED - DATA",IF(SETUP!$B$9&lt;&gt;"READY","BLOCKED - POLICY","READY")))))</f>
        <v/>
      </c>
      <c r="U211" s="4">
        <f>IF($A211="","",IF(COUNTIFS(AGENT_INPUT!$A$5:$A$254,$A211,AGENT_INPUT!$D$5:$D$254,AGENT_INPUT!D211)&gt;1,"DUPLICATE AGENT + PERIOD",IF(D211&lt;&gt;"READY","INPUT OR CONFIG REVIEW",IF(T211&lt;&gt;"READY",T211,""))))</f>
        <v/>
      </c>
    </row>
    <row r="212" spans="1:21">
      <c r="A212" s="4">
        <f>IF(AGENT_INPUT!A212="","",AGENT_INPUT!A212)</f>
        <v/>
      </c>
      <c r="B212" s="4">
        <f>IF($A212="","",AGENT_INPUT!B212)</f>
        <v/>
      </c>
      <c r="C212" s="4">
        <f>IF($A212="","",AGENT_INPUT!C212)</f>
        <v/>
      </c>
      <c r="D212" s="4">
        <f>IF($A212="","",IF(AND(COUNT(AGENT_INPUT!E212:J212)=6,COUNT(AGENT_INPUT!K212)=1,COUNTIF(BONUS_RULES!$A$5:$A$46,AGENT_INPUT!C212)&gt;0,OR(AGENT_INPUT!O212&gt;0,AND(AGENT_INPUT!M212&gt;0,AGENT_INPUT!N212&gt;0)),AGENT_INPUT!P212&gt;=0,AGENT_INPUT!Q212&gt;0,AGENT_INPUT!P212&lt;=AGENT_INPUT!Q212,AGENT_INPUT!H212&gt;=0,AGENT_INPUT!H212&lt;=1,AGENT_INPUT!I212&gt;=0,AGENT_INPUT!I212&lt;=1,AGENT_INPUT!J212&gt;=0,AGENT_INPUT!J212&lt;=1),"READY","BLOCKED"))</f>
        <v/>
      </c>
      <c r="E212" s="4">
        <f>IF($A212="","",IF(AGENT_INPUT!R212&lt;&gt;"Active","REVIEW",IF(OR(POLICY_APPROVAL!$B$9="Eligibility only",POLICY_APPROVAL!$B$9="Both"),IF(AGENT_INPUT!J212&lt;=SUMIFS(BONUS_RULES!$E$5:$E$46,BONUS_RULES!$A$5:$A$46,$C212,BONUS_RULES!$B$5:$B$46,"Abs%"),"ELIGIBLE","INELIGIBLE ABS"),"ELIGIBLE")))</f>
        <v/>
      </c>
      <c r="F212" s="10">
        <f>IF(OR($A212="",$D212&lt;&gt;"READY"),"",IF(AGENT_INPUT!E212&lt;=SUMIFS(BONUS_RULES!$E$5:$E$46,BONUS_RULES!$A$5:$A$46,$C212,BONUS_RULES!$B$5:$B$46,"AHT"),SUMIFS(BONUS_RULES!$D$5:$D$46,BONUS_RULES!$A$5:$A$46,$C212,BONUS_RULES!$B$5:$B$46,"AHT"),IF(AGENT_INPUT!E212&lt;=SUMIFS(BONUS_RULES!$G$5:$G$46,BONUS_RULES!$A$5:$A$46,$C212,BONUS_RULES!$B$5:$B$46,"AHT"),SUMIFS(BONUS_RULES!$F$5:$F$46,BONUS_RULES!$A$5:$A$46,$C212,BONUS_RULES!$B$5:$B$46,"AHT"),0)))</f>
        <v/>
      </c>
      <c r="G212" s="10">
        <f>IF(OR($A212="",$D212&lt;&gt;"READY"),"",IF(AGENT_INPUT!F212&gt;=SUMIFS(BONUS_RULES!$E$5:$E$46,BONUS_RULES!$A$5:$A$46,$C212,BONUS_RULES!$B$5:$B$46,"Productivity"),SUMIFS(BONUS_RULES!$D$5:$D$46,BONUS_RULES!$A$5:$A$46,$C212,BONUS_RULES!$B$5:$B$46,"Productivity"),IF(AGENT_INPUT!F212&gt;=SUMIFS(BONUS_RULES!$G$5:$G$46,BONUS_RULES!$A$5:$A$46,$C212,BONUS_RULES!$B$5:$B$46,"Productivity"),SUMIFS(BONUS_RULES!$F$5:$F$46,BONUS_RULES!$A$5:$A$46,$C212,BONUS_RULES!$B$5:$B$46,"Productivity"),0)))</f>
        <v/>
      </c>
      <c r="H212" s="10">
        <f>IF(OR($A212="",$D212&lt;&gt;"READY"),"",IF(AGENT_INPUT!G212&gt;=SUMIFS(BONUS_RULES!$E$5:$E$46,BONUS_RULES!$A$5:$A$46,$C212,BONUS_RULES!$B$5:$B$46,"PCS Score"),SUMIFS(BONUS_RULES!$D$5:$D$46,BONUS_RULES!$A$5:$A$46,$C212,BONUS_RULES!$B$5:$B$46,"PCS Score"),IF(AGENT_INPUT!G212&gt;=SUMIFS(BONUS_RULES!$G$5:$G$46,BONUS_RULES!$A$5:$A$46,$C212,BONUS_RULES!$B$5:$B$46,"PCS Score"),SUMIFS(BONUS_RULES!$F$5:$F$46,BONUS_RULES!$A$5:$A$46,$C212,BONUS_RULES!$B$5:$B$46,"PCS Score"),0)))</f>
        <v/>
      </c>
      <c r="I212" s="10">
        <f>IF(OR($A212="",$D212&lt;&gt;"READY"),"",IF(AGENT_INPUT!H212&gt;=SUMIFS(BONUS_RULES!$E$5:$E$46,BONUS_RULES!$A$5:$A$46,$C212,BONUS_RULES!$B$5:$B$46,"PCS % (Participation)"),SUMIFS(BONUS_RULES!$D$5:$D$46,BONUS_RULES!$A$5:$A$46,$C212,BONUS_RULES!$B$5:$B$46,"PCS % (Participation)"),IF(AGENT_INPUT!H212&gt;=SUMIFS(BONUS_RULES!$G$5:$G$46,BONUS_RULES!$A$5:$A$46,$C212,BONUS_RULES!$B$5:$B$46,"PCS % (Participation)"),SUMIFS(BONUS_RULES!$F$5:$F$46,BONUS_RULES!$A$5:$A$46,$C212,BONUS_RULES!$B$5:$B$46,"PCS % (Participation)"),0)))</f>
        <v/>
      </c>
      <c r="J212" s="10">
        <f>IF(OR($A212="",$D212&lt;&gt;"READY"),"",IF(AGENT_INPUT!I212&gt;=SUMIFS(BONUS_RULES!$E$5:$E$46,BONUS_RULES!$A$5:$A$46,$C212,BONUS_RULES!$B$5:$B$46,"QM"),SUMIFS(BONUS_RULES!$D$5:$D$46,BONUS_RULES!$A$5:$A$46,$C212,BONUS_RULES!$B$5:$B$46,"QM"),IF(AGENT_INPUT!I212&gt;=SUMIFS(BONUS_RULES!$G$5:$G$46,BONUS_RULES!$A$5:$A$46,$C212,BONUS_RULES!$B$5:$B$46,"QM"),SUMIFS(BONUS_RULES!$F$5:$F$46,BONUS_RULES!$A$5:$A$46,$C212,BONUS_RULES!$B$5:$B$46,"QM"),0)))</f>
        <v/>
      </c>
      <c r="K212" s="10">
        <f>IF(POLICY_APPROVAL!$B$9="Eligibility only",0,IF(OR($A212="",$D212&lt;&gt;"READY"),"",IF(AGENT_INPUT!J212&lt;=SUMIFS(BONUS_RULES!$E$5:$E$46,BONUS_RULES!$A$5:$A$46,$C212,BONUS_RULES!$B$5:$B$46,"Abs%"),SUMIFS(BONUS_RULES!$D$5:$D$46,BONUS_RULES!$A$5:$A$46,$C212,BONUS_RULES!$B$5:$B$46,"Abs%"),IF(AGENT_INPUT!J212&lt;=SUMIFS(BONUS_RULES!$G$5:$G$46,BONUS_RULES!$A$5:$A$46,$C212,BONUS_RULES!$B$5:$B$46,"Abs%"),SUMIFS(BONUS_RULES!$F$5:$F$46,BONUS_RULES!$A$5:$A$46,$C212,BONUS_RULES!$B$5:$B$46,"Abs%"),0))))</f>
        <v/>
      </c>
      <c r="L212" s="10">
        <f>IF(OR($A212="",$D212&lt;&gt;"READY"),"",IF(AGENT_INPUT!G212&gt;=SUMIFS(BONUS_RULES!$E$5:$E$46,BONUS_RULES!$A$5:$A$46,$C212,BONUS_RULES!$B$5:$B$46,"Extra Bonus (PCS Score)"),SUMIFS(BONUS_RULES!$D$5:$D$46,BONUS_RULES!$A$5:$A$46,$C212,BONUS_RULES!$B$5:$B$46,"Extra Bonus (PCS Score)"),IF(AGENT_INPUT!G212&gt;=SUMIFS(BONUS_RULES!$G$5:$G$46,BONUS_RULES!$A$5:$A$46,$C212,BONUS_RULES!$B$5:$B$46,"Extra Bonus (PCS Score)"),SUMIFS(BONUS_RULES!$F$5:$F$46,BONUS_RULES!$A$5:$A$46,$C212,BONUS_RULES!$B$5:$B$46,"Extra Bonus (PCS Score)"),0)))</f>
        <v/>
      </c>
      <c r="M212" s="10">
        <f>IF($A212="","",MIN(IF(POLICY_APPROVAL!$B$6="Replacement",SUM(F212:K212)-H212+MAX(H212,L212),SUM(F212:L212)),POLICY_APPROVAL!$B$10))</f>
        <v/>
      </c>
      <c r="N212" s="10">
        <f>IF($A212="","",IFERROR(INDEX(BONUS_RULES!$J$5:$J$10,MATCH(MIN(MAX(AGENT_INPUT!K212,0),5),BONUS_RULES!$I$5:$I$10,0)),1))</f>
        <v/>
      </c>
      <c r="O212" s="10">
        <f>IF(M212="","",MAX(0,IF(POLICY_APPROVAL!$B$5="Percentage points",M212-N212,M212*(1-N212))))</f>
        <v/>
      </c>
      <c r="P212" s="11">
        <f>IF(D212&lt;&gt;"READY","",IF(AGENT_INPUT!O212&gt;0,AGENT_INPUT!O212,AGENT_INPUT!M212*AGENT_INPUT!N212/IF(POLICY_APPROVAL!$B$7="Annual",12,1)))</f>
        <v/>
      </c>
      <c r="Q212" s="10">
        <f>IF(D212&lt;&gt;"READY","",MIN(1,AGENT_INPUT!P212/AGENT_INPUT!Q212))</f>
        <v/>
      </c>
      <c r="R212" s="11">
        <f>IF(D212&lt;&gt;"READY","",ROUND(P212*Q212*O212,IF(POLICY_APPROVAL!$B$11="Whole MAD",0,2)))</f>
        <v/>
      </c>
      <c r="S212" s="11">
        <f>IF(AND(SETUP!$B$9="READY",T212="READY"),R212,"")</f>
        <v/>
      </c>
      <c r="T212" s="4">
        <f>IF($A212="","",IF(D212&lt;&gt;"READY","BLOCKED - INPUT",IF(E212&lt;&gt;"ELIGIBLE","BLOCKED - ELIGIBILITY",IF(AGENT_INPUT!S212&lt;&gt;"VALIDATED","BLOCKED - DATA",IF(SETUP!$B$9&lt;&gt;"READY","BLOCKED - POLICY","READY")))))</f>
        <v/>
      </c>
      <c r="U212" s="4">
        <f>IF($A212="","",IF(COUNTIFS(AGENT_INPUT!$A$5:$A$254,$A212,AGENT_INPUT!$D$5:$D$254,AGENT_INPUT!D212)&gt;1,"DUPLICATE AGENT + PERIOD",IF(D212&lt;&gt;"READY","INPUT OR CONFIG REVIEW",IF(T212&lt;&gt;"READY",T212,""))))</f>
        <v/>
      </c>
    </row>
    <row r="213" spans="1:21">
      <c r="A213" s="4">
        <f>IF(AGENT_INPUT!A213="","",AGENT_INPUT!A213)</f>
        <v/>
      </c>
      <c r="B213" s="4">
        <f>IF($A213="","",AGENT_INPUT!B213)</f>
        <v/>
      </c>
      <c r="C213" s="4">
        <f>IF($A213="","",AGENT_INPUT!C213)</f>
        <v/>
      </c>
      <c r="D213" s="4">
        <f>IF($A213="","",IF(AND(COUNT(AGENT_INPUT!E213:J213)=6,COUNT(AGENT_INPUT!K213)=1,COUNTIF(BONUS_RULES!$A$5:$A$46,AGENT_INPUT!C213)&gt;0,OR(AGENT_INPUT!O213&gt;0,AND(AGENT_INPUT!M213&gt;0,AGENT_INPUT!N213&gt;0)),AGENT_INPUT!P213&gt;=0,AGENT_INPUT!Q213&gt;0,AGENT_INPUT!P213&lt;=AGENT_INPUT!Q213,AGENT_INPUT!H213&gt;=0,AGENT_INPUT!H213&lt;=1,AGENT_INPUT!I213&gt;=0,AGENT_INPUT!I213&lt;=1,AGENT_INPUT!J213&gt;=0,AGENT_INPUT!J213&lt;=1),"READY","BLOCKED"))</f>
        <v/>
      </c>
      <c r="E213" s="4">
        <f>IF($A213="","",IF(AGENT_INPUT!R213&lt;&gt;"Active","REVIEW",IF(OR(POLICY_APPROVAL!$B$9="Eligibility only",POLICY_APPROVAL!$B$9="Both"),IF(AGENT_INPUT!J213&lt;=SUMIFS(BONUS_RULES!$E$5:$E$46,BONUS_RULES!$A$5:$A$46,$C213,BONUS_RULES!$B$5:$B$46,"Abs%"),"ELIGIBLE","INELIGIBLE ABS"),"ELIGIBLE")))</f>
        <v/>
      </c>
      <c r="F213" s="10">
        <f>IF(OR($A213="",$D213&lt;&gt;"READY"),"",IF(AGENT_INPUT!E213&lt;=SUMIFS(BONUS_RULES!$E$5:$E$46,BONUS_RULES!$A$5:$A$46,$C213,BONUS_RULES!$B$5:$B$46,"AHT"),SUMIFS(BONUS_RULES!$D$5:$D$46,BONUS_RULES!$A$5:$A$46,$C213,BONUS_RULES!$B$5:$B$46,"AHT"),IF(AGENT_INPUT!E213&lt;=SUMIFS(BONUS_RULES!$G$5:$G$46,BONUS_RULES!$A$5:$A$46,$C213,BONUS_RULES!$B$5:$B$46,"AHT"),SUMIFS(BONUS_RULES!$F$5:$F$46,BONUS_RULES!$A$5:$A$46,$C213,BONUS_RULES!$B$5:$B$46,"AHT"),0)))</f>
        <v/>
      </c>
      <c r="G213" s="10">
        <f>IF(OR($A213="",$D213&lt;&gt;"READY"),"",IF(AGENT_INPUT!F213&gt;=SUMIFS(BONUS_RULES!$E$5:$E$46,BONUS_RULES!$A$5:$A$46,$C213,BONUS_RULES!$B$5:$B$46,"Productivity"),SUMIFS(BONUS_RULES!$D$5:$D$46,BONUS_RULES!$A$5:$A$46,$C213,BONUS_RULES!$B$5:$B$46,"Productivity"),IF(AGENT_INPUT!F213&gt;=SUMIFS(BONUS_RULES!$G$5:$G$46,BONUS_RULES!$A$5:$A$46,$C213,BONUS_RULES!$B$5:$B$46,"Productivity"),SUMIFS(BONUS_RULES!$F$5:$F$46,BONUS_RULES!$A$5:$A$46,$C213,BONUS_RULES!$B$5:$B$46,"Productivity"),0)))</f>
        <v/>
      </c>
      <c r="H213" s="10">
        <f>IF(OR($A213="",$D213&lt;&gt;"READY"),"",IF(AGENT_INPUT!G213&gt;=SUMIFS(BONUS_RULES!$E$5:$E$46,BONUS_RULES!$A$5:$A$46,$C213,BONUS_RULES!$B$5:$B$46,"PCS Score"),SUMIFS(BONUS_RULES!$D$5:$D$46,BONUS_RULES!$A$5:$A$46,$C213,BONUS_RULES!$B$5:$B$46,"PCS Score"),IF(AGENT_INPUT!G213&gt;=SUMIFS(BONUS_RULES!$G$5:$G$46,BONUS_RULES!$A$5:$A$46,$C213,BONUS_RULES!$B$5:$B$46,"PCS Score"),SUMIFS(BONUS_RULES!$F$5:$F$46,BONUS_RULES!$A$5:$A$46,$C213,BONUS_RULES!$B$5:$B$46,"PCS Score"),0)))</f>
        <v/>
      </c>
      <c r="I213" s="10">
        <f>IF(OR($A213="",$D213&lt;&gt;"READY"),"",IF(AGENT_INPUT!H213&gt;=SUMIFS(BONUS_RULES!$E$5:$E$46,BONUS_RULES!$A$5:$A$46,$C213,BONUS_RULES!$B$5:$B$46,"PCS % (Participation)"),SUMIFS(BONUS_RULES!$D$5:$D$46,BONUS_RULES!$A$5:$A$46,$C213,BONUS_RULES!$B$5:$B$46,"PCS % (Participation)"),IF(AGENT_INPUT!H213&gt;=SUMIFS(BONUS_RULES!$G$5:$G$46,BONUS_RULES!$A$5:$A$46,$C213,BONUS_RULES!$B$5:$B$46,"PCS % (Participation)"),SUMIFS(BONUS_RULES!$F$5:$F$46,BONUS_RULES!$A$5:$A$46,$C213,BONUS_RULES!$B$5:$B$46,"PCS % (Participation)"),0)))</f>
        <v/>
      </c>
      <c r="J213" s="10">
        <f>IF(OR($A213="",$D213&lt;&gt;"READY"),"",IF(AGENT_INPUT!I213&gt;=SUMIFS(BONUS_RULES!$E$5:$E$46,BONUS_RULES!$A$5:$A$46,$C213,BONUS_RULES!$B$5:$B$46,"QM"),SUMIFS(BONUS_RULES!$D$5:$D$46,BONUS_RULES!$A$5:$A$46,$C213,BONUS_RULES!$B$5:$B$46,"QM"),IF(AGENT_INPUT!I213&gt;=SUMIFS(BONUS_RULES!$G$5:$G$46,BONUS_RULES!$A$5:$A$46,$C213,BONUS_RULES!$B$5:$B$46,"QM"),SUMIFS(BONUS_RULES!$F$5:$F$46,BONUS_RULES!$A$5:$A$46,$C213,BONUS_RULES!$B$5:$B$46,"QM"),0)))</f>
        <v/>
      </c>
      <c r="K213" s="10">
        <f>IF(POLICY_APPROVAL!$B$9="Eligibility only",0,IF(OR($A213="",$D213&lt;&gt;"READY"),"",IF(AGENT_INPUT!J213&lt;=SUMIFS(BONUS_RULES!$E$5:$E$46,BONUS_RULES!$A$5:$A$46,$C213,BONUS_RULES!$B$5:$B$46,"Abs%"),SUMIFS(BONUS_RULES!$D$5:$D$46,BONUS_RULES!$A$5:$A$46,$C213,BONUS_RULES!$B$5:$B$46,"Abs%"),IF(AGENT_INPUT!J213&lt;=SUMIFS(BONUS_RULES!$G$5:$G$46,BONUS_RULES!$A$5:$A$46,$C213,BONUS_RULES!$B$5:$B$46,"Abs%"),SUMIFS(BONUS_RULES!$F$5:$F$46,BONUS_RULES!$A$5:$A$46,$C213,BONUS_RULES!$B$5:$B$46,"Abs%"),0))))</f>
        <v/>
      </c>
      <c r="L213" s="10">
        <f>IF(OR($A213="",$D213&lt;&gt;"READY"),"",IF(AGENT_INPUT!G213&gt;=SUMIFS(BONUS_RULES!$E$5:$E$46,BONUS_RULES!$A$5:$A$46,$C213,BONUS_RULES!$B$5:$B$46,"Extra Bonus (PCS Score)"),SUMIFS(BONUS_RULES!$D$5:$D$46,BONUS_RULES!$A$5:$A$46,$C213,BONUS_RULES!$B$5:$B$46,"Extra Bonus (PCS Score)"),IF(AGENT_INPUT!G213&gt;=SUMIFS(BONUS_RULES!$G$5:$G$46,BONUS_RULES!$A$5:$A$46,$C213,BONUS_RULES!$B$5:$B$46,"Extra Bonus (PCS Score)"),SUMIFS(BONUS_RULES!$F$5:$F$46,BONUS_RULES!$A$5:$A$46,$C213,BONUS_RULES!$B$5:$B$46,"Extra Bonus (PCS Score)"),0)))</f>
        <v/>
      </c>
      <c r="M213" s="10">
        <f>IF($A213="","",MIN(IF(POLICY_APPROVAL!$B$6="Replacement",SUM(F213:K213)-H213+MAX(H213,L213),SUM(F213:L213)),POLICY_APPROVAL!$B$10))</f>
        <v/>
      </c>
      <c r="N213" s="10">
        <f>IF($A213="","",IFERROR(INDEX(BONUS_RULES!$J$5:$J$10,MATCH(MIN(MAX(AGENT_INPUT!K213,0),5),BONUS_RULES!$I$5:$I$10,0)),1))</f>
        <v/>
      </c>
      <c r="O213" s="10">
        <f>IF(M213="","",MAX(0,IF(POLICY_APPROVAL!$B$5="Percentage points",M213-N213,M213*(1-N213))))</f>
        <v/>
      </c>
      <c r="P213" s="11">
        <f>IF(D213&lt;&gt;"READY","",IF(AGENT_INPUT!O213&gt;0,AGENT_INPUT!O213,AGENT_INPUT!M213*AGENT_INPUT!N213/IF(POLICY_APPROVAL!$B$7="Annual",12,1)))</f>
        <v/>
      </c>
      <c r="Q213" s="10">
        <f>IF(D213&lt;&gt;"READY","",MIN(1,AGENT_INPUT!P213/AGENT_INPUT!Q213))</f>
        <v/>
      </c>
      <c r="R213" s="11">
        <f>IF(D213&lt;&gt;"READY","",ROUND(P213*Q213*O213,IF(POLICY_APPROVAL!$B$11="Whole MAD",0,2)))</f>
        <v/>
      </c>
      <c r="S213" s="11">
        <f>IF(AND(SETUP!$B$9="READY",T213="READY"),R213,"")</f>
        <v/>
      </c>
      <c r="T213" s="4">
        <f>IF($A213="","",IF(D213&lt;&gt;"READY","BLOCKED - INPUT",IF(E213&lt;&gt;"ELIGIBLE","BLOCKED - ELIGIBILITY",IF(AGENT_INPUT!S213&lt;&gt;"VALIDATED","BLOCKED - DATA",IF(SETUP!$B$9&lt;&gt;"READY","BLOCKED - POLICY","READY")))))</f>
        <v/>
      </c>
      <c r="U213" s="4">
        <f>IF($A213="","",IF(COUNTIFS(AGENT_INPUT!$A$5:$A$254,$A213,AGENT_INPUT!$D$5:$D$254,AGENT_INPUT!D213)&gt;1,"DUPLICATE AGENT + PERIOD",IF(D213&lt;&gt;"READY","INPUT OR CONFIG REVIEW",IF(T213&lt;&gt;"READY",T213,""))))</f>
        <v/>
      </c>
    </row>
    <row r="214" spans="1:21">
      <c r="A214" s="4">
        <f>IF(AGENT_INPUT!A214="","",AGENT_INPUT!A214)</f>
        <v/>
      </c>
      <c r="B214" s="4">
        <f>IF($A214="","",AGENT_INPUT!B214)</f>
        <v/>
      </c>
      <c r="C214" s="4">
        <f>IF($A214="","",AGENT_INPUT!C214)</f>
        <v/>
      </c>
      <c r="D214" s="4">
        <f>IF($A214="","",IF(AND(COUNT(AGENT_INPUT!E214:J214)=6,COUNT(AGENT_INPUT!K214)=1,COUNTIF(BONUS_RULES!$A$5:$A$46,AGENT_INPUT!C214)&gt;0,OR(AGENT_INPUT!O214&gt;0,AND(AGENT_INPUT!M214&gt;0,AGENT_INPUT!N214&gt;0)),AGENT_INPUT!P214&gt;=0,AGENT_INPUT!Q214&gt;0,AGENT_INPUT!P214&lt;=AGENT_INPUT!Q214,AGENT_INPUT!H214&gt;=0,AGENT_INPUT!H214&lt;=1,AGENT_INPUT!I214&gt;=0,AGENT_INPUT!I214&lt;=1,AGENT_INPUT!J214&gt;=0,AGENT_INPUT!J214&lt;=1),"READY","BLOCKED"))</f>
        <v/>
      </c>
      <c r="E214" s="4">
        <f>IF($A214="","",IF(AGENT_INPUT!R214&lt;&gt;"Active","REVIEW",IF(OR(POLICY_APPROVAL!$B$9="Eligibility only",POLICY_APPROVAL!$B$9="Both"),IF(AGENT_INPUT!J214&lt;=SUMIFS(BONUS_RULES!$E$5:$E$46,BONUS_RULES!$A$5:$A$46,$C214,BONUS_RULES!$B$5:$B$46,"Abs%"),"ELIGIBLE","INELIGIBLE ABS"),"ELIGIBLE")))</f>
        <v/>
      </c>
      <c r="F214" s="10">
        <f>IF(OR($A214="",$D214&lt;&gt;"READY"),"",IF(AGENT_INPUT!E214&lt;=SUMIFS(BONUS_RULES!$E$5:$E$46,BONUS_RULES!$A$5:$A$46,$C214,BONUS_RULES!$B$5:$B$46,"AHT"),SUMIFS(BONUS_RULES!$D$5:$D$46,BONUS_RULES!$A$5:$A$46,$C214,BONUS_RULES!$B$5:$B$46,"AHT"),IF(AGENT_INPUT!E214&lt;=SUMIFS(BONUS_RULES!$G$5:$G$46,BONUS_RULES!$A$5:$A$46,$C214,BONUS_RULES!$B$5:$B$46,"AHT"),SUMIFS(BONUS_RULES!$F$5:$F$46,BONUS_RULES!$A$5:$A$46,$C214,BONUS_RULES!$B$5:$B$46,"AHT"),0)))</f>
        <v/>
      </c>
      <c r="G214" s="10">
        <f>IF(OR($A214="",$D214&lt;&gt;"READY"),"",IF(AGENT_INPUT!F214&gt;=SUMIFS(BONUS_RULES!$E$5:$E$46,BONUS_RULES!$A$5:$A$46,$C214,BONUS_RULES!$B$5:$B$46,"Productivity"),SUMIFS(BONUS_RULES!$D$5:$D$46,BONUS_RULES!$A$5:$A$46,$C214,BONUS_RULES!$B$5:$B$46,"Productivity"),IF(AGENT_INPUT!F214&gt;=SUMIFS(BONUS_RULES!$G$5:$G$46,BONUS_RULES!$A$5:$A$46,$C214,BONUS_RULES!$B$5:$B$46,"Productivity"),SUMIFS(BONUS_RULES!$F$5:$F$46,BONUS_RULES!$A$5:$A$46,$C214,BONUS_RULES!$B$5:$B$46,"Productivity"),0)))</f>
        <v/>
      </c>
      <c r="H214" s="10">
        <f>IF(OR($A214="",$D214&lt;&gt;"READY"),"",IF(AGENT_INPUT!G214&gt;=SUMIFS(BONUS_RULES!$E$5:$E$46,BONUS_RULES!$A$5:$A$46,$C214,BONUS_RULES!$B$5:$B$46,"PCS Score"),SUMIFS(BONUS_RULES!$D$5:$D$46,BONUS_RULES!$A$5:$A$46,$C214,BONUS_RULES!$B$5:$B$46,"PCS Score"),IF(AGENT_INPUT!G214&gt;=SUMIFS(BONUS_RULES!$G$5:$G$46,BONUS_RULES!$A$5:$A$46,$C214,BONUS_RULES!$B$5:$B$46,"PCS Score"),SUMIFS(BONUS_RULES!$F$5:$F$46,BONUS_RULES!$A$5:$A$46,$C214,BONUS_RULES!$B$5:$B$46,"PCS Score"),0)))</f>
        <v/>
      </c>
      <c r="I214" s="10">
        <f>IF(OR($A214="",$D214&lt;&gt;"READY"),"",IF(AGENT_INPUT!H214&gt;=SUMIFS(BONUS_RULES!$E$5:$E$46,BONUS_RULES!$A$5:$A$46,$C214,BONUS_RULES!$B$5:$B$46,"PCS % (Participation)"),SUMIFS(BONUS_RULES!$D$5:$D$46,BONUS_RULES!$A$5:$A$46,$C214,BONUS_RULES!$B$5:$B$46,"PCS % (Participation)"),IF(AGENT_INPUT!H214&gt;=SUMIFS(BONUS_RULES!$G$5:$G$46,BONUS_RULES!$A$5:$A$46,$C214,BONUS_RULES!$B$5:$B$46,"PCS % (Participation)"),SUMIFS(BONUS_RULES!$F$5:$F$46,BONUS_RULES!$A$5:$A$46,$C214,BONUS_RULES!$B$5:$B$46,"PCS % (Participation)"),0)))</f>
        <v/>
      </c>
      <c r="J214" s="10">
        <f>IF(OR($A214="",$D214&lt;&gt;"READY"),"",IF(AGENT_INPUT!I214&gt;=SUMIFS(BONUS_RULES!$E$5:$E$46,BONUS_RULES!$A$5:$A$46,$C214,BONUS_RULES!$B$5:$B$46,"QM"),SUMIFS(BONUS_RULES!$D$5:$D$46,BONUS_RULES!$A$5:$A$46,$C214,BONUS_RULES!$B$5:$B$46,"QM"),IF(AGENT_INPUT!I214&gt;=SUMIFS(BONUS_RULES!$G$5:$G$46,BONUS_RULES!$A$5:$A$46,$C214,BONUS_RULES!$B$5:$B$46,"QM"),SUMIFS(BONUS_RULES!$F$5:$F$46,BONUS_RULES!$A$5:$A$46,$C214,BONUS_RULES!$B$5:$B$46,"QM"),0)))</f>
        <v/>
      </c>
      <c r="K214" s="10">
        <f>IF(POLICY_APPROVAL!$B$9="Eligibility only",0,IF(OR($A214="",$D214&lt;&gt;"READY"),"",IF(AGENT_INPUT!J214&lt;=SUMIFS(BONUS_RULES!$E$5:$E$46,BONUS_RULES!$A$5:$A$46,$C214,BONUS_RULES!$B$5:$B$46,"Abs%"),SUMIFS(BONUS_RULES!$D$5:$D$46,BONUS_RULES!$A$5:$A$46,$C214,BONUS_RULES!$B$5:$B$46,"Abs%"),IF(AGENT_INPUT!J214&lt;=SUMIFS(BONUS_RULES!$G$5:$G$46,BONUS_RULES!$A$5:$A$46,$C214,BONUS_RULES!$B$5:$B$46,"Abs%"),SUMIFS(BONUS_RULES!$F$5:$F$46,BONUS_RULES!$A$5:$A$46,$C214,BONUS_RULES!$B$5:$B$46,"Abs%"),0))))</f>
        <v/>
      </c>
      <c r="L214" s="10">
        <f>IF(OR($A214="",$D214&lt;&gt;"READY"),"",IF(AGENT_INPUT!G214&gt;=SUMIFS(BONUS_RULES!$E$5:$E$46,BONUS_RULES!$A$5:$A$46,$C214,BONUS_RULES!$B$5:$B$46,"Extra Bonus (PCS Score)"),SUMIFS(BONUS_RULES!$D$5:$D$46,BONUS_RULES!$A$5:$A$46,$C214,BONUS_RULES!$B$5:$B$46,"Extra Bonus (PCS Score)"),IF(AGENT_INPUT!G214&gt;=SUMIFS(BONUS_RULES!$G$5:$G$46,BONUS_RULES!$A$5:$A$46,$C214,BONUS_RULES!$B$5:$B$46,"Extra Bonus (PCS Score)"),SUMIFS(BONUS_RULES!$F$5:$F$46,BONUS_RULES!$A$5:$A$46,$C214,BONUS_RULES!$B$5:$B$46,"Extra Bonus (PCS Score)"),0)))</f>
        <v/>
      </c>
      <c r="M214" s="10">
        <f>IF($A214="","",MIN(IF(POLICY_APPROVAL!$B$6="Replacement",SUM(F214:K214)-H214+MAX(H214,L214),SUM(F214:L214)),POLICY_APPROVAL!$B$10))</f>
        <v/>
      </c>
      <c r="N214" s="10">
        <f>IF($A214="","",IFERROR(INDEX(BONUS_RULES!$J$5:$J$10,MATCH(MIN(MAX(AGENT_INPUT!K214,0),5),BONUS_RULES!$I$5:$I$10,0)),1))</f>
        <v/>
      </c>
      <c r="O214" s="10">
        <f>IF(M214="","",MAX(0,IF(POLICY_APPROVAL!$B$5="Percentage points",M214-N214,M214*(1-N214))))</f>
        <v/>
      </c>
      <c r="P214" s="11">
        <f>IF(D214&lt;&gt;"READY","",IF(AGENT_INPUT!O214&gt;0,AGENT_INPUT!O214,AGENT_INPUT!M214*AGENT_INPUT!N214/IF(POLICY_APPROVAL!$B$7="Annual",12,1)))</f>
        <v/>
      </c>
      <c r="Q214" s="10">
        <f>IF(D214&lt;&gt;"READY","",MIN(1,AGENT_INPUT!P214/AGENT_INPUT!Q214))</f>
        <v/>
      </c>
      <c r="R214" s="11">
        <f>IF(D214&lt;&gt;"READY","",ROUND(P214*Q214*O214,IF(POLICY_APPROVAL!$B$11="Whole MAD",0,2)))</f>
        <v/>
      </c>
      <c r="S214" s="11">
        <f>IF(AND(SETUP!$B$9="READY",T214="READY"),R214,"")</f>
        <v/>
      </c>
      <c r="T214" s="4">
        <f>IF($A214="","",IF(D214&lt;&gt;"READY","BLOCKED - INPUT",IF(E214&lt;&gt;"ELIGIBLE","BLOCKED - ELIGIBILITY",IF(AGENT_INPUT!S214&lt;&gt;"VALIDATED","BLOCKED - DATA",IF(SETUP!$B$9&lt;&gt;"READY","BLOCKED - POLICY","READY")))))</f>
        <v/>
      </c>
      <c r="U214" s="4">
        <f>IF($A214="","",IF(COUNTIFS(AGENT_INPUT!$A$5:$A$254,$A214,AGENT_INPUT!$D$5:$D$254,AGENT_INPUT!D214)&gt;1,"DUPLICATE AGENT + PERIOD",IF(D214&lt;&gt;"READY","INPUT OR CONFIG REVIEW",IF(T214&lt;&gt;"READY",T214,""))))</f>
        <v/>
      </c>
    </row>
    <row r="215" spans="1:21">
      <c r="A215" s="4">
        <f>IF(AGENT_INPUT!A215="","",AGENT_INPUT!A215)</f>
        <v/>
      </c>
      <c r="B215" s="4">
        <f>IF($A215="","",AGENT_INPUT!B215)</f>
        <v/>
      </c>
      <c r="C215" s="4">
        <f>IF($A215="","",AGENT_INPUT!C215)</f>
        <v/>
      </c>
      <c r="D215" s="4">
        <f>IF($A215="","",IF(AND(COUNT(AGENT_INPUT!E215:J215)=6,COUNT(AGENT_INPUT!K215)=1,COUNTIF(BONUS_RULES!$A$5:$A$46,AGENT_INPUT!C215)&gt;0,OR(AGENT_INPUT!O215&gt;0,AND(AGENT_INPUT!M215&gt;0,AGENT_INPUT!N215&gt;0)),AGENT_INPUT!P215&gt;=0,AGENT_INPUT!Q215&gt;0,AGENT_INPUT!P215&lt;=AGENT_INPUT!Q215,AGENT_INPUT!H215&gt;=0,AGENT_INPUT!H215&lt;=1,AGENT_INPUT!I215&gt;=0,AGENT_INPUT!I215&lt;=1,AGENT_INPUT!J215&gt;=0,AGENT_INPUT!J215&lt;=1),"READY","BLOCKED"))</f>
        <v/>
      </c>
      <c r="E215" s="4">
        <f>IF($A215="","",IF(AGENT_INPUT!R215&lt;&gt;"Active","REVIEW",IF(OR(POLICY_APPROVAL!$B$9="Eligibility only",POLICY_APPROVAL!$B$9="Both"),IF(AGENT_INPUT!J215&lt;=SUMIFS(BONUS_RULES!$E$5:$E$46,BONUS_RULES!$A$5:$A$46,$C215,BONUS_RULES!$B$5:$B$46,"Abs%"),"ELIGIBLE","INELIGIBLE ABS"),"ELIGIBLE")))</f>
        <v/>
      </c>
      <c r="F215" s="10">
        <f>IF(OR($A215="",$D215&lt;&gt;"READY"),"",IF(AGENT_INPUT!E215&lt;=SUMIFS(BONUS_RULES!$E$5:$E$46,BONUS_RULES!$A$5:$A$46,$C215,BONUS_RULES!$B$5:$B$46,"AHT"),SUMIFS(BONUS_RULES!$D$5:$D$46,BONUS_RULES!$A$5:$A$46,$C215,BONUS_RULES!$B$5:$B$46,"AHT"),IF(AGENT_INPUT!E215&lt;=SUMIFS(BONUS_RULES!$G$5:$G$46,BONUS_RULES!$A$5:$A$46,$C215,BONUS_RULES!$B$5:$B$46,"AHT"),SUMIFS(BONUS_RULES!$F$5:$F$46,BONUS_RULES!$A$5:$A$46,$C215,BONUS_RULES!$B$5:$B$46,"AHT"),0)))</f>
        <v/>
      </c>
      <c r="G215" s="10">
        <f>IF(OR($A215="",$D215&lt;&gt;"READY"),"",IF(AGENT_INPUT!F215&gt;=SUMIFS(BONUS_RULES!$E$5:$E$46,BONUS_RULES!$A$5:$A$46,$C215,BONUS_RULES!$B$5:$B$46,"Productivity"),SUMIFS(BONUS_RULES!$D$5:$D$46,BONUS_RULES!$A$5:$A$46,$C215,BONUS_RULES!$B$5:$B$46,"Productivity"),IF(AGENT_INPUT!F215&gt;=SUMIFS(BONUS_RULES!$G$5:$G$46,BONUS_RULES!$A$5:$A$46,$C215,BONUS_RULES!$B$5:$B$46,"Productivity"),SUMIFS(BONUS_RULES!$F$5:$F$46,BONUS_RULES!$A$5:$A$46,$C215,BONUS_RULES!$B$5:$B$46,"Productivity"),0)))</f>
        <v/>
      </c>
      <c r="H215" s="10">
        <f>IF(OR($A215="",$D215&lt;&gt;"READY"),"",IF(AGENT_INPUT!G215&gt;=SUMIFS(BONUS_RULES!$E$5:$E$46,BONUS_RULES!$A$5:$A$46,$C215,BONUS_RULES!$B$5:$B$46,"PCS Score"),SUMIFS(BONUS_RULES!$D$5:$D$46,BONUS_RULES!$A$5:$A$46,$C215,BONUS_RULES!$B$5:$B$46,"PCS Score"),IF(AGENT_INPUT!G215&gt;=SUMIFS(BONUS_RULES!$G$5:$G$46,BONUS_RULES!$A$5:$A$46,$C215,BONUS_RULES!$B$5:$B$46,"PCS Score"),SUMIFS(BONUS_RULES!$F$5:$F$46,BONUS_RULES!$A$5:$A$46,$C215,BONUS_RULES!$B$5:$B$46,"PCS Score"),0)))</f>
        <v/>
      </c>
      <c r="I215" s="10">
        <f>IF(OR($A215="",$D215&lt;&gt;"READY"),"",IF(AGENT_INPUT!H215&gt;=SUMIFS(BONUS_RULES!$E$5:$E$46,BONUS_RULES!$A$5:$A$46,$C215,BONUS_RULES!$B$5:$B$46,"PCS % (Participation)"),SUMIFS(BONUS_RULES!$D$5:$D$46,BONUS_RULES!$A$5:$A$46,$C215,BONUS_RULES!$B$5:$B$46,"PCS % (Participation)"),IF(AGENT_INPUT!H215&gt;=SUMIFS(BONUS_RULES!$G$5:$G$46,BONUS_RULES!$A$5:$A$46,$C215,BONUS_RULES!$B$5:$B$46,"PCS % (Participation)"),SUMIFS(BONUS_RULES!$F$5:$F$46,BONUS_RULES!$A$5:$A$46,$C215,BONUS_RULES!$B$5:$B$46,"PCS % (Participation)"),0)))</f>
        <v/>
      </c>
      <c r="J215" s="10">
        <f>IF(OR($A215="",$D215&lt;&gt;"READY"),"",IF(AGENT_INPUT!I215&gt;=SUMIFS(BONUS_RULES!$E$5:$E$46,BONUS_RULES!$A$5:$A$46,$C215,BONUS_RULES!$B$5:$B$46,"QM"),SUMIFS(BONUS_RULES!$D$5:$D$46,BONUS_RULES!$A$5:$A$46,$C215,BONUS_RULES!$B$5:$B$46,"QM"),IF(AGENT_INPUT!I215&gt;=SUMIFS(BONUS_RULES!$G$5:$G$46,BONUS_RULES!$A$5:$A$46,$C215,BONUS_RULES!$B$5:$B$46,"QM"),SUMIFS(BONUS_RULES!$F$5:$F$46,BONUS_RULES!$A$5:$A$46,$C215,BONUS_RULES!$B$5:$B$46,"QM"),0)))</f>
        <v/>
      </c>
      <c r="K215" s="10">
        <f>IF(POLICY_APPROVAL!$B$9="Eligibility only",0,IF(OR($A215="",$D215&lt;&gt;"READY"),"",IF(AGENT_INPUT!J215&lt;=SUMIFS(BONUS_RULES!$E$5:$E$46,BONUS_RULES!$A$5:$A$46,$C215,BONUS_RULES!$B$5:$B$46,"Abs%"),SUMIFS(BONUS_RULES!$D$5:$D$46,BONUS_RULES!$A$5:$A$46,$C215,BONUS_RULES!$B$5:$B$46,"Abs%"),IF(AGENT_INPUT!J215&lt;=SUMIFS(BONUS_RULES!$G$5:$G$46,BONUS_RULES!$A$5:$A$46,$C215,BONUS_RULES!$B$5:$B$46,"Abs%"),SUMIFS(BONUS_RULES!$F$5:$F$46,BONUS_RULES!$A$5:$A$46,$C215,BONUS_RULES!$B$5:$B$46,"Abs%"),0))))</f>
        <v/>
      </c>
      <c r="L215" s="10">
        <f>IF(OR($A215="",$D215&lt;&gt;"READY"),"",IF(AGENT_INPUT!G215&gt;=SUMIFS(BONUS_RULES!$E$5:$E$46,BONUS_RULES!$A$5:$A$46,$C215,BONUS_RULES!$B$5:$B$46,"Extra Bonus (PCS Score)"),SUMIFS(BONUS_RULES!$D$5:$D$46,BONUS_RULES!$A$5:$A$46,$C215,BONUS_RULES!$B$5:$B$46,"Extra Bonus (PCS Score)"),IF(AGENT_INPUT!G215&gt;=SUMIFS(BONUS_RULES!$G$5:$G$46,BONUS_RULES!$A$5:$A$46,$C215,BONUS_RULES!$B$5:$B$46,"Extra Bonus (PCS Score)"),SUMIFS(BONUS_RULES!$F$5:$F$46,BONUS_RULES!$A$5:$A$46,$C215,BONUS_RULES!$B$5:$B$46,"Extra Bonus (PCS Score)"),0)))</f>
        <v/>
      </c>
      <c r="M215" s="10">
        <f>IF($A215="","",MIN(IF(POLICY_APPROVAL!$B$6="Replacement",SUM(F215:K215)-H215+MAX(H215,L215),SUM(F215:L215)),POLICY_APPROVAL!$B$10))</f>
        <v/>
      </c>
      <c r="N215" s="10">
        <f>IF($A215="","",IFERROR(INDEX(BONUS_RULES!$J$5:$J$10,MATCH(MIN(MAX(AGENT_INPUT!K215,0),5),BONUS_RULES!$I$5:$I$10,0)),1))</f>
        <v/>
      </c>
      <c r="O215" s="10">
        <f>IF(M215="","",MAX(0,IF(POLICY_APPROVAL!$B$5="Percentage points",M215-N215,M215*(1-N215))))</f>
        <v/>
      </c>
      <c r="P215" s="11">
        <f>IF(D215&lt;&gt;"READY","",IF(AGENT_INPUT!O215&gt;0,AGENT_INPUT!O215,AGENT_INPUT!M215*AGENT_INPUT!N215/IF(POLICY_APPROVAL!$B$7="Annual",12,1)))</f>
        <v/>
      </c>
      <c r="Q215" s="10">
        <f>IF(D215&lt;&gt;"READY","",MIN(1,AGENT_INPUT!P215/AGENT_INPUT!Q215))</f>
        <v/>
      </c>
      <c r="R215" s="11">
        <f>IF(D215&lt;&gt;"READY","",ROUND(P215*Q215*O215,IF(POLICY_APPROVAL!$B$11="Whole MAD",0,2)))</f>
        <v/>
      </c>
      <c r="S215" s="11">
        <f>IF(AND(SETUP!$B$9="READY",T215="READY"),R215,"")</f>
        <v/>
      </c>
      <c r="T215" s="4">
        <f>IF($A215="","",IF(D215&lt;&gt;"READY","BLOCKED - INPUT",IF(E215&lt;&gt;"ELIGIBLE","BLOCKED - ELIGIBILITY",IF(AGENT_INPUT!S215&lt;&gt;"VALIDATED","BLOCKED - DATA",IF(SETUP!$B$9&lt;&gt;"READY","BLOCKED - POLICY","READY")))))</f>
        <v/>
      </c>
      <c r="U215" s="4">
        <f>IF($A215="","",IF(COUNTIFS(AGENT_INPUT!$A$5:$A$254,$A215,AGENT_INPUT!$D$5:$D$254,AGENT_INPUT!D215)&gt;1,"DUPLICATE AGENT + PERIOD",IF(D215&lt;&gt;"READY","INPUT OR CONFIG REVIEW",IF(T215&lt;&gt;"READY",T215,""))))</f>
        <v/>
      </c>
    </row>
    <row r="216" spans="1:21">
      <c r="A216" s="4">
        <f>IF(AGENT_INPUT!A216="","",AGENT_INPUT!A216)</f>
        <v/>
      </c>
      <c r="B216" s="4">
        <f>IF($A216="","",AGENT_INPUT!B216)</f>
        <v/>
      </c>
      <c r="C216" s="4">
        <f>IF($A216="","",AGENT_INPUT!C216)</f>
        <v/>
      </c>
      <c r="D216" s="4">
        <f>IF($A216="","",IF(AND(COUNT(AGENT_INPUT!E216:J216)=6,COUNT(AGENT_INPUT!K216)=1,COUNTIF(BONUS_RULES!$A$5:$A$46,AGENT_INPUT!C216)&gt;0,OR(AGENT_INPUT!O216&gt;0,AND(AGENT_INPUT!M216&gt;0,AGENT_INPUT!N216&gt;0)),AGENT_INPUT!P216&gt;=0,AGENT_INPUT!Q216&gt;0,AGENT_INPUT!P216&lt;=AGENT_INPUT!Q216,AGENT_INPUT!H216&gt;=0,AGENT_INPUT!H216&lt;=1,AGENT_INPUT!I216&gt;=0,AGENT_INPUT!I216&lt;=1,AGENT_INPUT!J216&gt;=0,AGENT_INPUT!J216&lt;=1),"READY","BLOCKED"))</f>
        <v/>
      </c>
      <c r="E216" s="4">
        <f>IF($A216="","",IF(AGENT_INPUT!R216&lt;&gt;"Active","REVIEW",IF(OR(POLICY_APPROVAL!$B$9="Eligibility only",POLICY_APPROVAL!$B$9="Both"),IF(AGENT_INPUT!J216&lt;=SUMIFS(BONUS_RULES!$E$5:$E$46,BONUS_RULES!$A$5:$A$46,$C216,BONUS_RULES!$B$5:$B$46,"Abs%"),"ELIGIBLE","INELIGIBLE ABS"),"ELIGIBLE")))</f>
        <v/>
      </c>
      <c r="F216" s="10">
        <f>IF(OR($A216="",$D216&lt;&gt;"READY"),"",IF(AGENT_INPUT!E216&lt;=SUMIFS(BONUS_RULES!$E$5:$E$46,BONUS_RULES!$A$5:$A$46,$C216,BONUS_RULES!$B$5:$B$46,"AHT"),SUMIFS(BONUS_RULES!$D$5:$D$46,BONUS_RULES!$A$5:$A$46,$C216,BONUS_RULES!$B$5:$B$46,"AHT"),IF(AGENT_INPUT!E216&lt;=SUMIFS(BONUS_RULES!$G$5:$G$46,BONUS_RULES!$A$5:$A$46,$C216,BONUS_RULES!$B$5:$B$46,"AHT"),SUMIFS(BONUS_RULES!$F$5:$F$46,BONUS_RULES!$A$5:$A$46,$C216,BONUS_RULES!$B$5:$B$46,"AHT"),0)))</f>
        <v/>
      </c>
      <c r="G216" s="10">
        <f>IF(OR($A216="",$D216&lt;&gt;"READY"),"",IF(AGENT_INPUT!F216&gt;=SUMIFS(BONUS_RULES!$E$5:$E$46,BONUS_RULES!$A$5:$A$46,$C216,BONUS_RULES!$B$5:$B$46,"Productivity"),SUMIFS(BONUS_RULES!$D$5:$D$46,BONUS_RULES!$A$5:$A$46,$C216,BONUS_RULES!$B$5:$B$46,"Productivity"),IF(AGENT_INPUT!F216&gt;=SUMIFS(BONUS_RULES!$G$5:$G$46,BONUS_RULES!$A$5:$A$46,$C216,BONUS_RULES!$B$5:$B$46,"Productivity"),SUMIFS(BONUS_RULES!$F$5:$F$46,BONUS_RULES!$A$5:$A$46,$C216,BONUS_RULES!$B$5:$B$46,"Productivity"),0)))</f>
        <v/>
      </c>
      <c r="H216" s="10">
        <f>IF(OR($A216="",$D216&lt;&gt;"READY"),"",IF(AGENT_INPUT!G216&gt;=SUMIFS(BONUS_RULES!$E$5:$E$46,BONUS_RULES!$A$5:$A$46,$C216,BONUS_RULES!$B$5:$B$46,"PCS Score"),SUMIFS(BONUS_RULES!$D$5:$D$46,BONUS_RULES!$A$5:$A$46,$C216,BONUS_RULES!$B$5:$B$46,"PCS Score"),IF(AGENT_INPUT!G216&gt;=SUMIFS(BONUS_RULES!$G$5:$G$46,BONUS_RULES!$A$5:$A$46,$C216,BONUS_RULES!$B$5:$B$46,"PCS Score"),SUMIFS(BONUS_RULES!$F$5:$F$46,BONUS_RULES!$A$5:$A$46,$C216,BONUS_RULES!$B$5:$B$46,"PCS Score"),0)))</f>
        <v/>
      </c>
      <c r="I216" s="10">
        <f>IF(OR($A216="",$D216&lt;&gt;"READY"),"",IF(AGENT_INPUT!H216&gt;=SUMIFS(BONUS_RULES!$E$5:$E$46,BONUS_RULES!$A$5:$A$46,$C216,BONUS_RULES!$B$5:$B$46,"PCS % (Participation)"),SUMIFS(BONUS_RULES!$D$5:$D$46,BONUS_RULES!$A$5:$A$46,$C216,BONUS_RULES!$B$5:$B$46,"PCS % (Participation)"),IF(AGENT_INPUT!H216&gt;=SUMIFS(BONUS_RULES!$G$5:$G$46,BONUS_RULES!$A$5:$A$46,$C216,BONUS_RULES!$B$5:$B$46,"PCS % (Participation)"),SUMIFS(BONUS_RULES!$F$5:$F$46,BONUS_RULES!$A$5:$A$46,$C216,BONUS_RULES!$B$5:$B$46,"PCS % (Participation)"),0)))</f>
        <v/>
      </c>
      <c r="J216" s="10">
        <f>IF(OR($A216="",$D216&lt;&gt;"READY"),"",IF(AGENT_INPUT!I216&gt;=SUMIFS(BONUS_RULES!$E$5:$E$46,BONUS_RULES!$A$5:$A$46,$C216,BONUS_RULES!$B$5:$B$46,"QM"),SUMIFS(BONUS_RULES!$D$5:$D$46,BONUS_RULES!$A$5:$A$46,$C216,BONUS_RULES!$B$5:$B$46,"QM"),IF(AGENT_INPUT!I216&gt;=SUMIFS(BONUS_RULES!$G$5:$G$46,BONUS_RULES!$A$5:$A$46,$C216,BONUS_RULES!$B$5:$B$46,"QM"),SUMIFS(BONUS_RULES!$F$5:$F$46,BONUS_RULES!$A$5:$A$46,$C216,BONUS_RULES!$B$5:$B$46,"QM"),0)))</f>
        <v/>
      </c>
      <c r="K216" s="10">
        <f>IF(POLICY_APPROVAL!$B$9="Eligibility only",0,IF(OR($A216="",$D216&lt;&gt;"READY"),"",IF(AGENT_INPUT!J216&lt;=SUMIFS(BONUS_RULES!$E$5:$E$46,BONUS_RULES!$A$5:$A$46,$C216,BONUS_RULES!$B$5:$B$46,"Abs%"),SUMIFS(BONUS_RULES!$D$5:$D$46,BONUS_RULES!$A$5:$A$46,$C216,BONUS_RULES!$B$5:$B$46,"Abs%"),IF(AGENT_INPUT!J216&lt;=SUMIFS(BONUS_RULES!$G$5:$G$46,BONUS_RULES!$A$5:$A$46,$C216,BONUS_RULES!$B$5:$B$46,"Abs%"),SUMIFS(BONUS_RULES!$F$5:$F$46,BONUS_RULES!$A$5:$A$46,$C216,BONUS_RULES!$B$5:$B$46,"Abs%"),0))))</f>
        <v/>
      </c>
      <c r="L216" s="10">
        <f>IF(OR($A216="",$D216&lt;&gt;"READY"),"",IF(AGENT_INPUT!G216&gt;=SUMIFS(BONUS_RULES!$E$5:$E$46,BONUS_RULES!$A$5:$A$46,$C216,BONUS_RULES!$B$5:$B$46,"Extra Bonus (PCS Score)"),SUMIFS(BONUS_RULES!$D$5:$D$46,BONUS_RULES!$A$5:$A$46,$C216,BONUS_RULES!$B$5:$B$46,"Extra Bonus (PCS Score)"),IF(AGENT_INPUT!G216&gt;=SUMIFS(BONUS_RULES!$G$5:$G$46,BONUS_RULES!$A$5:$A$46,$C216,BONUS_RULES!$B$5:$B$46,"Extra Bonus (PCS Score)"),SUMIFS(BONUS_RULES!$F$5:$F$46,BONUS_RULES!$A$5:$A$46,$C216,BONUS_RULES!$B$5:$B$46,"Extra Bonus (PCS Score)"),0)))</f>
        <v/>
      </c>
      <c r="M216" s="10">
        <f>IF($A216="","",MIN(IF(POLICY_APPROVAL!$B$6="Replacement",SUM(F216:K216)-H216+MAX(H216,L216),SUM(F216:L216)),POLICY_APPROVAL!$B$10))</f>
        <v/>
      </c>
      <c r="N216" s="10">
        <f>IF($A216="","",IFERROR(INDEX(BONUS_RULES!$J$5:$J$10,MATCH(MIN(MAX(AGENT_INPUT!K216,0),5),BONUS_RULES!$I$5:$I$10,0)),1))</f>
        <v/>
      </c>
      <c r="O216" s="10">
        <f>IF(M216="","",MAX(0,IF(POLICY_APPROVAL!$B$5="Percentage points",M216-N216,M216*(1-N216))))</f>
        <v/>
      </c>
      <c r="P216" s="11">
        <f>IF(D216&lt;&gt;"READY","",IF(AGENT_INPUT!O216&gt;0,AGENT_INPUT!O216,AGENT_INPUT!M216*AGENT_INPUT!N216/IF(POLICY_APPROVAL!$B$7="Annual",12,1)))</f>
        <v/>
      </c>
      <c r="Q216" s="10">
        <f>IF(D216&lt;&gt;"READY","",MIN(1,AGENT_INPUT!P216/AGENT_INPUT!Q216))</f>
        <v/>
      </c>
      <c r="R216" s="11">
        <f>IF(D216&lt;&gt;"READY","",ROUND(P216*Q216*O216,IF(POLICY_APPROVAL!$B$11="Whole MAD",0,2)))</f>
        <v/>
      </c>
      <c r="S216" s="11">
        <f>IF(AND(SETUP!$B$9="READY",T216="READY"),R216,"")</f>
        <v/>
      </c>
      <c r="T216" s="4">
        <f>IF($A216="","",IF(D216&lt;&gt;"READY","BLOCKED - INPUT",IF(E216&lt;&gt;"ELIGIBLE","BLOCKED - ELIGIBILITY",IF(AGENT_INPUT!S216&lt;&gt;"VALIDATED","BLOCKED - DATA",IF(SETUP!$B$9&lt;&gt;"READY","BLOCKED - POLICY","READY")))))</f>
        <v/>
      </c>
      <c r="U216" s="4">
        <f>IF($A216="","",IF(COUNTIFS(AGENT_INPUT!$A$5:$A$254,$A216,AGENT_INPUT!$D$5:$D$254,AGENT_INPUT!D216)&gt;1,"DUPLICATE AGENT + PERIOD",IF(D216&lt;&gt;"READY","INPUT OR CONFIG REVIEW",IF(T216&lt;&gt;"READY",T216,""))))</f>
        <v/>
      </c>
    </row>
    <row r="217" spans="1:21">
      <c r="A217" s="4">
        <f>IF(AGENT_INPUT!A217="","",AGENT_INPUT!A217)</f>
        <v/>
      </c>
      <c r="B217" s="4">
        <f>IF($A217="","",AGENT_INPUT!B217)</f>
        <v/>
      </c>
      <c r="C217" s="4">
        <f>IF($A217="","",AGENT_INPUT!C217)</f>
        <v/>
      </c>
      <c r="D217" s="4">
        <f>IF($A217="","",IF(AND(COUNT(AGENT_INPUT!E217:J217)=6,COUNT(AGENT_INPUT!K217)=1,COUNTIF(BONUS_RULES!$A$5:$A$46,AGENT_INPUT!C217)&gt;0,OR(AGENT_INPUT!O217&gt;0,AND(AGENT_INPUT!M217&gt;0,AGENT_INPUT!N217&gt;0)),AGENT_INPUT!P217&gt;=0,AGENT_INPUT!Q217&gt;0,AGENT_INPUT!P217&lt;=AGENT_INPUT!Q217,AGENT_INPUT!H217&gt;=0,AGENT_INPUT!H217&lt;=1,AGENT_INPUT!I217&gt;=0,AGENT_INPUT!I217&lt;=1,AGENT_INPUT!J217&gt;=0,AGENT_INPUT!J217&lt;=1),"READY","BLOCKED"))</f>
        <v/>
      </c>
      <c r="E217" s="4">
        <f>IF($A217="","",IF(AGENT_INPUT!R217&lt;&gt;"Active","REVIEW",IF(OR(POLICY_APPROVAL!$B$9="Eligibility only",POLICY_APPROVAL!$B$9="Both"),IF(AGENT_INPUT!J217&lt;=SUMIFS(BONUS_RULES!$E$5:$E$46,BONUS_RULES!$A$5:$A$46,$C217,BONUS_RULES!$B$5:$B$46,"Abs%"),"ELIGIBLE","INELIGIBLE ABS"),"ELIGIBLE")))</f>
        <v/>
      </c>
      <c r="F217" s="10">
        <f>IF(OR($A217="",$D217&lt;&gt;"READY"),"",IF(AGENT_INPUT!E217&lt;=SUMIFS(BONUS_RULES!$E$5:$E$46,BONUS_RULES!$A$5:$A$46,$C217,BONUS_RULES!$B$5:$B$46,"AHT"),SUMIFS(BONUS_RULES!$D$5:$D$46,BONUS_RULES!$A$5:$A$46,$C217,BONUS_RULES!$B$5:$B$46,"AHT"),IF(AGENT_INPUT!E217&lt;=SUMIFS(BONUS_RULES!$G$5:$G$46,BONUS_RULES!$A$5:$A$46,$C217,BONUS_RULES!$B$5:$B$46,"AHT"),SUMIFS(BONUS_RULES!$F$5:$F$46,BONUS_RULES!$A$5:$A$46,$C217,BONUS_RULES!$B$5:$B$46,"AHT"),0)))</f>
        <v/>
      </c>
      <c r="G217" s="10">
        <f>IF(OR($A217="",$D217&lt;&gt;"READY"),"",IF(AGENT_INPUT!F217&gt;=SUMIFS(BONUS_RULES!$E$5:$E$46,BONUS_RULES!$A$5:$A$46,$C217,BONUS_RULES!$B$5:$B$46,"Productivity"),SUMIFS(BONUS_RULES!$D$5:$D$46,BONUS_RULES!$A$5:$A$46,$C217,BONUS_RULES!$B$5:$B$46,"Productivity"),IF(AGENT_INPUT!F217&gt;=SUMIFS(BONUS_RULES!$G$5:$G$46,BONUS_RULES!$A$5:$A$46,$C217,BONUS_RULES!$B$5:$B$46,"Productivity"),SUMIFS(BONUS_RULES!$F$5:$F$46,BONUS_RULES!$A$5:$A$46,$C217,BONUS_RULES!$B$5:$B$46,"Productivity"),0)))</f>
        <v/>
      </c>
      <c r="H217" s="10">
        <f>IF(OR($A217="",$D217&lt;&gt;"READY"),"",IF(AGENT_INPUT!G217&gt;=SUMIFS(BONUS_RULES!$E$5:$E$46,BONUS_RULES!$A$5:$A$46,$C217,BONUS_RULES!$B$5:$B$46,"PCS Score"),SUMIFS(BONUS_RULES!$D$5:$D$46,BONUS_RULES!$A$5:$A$46,$C217,BONUS_RULES!$B$5:$B$46,"PCS Score"),IF(AGENT_INPUT!G217&gt;=SUMIFS(BONUS_RULES!$G$5:$G$46,BONUS_RULES!$A$5:$A$46,$C217,BONUS_RULES!$B$5:$B$46,"PCS Score"),SUMIFS(BONUS_RULES!$F$5:$F$46,BONUS_RULES!$A$5:$A$46,$C217,BONUS_RULES!$B$5:$B$46,"PCS Score"),0)))</f>
        <v/>
      </c>
      <c r="I217" s="10">
        <f>IF(OR($A217="",$D217&lt;&gt;"READY"),"",IF(AGENT_INPUT!H217&gt;=SUMIFS(BONUS_RULES!$E$5:$E$46,BONUS_RULES!$A$5:$A$46,$C217,BONUS_RULES!$B$5:$B$46,"PCS % (Participation)"),SUMIFS(BONUS_RULES!$D$5:$D$46,BONUS_RULES!$A$5:$A$46,$C217,BONUS_RULES!$B$5:$B$46,"PCS % (Participation)"),IF(AGENT_INPUT!H217&gt;=SUMIFS(BONUS_RULES!$G$5:$G$46,BONUS_RULES!$A$5:$A$46,$C217,BONUS_RULES!$B$5:$B$46,"PCS % (Participation)"),SUMIFS(BONUS_RULES!$F$5:$F$46,BONUS_RULES!$A$5:$A$46,$C217,BONUS_RULES!$B$5:$B$46,"PCS % (Participation)"),0)))</f>
        <v/>
      </c>
      <c r="J217" s="10">
        <f>IF(OR($A217="",$D217&lt;&gt;"READY"),"",IF(AGENT_INPUT!I217&gt;=SUMIFS(BONUS_RULES!$E$5:$E$46,BONUS_RULES!$A$5:$A$46,$C217,BONUS_RULES!$B$5:$B$46,"QM"),SUMIFS(BONUS_RULES!$D$5:$D$46,BONUS_RULES!$A$5:$A$46,$C217,BONUS_RULES!$B$5:$B$46,"QM"),IF(AGENT_INPUT!I217&gt;=SUMIFS(BONUS_RULES!$G$5:$G$46,BONUS_RULES!$A$5:$A$46,$C217,BONUS_RULES!$B$5:$B$46,"QM"),SUMIFS(BONUS_RULES!$F$5:$F$46,BONUS_RULES!$A$5:$A$46,$C217,BONUS_RULES!$B$5:$B$46,"QM"),0)))</f>
        <v/>
      </c>
      <c r="K217" s="10">
        <f>IF(POLICY_APPROVAL!$B$9="Eligibility only",0,IF(OR($A217="",$D217&lt;&gt;"READY"),"",IF(AGENT_INPUT!J217&lt;=SUMIFS(BONUS_RULES!$E$5:$E$46,BONUS_RULES!$A$5:$A$46,$C217,BONUS_RULES!$B$5:$B$46,"Abs%"),SUMIFS(BONUS_RULES!$D$5:$D$46,BONUS_RULES!$A$5:$A$46,$C217,BONUS_RULES!$B$5:$B$46,"Abs%"),IF(AGENT_INPUT!J217&lt;=SUMIFS(BONUS_RULES!$G$5:$G$46,BONUS_RULES!$A$5:$A$46,$C217,BONUS_RULES!$B$5:$B$46,"Abs%"),SUMIFS(BONUS_RULES!$F$5:$F$46,BONUS_RULES!$A$5:$A$46,$C217,BONUS_RULES!$B$5:$B$46,"Abs%"),0))))</f>
        <v/>
      </c>
      <c r="L217" s="10">
        <f>IF(OR($A217="",$D217&lt;&gt;"READY"),"",IF(AGENT_INPUT!G217&gt;=SUMIFS(BONUS_RULES!$E$5:$E$46,BONUS_RULES!$A$5:$A$46,$C217,BONUS_RULES!$B$5:$B$46,"Extra Bonus (PCS Score)"),SUMIFS(BONUS_RULES!$D$5:$D$46,BONUS_RULES!$A$5:$A$46,$C217,BONUS_RULES!$B$5:$B$46,"Extra Bonus (PCS Score)"),IF(AGENT_INPUT!G217&gt;=SUMIFS(BONUS_RULES!$G$5:$G$46,BONUS_RULES!$A$5:$A$46,$C217,BONUS_RULES!$B$5:$B$46,"Extra Bonus (PCS Score)"),SUMIFS(BONUS_RULES!$F$5:$F$46,BONUS_RULES!$A$5:$A$46,$C217,BONUS_RULES!$B$5:$B$46,"Extra Bonus (PCS Score)"),0)))</f>
        <v/>
      </c>
      <c r="M217" s="10">
        <f>IF($A217="","",MIN(IF(POLICY_APPROVAL!$B$6="Replacement",SUM(F217:K217)-H217+MAX(H217,L217),SUM(F217:L217)),POLICY_APPROVAL!$B$10))</f>
        <v/>
      </c>
      <c r="N217" s="10">
        <f>IF($A217="","",IFERROR(INDEX(BONUS_RULES!$J$5:$J$10,MATCH(MIN(MAX(AGENT_INPUT!K217,0),5),BONUS_RULES!$I$5:$I$10,0)),1))</f>
        <v/>
      </c>
      <c r="O217" s="10">
        <f>IF(M217="","",MAX(0,IF(POLICY_APPROVAL!$B$5="Percentage points",M217-N217,M217*(1-N217))))</f>
        <v/>
      </c>
      <c r="P217" s="11">
        <f>IF(D217&lt;&gt;"READY","",IF(AGENT_INPUT!O217&gt;0,AGENT_INPUT!O217,AGENT_INPUT!M217*AGENT_INPUT!N217/IF(POLICY_APPROVAL!$B$7="Annual",12,1)))</f>
        <v/>
      </c>
      <c r="Q217" s="10">
        <f>IF(D217&lt;&gt;"READY","",MIN(1,AGENT_INPUT!P217/AGENT_INPUT!Q217))</f>
        <v/>
      </c>
      <c r="R217" s="11">
        <f>IF(D217&lt;&gt;"READY","",ROUND(P217*Q217*O217,IF(POLICY_APPROVAL!$B$11="Whole MAD",0,2)))</f>
        <v/>
      </c>
      <c r="S217" s="11">
        <f>IF(AND(SETUP!$B$9="READY",T217="READY"),R217,"")</f>
        <v/>
      </c>
      <c r="T217" s="4">
        <f>IF($A217="","",IF(D217&lt;&gt;"READY","BLOCKED - INPUT",IF(E217&lt;&gt;"ELIGIBLE","BLOCKED - ELIGIBILITY",IF(AGENT_INPUT!S217&lt;&gt;"VALIDATED","BLOCKED - DATA",IF(SETUP!$B$9&lt;&gt;"READY","BLOCKED - POLICY","READY")))))</f>
        <v/>
      </c>
      <c r="U217" s="4">
        <f>IF($A217="","",IF(COUNTIFS(AGENT_INPUT!$A$5:$A$254,$A217,AGENT_INPUT!$D$5:$D$254,AGENT_INPUT!D217)&gt;1,"DUPLICATE AGENT + PERIOD",IF(D217&lt;&gt;"READY","INPUT OR CONFIG REVIEW",IF(T217&lt;&gt;"READY",T217,""))))</f>
        <v/>
      </c>
    </row>
    <row r="218" spans="1:21">
      <c r="A218" s="4">
        <f>IF(AGENT_INPUT!A218="","",AGENT_INPUT!A218)</f>
        <v/>
      </c>
      <c r="B218" s="4">
        <f>IF($A218="","",AGENT_INPUT!B218)</f>
        <v/>
      </c>
      <c r="C218" s="4">
        <f>IF($A218="","",AGENT_INPUT!C218)</f>
        <v/>
      </c>
      <c r="D218" s="4">
        <f>IF($A218="","",IF(AND(COUNT(AGENT_INPUT!E218:J218)=6,COUNT(AGENT_INPUT!K218)=1,COUNTIF(BONUS_RULES!$A$5:$A$46,AGENT_INPUT!C218)&gt;0,OR(AGENT_INPUT!O218&gt;0,AND(AGENT_INPUT!M218&gt;0,AGENT_INPUT!N218&gt;0)),AGENT_INPUT!P218&gt;=0,AGENT_INPUT!Q218&gt;0,AGENT_INPUT!P218&lt;=AGENT_INPUT!Q218,AGENT_INPUT!H218&gt;=0,AGENT_INPUT!H218&lt;=1,AGENT_INPUT!I218&gt;=0,AGENT_INPUT!I218&lt;=1,AGENT_INPUT!J218&gt;=0,AGENT_INPUT!J218&lt;=1),"READY","BLOCKED"))</f>
        <v/>
      </c>
      <c r="E218" s="4">
        <f>IF($A218="","",IF(AGENT_INPUT!R218&lt;&gt;"Active","REVIEW",IF(OR(POLICY_APPROVAL!$B$9="Eligibility only",POLICY_APPROVAL!$B$9="Both"),IF(AGENT_INPUT!J218&lt;=SUMIFS(BONUS_RULES!$E$5:$E$46,BONUS_RULES!$A$5:$A$46,$C218,BONUS_RULES!$B$5:$B$46,"Abs%"),"ELIGIBLE","INELIGIBLE ABS"),"ELIGIBLE")))</f>
        <v/>
      </c>
      <c r="F218" s="10">
        <f>IF(OR($A218="",$D218&lt;&gt;"READY"),"",IF(AGENT_INPUT!E218&lt;=SUMIFS(BONUS_RULES!$E$5:$E$46,BONUS_RULES!$A$5:$A$46,$C218,BONUS_RULES!$B$5:$B$46,"AHT"),SUMIFS(BONUS_RULES!$D$5:$D$46,BONUS_RULES!$A$5:$A$46,$C218,BONUS_RULES!$B$5:$B$46,"AHT"),IF(AGENT_INPUT!E218&lt;=SUMIFS(BONUS_RULES!$G$5:$G$46,BONUS_RULES!$A$5:$A$46,$C218,BONUS_RULES!$B$5:$B$46,"AHT"),SUMIFS(BONUS_RULES!$F$5:$F$46,BONUS_RULES!$A$5:$A$46,$C218,BONUS_RULES!$B$5:$B$46,"AHT"),0)))</f>
        <v/>
      </c>
      <c r="G218" s="10">
        <f>IF(OR($A218="",$D218&lt;&gt;"READY"),"",IF(AGENT_INPUT!F218&gt;=SUMIFS(BONUS_RULES!$E$5:$E$46,BONUS_RULES!$A$5:$A$46,$C218,BONUS_RULES!$B$5:$B$46,"Productivity"),SUMIFS(BONUS_RULES!$D$5:$D$46,BONUS_RULES!$A$5:$A$46,$C218,BONUS_RULES!$B$5:$B$46,"Productivity"),IF(AGENT_INPUT!F218&gt;=SUMIFS(BONUS_RULES!$G$5:$G$46,BONUS_RULES!$A$5:$A$46,$C218,BONUS_RULES!$B$5:$B$46,"Productivity"),SUMIFS(BONUS_RULES!$F$5:$F$46,BONUS_RULES!$A$5:$A$46,$C218,BONUS_RULES!$B$5:$B$46,"Productivity"),0)))</f>
        <v/>
      </c>
      <c r="H218" s="10">
        <f>IF(OR($A218="",$D218&lt;&gt;"READY"),"",IF(AGENT_INPUT!G218&gt;=SUMIFS(BONUS_RULES!$E$5:$E$46,BONUS_RULES!$A$5:$A$46,$C218,BONUS_RULES!$B$5:$B$46,"PCS Score"),SUMIFS(BONUS_RULES!$D$5:$D$46,BONUS_RULES!$A$5:$A$46,$C218,BONUS_RULES!$B$5:$B$46,"PCS Score"),IF(AGENT_INPUT!G218&gt;=SUMIFS(BONUS_RULES!$G$5:$G$46,BONUS_RULES!$A$5:$A$46,$C218,BONUS_RULES!$B$5:$B$46,"PCS Score"),SUMIFS(BONUS_RULES!$F$5:$F$46,BONUS_RULES!$A$5:$A$46,$C218,BONUS_RULES!$B$5:$B$46,"PCS Score"),0)))</f>
        <v/>
      </c>
      <c r="I218" s="10">
        <f>IF(OR($A218="",$D218&lt;&gt;"READY"),"",IF(AGENT_INPUT!H218&gt;=SUMIFS(BONUS_RULES!$E$5:$E$46,BONUS_RULES!$A$5:$A$46,$C218,BONUS_RULES!$B$5:$B$46,"PCS % (Participation)"),SUMIFS(BONUS_RULES!$D$5:$D$46,BONUS_RULES!$A$5:$A$46,$C218,BONUS_RULES!$B$5:$B$46,"PCS % (Participation)"),IF(AGENT_INPUT!H218&gt;=SUMIFS(BONUS_RULES!$G$5:$G$46,BONUS_RULES!$A$5:$A$46,$C218,BONUS_RULES!$B$5:$B$46,"PCS % (Participation)"),SUMIFS(BONUS_RULES!$F$5:$F$46,BONUS_RULES!$A$5:$A$46,$C218,BONUS_RULES!$B$5:$B$46,"PCS % (Participation)"),0)))</f>
        <v/>
      </c>
      <c r="J218" s="10">
        <f>IF(OR($A218="",$D218&lt;&gt;"READY"),"",IF(AGENT_INPUT!I218&gt;=SUMIFS(BONUS_RULES!$E$5:$E$46,BONUS_RULES!$A$5:$A$46,$C218,BONUS_RULES!$B$5:$B$46,"QM"),SUMIFS(BONUS_RULES!$D$5:$D$46,BONUS_RULES!$A$5:$A$46,$C218,BONUS_RULES!$B$5:$B$46,"QM"),IF(AGENT_INPUT!I218&gt;=SUMIFS(BONUS_RULES!$G$5:$G$46,BONUS_RULES!$A$5:$A$46,$C218,BONUS_RULES!$B$5:$B$46,"QM"),SUMIFS(BONUS_RULES!$F$5:$F$46,BONUS_RULES!$A$5:$A$46,$C218,BONUS_RULES!$B$5:$B$46,"QM"),0)))</f>
        <v/>
      </c>
      <c r="K218" s="10">
        <f>IF(POLICY_APPROVAL!$B$9="Eligibility only",0,IF(OR($A218="",$D218&lt;&gt;"READY"),"",IF(AGENT_INPUT!J218&lt;=SUMIFS(BONUS_RULES!$E$5:$E$46,BONUS_RULES!$A$5:$A$46,$C218,BONUS_RULES!$B$5:$B$46,"Abs%"),SUMIFS(BONUS_RULES!$D$5:$D$46,BONUS_RULES!$A$5:$A$46,$C218,BONUS_RULES!$B$5:$B$46,"Abs%"),IF(AGENT_INPUT!J218&lt;=SUMIFS(BONUS_RULES!$G$5:$G$46,BONUS_RULES!$A$5:$A$46,$C218,BONUS_RULES!$B$5:$B$46,"Abs%"),SUMIFS(BONUS_RULES!$F$5:$F$46,BONUS_RULES!$A$5:$A$46,$C218,BONUS_RULES!$B$5:$B$46,"Abs%"),0))))</f>
        <v/>
      </c>
      <c r="L218" s="10">
        <f>IF(OR($A218="",$D218&lt;&gt;"READY"),"",IF(AGENT_INPUT!G218&gt;=SUMIFS(BONUS_RULES!$E$5:$E$46,BONUS_RULES!$A$5:$A$46,$C218,BONUS_RULES!$B$5:$B$46,"Extra Bonus (PCS Score)"),SUMIFS(BONUS_RULES!$D$5:$D$46,BONUS_RULES!$A$5:$A$46,$C218,BONUS_RULES!$B$5:$B$46,"Extra Bonus (PCS Score)"),IF(AGENT_INPUT!G218&gt;=SUMIFS(BONUS_RULES!$G$5:$G$46,BONUS_RULES!$A$5:$A$46,$C218,BONUS_RULES!$B$5:$B$46,"Extra Bonus (PCS Score)"),SUMIFS(BONUS_RULES!$F$5:$F$46,BONUS_RULES!$A$5:$A$46,$C218,BONUS_RULES!$B$5:$B$46,"Extra Bonus (PCS Score)"),0)))</f>
        <v/>
      </c>
      <c r="M218" s="10">
        <f>IF($A218="","",MIN(IF(POLICY_APPROVAL!$B$6="Replacement",SUM(F218:K218)-H218+MAX(H218,L218),SUM(F218:L218)),POLICY_APPROVAL!$B$10))</f>
        <v/>
      </c>
      <c r="N218" s="10">
        <f>IF($A218="","",IFERROR(INDEX(BONUS_RULES!$J$5:$J$10,MATCH(MIN(MAX(AGENT_INPUT!K218,0),5),BONUS_RULES!$I$5:$I$10,0)),1))</f>
        <v/>
      </c>
      <c r="O218" s="10">
        <f>IF(M218="","",MAX(0,IF(POLICY_APPROVAL!$B$5="Percentage points",M218-N218,M218*(1-N218))))</f>
        <v/>
      </c>
      <c r="P218" s="11">
        <f>IF(D218&lt;&gt;"READY","",IF(AGENT_INPUT!O218&gt;0,AGENT_INPUT!O218,AGENT_INPUT!M218*AGENT_INPUT!N218/IF(POLICY_APPROVAL!$B$7="Annual",12,1)))</f>
        <v/>
      </c>
      <c r="Q218" s="10">
        <f>IF(D218&lt;&gt;"READY","",MIN(1,AGENT_INPUT!P218/AGENT_INPUT!Q218))</f>
        <v/>
      </c>
      <c r="R218" s="11">
        <f>IF(D218&lt;&gt;"READY","",ROUND(P218*Q218*O218,IF(POLICY_APPROVAL!$B$11="Whole MAD",0,2)))</f>
        <v/>
      </c>
      <c r="S218" s="11">
        <f>IF(AND(SETUP!$B$9="READY",T218="READY"),R218,"")</f>
        <v/>
      </c>
      <c r="T218" s="4">
        <f>IF($A218="","",IF(D218&lt;&gt;"READY","BLOCKED - INPUT",IF(E218&lt;&gt;"ELIGIBLE","BLOCKED - ELIGIBILITY",IF(AGENT_INPUT!S218&lt;&gt;"VALIDATED","BLOCKED - DATA",IF(SETUP!$B$9&lt;&gt;"READY","BLOCKED - POLICY","READY")))))</f>
        <v/>
      </c>
      <c r="U218" s="4">
        <f>IF($A218="","",IF(COUNTIFS(AGENT_INPUT!$A$5:$A$254,$A218,AGENT_INPUT!$D$5:$D$254,AGENT_INPUT!D218)&gt;1,"DUPLICATE AGENT + PERIOD",IF(D218&lt;&gt;"READY","INPUT OR CONFIG REVIEW",IF(T218&lt;&gt;"READY",T218,""))))</f>
        <v/>
      </c>
    </row>
    <row r="219" spans="1:21">
      <c r="A219" s="4">
        <f>IF(AGENT_INPUT!A219="","",AGENT_INPUT!A219)</f>
        <v/>
      </c>
      <c r="B219" s="4">
        <f>IF($A219="","",AGENT_INPUT!B219)</f>
        <v/>
      </c>
      <c r="C219" s="4">
        <f>IF($A219="","",AGENT_INPUT!C219)</f>
        <v/>
      </c>
      <c r="D219" s="4">
        <f>IF($A219="","",IF(AND(COUNT(AGENT_INPUT!E219:J219)=6,COUNT(AGENT_INPUT!K219)=1,COUNTIF(BONUS_RULES!$A$5:$A$46,AGENT_INPUT!C219)&gt;0,OR(AGENT_INPUT!O219&gt;0,AND(AGENT_INPUT!M219&gt;0,AGENT_INPUT!N219&gt;0)),AGENT_INPUT!P219&gt;=0,AGENT_INPUT!Q219&gt;0,AGENT_INPUT!P219&lt;=AGENT_INPUT!Q219,AGENT_INPUT!H219&gt;=0,AGENT_INPUT!H219&lt;=1,AGENT_INPUT!I219&gt;=0,AGENT_INPUT!I219&lt;=1,AGENT_INPUT!J219&gt;=0,AGENT_INPUT!J219&lt;=1),"READY","BLOCKED"))</f>
        <v/>
      </c>
      <c r="E219" s="4">
        <f>IF($A219="","",IF(AGENT_INPUT!R219&lt;&gt;"Active","REVIEW",IF(OR(POLICY_APPROVAL!$B$9="Eligibility only",POLICY_APPROVAL!$B$9="Both"),IF(AGENT_INPUT!J219&lt;=SUMIFS(BONUS_RULES!$E$5:$E$46,BONUS_RULES!$A$5:$A$46,$C219,BONUS_RULES!$B$5:$B$46,"Abs%"),"ELIGIBLE","INELIGIBLE ABS"),"ELIGIBLE")))</f>
        <v/>
      </c>
      <c r="F219" s="10">
        <f>IF(OR($A219="",$D219&lt;&gt;"READY"),"",IF(AGENT_INPUT!E219&lt;=SUMIFS(BONUS_RULES!$E$5:$E$46,BONUS_RULES!$A$5:$A$46,$C219,BONUS_RULES!$B$5:$B$46,"AHT"),SUMIFS(BONUS_RULES!$D$5:$D$46,BONUS_RULES!$A$5:$A$46,$C219,BONUS_RULES!$B$5:$B$46,"AHT"),IF(AGENT_INPUT!E219&lt;=SUMIFS(BONUS_RULES!$G$5:$G$46,BONUS_RULES!$A$5:$A$46,$C219,BONUS_RULES!$B$5:$B$46,"AHT"),SUMIFS(BONUS_RULES!$F$5:$F$46,BONUS_RULES!$A$5:$A$46,$C219,BONUS_RULES!$B$5:$B$46,"AHT"),0)))</f>
        <v/>
      </c>
      <c r="G219" s="10">
        <f>IF(OR($A219="",$D219&lt;&gt;"READY"),"",IF(AGENT_INPUT!F219&gt;=SUMIFS(BONUS_RULES!$E$5:$E$46,BONUS_RULES!$A$5:$A$46,$C219,BONUS_RULES!$B$5:$B$46,"Productivity"),SUMIFS(BONUS_RULES!$D$5:$D$46,BONUS_RULES!$A$5:$A$46,$C219,BONUS_RULES!$B$5:$B$46,"Productivity"),IF(AGENT_INPUT!F219&gt;=SUMIFS(BONUS_RULES!$G$5:$G$46,BONUS_RULES!$A$5:$A$46,$C219,BONUS_RULES!$B$5:$B$46,"Productivity"),SUMIFS(BONUS_RULES!$F$5:$F$46,BONUS_RULES!$A$5:$A$46,$C219,BONUS_RULES!$B$5:$B$46,"Productivity"),0)))</f>
        <v/>
      </c>
      <c r="H219" s="10">
        <f>IF(OR($A219="",$D219&lt;&gt;"READY"),"",IF(AGENT_INPUT!G219&gt;=SUMIFS(BONUS_RULES!$E$5:$E$46,BONUS_RULES!$A$5:$A$46,$C219,BONUS_RULES!$B$5:$B$46,"PCS Score"),SUMIFS(BONUS_RULES!$D$5:$D$46,BONUS_RULES!$A$5:$A$46,$C219,BONUS_RULES!$B$5:$B$46,"PCS Score"),IF(AGENT_INPUT!G219&gt;=SUMIFS(BONUS_RULES!$G$5:$G$46,BONUS_RULES!$A$5:$A$46,$C219,BONUS_RULES!$B$5:$B$46,"PCS Score"),SUMIFS(BONUS_RULES!$F$5:$F$46,BONUS_RULES!$A$5:$A$46,$C219,BONUS_RULES!$B$5:$B$46,"PCS Score"),0)))</f>
        <v/>
      </c>
      <c r="I219" s="10">
        <f>IF(OR($A219="",$D219&lt;&gt;"READY"),"",IF(AGENT_INPUT!H219&gt;=SUMIFS(BONUS_RULES!$E$5:$E$46,BONUS_RULES!$A$5:$A$46,$C219,BONUS_RULES!$B$5:$B$46,"PCS % (Participation)"),SUMIFS(BONUS_RULES!$D$5:$D$46,BONUS_RULES!$A$5:$A$46,$C219,BONUS_RULES!$B$5:$B$46,"PCS % (Participation)"),IF(AGENT_INPUT!H219&gt;=SUMIFS(BONUS_RULES!$G$5:$G$46,BONUS_RULES!$A$5:$A$46,$C219,BONUS_RULES!$B$5:$B$46,"PCS % (Participation)"),SUMIFS(BONUS_RULES!$F$5:$F$46,BONUS_RULES!$A$5:$A$46,$C219,BONUS_RULES!$B$5:$B$46,"PCS % (Participation)"),0)))</f>
        <v/>
      </c>
      <c r="J219" s="10">
        <f>IF(OR($A219="",$D219&lt;&gt;"READY"),"",IF(AGENT_INPUT!I219&gt;=SUMIFS(BONUS_RULES!$E$5:$E$46,BONUS_RULES!$A$5:$A$46,$C219,BONUS_RULES!$B$5:$B$46,"QM"),SUMIFS(BONUS_RULES!$D$5:$D$46,BONUS_RULES!$A$5:$A$46,$C219,BONUS_RULES!$B$5:$B$46,"QM"),IF(AGENT_INPUT!I219&gt;=SUMIFS(BONUS_RULES!$G$5:$G$46,BONUS_RULES!$A$5:$A$46,$C219,BONUS_RULES!$B$5:$B$46,"QM"),SUMIFS(BONUS_RULES!$F$5:$F$46,BONUS_RULES!$A$5:$A$46,$C219,BONUS_RULES!$B$5:$B$46,"QM"),0)))</f>
        <v/>
      </c>
      <c r="K219" s="10">
        <f>IF(POLICY_APPROVAL!$B$9="Eligibility only",0,IF(OR($A219="",$D219&lt;&gt;"READY"),"",IF(AGENT_INPUT!J219&lt;=SUMIFS(BONUS_RULES!$E$5:$E$46,BONUS_RULES!$A$5:$A$46,$C219,BONUS_RULES!$B$5:$B$46,"Abs%"),SUMIFS(BONUS_RULES!$D$5:$D$46,BONUS_RULES!$A$5:$A$46,$C219,BONUS_RULES!$B$5:$B$46,"Abs%"),IF(AGENT_INPUT!J219&lt;=SUMIFS(BONUS_RULES!$G$5:$G$46,BONUS_RULES!$A$5:$A$46,$C219,BONUS_RULES!$B$5:$B$46,"Abs%"),SUMIFS(BONUS_RULES!$F$5:$F$46,BONUS_RULES!$A$5:$A$46,$C219,BONUS_RULES!$B$5:$B$46,"Abs%"),0))))</f>
        <v/>
      </c>
      <c r="L219" s="10">
        <f>IF(OR($A219="",$D219&lt;&gt;"READY"),"",IF(AGENT_INPUT!G219&gt;=SUMIFS(BONUS_RULES!$E$5:$E$46,BONUS_RULES!$A$5:$A$46,$C219,BONUS_RULES!$B$5:$B$46,"Extra Bonus (PCS Score)"),SUMIFS(BONUS_RULES!$D$5:$D$46,BONUS_RULES!$A$5:$A$46,$C219,BONUS_RULES!$B$5:$B$46,"Extra Bonus (PCS Score)"),IF(AGENT_INPUT!G219&gt;=SUMIFS(BONUS_RULES!$G$5:$G$46,BONUS_RULES!$A$5:$A$46,$C219,BONUS_RULES!$B$5:$B$46,"Extra Bonus (PCS Score)"),SUMIFS(BONUS_RULES!$F$5:$F$46,BONUS_RULES!$A$5:$A$46,$C219,BONUS_RULES!$B$5:$B$46,"Extra Bonus (PCS Score)"),0)))</f>
        <v/>
      </c>
      <c r="M219" s="10">
        <f>IF($A219="","",MIN(IF(POLICY_APPROVAL!$B$6="Replacement",SUM(F219:K219)-H219+MAX(H219,L219),SUM(F219:L219)),POLICY_APPROVAL!$B$10))</f>
        <v/>
      </c>
      <c r="N219" s="10">
        <f>IF($A219="","",IFERROR(INDEX(BONUS_RULES!$J$5:$J$10,MATCH(MIN(MAX(AGENT_INPUT!K219,0),5),BONUS_RULES!$I$5:$I$10,0)),1))</f>
        <v/>
      </c>
      <c r="O219" s="10">
        <f>IF(M219="","",MAX(0,IF(POLICY_APPROVAL!$B$5="Percentage points",M219-N219,M219*(1-N219))))</f>
        <v/>
      </c>
      <c r="P219" s="11">
        <f>IF(D219&lt;&gt;"READY","",IF(AGENT_INPUT!O219&gt;0,AGENT_INPUT!O219,AGENT_INPUT!M219*AGENT_INPUT!N219/IF(POLICY_APPROVAL!$B$7="Annual",12,1)))</f>
        <v/>
      </c>
      <c r="Q219" s="10">
        <f>IF(D219&lt;&gt;"READY","",MIN(1,AGENT_INPUT!P219/AGENT_INPUT!Q219))</f>
        <v/>
      </c>
      <c r="R219" s="11">
        <f>IF(D219&lt;&gt;"READY","",ROUND(P219*Q219*O219,IF(POLICY_APPROVAL!$B$11="Whole MAD",0,2)))</f>
        <v/>
      </c>
      <c r="S219" s="11">
        <f>IF(AND(SETUP!$B$9="READY",T219="READY"),R219,"")</f>
        <v/>
      </c>
      <c r="T219" s="4">
        <f>IF($A219="","",IF(D219&lt;&gt;"READY","BLOCKED - INPUT",IF(E219&lt;&gt;"ELIGIBLE","BLOCKED - ELIGIBILITY",IF(AGENT_INPUT!S219&lt;&gt;"VALIDATED","BLOCKED - DATA",IF(SETUP!$B$9&lt;&gt;"READY","BLOCKED - POLICY","READY")))))</f>
        <v/>
      </c>
      <c r="U219" s="4">
        <f>IF($A219="","",IF(COUNTIFS(AGENT_INPUT!$A$5:$A$254,$A219,AGENT_INPUT!$D$5:$D$254,AGENT_INPUT!D219)&gt;1,"DUPLICATE AGENT + PERIOD",IF(D219&lt;&gt;"READY","INPUT OR CONFIG REVIEW",IF(T219&lt;&gt;"READY",T219,""))))</f>
        <v/>
      </c>
    </row>
    <row r="220" spans="1:21">
      <c r="A220" s="4">
        <f>IF(AGENT_INPUT!A220="","",AGENT_INPUT!A220)</f>
        <v/>
      </c>
      <c r="B220" s="4">
        <f>IF($A220="","",AGENT_INPUT!B220)</f>
        <v/>
      </c>
      <c r="C220" s="4">
        <f>IF($A220="","",AGENT_INPUT!C220)</f>
        <v/>
      </c>
      <c r="D220" s="4">
        <f>IF($A220="","",IF(AND(COUNT(AGENT_INPUT!E220:J220)=6,COUNT(AGENT_INPUT!K220)=1,COUNTIF(BONUS_RULES!$A$5:$A$46,AGENT_INPUT!C220)&gt;0,OR(AGENT_INPUT!O220&gt;0,AND(AGENT_INPUT!M220&gt;0,AGENT_INPUT!N220&gt;0)),AGENT_INPUT!P220&gt;=0,AGENT_INPUT!Q220&gt;0,AGENT_INPUT!P220&lt;=AGENT_INPUT!Q220,AGENT_INPUT!H220&gt;=0,AGENT_INPUT!H220&lt;=1,AGENT_INPUT!I220&gt;=0,AGENT_INPUT!I220&lt;=1,AGENT_INPUT!J220&gt;=0,AGENT_INPUT!J220&lt;=1),"READY","BLOCKED"))</f>
        <v/>
      </c>
      <c r="E220" s="4">
        <f>IF($A220="","",IF(AGENT_INPUT!R220&lt;&gt;"Active","REVIEW",IF(OR(POLICY_APPROVAL!$B$9="Eligibility only",POLICY_APPROVAL!$B$9="Both"),IF(AGENT_INPUT!J220&lt;=SUMIFS(BONUS_RULES!$E$5:$E$46,BONUS_RULES!$A$5:$A$46,$C220,BONUS_RULES!$B$5:$B$46,"Abs%"),"ELIGIBLE","INELIGIBLE ABS"),"ELIGIBLE")))</f>
        <v/>
      </c>
      <c r="F220" s="10">
        <f>IF(OR($A220="",$D220&lt;&gt;"READY"),"",IF(AGENT_INPUT!E220&lt;=SUMIFS(BONUS_RULES!$E$5:$E$46,BONUS_RULES!$A$5:$A$46,$C220,BONUS_RULES!$B$5:$B$46,"AHT"),SUMIFS(BONUS_RULES!$D$5:$D$46,BONUS_RULES!$A$5:$A$46,$C220,BONUS_RULES!$B$5:$B$46,"AHT"),IF(AGENT_INPUT!E220&lt;=SUMIFS(BONUS_RULES!$G$5:$G$46,BONUS_RULES!$A$5:$A$46,$C220,BONUS_RULES!$B$5:$B$46,"AHT"),SUMIFS(BONUS_RULES!$F$5:$F$46,BONUS_RULES!$A$5:$A$46,$C220,BONUS_RULES!$B$5:$B$46,"AHT"),0)))</f>
        <v/>
      </c>
      <c r="G220" s="10">
        <f>IF(OR($A220="",$D220&lt;&gt;"READY"),"",IF(AGENT_INPUT!F220&gt;=SUMIFS(BONUS_RULES!$E$5:$E$46,BONUS_RULES!$A$5:$A$46,$C220,BONUS_RULES!$B$5:$B$46,"Productivity"),SUMIFS(BONUS_RULES!$D$5:$D$46,BONUS_RULES!$A$5:$A$46,$C220,BONUS_RULES!$B$5:$B$46,"Productivity"),IF(AGENT_INPUT!F220&gt;=SUMIFS(BONUS_RULES!$G$5:$G$46,BONUS_RULES!$A$5:$A$46,$C220,BONUS_RULES!$B$5:$B$46,"Productivity"),SUMIFS(BONUS_RULES!$F$5:$F$46,BONUS_RULES!$A$5:$A$46,$C220,BONUS_RULES!$B$5:$B$46,"Productivity"),0)))</f>
        <v/>
      </c>
      <c r="H220" s="10">
        <f>IF(OR($A220="",$D220&lt;&gt;"READY"),"",IF(AGENT_INPUT!G220&gt;=SUMIFS(BONUS_RULES!$E$5:$E$46,BONUS_RULES!$A$5:$A$46,$C220,BONUS_RULES!$B$5:$B$46,"PCS Score"),SUMIFS(BONUS_RULES!$D$5:$D$46,BONUS_RULES!$A$5:$A$46,$C220,BONUS_RULES!$B$5:$B$46,"PCS Score"),IF(AGENT_INPUT!G220&gt;=SUMIFS(BONUS_RULES!$G$5:$G$46,BONUS_RULES!$A$5:$A$46,$C220,BONUS_RULES!$B$5:$B$46,"PCS Score"),SUMIFS(BONUS_RULES!$F$5:$F$46,BONUS_RULES!$A$5:$A$46,$C220,BONUS_RULES!$B$5:$B$46,"PCS Score"),0)))</f>
        <v/>
      </c>
      <c r="I220" s="10">
        <f>IF(OR($A220="",$D220&lt;&gt;"READY"),"",IF(AGENT_INPUT!H220&gt;=SUMIFS(BONUS_RULES!$E$5:$E$46,BONUS_RULES!$A$5:$A$46,$C220,BONUS_RULES!$B$5:$B$46,"PCS % (Participation)"),SUMIFS(BONUS_RULES!$D$5:$D$46,BONUS_RULES!$A$5:$A$46,$C220,BONUS_RULES!$B$5:$B$46,"PCS % (Participation)"),IF(AGENT_INPUT!H220&gt;=SUMIFS(BONUS_RULES!$G$5:$G$46,BONUS_RULES!$A$5:$A$46,$C220,BONUS_RULES!$B$5:$B$46,"PCS % (Participation)"),SUMIFS(BONUS_RULES!$F$5:$F$46,BONUS_RULES!$A$5:$A$46,$C220,BONUS_RULES!$B$5:$B$46,"PCS % (Participation)"),0)))</f>
        <v/>
      </c>
      <c r="J220" s="10">
        <f>IF(OR($A220="",$D220&lt;&gt;"READY"),"",IF(AGENT_INPUT!I220&gt;=SUMIFS(BONUS_RULES!$E$5:$E$46,BONUS_RULES!$A$5:$A$46,$C220,BONUS_RULES!$B$5:$B$46,"QM"),SUMIFS(BONUS_RULES!$D$5:$D$46,BONUS_RULES!$A$5:$A$46,$C220,BONUS_RULES!$B$5:$B$46,"QM"),IF(AGENT_INPUT!I220&gt;=SUMIFS(BONUS_RULES!$G$5:$G$46,BONUS_RULES!$A$5:$A$46,$C220,BONUS_RULES!$B$5:$B$46,"QM"),SUMIFS(BONUS_RULES!$F$5:$F$46,BONUS_RULES!$A$5:$A$46,$C220,BONUS_RULES!$B$5:$B$46,"QM"),0)))</f>
        <v/>
      </c>
      <c r="K220" s="10">
        <f>IF(POLICY_APPROVAL!$B$9="Eligibility only",0,IF(OR($A220="",$D220&lt;&gt;"READY"),"",IF(AGENT_INPUT!J220&lt;=SUMIFS(BONUS_RULES!$E$5:$E$46,BONUS_RULES!$A$5:$A$46,$C220,BONUS_RULES!$B$5:$B$46,"Abs%"),SUMIFS(BONUS_RULES!$D$5:$D$46,BONUS_RULES!$A$5:$A$46,$C220,BONUS_RULES!$B$5:$B$46,"Abs%"),IF(AGENT_INPUT!J220&lt;=SUMIFS(BONUS_RULES!$G$5:$G$46,BONUS_RULES!$A$5:$A$46,$C220,BONUS_RULES!$B$5:$B$46,"Abs%"),SUMIFS(BONUS_RULES!$F$5:$F$46,BONUS_RULES!$A$5:$A$46,$C220,BONUS_RULES!$B$5:$B$46,"Abs%"),0))))</f>
        <v/>
      </c>
      <c r="L220" s="10">
        <f>IF(OR($A220="",$D220&lt;&gt;"READY"),"",IF(AGENT_INPUT!G220&gt;=SUMIFS(BONUS_RULES!$E$5:$E$46,BONUS_RULES!$A$5:$A$46,$C220,BONUS_RULES!$B$5:$B$46,"Extra Bonus (PCS Score)"),SUMIFS(BONUS_RULES!$D$5:$D$46,BONUS_RULES!$A$5:$A$46,$C220,BONUS_RULES!$B$5:$B$46,"Extra Bonus (PCS Score)"),IF(AGENT_INPUT!G220&gt;=SUMIFS(BONUS_RULES!$G$5:$G$46,BONUS_RULES!$A$5:$A$46,$C220,BONUS_RULES!$B$5:$B$46,"Extra Bonus (PCS Score)"),SUMIFS(BONUS_RULES!$F$5:$F$46,BONUS_RULES!$A$5:$A$46,$C220,BONUS_RULES!$B$5:$B$46,"Extra Bonus (PCS Score)"),0)))</f>
        <v/>
      </c>
      <c r="M220" s="10">
        <f>IF($A220="","",MIN(IF(POLICY_APPROVAL!$B$6="Replacement",SUM(F220:K220)-H220+MAX(H220,L220),SUM(F220:L220)),POLICY_APPROVAL!$B$10))</f>
        <v/>
      </c>
      <c r="N220" s="10">
        <f>IF($A220="","",IFERROR(INDEX(BONUS_RULES!$J$5:$J$10,MATCH(MIN(MAX(AGENT_INPUT!K220,0),5),BONUS_RULES!$I$5:$I$10,0)),1))</f>
        <v/>
      </c>
      <c r="O220" s="10">
        <f>IF(M220="","",MAX(0,IF(POLICY_APPROVAL!$B$5="Percentage points",M220-N220,M220*(1-N220))))</f>
        <v/>
      </c>
      <c r="P220" s="11">
        <f>IF(D220&lt;&gt;"READY","",IF(AGENT_INPUT!O220&gt;0,AGENT_INPUT!O220,AGENT_INPUT!M220*AGENT_INPUT!N220/IF(POLICY_APPROVAL!$B$7="Annual",12,1)))</f>
        <v/>
      </c>
      <c r="Q220" s="10">
        <f>IF(D220&lt;&gt;"READY","",MIN(1,AGENT_INPUT!P220/AGENT_INPUT!Q220))</f>
        <v/>
      </c>
      <c r="R220" s="11">
        <f>IF(D220&lt;&gt;"READY","",ROUND(P220*Q220*O220,IF(POLICY_APPROVAL!$B$11="Whole MAD",0,2)))</f>
        <v/>
      </c>
      <c r="S220" s="11">
        <f>IF(AND(SETUP!$B$9="READY",T220="READY"),R220,"")</f>
        <v/>
      </c>
      <c r="T220" s="4">
        <f>IF($A220="","",IF(D220&lt;&gt;"READY","BLOCKED - INPUT",IF(E220&lt;&gt;"ELIGIBLE","BLOCKED - ELIGIBILITY",IF(AGENT_INPUT!S220&lt;&gt;"VALIDATED","BLOCKED - DATA",IF(SETUP!$B$9&lt;&gt;"READY","BLOCKED - POLICY","READY")))))</f>
        <v/>
      </c>
      <c r="U220" s="4">
        <f>IF($A220="","",IF(COUNTIFS(AGENT_INPUT!$A$5:$A$254,$A220,AGENT_INPUT!$D$5:$D$254,AGENT_INPUT!D220)&gt;1,"DUPLICATE AGENT + PERIOD",IF(D220&lt;&gt;"READY","INPUT OR CONFIG REVIEW",IF(T220&lt;&gt;"READY",T220,""))))</f>
        <v/>
      </c>
    </row>
    <row r="221" spans="1:21">
      <c r="A221" s="4">
        <f>IF(AGENT_INPUT!A221="","",AGENT_INPUT!A221)</f>
        <v/>
      </c>
      <c r="B221" s="4">
        <f>IF($A221="","",AGENT_INPUT!B221)</f>
        <v/>
      </c>
      <c r="C221" s="4">
        <f>IF($A221="","",AGENT_INPUT!C221)</f>
        <v/>
      </c>
      <c r="D221" s="4">
        <f>IF($A221="","",IF(AND(COUNT(AGENT_INPUT!E221:J221)=6,COUNT(AGENT_INPUT!K221)=1,COUNTIF(BONUS_RULES!$A$5:$A$46,AGENT_INPUT!C221)&gt;0,OR(AGENT_INPUT!O221&gt;0,AND(AGENT_INPUT!M221&gt;0,AGENT_INPUT!N221&gt;0)),AGENT_INPUT!P221&gt;=0,AGENT_INPUT!Q221&gt;0,AGENT_INPUT!P221&lt;=AGENT_INPUT!Q221,AGENT_INPUT!H221&gt;=0,AGENT_INPUT!H221&lt;=1,AGENT_INPUT!I221&gt;=0,AGENT_INPUT!I221&lt;=1,AGENT_INPUT!J221&gt;=0,AGENT_INPUT!J221&lt;=1),"READY","BLOCKED"))</f>
        <v/>
      </c>
      <c r="E221" s="4">
        <f>IF($A221="","",IF(AGENT_INPUT!R221&lt;&gt;"Active","REVIEW",IF(OR(POLICY_APPROVAL!$B$9="Eligibility only",POLICY_APPROVAL!$B$9="Both"),IF(AGENT_INPUT!J221&lt;=SUMIFS(BONUS_RULES!$E$5:$E$46,BONUS_RULES!$A$5:$A$46,$C221,BONUS_RULES!$B$5:$B$46,"Abs%"),"ELIGIBLE","INELIGIBLE ABS"),"ELIGIBLE")))</f>
        <v/>
      </c>
      <c r="F221" s="10">
        <f>IF(OR($A221="",$D221&lt;&gt;"READY"),"",IF(AGENT_INPUT!E221&lt;=SUMIFS(BONUS_RULES!$E$5:$E$46,BONUS_RULES!$A$5:$A$46,$C221,BONUS_RULES!$B$5:$B$46,"AHT"),SUMIFS(BONUS_RULES!$D$5:$D$46,BONUS_RULES!$A$5:$A$46,$C221,BONUS_RULES!$B$5:$B$46,"AHT"),IF(AGENT_INPUT!E221&lt;=SUMIFS(BONUS_RULES!$G$5:$G$46,BONUS_RULES!$A$5:$A$46,$C221,BONUS_RULES!$B$5:$B$46,"AHT"),SUMIFS(BONUS_RULES!$F$5:$F$46,BONUS_RULES!$A$5:$A$46,$C221,BONUS_RULES!$B$5:$B$46,"AHT"),0)))</f>
        <v/>
      </c>
      <c r="G221" s="10">
        <f>IF(OR($A221="",$D221&lt;&gt;"READY"),"",IF(AGENT_INPUT!F221&gt;=SUMIFS(BONUS_RULES!$E$5:$E$46,BONUS_RULES!$A$5:$A$46,$C221,BONUS_RULES!$B$5:$B$46,"Productivity"),SUMIFS(BONUS_RULES!$D$5:$D$46,BONUS_RULES!$A$5:$A$46,$C221,BONUS_RULES!$B$5:$B$46,"Productivity"),IF(AGENT_INPUT!F221&gt;=SUMIFS(BONUS_RULES!$G$5:$G$46,BONUS_RULES!$A$5:$A$46,$C221,BONUS_RULES!$B$5:$B$46,"Productivity"),SUMIFS(BONUS_RULES!$F$5:$F$46,BONUS_RULES!$A$5:$A$46,$C221,BONUS_RULES!$B$5:$B$46,"Productivity"),0)))</f>
        <v/>
      </c>
      <c r="H221" s="10">
        <f>IF(OR($A221="",$D221&lt;&gt;"READY"),"",IF(AGENT_INPUT!G221&gt;=SUMIFS(BONUS_RULES!$E$5:$E$46,BONUS_RULES!$A$5:$A$46,$C221,BONUS_RULES!$B$5:$B$46,"PCS Score"),SUMIFS(BONUS_RULES!$D$5:$D$46,BONUS_RULES!$A$5:$A$46,$C221,BONUS_RULES!$B$5:$B$46,"PCS Score"),IF(AGENT_INPUT!G221&gt;=SUMIFS(BONUS_RULES!$G$5:$G$46,BONUS_RULES!$A$5:$A$46,$C221,BONUS_RULES!$B$5:$B$46,"PCS Score"),SUMIFS(BONUS_RULES!$F$5:$F$46,BONUS_RULES!$A$5:$A$46,$C221,BONUS_RULES!$B$5:$B$46,"PCS Score"),0)))</f>
        <v/>
      </c>
      <c r="I221" s="10">
        <f>IF(OR($A221="",$D221&lt;&gt;"READY"),"",IF(AGENT_INPUT!H221&gt;=SUMIFS(BONUS_RULES!$E$5:$E$46,BONUS_RULES!$A$5:$A$46,$C221,BONUS_RULES!$B$5:$B$46,"PCS % (Participation)"),SUMIFS(BONUS_RULES!$D$5:$D$46,BONUS_RULES!$A$5:$A$46,$C221,BONUS_RULES!$B$5:$B$46,"PCS % (Participation)"),IF(AGENT_INPUT!H221&gt;=SUMIFS(BONUS_RULES!$G$5:$G$46,BONUS_RULES!$A$5:$A$46,$C221,BONUS_RULES!$B$5:$B$46,"PCS % (Participation)"),SUMIFS(BONUS_RULES!$F$5:$F$46,BONUS_RULES!$A$5:$A$46,$C221,BONUS_RULES!$B$5:$B$46,"PCS % (Participation)"),0)))</f>
        <v/>
      </c>
      <c r="J221" s="10">
        <f>IF(OR($A221="",$D221&lt;&gt;"READY"),"",IF(AGENT_INPUT!I221&gt;=SUMIFS(BONUS_RULES!$E$5:$E$46,BONUS_RULES!$A$5:$A$46,$C221,BONUS_RULES!$B$5:$B$46,"QM"),SUMIFS(BONUS_RULES!$D$5:$D$46,BONUS_RULES!$A$5:$A$46,$C221,BONUS_RULES!$B$5:$B$46,"QM"),IF(AGENT_INPUT!I221&gt;=SUMIFS(BONUS_RULES!$G$5:$G$46,BONUS_RULES!$A$5:$A$46,$C221,BONUS_RULES!$B$5:$B$46,"QM"),SUMIFS(BONUS_RULES!$F$5:$F$46,BONUS_RULES!$A$5:$A$46,$C221,BONUS_RULES!$B$5:$B$46,"QM"),0)))</f>
        <v/>
      </c>
      <c r="K221" s="10">
        <f>IF(POLICY_APPROVAL!$B$9="Eligibility only",0,IF(OR($A221="",$D221&lt;&gt;"READY"),"",IF(AGENT_INPUT!J221&lt;=SUMIFS(BONUS_RULES!$E$5:$E$46,BONUS_RULES!$A$5:$A$46,$C221,BONUS_RULES!$B$5:$B$46,"Abs%"),SUMIFS(BONUS_RULES!$D$5:$D$46,BONUS_RULES!$A$5:$A$46,$C221,BONUS_RULES!$B$5:$B$46,"Abs%"),IF(AGENT_INPUT!J221&lt;=SUMIFS(BONUS_RULES!$G$5:$G$46,BONUS_RULES!$A$5:$A$46,$C221,BONUS_RULES!$B$5:$B$46,"Abs%"),SUMIFS(BONUS_RULES!$F$5:$F$46,BONUS_RULES!$A$5:$A$46,$C221,BONUS_RULES!$B$5:$B$46,"Abs%"),0))))</f>
        <v/>
      </c>
      <c r="L221" s="10">
        <f>IF(OR($A221="",$D221&lt;&gt;"READY"),"",IF(AGENT_INPUT!G221&gt;=SUMIFS(BONUS_RULES!$E$5:$E$46,BONUS_RULES!$A$5:$A$46,$C221,BONUS_RULES!$B$5:$B$46,"Extra Bonus (PCS Score)"),SUMIFS(BONUS_RULES!$D$5:$D$46,BONUS_RULES!$A$5:$A$46,$C221,BONUS_RULES!$B$5:$B$46,"Extra Bonus (PCS Score)"),IF(AGENT_INPUT!G221&gt;=SUMIFS(BONUS_RULES!$G$5:$G$46,BONUS_RULES!$A$5:$A$46,$C221,BONUS_RULES!$B$5:$B$46,"Extra Bonus (PCS Score)"),SUMIFS(BONUS_RULES!$F$5:$F$46,BONUS_RULES!$A$5:$A$46,$C221,BONUS_RULES!$B$5:$B$46,"Extra Bonus (PCS Score)"),0)))</f>
        <v/>
      </c>
      <c r="M221" s="10">
        <f>IF($A221="","",MIN(IF(POLICY_APPROVAL!$B$6="Replacement",SUM(F221:K221)-H221+MAX(H221,L221),SUM(F221:L221)),POLICY_APPROVAL!$B$10))</f>
        <v/>
      </c>
      <c r="N221" s="10">
        <f>IF($A221="","",IFERROR(INDEX(BONUS_RULES!$J$5:$J$10,MATCH(MIN(MAX(AGENT_INPUT!K221,0),5),BONUS_RULES!$I$5:$I$10,0)),1))</f>
        <v/>
      </c>
      <c r="O221" s="10">
        <f>IF(M221="","",MAX(0,IF(POLICY_APPROVAL!$B$5="Percentage points",M221-N221,M221*(1-N221))))</f>
        <v/>
      </c>
      <c r="P221" s="11">
        <f>IF(D221&lt;&gt;"READY","",IF(AGENT_INPUT!O221&gt;0,AGENT_INPUT!O221,AGENT_INPUT!M221*AGENT_INPUT!N221/IF(POLICY_APPROVAL!$B$7="Annual",12,1)))</f>
        <v/>
      </c>
      <c r="Q221" s="10">
        <f>IF(D221&lt;&gt;"READY","",MIN(1,AGENT_INPUT!P221/AGENT_INPUT!Q221))</f>
        <v/>
      </c>
      <c r="R221" s="11">
        <f>IF(D221&lt;&gt;"READY","",ROUND(P221*Q221*O221,IF(POLICY_APPROVAL!$B$11="Whole MAD",0,2)))</f>
        <v/>
      </c>
      <c r="S221" s="11">
        <f>IF(AND(SETUP!$B$9="READY",T221="READY"),R221,"")</f>
        <v/>
      </c>
      <c r="T221" s="4">
        <f>IF($A221="","",IF(D221&lt;&gt;"READY","BLOCKED - INPUT",IF(E221&lt;&gt;"ELIGIBLE","BLOCKED - ELIGIBILITY",IF(AGENT_INPUT!S221&lt;&gt;"VALIDATED","BLOCKED - DATA",IF(SETUP!$B$9&lt;&gt;"READY","BLOCKED - POLICY","READY")))))</f>
        <v/>
      </c>
      <c r="U221" s="4">
        <f>IF($A221="","",IF(COUNTIFS(AGENT_INPUT!$A$5:$A$254,$A221,AGENT_INPUT!$D$5:$D$254,AGENT_INPUT!D221)&gt;1,"DUPLICATE AGENT + PERIOD",IF(D221&lt;&gt;"READY","INPUT OR CONFIG REVIEW",IF(T221&lt;&gt;"READY",T221,""))))</f>
        <v/>
      </c>
    </row>
    <row r="222" spans="1:21">
      <c r="A222" s="4">
        <f>IF(AGENT_INPUT!A222="","",AGENT_INPUT!A222)</f>
        <v/>
      </c>
      <c r="B222" s="4">
        <f>IF($A222="","",AGENT_INPUT!B222)</f>
        <v/>
      </c>
      <c r="C222" s="4">
        <f>IF($A222="","",AGENT_INPUT!C222)</f>
        <v/>
      </c>
      <c r="D222" s="4">
        <f>IF($A222="","",IF(AND(COUNT(AGENT_INPUT!E222:J222)=6,COUNT(AGENT_INPUT!K222)=1,COUNTIF(BONUS_RULES!$A$5:$A$46,AGENT_INPUT!C222)&gt;0,OR(AGENT_INPUT!O222&gt;0,AND(AGENT_INPUT!M222&gt;0,AGENT_INPUT!N222&gt;0)),AGENT_INPUT!P222&gt;=0,AGENT_INPUT!Q222&gt;0,AGENT_INPUT!P222&lt;=AGENT_INPUT!Q222,AGENT_INPUT!H222&gt;=0,AGENT_INPUT!H222&lt;=1,AGENT_INPUT!I222&gt;=0,AGENT_INPUT!I222&lt;=1,AGENT_INPUT!J222&gt;=0,AGENT_INPUT!J222&lt;=1),"READY","BLOCKED"))</f>
        <v/>
      </c>
      <c r="E222" s="4">
        <f>IF($A222="","",IF(AGENT_INPUT!R222&lt;&gt;"Active","REVIEW",IF(OR(POLICY_APPROVAL!$B$9="Eligibility only",POLICY_APPROVAL!$B$9="Both"),IF(AGENT_INPUT!J222&lt;=SUMIFS(BONUS_RULES!$E$5:$E$46,BONUS_RULES!$A$5:$A$46,$C222,BONUS_RULES!$B$5:$B$46,"Abs%"),"ELIGIBLE","INELIGIBLE ABS"),"ELIGIBLE")))</f>
        <v/>
      </c>
      <c r="F222" s="10">
        <f>IF(OR($A222="",$D222&lt;&gt;"READY"),"",IF(AGENT_INPUT!E222&lt;=SUMIFS(BONUS_RULES!$E$5:$E$46,BONUS_RULES!$A$5:$A$46,$C222,BONUS_RULES!$B$5:$B$46,"AHT"),SUMIFS(BONUS_RULES!$D$5:$D$46,BONUS_RULES!$A$5:$A$46,$C222,BONUS_RULES!$B$5:$B$46,"AHT"),IF(AGENT_INPUT!E222&lt;=SUMIFS(BONUS_RULES!$G$5:$G$46,BONUS_RULES!$A$5:$A$46,$C222,BONUS_RULES!$B$5:$B$46,"AHT"),SUMIFS(BONUS_RULES!$F$5:$F$46,BONUS_RULES!$A$5:$A$46,$C222,BONUS_RULES!$B$5:$B$46,"AHT"),0)))</f>
        <v/>
      </c>
      <c r="G222" s="10">
        <f>IF(OR($A222="",$D222&lt;&gt;"READY"),"",IF(AGENT_INPUT!F222&gt;=SUMIFS(BONUS_RULES!$E$5:$E$46,BONUS_RULES!$A$5:$A$46,$C222,BONUS_RULES!$B$5:$B$46,"Productivity"),SUMIFS(BONUS_RULES!$D$5:$D$46,BONUS_RULES!$A$5:$A$46,$C222,BONUS_RULES!$B$5:$B$46,"Productivity"),IF(AGENT_INPUT!F222&gt;=SUMIFS(BONUS_RULES!$G$5:$G$46,BONUS_RULES!$A$5:$A$46,$C222,BONUS_RULES!$B$5:$B$46,"Productivity"),SUMIFS(BONUS_RULES!$F$5:$F$46,BONUS_RULES!$A$5:$A$46,$C222,BONUS_RULES!$B$5:$B$46,"Productivity"),0)))</f>
        <v/>
      </c>
      <c r="H222" s="10">
        <f>IF(OR($A222="",$D222&lt;&gt;"READY"),"",IF(AGENT_INPUT!G222&gt;=SUMIFS(BONUS_RULES!$E$5:$E$46,BONUS_RULES!$A$5:$A$46,$C222,BONUS_RULES!$B$5:$B$46,"PCS Score"),SUMIFS(BONUS_RULES!$D$5:$D$46,BONUS_RULES!$A$5:$A$46,$C222,BONUS_RULES!$B$5:$B$46,"PCS Score"),IF(AGENT_INPUT!G222&gt;=SUMIFS(BONUS_RULES!$G$5:$G$46,BONUS_RULES!$A$5:$A$46,$C222,BONUS_RULES!$B$5:$B$46,"PCS Score"),SUMIFS(BONUS_RULES!$F$5:$F$46,BONUS_RULES!$A$5:$A$46,$C222,BONUS_RULES!$B$5:$B$46,"PCS Score"),0)))</f>
        <v/>
      </c>
      <c r="I222" s="10">
        <f>IF(OR($A222="",$D222&lt;&gt;"READY"),"",IF(AGENT_INPUT!H222&gt;=SUMIFS(BONUS_RULES!$E$5:$E$46,BONUS_RULES!$A$5:$A$46,$C222,BONUS_RULES!$B$5:$B$46,"PCS % (Participation)"),SUMIFS(BONUS_RULES!$D$5:$D$46,BONUS_RULES!$A$5:$A$46,$C222,BONUS_RULES!$B$5:$B$46,"PCS % (Participation)"),IF(AGENT_INPUT!H222&gt;=SUMIFS(BONUS_RULES!$G$5:$G$46,BONUS_RULES!$A$5:$A$46,$C222,BONUS_RULES!$B$5:$B$46,"PCS % (Participation)"),SUMIFS(BONUS_RULES!$F$5:$F$46,BONUS_RULES!$A$5:$A$46,$C222,BONUS_RULES!$B$5:$B$46,"PCS % (Participation)"),0)))</f>
        <v/>
      </c>
      <c r="J222" s="10">
        <f>IF(OR($A222="",$D222&lt;&gt;"READY"),"",IF(AGENT_INPUT!I222&gt;=SUMIFS(BONUS_RULES!$E$5:$E$46,BONUS_RULES!$A$5:$A$46,$C222,BONUS_RULES!$B$5:$B$46,"QM"),SUMIFS(BONUS_RULES!$D$5:$D$46,BONUS_RULES!$A$5:$A$46,$C222,BONUS_RULES!$B$5:$B$46,"QM"),IF(AGENT_INPUT!I222&gt;=SUMIFS(BONUS_RULES!$G$5:$G$46,BONUS_RULES!$A$5:$A$46,$C222,BONUS_RULES!$B$5:$B$46,"QM"),SUMIFS(BONUS_RULES!$F$5:$F$46,BONUS_RULES!$A$5:$A$46,$C222,BONUS_RULES!$B$5:$B$46,"QM"),0)))</f>
        <v/>
      </c>
      <c r="K222" s="10">
        <f>IF(POLICY_APPROVAL!$B$9="Eligibility only",0,IF(OR($A222="",$D222&lt;&gt;"READY"),"",IF(AGENT_INPUT!J222&lt;=SUMIFS(BONUS_RULES!$E$5:$E$46,BONUS_RULES!$A$5:$A$46,$C222,BONUS_RULES!$B$5:$B$46,"Abs%"),SUMIFS(BONUS_RULES!$D$5:$D$46,BONUS_RULES!$A$5:$A$46,$C222,BONUS_RULES!$B$5:$B$46,"Abs%"),IF(AGENT_INPUT!J222&lt;=SUMIFS(BONUS_RULES!$G$5:$G$46,BONUS_RULES!$A$5:$A$46,$C222,BONUS_RULES!$B$5:$B$46,"Abs%"),SUMIFS(BONUS_RULES!$F$5:$F$46,BONUS_RULES!$A$5:$A$46,$C222,BONUS_RULES!$B$5:$B$46,"Abs%"),0))))</f>
        <v/>
      </c>
      <c r="L222" s="10">
        <f>IF(OR($A222="",$D222&lt;&gt;"READY"),"",IF(AGENT_INPUT!G222&gt;=SUMIFS(BONUS_RULES!$E$5:$E$46,BONUS_RULES!$A$5:$A$46,$C222,BONUS_RULES!$B$5:$B$46,"Extra Bonus (PCS Score)"),SUMIFS(BONUS_RULES!$D$5:$D$46,BONUS_RULES!$A$5:$A$46,$C222,BONUS_RULES!$B$5:$B$46,"Extra Bonus (PCS Score)"),IF(AGENT_INPUT!G222&gt;=SUMIFS(BONUS_RULES!$G$5:$G$46,BONUS_RULES!$A$5:$A$46,$C222,BONUS_RULES!$B$5:$B$46,"Extra Bonus (PCS Score)"),SUMIFS(BONUS_RULES!$F$5:$F$46,BONUS_RULES!$A$5:$A$46,$C222,BONUS_RULES!$B$5:$B$46,"Extra Bonus (PCS Score)"),0)))</f>
        <v/>
      </c>
      <c r="M222" s="10">
        <f>IF($A222="","",MIN(IF(POLICY_APPROVAL!$B$6="Replacement",SUM(F222:K222)-H222+MAX(H222,L222),SUM(F222:L222)),POLICY_APPROVAL!$B$10))</f>
        <v/>
      </c>
      <c r="N222" s="10">
        <f>IF($A222="","",IFERROR(INDEX(BONUS_RULES!$J$5:$J$10,MATCH(MIN(MAX(AGENT_INPUT!K222,0),5),BONUS_RULES!$I$5:$I$10,0)),1))</f>
        <v/>
      </c>
      <c r="O222" s="10">
        <f>IF(M222="","",MAX(0,IF(POLICY_APPROVAL!$B$5="Percentage points",M222-N222,M222*(1-N222))))</f>
        <v/>
      </c>
      <c r="P222" s="11">
        <f>IF(D222&lt;&gt;"READY","",IF(AGENT_INPUT!O222&gt;0,AGENT_INPUT!O222,AGENT_INPUT!M222*AGENT_INPUT!N222/IF(POLICY_APPROVAL!$B$7="Annual",12,1)))</f>
        <v/>
      </c>
      <c r="Q222" s="10">
        <f>IF(D222&lt;&gt;"READY","",MIN(1,AGENT_INPUT!P222/AGENT_INPUT!Q222))</f>
        <v/>
      </c>
      <c r="R222" s="11">
        <f>IF(D222&lt;&gt;"READY","",ROUND(P222*Q222*O222,IF(POLICY_APPROVAL!$B$11="Whole MAD",0,2)))</f>
        <v/>
      </c>
      <c r="S222" s="11">
        <f>IF(AND(SETUP!$B$9="READY",T222="READY"),R222,"")</f>
        <v/>
      </c>
      <c r="T222" s="4">
        <f>IF($A222="","",IF(D222&lt;&gt;"READY","BLOCKED - INPUT",IF(E222&lt;&gt;"ELIGIBLE","BLOCKED - ELIGIBILITY",IF(AGENT_INPUT!S222&lt;&gt;"VALIDATED","BLOCKED - DATA",IF(SETUP!$B$9&lt;&gt;"READY","BLOCKED - POLICY","READY")))))</f>
        <v/>
      </c>
      <c r="U222" s="4">
        <f>IF($A222="","",IF(COUNTIFS(AGENT_INPUT!$A$5:$A$254,$A222,AGENT_INPUT!$D$5:$D$254,AGENT_INPUT!D222)&gt;1,"DUPLICATE AGENT + PERIOD",IF(D222&lt;&gt;"READY","INPUT OR CONFIG REVIEW",IF(T222&lt;&gt;"READY",T222,""))))</f>
        <v/>
      </c>
    </row>
    <row r="223" spans="1:21">
      <c r="A223" s="4">
        <f>IF(AGENT_INPUT!A223="","",AGENT_INPUT!A223)</f>
        <v/>
      </c>
      <c r="B223" s="4">
        <f>IF($A223="","",AGENT_INPUT!B223)</f>
        <v/>
      </c>
      <c r="C223" s="4">
        <f>IF($A223="","",AGENT_INPUT!C223)</f>
        <v/>
      </c>
      <c r="D223" s="4">
        <f>IF($A223="","",IF(AND(COUNT(AGENT_INPUT!E223:J223)=6,COUNT(AGENT_INPUT!K223)=1,COUNTIF(BONUS_RULES!$A$5:$A$46,AGENT_INPUT!C223)&gt;0,OR(AGENT_INPUT!O223&gt;0,AND(AGENT_INPUT!M223&gt;0,AGENT_INPUT!N223&gt;0)),AGENT_INPUT!P223&gt;=0,AGENT_INPUT!Q223&gt;0,AGENT_INPUT!P223&lt;=AGENT_INPUT!Q223,AGENT_INPUT!H223&gt;=0,AGENT_INPUT!H223&lt;=1,AGENT_INPUT!I223&gt;=0,AGENT_INPUT!I223&lt;=1,AGENT_INPUT!J223&gt;=0,AGENT_INPUT!J223&lt;=1),"READY","BLOCKED"))</f>
        <v/>
      </c>
      <c r="E223" s="4">
        <f>IF($A223="","",IF(AGENT_INPUT!R223&lt;&gt;"Active","REVIEW",IF(OR(POLICY_APPROVAL!$B$9="Eligibility only",POLICY_APPROVAL!$B$9="Both"),IF(AGENT_INPUT!J223&lt;=SUMIFS(BONUS_RULES!$E$5:$E$46,BONUS_RULES!$A$5:$A$46,$C223,BONUS_RULES!$B$5:$B$46,"Abs%"),"ELIGIBLE","INELIGIBLE ABS"),"ELIGIBLE")))</f>
        <v/>
      </c>
      <c r="F223" s="10">
        <f>IF(OR($A223="",$D223&lt;&gt;"READY"),"",IF(AGENT_INPUT!E223&lt;=SUMIFS(BONUS_RULES!$E$5:$E$46,BONUS_RULES!$A$5:$A$46,$C223,BONUS_RULES!$B$5:$B$46,"AHT"),SUMIFS(BONUS_RULES!$D$5:$D$46,BONUS_RULES!$A$5:$A$46,$C223,BONUS_RULES!$B$5:$B$46,"AHT"),IF(AGENT_INPUT!E223&lt;=SUMIFS(BONUS_RULES!$G$5:$G$46,BONUS_RULES!$A$5:$A$46,$C223,BONUS_RULES!$B$5:$B$46,"AHT"),SUMIFS(BONUS_RULES!$F$5:$F$46,BONUS_RULES!$A$5:$A$46,$C223,BONUS_RULES!$B$5:$B$46,"AHT"),0)))</f>
        <v/>
      </c>
      <c r="G223" s="10">
        <f>IF(OR($A223="",$D223&lt;&gt;"READY"),"",IF(AGENT_INPUT!F223&gt;=SUMIFS(BONUS_RULES!$E$5:$E$46,BONUS_RULES!$A$5:$A$46,$C223,BONUS_RULES!$B$5:$B$46,"Productivity"),SUMIFS(BONUS_RULES!$D$5:$D$46,BONUS_RULES!$A$5:$A$46,$C223,BONUS_RULES!$B$5:$B$46,"Productivity"),IF(AGENT_INPUT!F223&gt;=SUMIFS(BONUS_RULES!$G$5:$G$46,BONUS_RULES!$A$5:$A$46,$C223,BONUS_RULES!$B$5:$B$46,"Productivity"),SUMIFS(BONUS_RULES!$F$5:$F$46,BONUS_RULES!$A$5:$A$46,$C223,BONUS_RULES!$B$5:$B$46,"Productivity"),0)))</f>
        <v/>
      </c>
      <c r="H223" s="10">
        <f>IF(OR($A223="",$D223&lt;&gt;"READY"),"",IF(AGENT_INPUT!G223&gt;=SUMIFS(BONUS_RULES!$E$5:$E$46,BONUS_RULES!$A$5:$A$46,$C223,BONUS_RULES!$B$5:$B$46,"PCS Score"),SUMIFS(BONUS_RULES!$D$5:$D$46,BONUS_RULES!$A$5:$A$46,$C223,BONUS_RULES!$B$5:$B$46,"PCS Score"),IF(AGENT_INPUT!G223&gt;=SUMIFS(BONUS_RULES!$G$5:$G$46,BONUS_RULES!$A$5:$A$46,$C223,BONUS_RULES!$B$5:$B$46,"PCS Score"),SUMIFS(BONUS_RULES!$F$5:$F$46,BONUS_RULES!$A$5:$A$46,$C223,BONUS_RULES!$B$5:$B$46,"PCS Score"),0)))</f>
        <v/>
      </c>
      <c r="I223" s="10">
        <f>IF(OR($A223="",$D223&lt;&gt;"READY"),"",IF(AGENT_INPUT!H223&gt;=SUMIFS(BONUS_RULES!$E$5:$E$46,BONUS_RULES!$A$5:$A$46,$C223,BONUS_RULES!$B$5:$B$46,"PCS % (Participation)"),SUMIFS(BONUS_RULES!$D$5:$D$46,BONUS_RULES!$A$5:$A$46,$C223,BONUS_RULES!$B$5:$B$46,"PCS % (Participation)"),IF(AGENT_INPUT!H223&gt;=SUMIFS(BONUS_RULES!$G$5:$G$46,BONUS_RULES!$A$5:$A$46,$C223,BONUS_RULES!$B$5:$B$46,"PCS % (Participation)"),SUMIFS(BONUS_RULES!$F$5:$F$46,BONUS_RULES!$A$5:$A$46,$C223,BONUS_RULES!$B$5:$B$46,"PCS % (Participation)"),0)))</f>
        <v/>
      </c>
      <c r="J223" s="10">
        <f>IF(OR($A223="",$D223&lt;&gt;"READY"),"",IF(AGENT_INPUT!I223&gt;=SUMIFS(BONUS_RULES!$E$5:$E$46,BONUS_RULES!$A$5:$A$46,$C223,BONUS_RULES!$B$5:$B$46,"QM"),SUMIFS(BONUS_RULES!$D$5:$D$46,BONUS_RULES!$A$5:$A$46,$C223,BONUS_RULES!$B$5:$B$46,"QM"),IF(AGENT_INPUT!I223&gt;=SUMIFS(BONUS_RULES!$G$5:$G$46,BONUS_RULES!$A$5:$A$46,$C223,BONUS_RULES!$B$5:$B$46,"QM"),SUMIFS(BONUS_RULES!$F$5:$F$46,BONUS_RULES!$A$5:$A$46,$C223,BONUS_RULES!$B$5:$B$46,"QM"),0)))</f>
        <v/>
      </c>
      <c r="K223" s="10">
        <f>IF(POLICY_APPROVAL!$B$9="Eligibility only",0,IF(OR($A223="",$D223&lt;&gt;"READY"),"",IF(AGENT_INPUT!J223&lt;=SUMIFS(BONUS_RULES!$E$5:$E$46,BONUS_RULES!$A$5:$A$46,$C223,BONUS_RULES!$B$5:$B$46,"Abs%"),SUMIFS(BONUS_RULES!$D$5:$D$46,BONUS_RULES!$A$5:$A$46,$C223,BONUS_RULES!$B$5:$B$46,"Abs%"),IF(AGENT_INPUT!J223&lt;=SUMIFS(BONUS_RULES!$G$5:$G$46,BONUS_RULES!$A$5:$A$46,$C223,BONUS_RULES!$B$5:$B$46,"Abs%"),SUMIFS(BONUS_RULES!$F$5:$F$46,BONUS_RULES!$A$5:$A$46,$C223,BONUS_RULES!$B$5:$B$46,"Abs%"),0))))</f>
        <v/>
      </c>
      <c r="L223" s="10">
        <f>IF(OR($A223="",$D223&lt;&gt;"READY"),"",IF(AGENT_INPUT!G223&gt;=SUMIFS(BONUS_RULES!$E$5:$E$46,BONUS_RULES!$A$5:$A$46,$C223,BONUS_RULES!$B$5:$B$46,"Extra Bonus (PCS Score)"),SUMIFS(BONUS_RULES!$D$5:$D$46,BONUS_RULES!$A$5:$A$46,$C223,BONUS_RULES!$B$5:$B$46,"Extra Bonus (PCS Score)"),IF(AGENT_INPUT!G223&gt;=SUMIFS(BONUS_RULES!$G$5:$G$46,BONUS_RULES!$A$5:$A$46,$C223,BONUS_RULES!$B$5:$B$46,"Extra Bonus (PCS Score)"),SUMIFS(BONUS_RULES!$F$5:$F$46,BONUS_RULES!$A$5:$A$46,$C223,BONUS_RULES!$B$5:$B$46,"Extra Bonus (PCS Score)"),0)))</f>
        <v/>
      </c>
      <c r="M223" s="10">
        <f>IF($A223="","",MIN(IF(POLICY_APPROVAL!$B$6="Replacement",SUM(F223:K223)-H223+MAX(H223,L223),SUM(F223:L223)),POLICY_APPROVAL!$B$10))</f>
        <v/>
      </c>
      <c r="N223" s="10">
        <f>IF($A223="","",IFERROR(INDEX(BONUS_RULES!$J$5:$J$10,MATCH(MIN(MAX(AGENT_INPUT!K223,0),5),BONUS_RULES!$I$5:$I$10,0)),1))</f>
        <v/>
      </c>
      <c r="O223" s="10">
        <f>IF(M223="","",MAX(0,IF(POLICY_APPROVAL!$B$5="Percentage points",M223-N223,M223*(1-N223))))</f>
        <v/>
      </c>
      <c r="P223" s="11">
        <f>IF(D223&lt;&gt;"READY","",IF(AGENT_INPUT!O223&gt;0,AGENT_INPUT!O223,AGENT_INPUT!M223*AGENT_INPUT!N223/IF(POLICY_APPROVAL!$B$7="Annual",12,1)))</f>
        <v/>
      </c>
      <c r="Q223" s="10">
        <f>IF(D223&lt;&gt;"READY","",MIN(1,AGENT_INPUT!P223/AGENT_INPUT!Q223))</f>
        <v/>
      </c>
      <c r="R223" s="11">
        <f>IF(D223&lt;&gt;"READY","",ROUND(P223*Q223*O223,IF(POLICY_APPROVAL!$B$11="Whole MAD",0,2)))</f>
        <v/>
      </c>
      <c r="S223" s="11">
        <f>IF(AND(SETUP!$B$9="READY",T223="READY"),R223,"")</f>
        <v/>
      </c>
      <c r="T223" s="4">
        <f>IF($A223="","",IF(D223&lt;&gt;"READY","BLOCKED - INPUT",IF(E223&lt;&gt;"ELIGIBLE","BLOCKED - ELIGIBILITY",IF(AGENT_INPUT!S223&lt;&gt;"VALIDATED","BLOCKED - DATA",IF(SETUP!$B$9&lt;&gt;"READY","BLOCKED - POLICY","READY")))))</f>
        <v/>
      </c>
      <c r="U223" s="4">
        <f>IF($A223="","",IF(COUNTIFS(AGENT_INPUT!$A$5:$A$254,$A223,AGENT_INPUT!$D$5:$D$254,AGENT_INPUT!D223)&gt;1,"DUPLICATE AGENT + PERIOD",IF(D223&lt;&gt;"READY","INPUT OR CONFIG REVIEW",IF(T223&lt;&gt;"READY",T223,""))))</f>
        <v/>
      </c>
    </row>
    <row r="224" spans="1:21">
      <c r="A224" s="4">
        <f>IF(AGENT_INPUT!A224="","",AGENT_INPUT!A224)</f>
        <v/>
      </c>
      <c r="B224" s="4">
        <f>IF($A224="","",AGENT_INPUT!B224)</f>
        <v/>
      </c>
      <c r="C224" s="4">
        <f>IF($A224="","",AGENT_INPUT!C224)</f>
        <v/>
      </c>
      <c r="D224" s="4">
        <f>IF($A224="","",IF(AND(COUNT(AGENT_INPUT!E224:J224)=6,COUNT(AGENT_INPUT!K224)=1,COUNTIF(BONUS_RULES!$A$5:$A$46,AGENT_INPUT!C224)&gt;0,OR(AGENT_INPUT!O224&gt;0,AND(AGENT_INPUT!M224&gt;0,AGENT_INPUT!N224&gt;0)),AGENT_INPUT!P224&gt;=0,AGENT_INPUT!Q224&gt;0,AGENT_INPUT!P224&lt;=AGENT_INPUT!Q224,AGENT_INPUT!H224&gt;=0,AGENT_INPUT!H224&lt;=1,AGENT_INPUT!I224&gt;=0,AGENT_INPUT!I224&lt;=1,AGENT_INPUT!J224&gt;=0,AGENT_INPUT!J224&lt;=1),"READY","BLOCKED"))</f>
        <v/>
      </c>
      <c r="E224" s="4">
        <f>IF($A224="","",IF(AGENT_INPUT!R224&lt;&gt;"Active","REVIEW",IF(OR(POLICY_APPROVAL!$B$9="Eligibility only",POLICY_APPROVAL!$B$9="Both"),IF(AGENT_INPUT!J224&lt;=SUMIFS(BONUS_RULES!$E$5:$E$46,BONUS_RULES!$A$5:$A$46,$C224,BONUS_RULES!$B$5:$B$46,"Abs%"),"ELIGIBLE","INELIGIBLE ABS"),"ELIGIBLE")))</f>
        <v/>
      </c>
      <c r="F224" s="10">
        <f>IF(OR($A224="",$D224&lt;&gt;"READY"),"",IF(AGENT_INPUT!E224&lt;=SUMIFS(BONUS_RULES!$E$5:$E$46,BONUS_RULES!$A$5:$A$46,$C224,BONUS_RULES!$B$5:$B$46,"AHT"),SUMIFS(BONUS_RULES!$D$5:$D$46,BONUS_RULES!$A$5:$A$46,$C224,BONUS_RULES!$B$5:$B$46,"AHT"),IF(AGENT_INPUT!E224&lt;=SUMIFS(BONUS_RULES!$G$5:$G$46,BONUS_RULES!$A$5:$A$46,$C224,BONUS_RULES!$B$5:$B$46,"AHT"),SUMIFS(BONUS_RULES!$F$5:$F$46,BONUS_RULES!$A$5:$A$46,$C224,BONUS_RULES!$B$5:$B$46,"AHT"),0)))</f>
        <v/>
      </c>
      <c r="G224" s="10">
        <f>IF(OR($A224="",$D224&lt;&gt;"READY"),"",IF(AGENT_INPUT!F224&gt;=SUMIFS(BONUS_RULES!$E$5:$E$46,BONUS_RULES!$A$5:$A$46,$C224,BONUS_RULES!$B$5:$B$46,"Productivity"),SUMIFS(BONUS_RULES!$D$5:$D$46,BONUS_RULES!$A$5:$A$46,$C224,BONUS_RULES!$B$5:$B$46,"Productivity"),IF(AGENT_INPUT!F224&gt;=SUMIFS(BONUS_RULES!$G$5:$G$46,BONUS_RULES!$A$5:$A$46,$C224,BONUS_RULES!$B$5:$B$46,"Productivity"),SUMIFS(BONUS_RULES!$F$5:$F$46,BONUS_RULES!$A$5:$A$46,$C224,BONUS_RULES!$B$5:$B$46,"Productivity"),0)))</f>
        <v/>
      </c>
      <c r="H224" s="10">
        <f>IF(OR($A224="",$D224&lt;&gt;"READY"),"",IF(AGENT_INPUT!G224&gt;=SUMIFS(BONUS_RULES!$E$5:$E$46,BONUS_RULES!$A$5:$A$46,$C224,BONUS_RULES!$B$5:$B$46,"PCS Score"),SUMIFS(BONUS_RULES!$D$5:$D$46,BONUS_RULES!$A$5:$A$46,$C224,BONUS_RULES!$B$5:$B$46,"PCS Score"),IF(AGENT_INPUT!G224&gt;=SUMIFS(BONUS_RULES!$G$5:$G$46,BONUS_RULES!$A$5:$A$46,$C224,BONUS_RULES!$B$5:$B$46,"PCS Score"),SUMIFS(BONUS_RULES!$F$5:$F$46,BONUS_RULES!$A$5:$A$46,$C224,BONUS_RULES!$B$5:$B$46,"PCS Score"),0)))</f>
        <v/>
      </c>
      <c r="I224" s="10">
        <f>IF(OR($A224="",$D224&lt;&gt;"READY"),"",IF(AGENT_INPUT!H224&gt;=SUMIFS(BONUS_RULES!$E$5:$E$46,BONUS_RULES!$A$5:$A$46,$C224,BONUS_RULES!$B$5:$B$46,"PCS % (Participation)"),SUMIFS(BONUS_RULES!$D$5:$D$46,BONUS_RULES!$A$5:$A$46,$C224,BONUS_RULES!$B$5:$B$46,"PCS % (Participation)"),IF(AGENT_INPUT!H224&gt;=SUMIFS(BONUS_RULES!$G$5:$G$46,BONUS_RULES!$A$5:$A$46,$C224,BONUS_RULES!$B$5:$B$46,"PCS % (Participation)"),SUMIFS(BONUS_RULES!$F$5:$F$46,BONUS_RULES!$A$5:$A$46,$C224,BONUS_RULES!$B$5:$B$46,"PCS % (Participation)"),0)))</f>
        <v/>
      </c>
      <c r="J224" s="10">
        <f>IF(OR($A224="",$D224&lt;&gt;"READY"),"",IF(AGENT_INPUT!I224&gt;=SUMIFS(BONUS_RULES!$E$5:$E$46,BONUS_RULES!$A$5:$A$46,$C224,BONUS_RULES!$B$5:$B$46,"QM"),SUMIFS(BONUS_RULES!$D$5:$D$46,BONUS_RULES!$A$5:$A$46,$C224,BONUS_RULES!$B$5:$B$46,"QM"),IF(AGENT_INPUT!I224&gt;=SUMIFS(BONUS_RULES!$G$5:$G$46,BONUS_RULES!$A$5:$A$46,$C224,BONUS_RULES!$B$5:$B$46,"QM"),SUMIFS(BONUS_RULES!$F$5:$F$46,BONUS_RULES!$A$5:$A$46,$C224,BONUS_RULES!$B$5:$B$46,"QM"),0)))</f>
        <v/>
      </c>
      <c r="K224" s="10">
        <f>IF(POLICY_APPROVAL!$B$9="Eligibility only",0,IF(OR($A224="",$D224&lt;&gt;"READY"),"",IF(AGENT_INPUT!J224&lt;=SUMIFS(BONUS_RULES!$E$5:$E$46,BONUS_RULES!$A$5:$A$46,$C224,BONUS_RULES!$B$5:$B$46,"Abs%"),SUMIFS(BONUS_RULES!$D$5:$D$46,BONUS_RULES!$A$5:$A$46,$C224,BONUS_RULES!$B$5:$B$46,"Abs%"),IF(AGENT_INPUT!J224&lt;=SUMIFS(BONUS_RULES!$G$5:$G$46,BONUS_RULES!$A$5:$A$46,$C224,BONUS_RULES!$B$5:$B$46,"Abs%"),SUMIFS(BONUS_RULES!$F$5:$F$46,BONUS_RULES!$A$5:$A$46,$C224,BONUS_RULES!$B$5:$B$46,"Abs%"),0))))</f>
        <v/>
      </c>
      <c r="L224" s="10">
        <f>IF(OR($A224="",$D224&lt;&gt;"READY"),"",IF(AGENT_INPUT!G224&gt;=SUMIFS(BONUS_RULES!$E$5:$E$46,BONUS_RULES!$A$5:$A$46,$C224,BONUS_RULES!$B$5:$B$46,"Extra Bonus (PCS Score)"),SUMIFS(BONUS_RULES!$D$5:$D$46,BONUS_RULES!$A$5:$A$46,$C224,BONUS_RULES!$B$5:$B$46,"Extra Bonus (PCS Score)"),IF(AGENT_INPUT!G224&gt;=SUMIFS(BONUS_RULES!$G$5:$G$46,BONUS_RULES!$A$5:$A$46,$C224,BONUS_RULES!$B$5:$B$46,"Extra Bonus (PCS Score)"),SUMIFS(BONUS_RULES!$F$5:$F$46,BONUS_RULES!$A$5:$A$46,$C224,BONUS_RULES!$B$5:$B$46,"Extra Bonus (PCS Score)"),0)))</f>
        <v/>
      </c>
      <c r="M224" s="10">
        <f>IF($A224="","",MIN(IF(POLICY_APPROVAL!$B$6="Replacement",SUM(F224:K224)-H224+MAX(H224,L224),SUM(F224:L224)),POLICY_APPROVAL!$B$10))</f>
        <v/>
      </c>
      <c r="N224" s="10">
        <f>IF($A224="","",IFERROR(INDEX(BONUS_RULES!$J$5:$J$10,MATCH(MIN(MAX(AGENT_INPUT!K224,0),5),BONUS_RULES!$I$5:$I$10,0)),1))</f>
        <v/>
      </c>
      <c r="O224" s="10">
        <f>IF(M224="","",MAX(0,IF(POLICY_APPROVAL!$B$5="Percentage points",M224-N224,M224*(1-N224))))</f>
        <v/>
      </c>
      <c r="P224" s="11">
        <f>IF(D224&lt;&gt;"READY","",IF(AGENT_INPUT!O224&gt;0,AGENT_INPUT!O224,AGENT_INPUT!M224*AGENT_INPUT!N224/IF(POLICY_APPROVAL!$B$7="Annual",12,1)))</f>
        <v/>
      </c>
      <c r="Q224" s="10">
        <f>IF(D224&lt;&gt;"READY","",MIN(1,AGENT_INPUT!P224/AGENT_INPUT!Q224))</f>
        <v/>
      </c>
      <c r="R224" s="11">
        <f>IF(D224&lt;&gt;"READY","",ROUND(P224*Q224*O224,IF(POLICY_APPROVAL!$B$11="Whole MAD",0,2)))</f>
        <v/>
      </c>
      <c r="S224" s="11">
        <f>IF(AND(SETUP!$B$9="READY",T224="READY"),R224,"")</f>
        <v/>
      </c>
      <c r="T224" s="4">
        <f>IF($A224="","",IF(D224&lt;&gt;"READY","BLOCKED - INPUT",IF(E224&lt;&gt;"ELIGIBLE","BLOCKED - ELIGIBILITY",IF(AGENT_INPUT!S224&lt;&gt;"VALIDATED","BLOCKED - DATA",IF(SETUP!$B$9&lt;&gt;"READY","BLOCKED - POLICY","READY")))))</f>
        <v/>
      </c>
      <c r="U224" s="4">
        <f>IF($A224="","",IF(COUNTIFS(AGENT_INPUT!$A$5:$A$254,$A224,AGENT_INPUT!$D$5:$D$254,AGENT_INPUT!D224)&gt;1,"DUPLICATE AGENT + PERIOD",IF(D224&lt;&gt;"READY","INPUT OR CONFIG REVIEW",IF(T224&lt;&gt;"READY",T224,""))))</f>
        <v/>
      </c>
    </row>
    <row r="225" spans="1:21">
      <c r="A225" s="4">
        <f>IF(AGENT_INPUT!A225="","",AGENT_INPUT!A225)</f>
        <v/>
      </c>
      <c r="B225" s="4">
        <f>IF($A225="","",AGENT_INPUT!B225)</f>
        <v/>
      </c>
      <c r="C225" s="4">
        <f>IF($A225="","",AGENT_INPUT!C225)</f>
        <v/>
      </c>
      <c r="D225" s="4">
        <f>IF($A225="","",IF(AND(COUNT(AGENT_INPUT!E225:J225)=6,COUNT(AGENT_INPUT!K225)=1,COUNTIF(BONUS_RULES!$A$5:$A$46,AGENT_INPUT!C225)&gt;0,OR(AGENT_INPUT!O225&gt;0,AND(AGENT_INPUT!M225&gt;0,AGENT_INPUT!N225&gt;0)),AGENT_INPUT!P225&gt;=0,AGENT_INPUT!Q225&gt;0,AGENT_INPUT!P225&lt;=AGENT_INPUT!Q225,AGENT_INPUT!H225&gt;=0,AGENT_INPUT!H225&lt;=1,AGENT_INPUT!I225&gt;=0,AGENT_INPUT!I225&lt;=1,AGENT_INPUT!J225&gt;=0,AGENT_INPUT!J225&lt;=1),"READY","BLOCKED"))</f>
        <v/>
      </c>
      <c r="E225" s="4">
        <f>IF($A225="","",IF(AGENT_INPUT!R225&lt;&gt;"Active","REVIEW",IF(OR(POLICY_APPROVAL!$B$9="Eligibility only",POLICY_APPROVAL!$B$9="Both"),IF(AGENT_INPUT!J225&lt;=SUMIFS(BONUS_RULES!$E$5:$E$46,BONUS_RULES!$A$5:$A$46,$C225,BONUS_RULES!$B$5:$B$46,"Abs%"),"ELIGIBLE","INELIGIBLE ABS"),"ELIGIBLE")))</f>
        <v/>
      </c>
      <c r="F225" s="10">
        <f>IF(OR($A225="",$D225&lt;&gt;"READY"),"",IF(AGENT_INPUT!E225&lt;=SUMIFS(BONUS_RULES!$E$5:$E$46,BONUS_RULES!$A$5:$A$46,$C225,BONUS_RULES!$B$5:$B$46,"AHT"),SUMIFS(BONUS_RULES!$D$5:$D$46,BONUS_RULES!$A$5:$A$46,$C225,BONUS_RULES!$B$5:$B$46,"AHT"),IF(AGENT_INPUT!E225&lt;=SUMIFS(BONUS_RULES!$G$5:$G$46,BONUS_RULES!$A$5:$A$46,$C225,BONUS_RULES!$B$5:$B$46,"AHT"),SUMIFS(BONUS_RULES!$F$5:$F$46,BONUS_RULES!$A$5:$A$46,$C225,BONUS_RULES!$B$5:$B$46,"AHT"),0)))</f>
        <v/>
      </c>
      <c r="G225" s="10">
        <f>IF(OR($A225="",$D225&lt;&gt;"READY"),"",IF(AGENT_INPUT!F225&gt;=SUMIFS(BONUS_RULES!$E$5:$E$46,BONUS_RULES!$A$5:$A$46,$C225,BONUS_RULES!$B$5:$B$46,"Productivity"),SUMIFS(BONUS_RULES!$D$5:$D$46,BONUS_RULES!$A$5:$A$46,$C225,BONUS_RULES!$B$5:$B$46,"Productivity"),IF(AGENT_INPUT!F225&gt;=SUMIFS(BONUS_RULES!$G$5:$G$46,BONUS_RULES!$A$5:$A$46,$C225,BONUS_RULES!$B$5:$B$46,"Productivity"),SUMIFS(BONUS_RULES!$F$5:$F$46,BONUS_RULES!$A$5:$A$46,$C225,BONUS_RULES!$B$5:$B$46,"Productivity"),0)))</f>
        <v/>
      </c>
      <c r="H225" s="10">
        <f>IF(OR($A225="",$D225&lt;&gt;"READY"),"",IF(AGENT_INPUT!G225&gt;=SUMIFS(BONUS_RULES!$E$5:$E$46,BONUS_RULES!$A$5:$A$46,$C225,BONUS_RULES!$B$5:$B$46,"PCS Score"),SUMIFS(BONUS_RULES!$D$5:$D$46,BONUS_RULES!$A$5:$A$46,$C225,BONUS_RULES!$B$5:$B$46,"PCS Score"),IF(AGENT_INPUT!G225&gt;=SUMIFS(BONUS_RULES!$G$5:$G$46,BONUS_RULES!$A$5:$A$46,$C225,BONUS_RULES!$B$5:$B$46,"PCS Score"),SUMIFS(BONUS_RULES!$F$5:$F$46,BONUS_RULES!$A$5:$A$46,$C225,BONUS_RULES!$B$5:$B$46,"PCS Score"),0)))</f>
        <v/>
      </c>
      <c r="I225" s="10">
        <f>IF(OR($A225="",$D225&lt;&gt;"READY"),"",IF(AGENT_INPUT!H225&gt;=SUMIFS(BONUS_RULES!$E$5:$E$46,BONUS_RULES!$A$5:$A$46,$C225,BONUS_RULES!$B$5:$B$46,"PCS % (Participation)"),SUMIFS(BONUS_RULES!$D$5:$D$46,BONUS_RULES!$A$5:$A$46,$C225,BONUS_RULES!$B$5:$B$46,"PCS % (Participation)"),IF(AGENT_INPUT!H225&gt;=SUMIFS(BONUS_RULES!$G$5:$G$46,BONUS_RULES!$A$5:$A$46,$C225,BONUS_RULES!$B$5:$B$46,"PCS % (Participation)"),SUMIFS(BONUS_RULES!$F$5:$F$46,BONUS_RULES!$A$5:$A$46,$C225,BONUS_RULES!$B$5:$B$46,"PCS % (Participation)"),0)))</f>
        <v/>
      </c>
      <c r="J225" s="10">
        <f>IF(OR($A225="",$D225&lt;&gt;"READY"),"",IF(AGENT_INPUT!I225&gt;=SUMIFS(BONUS_RULES!$E$5:$E$46,BONUS_RULES!$A$5:$A$46,$C225,BONUS_RULES!$B$5:$B$46,"QM"),SUMIFS(BONUS_RULES!$D$5:$D$46,BONUS_RULES!$A$5:$A$46,$C225,BONUS_RULES!$B$5:$B$46,"QM"),IF(AGENT_INPUT!I225&gt;=SUMIFS(BONUS_RULES!$G$5:$G$46,BONUS_RULES!$A$5:$A$46,$C225,BONUS_RULES!$B$5:$B$46,"QM"),SUMIFS(BONUS_RULES!$F$5:$F$46,BONUS_RULES!$A$5:$A$46,$C225,BONUS_RULES!$B$5:$B$46,"QM"),0)))</f>
        <v/>
      </c>
      <c r="K225" s="10">
        <f>IF(POLICY_APPROVAL!$B$9="Eligibility only",0,IF(OR($A225="",$D225&lt;&gt;"READY"),"",IF(AGENT_INPUT!J225&lt;=SUMIFS(BONUS_RULES!$E$5:$E$46,BONUS_RULES!$A$5:$A$46,$C225,BONUS_RULES!$B$5:$B$46,"Abs%"),SUMIFS(BONUS_RULES!$D$5:$D$46,BONUS_RULES!$A$5:$A$46,$C225,BONUS_RULES!$B$5:$B$46,"Abs%"),IF(AGENT_INPUT!J225&lt;=SUMIFS(BONUS_RULES!$G$5:$G$46,BONUS_RULES!$A$5:$A$46,$C225,BONUS_RULES!$B$5:$B$46,"Abs%"),SUMIFS(BONUS_RULES!$F$5:$F$46,BONUS_RULES!$A$5:$A$46,$C225,BONUS_RULES!$B$5:$B$46,"Abs%"),0))))</f>
        <v/>
      </c>
      <c r="L225" s="10">
        <f>IF(OR($A225="",$D225&lt;&gt;"READY"),"",IF(AGENT_INPUT!G225&gt;=SUMIFS(BONUS_RULES!$E$5:$E$46,BONUS_RULES!$A$5:$A$46,$C225,BONUS_RULES!$B$5:$B$46,"Extra Bonus (PCS Score)"),SUMIFS(BONUS_RULES!$D$5:$D$46,BONUS_RULES!$A$5:$A$46,$C225,BONUS_RULES!$B$5:$B$46,"Extra Bonus (PCS Score)"),IF(AGENT_INPUT!G225&gt;=SUMIFS(BONUS_RULES!$G$5:$G$46,BONUS_RULES!$A$5:$A$46,$C225,BONUS_RULES!$B$5:$B$46,"Extra Bonus (PCS Score)"),SUMIFS(BONUS_RULES!$F$5:$F$46,BONUS_RULES!$A$5:$A$46,$C225,BONUS_RULES!$B$5:$B$46,"Extra Bonus (PCS Score)"),0)))</f>
        <v/>
      </c>
      <c r="M225" s="10">
        <f>IF($A225="","",MIN(IF(POLICY_APPROVAL!$B$6="Replacement",SUM(F225:K225)-H225+MAX(H225,L225),SUM(F225:L225)),POLICY_APPROVAL!$B$10))</f>
        <v/>
      </c>
      <c r="N225" s="10">
        <f>IF($A225="","",IFERROR(INDEX(BONUS_RULES!$J$5:$J$10,MATCH(MIN(MAX(AGENT_INPUT!K225,0),5),BONUS_RULES!$I$5:$I$10,0)),1))</f>
        <v/>
      </c>
      <c r="O225" s="10">
        <f>IF(M225="","",MAX(0,IF(POLICY_APPROVAL!$B$5="Percentage points",M225-N225,M225*(1-N225))))</f>
        <v/>
      </c>
      <c r="P225" s="11">
        <f>IF(D225&lt;&gt;"READY","",IF(AGENT_INPUT!O225&gt;0,AGENT_INPUT!O225,AGENT_INPUT!M225*AGENT_INPUT!N225/IF(POLICY_APPROVAL!$B$7="Annual",12,1)))</f>
        <v/>
      </c>
      <c r="Q225" s="10">
        <f>IF(D225&lt;&gt;"READY","",MIN(1,AGENT_INPUT!P225/AGENT_INPUT!Q225))</f>
        <v/>
      </c>
      <c r="R225" s="11">
        <f>IF(D225&lt;&gt;"READY","",ROUND(P225*Q225*O225,IF(POLICY_APPROVAL!$B$11="Whole MAD",0,2)))</f>
        <v/>
      </c>
      <c r="S225" s="11">
        <f>IF(AND(SETUP!$B$9="READY",T225="READY"),R225,"")</f>
        <v/>
      </c>
      <c r="T225" s="4">
        <f>IF($A225="","",IF(D225&lt;&gt;"READY","BLOCKED - INPUT",IF(E225&lt;&gt;"ELIGIBLE","BLOCKED - ELIGIBILITY",IF(AGENT_INPUT!S225&lt;&gt;"VALIDATED","BLOCKED - DATA",IF(SETUP!$B$9&lt;&gt;"READY","BLOCKED - POLICY","READY")))))</f>
        <v/>
      </c>
      <c r="U225" s="4">
        <f>IF($A225="","",IF(COUNTIFS(AGENT_INPUT!$A$5:$A$254,$A225,AGENT_INPUT!$D$5:$D$254,AGENT_INPUT!D225)&gt;1,"DUPLICATE AGENT + PERIOD",IF(D225&lt;&gt;"READY","INPUT OR CONFIG REVIEW",IF(T225&lt;&gt;"READY",T225,""))))</f>
        <v/>
      </c>
    </row>
    <row r="226" spans="1:21">
      <c r="A226" s="4">
        <f>IF(AGENT_INPUT!A226="","",AGENT_INPUT!A226)</f>
        <v/>
      </c>
      <c r="B226" s="4">
        <f>IF($A226="","",AGENT_INPUT!B226)</f>
        <v/>
      </c>
      <c r="C226" s="4">
        <f>IF($A226="","",AGENT_INPUT!C226)</f>
        <v/>
      </c>
      <c r="D226" s="4">
        <f>IF($A226="","",IF(AND(COUNT(AGENT_INPUT!E226:J226)=6,COUNT(AGENT_INPUT!K226)=1,COUNTIF(BONUS_RULES!$A$5:$A$46,AGENT_INPUT!C226)&gt;0,OR(AGENT_INPUT!O226&gt;0,AND(AGENT_INPUT!M226&gt;0,AGENT_INPUT!N226&gt;0)),AGENT_INPUT!P226&gt;=0,AGENT_INPUT!Q226&gt;0,AGENT_INPUT!P226&lt;=AGENT_INPUT!Q226,AGENT_INPUT!H226&gt;=0,AGENT_INPUT!H226&lt;=1,AGENT_INPUT!I226&gt;=0,AGENT_INPUT!I226&lt;=1,AGENT_INPUT!J226&gt;=0,AGENT_INPUT!J226&lt;=1),"READY","BLOCKED"))</f>
        <v/>
      </c>
      <c r="E226" s="4">
        <f>IF($A226="","",IF(AGENT_INPUT!R226&lt;&gt;"Active","REVIEW",IF(OR(POLICY_APPROVAL!$B$9="Eligibility only",POLICY_APPROVAL!$B$9="Both"),IF(AGENT_INPUT!J226&lt;=SUMIFS(BONUS_RULES!$E$5:$E$46,BONUS_RULES!$A$5:$A$46,$C226,BONUS_RULES!$B$5:$B$46,"Abs%"),"ELIGIBLE","INELIGIBLE ABS"),"ELIGIBLE")))</f>
        <v/>
      </c>
      <c r="F226" s="10">
        <f>IF(OR($A226="",$D226&lt;&gt;"READY"),"",IF(AGENT_INPUT!E226&lt;=SUMIFS(BONUS_RULES!$E$5:$E$46,BONUS_RULES!$A$5:$A$46,$C226,BONUS_RULES!$B$5:$B$46,"AHT"),SUMIFS(BONUS_RULES!$D$5:$D$46,BONUS_RULES!$A$5:$A$46,$C226,BONUS_RULES!$B$5:$B$46,"AHT"),IF(AGENT_INPUT!E226&lt;=SUMIFS(BONUS_RULES!$G$5:$G$46,BONUS_RULES!$A$5:$A$46,$C226,BONUS_RULES!$B$5:$B$46,"AHT"),SUMIFS(BONUS_RULES!$F$5:$F$46,BONUS_RULES!$A$5:$A$46,$C226,BONUS_RULES!$B$5:$B$46,"AHT"),0)))</f>
        <v/>
      </c>
      <c r="G226" s="10">
        <f>IF(OR($A226="",$D226&lt;&gt;"READY"),"",IF(AGENT_INPUT!F226&gt;=SUMIFS(BONUS_RULES!$E$5:$E$46,BONUS_RULES!$A$5:$A$46,$C226,BONUS_RULES!$B$5:$B$46,"Productivity"),SUMIFS(BONUS_RULES!$D$5:$D$46,BONUS_RULES!$A$5:$A$46,$C226,BONUS_RULES!$B$5:$B$46,"Productivity"),IF(AGENT_INPUT!F226&gt;=SUMIFS(BONUS_RULES!$G$5:$G$46,BONUS_RULES!$A$5:$A$46,$C226,BONUS_RULES!$B$5:$B$46,"Productivity"),SUMIFS(BONUS_RULES!$F$5:$F$46,BONUS_RULES!$A$5:$A$46,$C226,BONUS_RULES!$B$5:$B$46,"Productivity"),0)))</f>
        <v/>
      </c>
      <c r="H226" s="10">
        <f>IF(OR($A226="",$D226&lt;&gt;"READY"),"",IF(AGENT_INPUT!G226&gt;=SUMIFS(BONUS_RULES!$E$5:$E$46,BONUS_RULES!$A$5:$A$46,$C226,BONUS_RULES!$B$5:$B$46,"PCS Score"),SUMIFS(BONUS_RULES!$D$5:$D$46,BONUS_RULES!$A$5:$A$46,$C226,BONUS_RULES!$B$5:$B$46,"PCS Score"),IF(AGENT_INPUT!G226&gt;=SUMIFS(BONUS_RULES!$G$5:$G$46,BONUS_RULES!$A$5:$A$46,$C226,BONUS_RULES!$B$5:$B$46,"PCS Score"),SUMIFS(BONUS_RULES!$F$5:$F$46,BONUS_RULES!$A$5:$A$46,$C226,BONUS_RULES!$B$5:$B$46,"PCS Score"),0)))</f>
        <v/>
      </c>
      <c r="I226" s="10">
        <f>IF(OR($A226="",$D226&lt;&gt;"READY"),"",IF(AGENT_INPUT!H226&gt;=SUMIFS(BONUS_RULES!$E$5:$E$46,BONUS_RULES!$A$5:$A$46,$C226,BONUS_RULES!$B$5:$B$46,"PCS % (Participation)"),SUMIFS(BONUS_RULES!$D$5:$D$46,BONUS_RULES!$A$5:$A$46,$C226,BONUS_RULES!$B$5:$B$46,"PCS % (Participation)"),IF(AGENT_INPUT!H226&gt;=SUMIFS(BONUS_RULES!$G$5:$G$46,BONUS_RULES!$A$5:$A$46,$C226,BONUS_RULES!$B$5:$B$46,"PCS % (Participation)"),SUMIFS(BONUS_RULES!$F$5:$F$46,BONUS_RULES!$A$5:$A$46,$C226,BONUS_RULES!$B$5:$B$46,"PCS % (Participation)"),0)))</f>
        <v/>
      </c>
      <c r="J226" s="10">
        <f>IF(OR($A226="",$D226&lt;&gt;"READY"),"",IF(AGENT_INPUT!I226&gt;=SUMIFS(BONUS_RULES!$E$5:$E$46,BONUS_RULES!$A$5:$A$46,$C226,BONUS_RULES!$B$5:$B$46,"QM"),SUMIFS(BONUS_RULES!$D$5:$D$46,BONUS_RULES!$A$5:$A$46,$C226,BONUS_RULES!$B$5:$B$46,"QM"),IF(AGENT_INPUT!I226&gt;=SUMIFS(BONUS_RULES!$G$5:$G$46,BONUS_RULES!$A$5:$A$46,$C226,BONUS_RULES!$B$5:$B$46,"QM"),SUMIFS(BONUS_RULES!$F$5:$F$46,BONUS_RULES!$A$5:$A$46,$C226,BONUS_RULES!$B$5:$B$46,"QM"),0)))</f>
        <v/>
      </c>
      <c r="K226" s="10">
        <f>IF(POLICY_APPROVAL!$B$9="Eligibility only",0,IF(OR($A226="",$D226&lt;&gt;"READY"),"",IF(AGENT_INPUT!J226&lt;=SUMIFS(BONUS_RULES!$E$5:$E$46,BONUS_RULES!$A$5:$A$46,$C226,BONUS_RULES!$B$5:$B$46,"Abs%"),SUMIFS(BONUS_RULES!$D$5:$D$46,BONUS_RULES!$A$5:$A$46,$C226,BONUS_RULES!$B$5:$B$46,"Abs%"),IF(AGENT_INPUT!J226&lt;=SUMIFS(BONUS_RULES!$G$5:$G$46,BONUS_RULES!$A$5:$A$46,$C226,BONUS_RULES!$B$5:$B$46,"Abs%"),SUMIFS(BONUS_RULES!$F$5:$F$46,BONUS_RULES!$A$5:$A$46,$C226,BONUS_RULES!$B$5:$B$46,"Abs%"),0))))</f>
        <v/>
      </c>
      <c r="L226" s="10">
        <f>IF(OR($A226="",$D226&lt;&gt;"READY"),"",IF(AGENT_INPUT!G226&gt;=SUMIFS(BONUS_RULES!$E$5:$E$46,BONUS_RULES!$A$5:$A$46,$C226,BONUS_RULES!$B$5:$B$46,"Extra Bonus (PCS Score)"),SUMIFS(BONUS_RULES!$D$5:$D$46,BONUS_RULES!$A$5:$A$46,$C226,BONUS_RULES!$B$5:$B$46,"Extra Bonus (PCS Score)"),IF(AGENT_INPUT!G226&gt;=SUMIFS(BONUS_RULES!$G$5:$G$46,BONUS_RULES!$A$5:$A$46,$C226,BONUS_RULES!$B$5:$B$46,"Extra Bonus (PCS Score)"),SUMIFS(BONUS_RULES!$F$5:$F$46,BONUS_RULES!$A$5:$A$46,$C226,BONUS_RULES!$B$5:$B$46,"Extra Bonus (PCS Score)"),0)))</f>
        <v/>
      </c>
      <c r="M226" s="10">
        <f>IF($A226="","",MIN(IF(POLICY_APPROVAL!$B$6="Replacement",SUM(F226:K226)-H226+MAX(H226,L226),SUM(F226:L226)),POLICY_APPROVAL!$B$10))</f>
        <v/>
      </c>
      <c r="N226" s="10">
        <f>IF($A226="","",IFERROR(INDEX(BONUS_RULES!$J$5:$J$10,MATCH(MIN(MAX(AGENT_INPUT!K226,0),5),BONUS_RULES!$I$5:$I$10,0)),1))</f>
        <v/>
      </c>
      <c r="O226" s="10">
        <f>IF(M226="","",MAX(0,IF(POLICY_APPROVAL!$B$5="Percentage points",M226-N226,M226*(1-N226))))</f>
        <v/>
      </c>
      <c r="P226" s="11">
        <f>IF(D226&lt;&gt;"READY","",IF(AGENT_INPUT!O226&gt;0,AGENT_INPUT!O226,AGENT_INPUT!M226*AGENT_INPUT!N226/IF(POLICY_APPROVAL!$B$7="Annual",12,1)))</f>
        <v/>
      </c>
      <c r="Q226" s="10">
        <f>IF(D226&lt;&gt;"READY","",MIN(1,AGENT_INPUT!P226/AGENT_INPUT!Q226))</f>
        <v/>
      </c>
      <c r="R226" s="11">
        <f>IF(D226&lt;&gt;"READY","",ROUND(P226*Q226*O226,IF(POLICY_APPROVAL!$B$11="Whole MAD",0,2)))</f>
        <v/>
      </c>
      <c r="S226" s="11">
        <f>IF(AND(SETUP!$B$9="READY",T226="READY"),R226,"")</f>
        <v/>
      </c>
      <c r="T226" s="4">
        <f>IF($A226="","",IF(D226&lt;&gt;"READY","BLOCKED - INPUT",IF(E226&lt;&gt;"ELIGIBLE","BLOCKED - ELIGIBILITY",IF(AGENT_INPUT!S226&lt;&gt;"VALIDATED","BLOCKED - DATA",IF(SETUP!$B$9&lt;&gt;"READY","BLOCKED - POLICY","READY")))))</f>
        <v/>
      </c>
      <c r="U226" s="4">
        <f>IF($A226="","",IF(COUNTIFS(AGENT_INPUT!$A$5:$A$254,$A226,AGENT_INPUT!$D$5:$D$254,AGENT_INPUT!D226)&gt;1,"DUPLICATE AGENT + PERIOD",IF(D226&lt;&gt;"READY","INPUT OR CONFIG REVIEW",IF(T226&lt;&gt;"READY",T226,""))))</f>
        <v/>
      </c>
    </row>
    <row r="227" spans="1:21">
      <c r="A227" s="4">
        <f>IF(AGENT_INPUT!A227="","",AGENT_INPUT!A227)</f>
        <v/>
      </c>
      <c r="B227" s="4">
        <f>IF($A227="","",AGENT_INPUT!B227)</f>
        <v/>
      </c>
      <c r="C227" s="4">
        <f>IF($A227="","",AGENT_INPUT!C227)</f>
        <v/>
      </c>
      <c r="D227" s="4">
        <f>IF($A227="","",IF(AND(COUNT(AGENT_INPUT!E227:J227)=6,COUNT(AGENT_INPUT!K227)=1,COUNTIF(BONUS_RULES!$A$5:$A$46,AGENT_INPUT!C227)&gt;0,OR(AGENT_INPUT!O227&gt;0,AND(AGENT_INPUT!M227&gt;0,AGENT_INPUT!N227&gt;0)),AGENT_INPUT!P227&gt;=0,AGENT_INPUT!Q227&gt;0,AGENT_INPUT!P227&lt;=AGENT_INPUT!Q227,AGENT_INPUT!H227&gt;=0,AGENT_INPUT!H227&lt;=1,AGENT_INPUT!I227&gt;=0,AGENT_INPUT!I227&lt;=1,AGENT_INPUT!J227&gt;=0,AGENT_INPUT!J227&lt;=1),"READY","BLOCKED"))</f>
        <v/>
      </c>
      <c r="E227" s="4">
        <f>IF($A227="","",IF(AGENT_INPUT!R227&lt;&gt;"Active","REVIEW",IF(OR(POLICY_APPROVAL!$B$9="Eligibility only",POLICY_APPROVAL!$B$9="Both"),IF(AGENT_INPUT!J227&lt;=SUMIFS(BONUS_RULES!$E$5:$E$46,BONUS_RULES!$A$5:$A$46,$C227,BONUS_RULES!$B$5:$B$46,"Abs%"),"ELIGIBLE","INELIGIBLE ABS"),"ELIGIBLE")))</f>
        <v/>
      </c>
      <c r="F227" s="10">
        <f>IF(OR($A227="",$D227&lt;&gt;"READY"),"",IF(AGENT_INPUT!E227&lt;=SUMIFS(BONUS_RULES!$E$5:$E$46,BONUS_RULES!$A$5:$A$46,$C227,BONUS_RULES!$B$5:$B$46,"AHT"),SUMIFS(BONUS_RULES!$D$5:$D$46,BONUS_RULES!$A$5:$A$46,$C227,BONUS_RULES!$B$5:$B$46,"AHT"),IF(AGENT_INPUT!E227&lt;=SUMIFS(BONUS_RULES!$G$5:$G$46,BONUS_RULES!$A$5:$A$46,$C227,BONUS_RULES!$B$5:$B$46,"AHT"),SUMIFS(BONUS_RULES!$F$5:$F$46,BONUS_RULES!$A$5:$A$46,$C227,BONUS_RULES!$B$5:$B$46,"AHT"),0)))</f>
        <v/>
      </c>
      <c r="G227" s="10">
        <f>IF(OR($A227="",$D227&lt;&gt;"READY"),"",IF(AGENT_INPUT!F227&gt;=SUMIFS(BONUS_RULES!$E$5:$E$46,BONUS_RULES!$A$5:$A$46,$C227,BONUS_RULES!$B$5:$B$46,"Productivity"),SUMIFS(BONUS_RULES!$D$5:$D$46,BONUS_RULES!$A$5:$A$46,$C227,BONUS_RULES!$B$5:$B$46,"Productivity"),IF(AGENT_INPUT!F227&gt;=SUMIFS(BONUS_RULES!$G$5:$G$46,BONUS_RULES!$A$5:$A$46,$C227,BONUS_RULES!$B$5:$B$46,"Productivity"),SUMIFS(BONUS_RULES!$F$5:$F$46,BONUS_RULES!$A$5:$A$46,$C227,BONUS_RULES!$B$5:$B$46,"Productivity"),0)))</f>
        <v/>
      </c>
      <c r="H227" s="10">
        <f>IF(OR($A227="",$D227&lt;&gt;"READY"),"",IF(AGENT_INPUT!G227&gt;=SUMIFS(BONUS_RULES!$E$5:$E$46,BONUS_RULES!$A$5:$A$46,$C227,BONUS_RULES!$B$5:$B$46,"PCS Score"),SUMIFS(BONUS_RULES!$D$5:$D$46,BONUS_RULES!$A$5:$A$46,$C227,BONUS_RULES!$B$5:$B$46,"PCS Score"),IF(AGENT_INPUT!G227&gt;=SUMIFS(BONUS_RULES!$G$5:$G$46,BONUS_RULES!$A$5:$A$46,$C227,BONUS_RULES!$B$5:$B$46,"PCS Score"),SUMIFS(BONUS_RULES!$F$5:$F$46,BONUS_RULES!$A$5:$A$46,$C227,BONUS_RULES!$B$5:$B$46,"PCS Score"),0)))</f>
        <v/>
      </c>
      <c r="I227" s="10">
        <f>IF(OR($A227="",$D227&lt;&gt;"READY"),"",IF(AGENT_INPUT!H227&gt;=SUMIFS(BONUS_RULES!$E$5:$E$46,BONUS_RULES!$A$5:$A$46,$C227,BONUS_RULES!$B$5:$B$46,"PCS % (Participation)"),SUMIFS(BONUS_RULES!$D$5:$D$46,BONUS_RULES!$A$5:$A$46,$C227,BONUS_RULES!$B$5:$B$46,"PCS % (Participation)"),IF(AGENT_INPUT!H227&gt;=SUMIFS(BONUS_RULES!$G$5:$G$46,BONUS_RULES!$A$5:$A$46,$C227,BONUS_RULES!$B$5:$B$46,"PCS % (Participation)"),SUMIFS(BONUS_RULES!$F$5:$F$46,BONUS_RULES!$A$5:$A$46,$C227,BONUS_RULES!$B$5:$B$46,"PCS % (Participation)"),0)))</f>
        <v/>
      </c>
      <c r="J227" s="10">
        <f>IF(OR($A227="",$D227&lt;&gt;"READY"),"",IF(AGENT_INPUT!I227&gt;=SUMIFS(BONUS_RULES!$E$5:$E$46,BONUS_RULES!$A$5:$A$46,$C227,BONUS_RULES!$B$5:$B$46,"QM"),SUMIFS(BONUS_RULES!$D$5:$D$46,BONUS_RULES!$A$5:$A$46,$C227,BONUS_RULES!$B$5:$B$46,"QM"),IF(AGENT_INPUT!I227&gt;=SUMIFS(BONUS_RULES!$G$5:$G$46,BONUS_RULES!$A$5:$A$46,$C227,BONUS_RULES!$B$5:$B$46,"QM"),SUMIFS(BONUS_RULES!$F$5:$F$46,BONUS_RULES!$A$5:$A$46,$C227,BONUS_RULES!$B$5:$B$46,"QM"),0)))</f>
        <v/>
      </c>
      <c r="K227" s="10">
        <f>IF(POLICY_APPROVAL!$B$9="Eligibility only",0,IF(OR($A227="",$D227&lt;&gt;"READY"),"",IF(AGENT_INPUT!J227&lt;=SUMIFS(BONUS_RULES!$E$5:$E$46,BONUS_RULES!$A$5:$A$46,$C227,BONUS_RULES!$B$5:$B$46,"Abs%"),SUMIFS(BONUS_RULES!$D$5:$D$46,BONUS_RULES!$A$5:$A$46,$C227,BONUS_RULES!$B$5:$B$46,"Abs%"),IF(AGENT_INPUT!J227&lt;=SUMIFS(BONUS_RULES!$G$5:$G$46,BONUS_RULES!$A$5:$A$46,$C227,BONUS_RULES!$B$5:$B$46,"Abs%"),SUMIFS(BONUS_RULES!$F$5:$F$46,BONUS_RULES!$A$5:$A$46,$C227,BONUS_RULES!$B$5:$B$46,"Abs%"),0))))</f>
        <v/>
      </c>
      <c r="L227" s="10">
        <f>IF(OR($A227="",$D227&lt;&gt;"READY"),"",IF(AGENT_INPUT!G227&gt;=SUMIFS(BONUS_RULES!$E$5:$E$46,BONUS_RULES!$A$5:$A$46,$C227,BONUS_RULES!$B$5:$B$46,"Extra Bonus (PCS Score)"),SUMIFS(BONUS_RULES!$D$5:$D$46,BONUS_RULES!$A$5:$A$46,$C227,BONUS_RULES!$B$5:$B$46,"Extra Bonus (PCS Score)"),IF(AGENT_INPUT!G227&gt;=SUMIFS(BONUS_RULES!$G$5:$G$46,BONUS_RULES!$A$5:$A$46,$C227,BONUS_RULES!$B$5:$B$46,"Extra Bonus (PCS Score)"),SUMIFS(BONUS_RULES!$F$5:$F$46,BONUS_RULES!$A$5:$A$46,$C227,BONUS_RULES!$B$5:$B$46,"Extra Bonus (PCS Score)"),0)))</f>
        <v/>
      </c>
      <c r="M227" s="10">
        <f>IF($A227="","",MIN(IF(POLICY_APPROVAL!$B$6="Replacement",SUM(F227:K227)-H227+MAX(H227,L227),SUM(F227:L227)),POLICY_APPROVAL!$B$10))</f>
        <v/>
      </c>
      <c r="N227" s="10">
        <f>IF($A227="","",IFERROR(INDEX(BONUS_RULES!$J$5:$J$10,MATCH(MIN(MAX(AGENT_INPUT!K227,0),5),BONUS_RULES!$I$5:$I$10,0)),1))</f>
        <v/>
      </c>
      <c r="O227" s="10">
        <f>IF(M227="","",MAX(0,IF(POLICY_APPROVAL!$B$5="Percentage points",M227-N227,M227*(1-N227))))</f>
        <v/>
      </c>
      <c r="P227" s="11">
        <f>IF(D227&lt;&gt;"READY","",IF(AGENT_INPUT!O227&gt;0,AGENT_INPUT!O227,AGENT_INPUT!M227*AGENT_INPUT!N227/IF(POLICY_APPROVAL!$B$7="Annual",12,1)))</f>
        <v/>
      </c>
      <c r="Q227" s="10">
        <f>IF(D227&lt;&gt;"READY","",MIN(1,AGENT_INPUT!P227/AGENT_INPUT!Q227))</f>
        <v/>
      </c>
      <c r="R227" s="11">
        <f>IF(D227&lt;&gt;"READY","",ROUND(P227*Q227*O227,IF(POLICY_APPROVAL!$B$11="Whole MAD",0,2)))</f>
        <v/>
      </c>
      <c r="S227" s="11">
        <f>IF(AND(SETUP!$B$9="READY",T227="READY"),R227,"")</f>
        <v/>
      </c>
      <c r="T227" s="4">
        <f>IF($A227="","",IF(D227&lt;&gt;"READY","BLOCKED - INPUT",IF(E227&lt;&gt;"ELIGIBLE","BLOCKED - ELIGIBILITY",IF(AGENT_INPUT!S227&lt;&gt;"VALIDATED","BLOCKED - DATA",IF(SETUP!$B$9&lt;&gt;"READY","BLOCKED - POLICY","READY")))))</f>
        <v/>
      </c>
      <c r="U227" s="4">
        <f>IF($A227="","",IF(COUNTIFS(AGENT_INPUT!$A$5:$A$254,$A227,AGENT_INPUT!$D$5:$D$254,AGENT_INPUT!D227)&gt;1,"DUPLICATE AGENT + PERIOD",IF(D227&lt;&gt;"READY","INPUT OR CONFIG REVIEW",IF(T227&lt;&gt;"READY",T227,""))))</f>
        <v/>
      </c>
    </row>
    <row r="228" spans="1:21">
      <c r="A228" s="4">
        <f>IF(AGENT_INPUT!A228="","",AGENT_INPUT!A228)</f>
        <v/>
      </c>
      <c r="B228" s="4">
        <f>IF($A228="","",AGENT_INPUT!B228)</f>
        <v/>
      </c>
      <c r="C228" s="4">
        <f>IF($A228="","",AGENT_INPUT!C228)</f>
        <v/>
      </c>
      <c r="D228" s="4">
        <f>IF($A228="","",IF(AND(COUNT(AGENT_INPUT!E228:J228)=6,COUNT(AGENT_INPUT!K228)=1,COUNTIF(BONUS_RULES!$A$5:$A$46,AGENT_INPUT!C228)&gt;0,OR(AGENT_INPUT!O228&gt;0,AND(AGENT_INPUT!M228&gt;0,AGENT_INPUT!N228&gt;0)),AGENT_INPUT!P228&gt;=0,AGENT_INPUT!Q228&gt;0,AGENT_INPUT!P228&lt;=AGENT_INPUT!Q228,AGENT_INPUT!H228&gt;=0,AGENT_INPUT!H228&lt;=1,AGENT_INPUT!I228&gt;=0,AGENT_INPUT!I228&lt;=1,AGENT_INPUT!J228&gt;=0,AGENT_INPUT!J228&lt;=1),"READY","BLOCKED"))</f>
        <v/>
      </c>
      <c r="E228" s="4">
        <f>IF($A228="","",IF(AGENT_INPUT!R228&lt;&gt;"Active","REVIEW",IF(OR(POLICY_APPROVAL!$B$9="Eligibility only",POLICY_APPROVAL!$B$9="Both"),IF(AGENT_INPUT!J228&lt;=SUMIFS(BONUS_RULES!$E$5:$E$46,BONUS_RULES!$A$5:$A$46,$C228,BONUS_RULES!$B$5:$B$46,"Abs%"),"ELIGIBLE","INELIGIBLE ABS"),"ELIGIBLE")))</f>
        <v/>
      </c>
      <c r="F228" s="10">
        <f>IF(OR($A228="",$D228&lt;&gt;"READY"),"",IF(AGENT_INPUT!E228&lt;=SUMIFS(BONUS_RULES!$E$5:$E$46,BONUS_RULES!$A$5:$A$46,$C228,BONUS_RULES!$B$5:$B$46,"AHT"),SUMIFS(BONUS_RULES!$D$5:$D$46,BONUS_RULES!$A$5:$A$46,$C228,BONUS_RULES!$B$5:$B$46,"AHT"),IF(AGENT_INPUT!E228&lt;=SUMIFS(BONUS_RULES!$G$5:$G$46,BONUS_RULES!$A$5:$A$46,$C228,BONUS_RULES!$B$5:$B$46,"AHT"),SUMIFS(BONUS_RULES!$F$5:$F$46,BONUS_RULES!$A$5:$A$46,$C228,BONUS_RULES!$B$5:$B$46,"AHT"),0)))</f>
        <v/>
      </c>
      <c r="G228" s="10">
        <f>IF(OR($A228="",$D228&lt;&gt;"READY"),"",IF(AGENT_INPUT!F228&gt;=SUMIFS(BONUS_RULES!$E$5:$E$46,BONUS_RULES!$A$5:$A$46,$C228,BONUS_RULES!$B$5:$B$46,"Productivity"),SUMIFS(BONUS_RULES!$D$5:$D$46,BONUS_RULES!$A$5:$A$46,$C228,BONUS_RULES!$B$5:$B$46,"Productivity"),IF(AGENT_INPUT!F228&gt;=SUMIFS(BONUS_RULES!$G$5:$G$46,BONUS_RULES!$A$5:$A$46,$C228,BONUS_RULES!$B$5:$B$46,"Productivity"),SUMIFS(BONUS_RULES!$F$5:$F$46,BONUS_RULES!$A$5:$A$46,$C228,BONUS_RULES!$B$5:$B$46,"Productivity"),0)))</f>
        <v/>
      </c>
      <c r="H228" s="10">
        <f>IF(OR($A228="",$D228&lt;&gt;"READY"),"",IF(AGENT_INPUT!G228&gt;=SUMIFS(BONUS_RULES!$E$5:$E$46,BONUS_RULES!$A$5:$A$46,$C228,BONUS_RULES!$B$5:$B$46,"PCS Score"),SUMIFS(BONUS_RULES!$D$5:$D$46,BONUS_RULES!$A$5:$A$46,$C228,BONUS_RULES!$B$5:$B$46,"PCS Score"),IF(AGENT_INPUT!G228&gt;=SUMIFS(BONUS_RULES!$G$5:$G$46,BONUS_RULES!$A$5:$A$46,$C228,BONUS_RULES!$B$5:$B$46,"PCS Score"),SUMIFS(BONUS_RULES!$F$5:$F$46,BONUS_RULES!$A$5:$A$46,$C228,BONUS_RULES!$B$5:$B$46,"PCS Score"),0)))</f>
        <v/>
      </c>
      <c r="I228" s="10">
        <f>IF(OR($A228="",$D228&lt;&gt;"READY"),"",IF(AGENT_INPUT!H228&gt;=SUMIFS(BONUS_RULES!$E$5:$E$46,BONUS_RULES!$A$5:$A$46,$C228,BONUS_RULES!$B$5:$B$46,"PCS % (Participation)"),SUMIFS(BONUS_RULES!$D$5:$D$46,BONUS_RULES!$A$5:$A$46,$C228,BONUS_RULES!$B$5:$B$46,"PCS % (Participation)"),IF(AGENT_INPUT!H228&gt;=SUMIFS(BONUS_RULES!$G$5:$G$46,BONUS_RULES!$A$5:$A$46,$C228,BONUS_RULES!$B$5:$B$46,"PCS % (Participation)"),SUMIFS(BONUS_RULES!$F$5:$F$46,BONUS_RULES!$A$5:$A$46,$C228,BONUS_RULES!$B$5:$B$46,"PCS % (Participation)"),0)))</f>
        <v/>
      </c>
      <c r="J228" s="10">
        <f>IF(OR($A228="",$D228&lt;&gt;"READY"),"",IF(AGENT_INPUT!I228&gt;=SUMIFS(BONUS_RULES!$E$5:$E$46,BONUS_RULES!$A$5:$A$46,$C228,BONUS_RULES!$B$5:$B$46,"QM"),SUMIFS(BONUS_RULES!$D$5:$D$46,BONUS_RULES!$A$5:$A$46,$C228,BONUS_RULES!$B$5:$B$46,"QM"),IF(AGENT_INPUT!I228&gt;=SUMIFS(BONUS_RULES!$G$5:$G$46,BONUS_RULES!$A$5:$A$46,$C228,BONUS_RULES!$B$5:$B$46,"QM"),SUMIFS(BONUS_RULES!$F$5:$F$46,BONUS_RULES!$A$5:$A$46,$C228,BONUS_RULES!$B$5:$B$46,"QM"),0)))</f>
        <v/>
      </c>
      <c r="K228" s="10">
        <f>IF(POLICY_APPROVAL!$B$9="Eligibility only",0,IF(OR($A228="",$D228&lt;&gt;"READY"),"",IF(AGENT_INPUT!J228&lt;=SUMIFS(BONUS_RULES!$E$5:$E$46,BONUS_RULES!$A$5:$A$46,$C228,BONUS_RULES!$B$5:$B$46,"Abs%"),SUMIFS(BONUS_RULES!$D$5:$D$46,BONUS_RULES!$A$5:$A$46,$C228,BONUS_RULES!$B$5:$B$46,"Abs%"),IF(AGENT_INPUT!J228&lt;=SUMIFS(BONUS_RULES!$G$5:$G$46,BONUS_RULES!$A$5:$A$46,$C228,BONUS_RULES!$B$5:$B$46,"Abs%"),SUMIFS(BONUS_RULES!$F$5:$F$46,BONUS_RULES!$A$5:$A$46,$C228,BONUS_RULES!$B$5:$B$46,"Abs%"),0))))</f>
        <v/>
      </c>
      <c r="L228" s="10">
        <f>IF(OR($A228="",$D228&lt;&gt;"READY"),"",IF(AGENT_INPUT!G228&gt;=SUMIFS(BONUS_RULES!$E$5:$E$46,BONUS_RULES!$A$5:$A$46,$C228,BONUS_RULES!$B$5:$B$46,"Extra Bonus (PCS Score)"),SUMIFS(BONUS_RULES!$D$5:$D$46,BONUS_RULES!$A$5:$A$46,$C228,BONUS_RULES!$B$5:$B$46,"Extra Bonus (PCS Score)"),IF(AGENT_INPUT!G228&gt;=SUMIFS(BONUS_RULES!$G$5:$G$46,BONUS_RULES!$A$5:$A$46,$C228,BONUS_RULES!$B$5:$B$46,"Extra Bonus (PCS Score)"),SUMIFS(BONUS_RULES!$F$5:$F$46,BONUS_RULES!$A$5:$A$46,$C228,BONUS_RULES!$B$5:$B$46,"Extra Bonus (PCS Score)"),0)))</f>
        <v/>
      </c>
      <c r="M228" s="10">
        <f>IF($A228="","",MIN(IF(POLICY_APPROVAL!$B$6="Replacement",SUM(F228:K228)-H228+MAX(H228,L228),SUM(F228:L228)),POLICY_APPROVAL!$B$10))</f>
        <v/>
      </c>
      <c r="N228" s="10">
        <f>IF($A228="","",IFERROR(INDEX(BONUS_RULES!$J$5:$J$10,MATCH(MIN(MAX(AGENT_INPUT!K228,0),5),BONUS_RULES!$I$5:$I$10,0)),1))</f>
        <v/>
      </c>
      <c r="O228" s="10">
        <f>IF(M228="","",MAX(0,IF(POLICY_APPROVAL!$B$5="Percentage points",M228-N228,M228*(1-N228))))</f>
        <v/>
      </c>
      <c r="P228" s="11">
        <f>IF(D228&lt;&gt;"READY","",IF(AGENT_INPUT!O228&gt;0,AGENT_INPUT!O228,AGENT_INPUT!M228*AGENT_INPUT!N228/IF(POLICY_APPROVAL!$B$7="Annual",12,1)))</f>
        <v/>
      </c>
      <c r="Q228" s="10">
        <f>IF(D228&lt;&gt;"READY","",MIN(1,AGENT_INPUT!P228/AGENT_INPUT!Q228))</f>
        <v/>
      </c>
      <c r="R228" s="11">
        <f>IF(D228&lt;&gt;"READY","",ROUND(P228*Q228*O228,IF(POLICY_APPROVAL!$B$11="Whole MAD",0,2)))</f>
        <v/>
      </c>
      <c r="S228" s="11">
        <f>IF(AND(SETUP!$B$9="READY",T228="READY"),R228,"")</f>
        <v/>
      </c>
      <c r="T228" s="4">
        <f>IF($A228="","",IF(D228&lt;&gt;"READY","BLOCKED - INPUT",IF(E228&lt;&gt;"ELIGIBLE","BLOCKED - ELIGIBILITY",IF(AGENT_INPUT!S228&lt;&gt;"VALIDATED","BLOCKED - DATA",IF(SETUP!$B$9&lt;&gt;"READY","BLOCKED - POLICY","READY")))))</f>
        <v/>
      </c>
      <c r="U228" s="4">
        <f>IF($A228="","",IF(COUNTIFS(AGENT_INPUT!$A$5:$A$254,$A228,AGENT_INPUT!$D$5:$D$254,AGENT_INPUT!D228)&gt;1,"DUPLICATE AGENT + PERIOD",IF(D228&lt;&gt;"READY","INPUT OR CONFIG REVIEW",IF(T228&lt;&gt;"READY",T228,""))))</f>
        <v/>
      </c>
    </row>
    <row r="229" spans="1:21">
      <c r="A229" s="4">
        <f>IF(AGENT_INPUT!A229="","",AGENT_INPUT!A229)</f>
        <v/>
      </c>
      <c r="B229" s="4">
        <f>IF($A229="","",AGENT_INPUT!B229)</f>
        <v/>
      </c>
      <c r="C229" s="4">
        <f>IF($A229="","",AGENT_INPUT!C229)</f>
        <v/>
      </c>
      <c r="D229" s="4">
        <f>IF($A229="","",IF(AND(COUNT(AGENT_INPUT!E229:J229)=6,COUNT(AGENT_INPUT!K229)=1,COUNTIF(BONUS_RULES!$A$5:$A$46,AGENT_INPUT!C229)&gt;0,OR(AGENT_INPUT!O229&gt;0,AND(AGENT_INPUT!M229&gt;0,AGENT_INPUT!N229&gt;0)),AGENT_INPUT!P229&gt;=0,AGENT_INPUT!Q229&gt;0,AGENT_INPUT!P229&lt;=AGENT_INPUT!Q229,AGENT_INPUT!H229&gt;=0,AGENT_INPUT!H229&lt;=1,AGENT_INPUT!I229&gt;=0,AGENT_INPUT!I229&lt;=1,AGENT_INPUT!J229&gt;=0,AGENT_INPUT!J229&lt;=1),"READY","BLOCKED"))</f>
        <v/>
      </c>
      <c r="E229" s="4">
        <f>IF($A229="","",IF(AGENT_INPUT!R229&lt;&gt;"Active","REVIEW",IF(OR(POLICY_APPROVAL!$B$9="Eligibility only",POLICY_APPROVAL!$B$9="Both"),IF(AGENT_INPUT!J229&lt;=SUMIFS(BONUS_RULES!$E$5:$E$46,BONUS_RULES!$A$5:$A$46,$C229,BONUS_RULES!$B$5:$B$46,"Abs%"),"ELIGIBLE","INELIGIBLE ABS"),"ELIGIBLE")))</f>
        <v/>
      </c>
      <c r="F229" s="10">
        <f>IF(OR($A229="",$D229&lt;&gt;"READY"),"",IF(AGENT_INPUT!E229&lt;=SUMIFS(BONUS_RULES!$E$5:$E$46,BONUS_RULES!$A$5:$A$46,$C229,BONUS_RULES!$B$5:$B$46,"AHT"),SUMIFS(BONUS_RULES!$D$5:$D$46,BONUS_RULES!$A$5:$A$46,$C229,BONUS_RULES!$B$5:$B$46,"AHT"),IF(AGENT_INPUT!E229&lt;=SUMIFS(BONUS_RULES!$G$5:$G$46,BONUS_RULES!$A$5:$A$46,$C229,BONUS_RULES!$B$5:$B$46,"AHT"),SUMIFS(BONUS_RULES!$F$5:$F$46,BONUS_RULES!$A$5:$A$46,$C229,BONUS_RULES!$B$5:$B$46,"AHT"),0)))</f>
        <v/>
      </c>
      <c r="G229" s="10">
        <f>IF(OR($A229="",$D229&lt;&gt;"READY"),"",IF(AGENT_INPUT!F229&gt;=SUMIFS(BONUS_RULES!$E$5:$E$46,BONUS_RULES!$A$5:$A$46,$C229,BONUS_RULES!$B$5:$B$46,"Productivity"),SUMIFS(BONUS_RULES!$D$5:$D$46,BONUS_RULES!$A$5:$A$46,$C229,BONUS_RULES!$B$5:$B$46,"Productivity"),IF(AGENT_INPUT!F229&gt;=SUMIFS(BONUS_RULES!$G$5:$G$46,BONUS_RULES!$A$5:$A$46,$C229,BONUS_RULES!$B$5:$B$46,"Productivity"),SUMIFS(BONUS_RULES!$F$5:$F$46,BONUS_RULES!$A$5:$A$46,$C229,BONUS_RULES!$B$5:$B$46,"Productivity"),0)))</f>
        <v/>
      </c>
      <c r="H229" s="10">
        <f>IF(OR($A229="",$D229&lt;&gt;"READY"),"",IF(AGENT_INPUT!G229&gt;=SUMIFS(BONUS_RULES!$E$5:$E$46,BONUS_RULES!$A$5:$A$46,$C229,BONUS_RULES!$B$5:$B$46,"PCS Score"),SUMIFS(BONUS_RULES!$D$5:$D$46,BONUS_RULES!$A$5:$A$46,$C229,BONUS_RULES!$B$5:$B$46,"PCS Score"),IF(AGENT_INPUT!G229&gt;=SUMIFS(BONUS_RULES!$G$5:$G$46,BONUS_RULES!$A$5:$A$46,$C229,BONUS_RULES!$B$5:$B$46,"PCS Score"),SUMIFS(BONUS_RULES!$F$5:$F$46,BONUS_RULES!$A$5:$A$46,$C229,BONUS_RULES!$B$5:$B$46,"PCS Score"),0)))</f>
        <v/>
      </c>
      <c r="I229" s="10">
        <f>IF(OR($A229="",$D229&lt;&gt;"READY"),"",IF(AGENT_INPUT!H229&gt;=SUMIFS(BONUS_RULES!$E$5:$E$46,BONUS_RULES!$A$5:$A$46,$C229,BONUS_RULES!$B$5:$B$46,"PCS % (Participation)"),SUMIFS(BONUS_RULES!$D$5:$D$46,BONUS_RULES!$A$5:$A$46,$C229,BONUS_RULES!$B$5:$B$46,"PCS % (Participation)"),IF(AGENT_INPUT!H229&gt;=SUMIFS(BONUS_RULES!$G$5:$G$46,BONUS_RULES!$A$5:$A$46,$C229,BONUS_RULES!$B$5:$B$46,"PCS % (Participation)"),SUMIFS(BONUS_RULES!$F$5:$F$46,BONUS_RULES!$A$5:$A$46,$C229,BONUS_RULES!$B$5:$B$46,"PCS % (Participation)"),0)))</f>
        <v/>
      </c>
      <c r="J229" s="10">
        <f>IF(OR($A229="",$D229&lt;&gt;"READY"),"",IF(AGENT_INPUT!I229&gt;=SUMIFS(BONUS_RULES!$E$5:$E$46,BONUS_RULES!$A$5:$A$46,$C229,BONUS_RULES!$B$5:$B$46,"QM"),SUMIFS(BONUS_RULES!$D$5:$D$46,BONUS_RULES!$A$5:$A$46,$C229,BONUS_RULES!$B$5:$B$46,"QM"),IF(AGENT_INPUT!I229&gt;=SUMIFS(BONUS_RULES!$G$5:$G$46,BONUS_RULES!$A$5:$A$46,$C229,BONUS_RULES!$B$5:$B$46,"QM"),SUMIFS(BONUS_RULES!$F$5:$F$46,BONUS_RULES!$A$5:$A$46,$C229,BONUS_RULES!$B$5:$B$46,"QM"),0)))</f>
        <v/>
      </c>
      <c r="K229" s="10">
        <f>IF(POLICY_APPROVAL!$B$9="Eligibility only",0,IF(OR($A229="",$D229&lt;&gt;"READY"),"",IF(AGENT_INPUT!J229&lt;=SUMIFS(BONUS_RULES!$E$5:$E$46,BONUS_RULES!$A$5:$A$46,$C229,BONUS_RULES!$B$5:$B$46,"Abs%"),SUMIFS(BONUS_RULES!$D$5:$D$46,BONUS_RULES!$A$5:$A$46,$C229,BONUS_RULES!$B$5:$B$46,"Abs%"),IF(AGENT_INPUT!J229&lt;=SUMIFS(BONUS_RULES!$G$5:$G$46,BONUS_RULES!$A$5:$A$46,$C229,BONUS_RULES!$B$5:$B$46,"Abs%"),SUMIFS(BONUS_RULES!$F$5:$F$46,BONUS_RULES!$A$5:$A$46,$C229,BONUS_RULES!$B$5:$B$46,"Abs%"),0))))</f>
        <v/>
      </c>
      <c r="L229" s="10">
        <f>IF(OR($A229="",$D229&lt;&gt;"READY"),"",IF(AGENT_INPUT!G229&gt;=SUMIFS(BONUS_RULES!$E$5:$E$46,BONUS_RULES!$A$5:$A$46,$C229,BONUS_RULES!$B$5:$B$46,"Extra Bonus (PCS Score)"),SUMIFS(BONUS_RULES!$D$5:$D$46,BONUS_RULES!$A$5:$A$46,$C229,BONUS_RULES!$B$5:$B$46,"Extra Bonus (PCS Score)"),IF(AGENT_INPUT!G229&gt;=SUMIFS(BONUS_RULES!$G$5:$G$46,BONUS_RULES!$A$5:$A$46,$C229,BONUS_RULES!$B$5:$B$46,"Extra Bonus (PCS Score)"),SUMIFS(BONUS_RULES!$F$5:$F$46,BONUS_RULES!$A$5:$A$46,$C229,BONUS_RULES!$B$5:$B$46,"Extra Bonus (PCS Score)"),0)))</f>
        <v/>
      </c>
      <c r="M229" s="10">
        <f>IF($A229="","",MIN(IF(POLICY_APPROVAL!$B$6="Replacement",SUM(F229:K229)-H229+MAX(H229,L229),SUM(F229:L229)),POLICY_APPROVAL!$B$10))</f>
        <v/>
      </c>
      <c r="N229" s="10">
        <f>IF($A229="","",IFERROR(INDEX(BONUS_RULES!$J$5:$J$10,MATCH(MIN(MAX(AGENT_INPUT!K229,0),5),BONUS_RULES!$I$5:$I$10,0)),1))</f>
        <v/>
      </c>
      <c r="O229" s="10">
        <f>IF(M229="","",MAX(0,IF(POLICY_APPROVAL!$B$5="Percentage points",M229-N229,M229*(1-N229))))</f>
        <v/>
      </c>
      <c r="P229" s="11">
        <f>IF(D229&lt;&gt;"READY","",IF(AGENT_INPUT!O229&gt;0,AGENT_INPUT!O229,AGENT_INPUT!M229*AGENT_INPUT!N229/IF(POLICY_APPROVAL!$B$7="Annual",12,1)))</f>
        <v/>
      </c>
      <c r="Q229" s="10">
        <f>IF(D229&lt;&gt;"READY","",MIN(1,AGENT_INPUT!P229/AGENT_INPUT!Q229))</f>
        <v/>
      </c>
      <c r="R229" s="11">
        <f>IF(D229&lt;&gt;"READY","",ROUND(P229*Q229*O229,IF(POLICY_APPROVAL!$B$11="Whole MAD",0,2)))</f>
        <v/>
      </c>
      <c r="S229" s="11">
        <f>IF(AND(SETUP!$B$9="READY",T229="READY"),R229,"")</f>
        <v/>
      </c>
      <c r="T229" s="4">
        <f>IF($A229="","",IF(D229&lt;&gt;"READY","BLOCKED - INPUT",IF(E229&lt;&gt;"ELIGIBLE","BLOCKED - ELIGIBILITY",IF(AGENT_INPUT!S229&lt;&gt;"VALIDATED","BLOCKED - DATA",IF(SETUP!$B$9&lt;&gt;"READY","BLOCKED - POLICY","READY")))))</f>
        <v/>
      </c>
      <c r="U229" s="4">
        <f>IF($A229="","",IF(COUNTIFS(AGENT_INPUT!$A$5:$A$254,$A229,AGENT_INPUT!$D$5:$D$254,AGENT_INPUT!D229)&gt;1,"DUPLICATE AGENT + PERIOD",IF(D229&lt;&gt;"READY","INPUT OR CONFIG REVIEW",IF(T229&lt;&gt;"READY",T229,""))))</f>
        <v/>
      </c>
    </row>
    <row r="230" spans="1:21">
      <c r="A230" s="4">
        <f>IF(AGENT_INPUT!A230="","",AGENT_INPUT!A230)</f>
        <v/>
      </c>
      <c r="B230" s="4">
        <f>IF($A230="","",AGENT_INPUT!B230)</f>
        <v/>
      </c>
      <c r="C230" s="4">
        <f>IF($A230="","",AGENT_INPUT!C230)</f>
        <v/>
      </c>
      <c r="D230" s="4">
        <f>IF($A230="","",IF(AND(COUNT(AGENT_INPUT!E230:J230)=6,COUNT(AGENT_INPUT!K230)=1,COUNTIF(BONUS_RULES!$A$5:$A$46,AGENT_INPUT!C230)&gt;0,OR(AGENT_INPUT!O230&gt;0,AND(AGENT_INPUT!M230&gt;0,AGENT_INPUT!N230&gt;0)),AGENT_INPUT!P230&gt;=0,AGENT_INPUT!Q230&gt;0,AGENT_INPUT!P230&lt;=AGENT_INPUT!Q230,AGENT_INPUT!H230&gt;=0,AGENT_INPUT!H230&lt;=1,AGENT_INPUT!I230&gt;=0,AGENT_INPUT!I230&lt;=1,AGENT_INPUT!J230&gt;=0,AGENT_INPUT!J230&lt;=1),"READY","BLOCKED"))</f>
        <v/>
      </c>
      <c r="E230" s="4">
        <f>IF($A230="","",IF(AGENT_INPUT!R230&lt;&gt;"Active","REVIEW",IF(OR(POLICY_APPROVAL!$B$9="Eligibility only",POLICY_APPROVAL!$B$9="Both"),IF(AGENT_INPUT!J230&lt;=SUMIFS(BONUS_RULES!$E$5:$E$46,BONUS_RULES!$A$5:$A$46,$C230,BONUS_RULES!$B$5:$B$46,"Abs%"),"ELIGIBLE","INELIGIBLE ABS"),"ELIGIBLE")))</f>
        <v/>
      </c>
      <c r="F230" s="10">
        <f>IF(OR($A230="",$D230&lt;&gt;"READY"),"",IF(AGENT_INPUT!E230&lt;=SUMIFS(BONUS_RULES!$E$5:$E$46,BONUS_RULES!$A$5:$A$46,$C230,BONUS_RULES!$B$5:$B$46,"AHT"),SUMIFS(BONUS_RULES!$D$5:$D$46,BONUS_RULES!$A$5:$A$46,$C230,BONUS_RULES!$B$5:$B$46,"AHT"),IF(AGENT_INPUT!E230&lt;=SUMIFS(BONUS_RULES!$G$5:$G$46,BONUS_RULES!$A$5:$A$46,$C230,BONUS_RULES!$B$5:$B$46,"AHT"),SUMIFS(BONUS_RULES!$F$5:$F$46,BONUS_RULES!$A$5:$A$46,$C230,BONUS_RULES!$B$5:$B$46,"AHT"),0)))</f>
        <v/>
      </c>
      <c r="G230" s="10">
        <f>IF(OR($A230="",$D230&lt;&gt;"READY"),"",IF(AGENT_INPUT!F230&gt;=SUMIFS(BONUS_RULES!$E$5:$E$46,BONUS_RULES!$A$5:$A$46,$C230,BONUS_RULES!$B$5:$B$46,"Productivity"),SUMIFS(BONUS_RULES!$D$5:$D$46,BONUS_RULES!$A$5:$A$46,$C230,BONUS_RULES!$B$5:$B$46,"Productivity"),IF(AGENT_INPUT!F230&gt;=SUMIFS(BONUS_RULES!$G$5:$G$46,BONUS_RULES!$A$5:$A$46,$C230,BONUS_RULES!$B$5:$B$46,"Productivity"),SUMIFS(BONUS_RULES!$F$5:$F$46,BONUS_RULES!$A$5:$A$46,$C230,BONUS_RULES!$B$5:$B$46,"Productivity"),0)))</f>
        <v/>
      </c>
      <c r="H230" s="10">
        <f>IF(OR($A230="",$D230&lt;&gt;"READY"),"",IF(AGENT_INPUT!G230&gt;=SUMIFS(BONUS_RULES!$E$5:$E$46,BONUS_RULES!$A$5:$A$46,$C230,BONUS_RULES!$B$5:$B$46,"PCS Score"),SUMIFS(BONUS_RULES!$D$5:$D$46,BONUS_RULES!$A$5:$A$46,$C230,BONUS_RULES!$B$5:$B$46,"PCS Score"),IF(AGENT_INPUT!G230&gt;=SUMIFS(BONUS_RULES!$G$5:$G$46,BONUS_RULES!$A$5:$A$46,$C230,BONUS_RULES!$B$5:$B$46,"PCS Score"),SUMIFS(BONUS_RULES!$F$5:$F$46,BONUS_RULES!$A$5:$A$46,$C230,BONUS_RULES!$B$5:$B$46,"PCS Score"),0)))</f>
        <v/>
      </c>
      <c r="I230" s="10">
        <f>IF(OR($A230="",$D230&lt;&gt;"READY"),"",IF(AGENT_INPUT!H230&gt;=SUMIFS(BONUS_RULES!$E$5:$E$46,BONUS_RULES!$A$5:$A$46,$C230,BONUS_RULES!$B$5:$B$46,"PCS % (Participation)"),SUMIFS(BONUS_RULES!$D$5:$D$46,BONUS_RULES!$A$5:$A$46,$C230,BONUS_RULES!$B$5:$B$46,"PCS % (Participation)"),IF(AGENT_INPUT!H230&gt;=SUMIFS(BONUS_RULES!$G$5:$G$46,BONUS_RULES!$A$5:$A$46,$C230,BONUS_RULES!$B$5:$B$46,"PCS % (Participation)"),SUMIFS(BONUS_RULES!$F$5:$F$46,BONUS_RULES!$A$5:$A$46,$C230,BONUS_RULES!$B$5:$B$46,"PCS % (Participation)"),0)))</f>
        <v/>
      </c>
      <c r="J230" s="10">
        <f>IF(OR($A230="",$D230&lt;&gt;"READY"),"",IF(AGENT_INPUT!I230&gt;=SUMIFS(BONUS_RULES!$E$5:$E$46,BONUS_RULES!$A$5:$A$46,$C230,BONUS_RULES!$B$5:$B$46,"QM"),SUMIFS(BONUS_RULES!$D$5:$D$46,BONUS_RULES!$A$5:$A$46,$C230,BONUS_RULES!$B$5:$B$46,"QM"),IF(AGENT_INPUT!I230&gt;=SUMIFS(BONUS_RULES!$G$5:$G$46,BONUS_RULES!$A$5:$A$46,$C230,BONUS_RULES!$B$5:$B$46,"QM"),SUMIFS(BONUS_RULES!$F$5:$F$46,BONUS_RULES!$A$5:$A$46,$C230,BONUS_RULES!$B$5:$B$46,"QM"),0)))</f>
        <v/>
      </c>
      <c r="K230" s="10">
        <f>IF(POLICY_APPROVAL!$B$9="Eligibility only",0,IF(OR($A230="",$D230&lt;&gt;"READY"),"",IF(AGENT_INPUT!J230&lt;=SUMIFS(BONUS_RULES!$E$5:$E$46,BONUS_RULES!$A$5:$A$46,$C230,BONUS_RULES!$B$5:$B$46,"Abs%"),SUMIFS(BONUS_RULES!$D$5:$D$46,BONUS_RULES!$A$5:$A$46,$C230,BONUS_RULES!$B$5:$B$46,"Abs%"),IF(AGENT_INPUT!J230&lt;=SUMIFS(BONUS_RULES!$G$5:$G$46,BONUS_RULES!$A$5:$A$46,$C230,BONUS_RULES!$B$5:$B$46,"Abs%"),SUMIFS(BONUS_RULES!$F$5:$F$46,BONUS_RULES!$A$5:$A$46,$C230,BONUS_RULES!$B$5:$B$46,"Abs%"),0))))</f>
        <v/>
      </c>
      <c r="L230" s="10">
        <f>IF(OR($A230="",$D230&lt;&gt;"READY"),"",IF(AGENT_INPUT!G230&gt;=SUMIFS(BONUS_RULES!$E$5:$E$46,BONUS_RULES!$A$5:$A$46,$C230,BONUS_RULES!$B$5:$B$46,"Extra Bonus (PCS Score)"),SUMIFS(BONUS_RULES!$D$5:$D$46,BONUS_RULES!$A$5:$A$46,$C230,BONUS_RULES!$B$5:$B$46,"Extra Bonus (PCS Score)"),IF(AGENT_INPUT!G230&gt;=SUMIFS(BONUS_RULES!$G$5:$G$46,BONUS_RULES!$A$5:$A$46,$C230,BONUS_RULES!$B$5:$B$46,"Extra Bonus (PCS Score)"),SUMIFS(BONUS_RULES!$F$5:$F$46,BONUS_RULES!$A$5:$A$46,$C230,BONUS_RULES!$B$5:$B$46,"Extra Bonus (PCS Score)"),0)))</f>
        <v/>
      </c>
      <c r="M230" s="10">
        <f>IF($A230="","",MIN(IF(POLICY_APPROVAL!$B$6="Replacement",SUM(F230:K230)-H230+MAX(H230,L230),SUM(F230:L230)),POLICY_APPROVAL!$B$10))</f>
        <v/>
      </c>
      <c r="N230" s="10">
        <f>IF($A230="","",IFERROR(INDEX(BONUS_RULES!$J$5:$J$10,MATCH(MIN(MAX(AGENT_INPUT!K230,0),5),BONUS_RULES!$I$5:$I$10,0)),1))</f>
        <v/>
      </c>
      <c r="O230" s="10">
        <f>IF(M230="","",MAX(0,IF(POLICY_APPROVAL!$B$5="Percentage points",M230-N230,M230*(1-N230))))</f>
        <v/>
      </c>
      <c r="P230" s="11">
        <f>IF(D230&lt;&gt;"READY","",IF(AGENT_INPUT!O230&gt;0,AGENT_INPUT!O230,AGENT_INPUT!M230*AGENT_INPUT!N230/IF(POLICY_APPROVAL!$B$7="Annual",12,1)))</f>
        <v/>
      </c>
      <c r="Q230" s="10">
        <f>IF(D230&lt;&gt;"READY","",MIN(1,AGENT_INPUT!P230/AGENT_INPUT!Q230))</f>
        <v/>
      </c>
      <c r="R230" s="11">
        <f>IF(D230&lt;&gt;"READY","",ROUND(P230*Q230*O230,IF(POLICY_APPROVAL!$B$11="Whole MAD",0,2)))</f>
        <v/>
      </c>
      <c r="S230" s="11">
        <f>IF(AND(SETUP!$B$9="READY",T230="READY"),R230,"")</f>
        <v/>
      </c>
      <c r="T230" s="4">
        <f>IF($A230="","",IF(D230&lt;&gt;"READY","BLOCKED - INPUT",IF(E230&lt;&gt;"ELIGIBLE","BLOCKED - ELIGIBILITY",IF(AGENT_INPUT!S230&lt;&gt;"VALIDATED","BLOCKED - DATA",IF(SETUP!$B$9&lt;&gt;"READY","BLOCKED - POLICY","READY")))))</f>
        <v/>
      </c>
      <c r="U230" s="4">
        <f>IF($A230="","",IF(COUNTIFS(AGENT_INPUT!$A$5:$A$254,$A230,AGENT_INPUT!$D$5:$D$254,AGENT_INPUT!D230)&gt;1,"DUPLICATE AGENT + PERIOD",IF(D230&lt;&gt;"READY","INPUT OR CONFIG REVIEW",IF(T230&lt;&gt;"READY",T230,""))))</f>
        <v/>
      </c>
    </row>
    <row r="231" spans="1:21">
      <c r="A231" s="4">
        <f>IF(AGENT_INPUT!A231="","",AGENT_INPUT!A231)</f>
        <v/>
      </c>
      <c r="B231" s="4">
        <f>IF($A231="","",AGENT_INPUT!B231)</f>
        <v/>
      </c>
      <c r="C231" s="4">
        <f>IF($A231="","",AGENT_INPUT!C231)</f>
        <v/>
      </c>
      <c r="D231" s="4">
        <f>IF($A231="","",IF(AND(COUNT(AGENT_INPUT!E231:J231)=6,COUNT(AGENT_INPUT!K231)=1,COUNTIF(BONUS_RULES!$A$5:$A$46,AGENT_INPUT!C231)&gt;0,OR(AGENT_INPUT!O231&gt;0,AND(AGENT_INPUT!M231&gt;0,AGENT_INPUT!N231&gt;0)),AGENT_INPUT!P231&gt;=0,AGENT_INPUT!Q231&gt;0,AGENT_INPUT!P231&lt;=AGENT_INPUT!Q231,AGENT_INPUT!H231&gt;=0,AGENT_INPUT!H231&lt;=1,AGENT_INPUT!I231&gt;=0,AGENT_INPUT!I231&lt;=1,AGENT_INPUT!J231&gt;=0,AGENT_INPUT!J231&lt;=1),"READY","BLOCKED"))</f>
        <v/>
      </c>
      <c r="E231" s="4">
        <f>IF($A231="","",IF(AGENT_INPUT!R231&lt;&gt;"Active","REVIEW",IF(OR(POLICY_APPROVAL!$B$9="Eligibility only",POLICY_APPROVAL!$B$9="Both"),IF(AGENT_INPUT!J231&lt;=SUMIFS(BONUS_RULES!$E$5:$E$46,BONUS_RULES!$A$5:$A$46,$C231,BONUS_RULES!$B$5:$B$46,"Abs%"),"ELIGIBLE","INELIGIBLE ABS"),"ELIGIBLE")))</f>
        <v/>
      </c>
      <c r="F231" s="10">
        <f>IF(OR($A231="",$D231&lt;&gt;"READY"),"",IF(AGENT_INPUT!E231&lt;=SUMIFS(BONUS_RULES!$E$5:$E$46,BONUS_RULES!$A$5:$A$46,$C231,BONUS_RULES!$B$5:$B$46,"AHT"),SUMIFS(BONUS_RULES!$D$5:$D$46,BONUS_RULES!$A$5:$A$46,$C231,BONUS_RULES!$B$5:$B$46,"AHT"),IF(AGENT_INPUT!E231&lt;=SUMIFS(BONUS_RULES!$G$5:$G$46,BONUS_RULES!$A$5:$A$46,$C231,BONUS_RULES!$B$5:$B$46,"AHT"),SUMIFS(BONUS_RULES!$F$5:$F$46,BONUS_RULES!$A$5:$A$46,$C231,BONUS_RULES!$B$5:$B$46,"AHT"),0)))</f>
        <v/>
      </c>
      <c r="G231" s="10">
        <f>IF(OR($A231="",$D231&lt;&gt;"READY"),"",IF(AGENT_INPUT!F231&gt;=SUMIFS(BONUS_RULES!$E$5:$E$46,BONUS_RULES!$A$5:$A$46,$C231,BONUS_RULES!$B$5:$B$46,"Productivity"),SUMIFS(BONUS_RULES!$D$5:$D$46,BONUS_RULES!$A$5:$A$46,$C231,BONUS_RULES!$B$5:$B$46,"Productivity"),IF(AGENT_INPUT!F231&gt;=SUMIFS(BONUS_RULES!$G$5:$G$46,BONUS_RULES!$A$5:$A$46,$C231,BONUS_RULES!$B$5:$B$46,"Productivity"),SUMIFS(BONUS_RULES!$F$5:$F$46,BONUS_RULES!$A$5:$A$46,$C231,BONUS_RULES!$B$5:$B$46,"Productivity"),0)))</f>
        <v/>
      </c>
      <c r="H231" s="10">
        <f>IF(OR($A231="",$D231&lt;&gt;"READY"),"",IF(AGENT_INPUT!G231&gt;=SUMIFS(BONUS_RULES!$E$5:$E$46,BONUS_RULES!$A$5:$A$46,$C231,BONUS_RULES!$B$5:$B$46,"PCS Score"),SUMIFS(BONUS_RULES!$D$5:$D$46,BONUS_RULES!$A$5:$A$46,$C231,BONUS_RULES!$B$5:$B$46,"PCS Score"),IF(AGENT_INPUT!G231&gt;=SUMIFS(BONUS_RULES!$G$5:$G$46,BONUS_RULES!$A$5:$A$46,$C231,BONUS_RULES!$B$5:$B$46,"PCS Score"),SUMIFS(BONUS_RULES!$F$5:$F$46,BONUS_RULES!$A$5:$A$46,$C231,BONUS_RULES!$B$5:$B$46,"PCS Score"),0)))</f>
        <v/>
      </c>
      <c r="I231" s="10">
        <f>IF(OR($A231="",$D231&lt;&gt;"READY"),"",IF(AGENT_INPUT!H231&gt;=SUMIFS(BONUS_RULES!$E$5:$E$46,BONUS_RULES!$A$5:$A$46,$C231,BONUS_RULES!$B$5:$B$46,"PCS % (Participation)"),SUMIFS(BONUS_RULES!$D$5:$D$46,BONUS_RULES!$A$5:$A$46,$C231,BONUS_RULES!$B$5:$B$46,"PCS % (Participation)"),IF(AGENT_INPUT!H231&gt;=SUMIFS(BONUS_RULES!$G$5:$G$46,BONUS_RULES!$A$5:$A$46,$C231,BONUS_RULES!$B$5:$B$46,"PCS % (Participation)"),SUMIFS(BONUS_RULES!$F$5:$F$46,BONUS_RULES!$A$5:$A$46,$C231,BONUS_RULES!$B$5:$B$46,"PCS % (Participation)"),0)))</f>
        <v/>
      </c>
      <c r="J231" s="10">
        <f>IF(OR($A231="",$D231&lt;&gt;"READY"),"",IF(AGENT_INPUT!I231&gt;=SUMIFS(BONUS_RULES!$E$5:$E$46,BONUS_RULES!$A$5:$A$46,$C231,BONUS_RULES!$B$5:$B$46,"QM"),SUMIFS(BONUS_RULES!$D$5:$D$46,BONUS_RULES!$A$5:$A$46,$C231,BONUS_RULES!$B$5:$B$46,"QM"),IF(AGENT_INPUT!I231&gt;=SUMIFS(BONUS_RULES!$G$5:$G$46,BONUS_RULES!$A$5:$A$46,$C231,BONUS_RULES!$B$5:$B$46,"QM"),SUMIFS(BONUS_RULES!$F$5:$F$46,BONUS_RULES!$A$5:$A$46,$C231,BONUS_RULES!$B$5:$B$46,"QM"),0)))</f>
        <v/>
      </c>
      <c r="K231" s="10">
        <f>IF(POLICY_APPROVAL!$B$9="Eligibility only",0,IF(OR($A231="",$D231&lt;&gt;"READY"),"",IF(AGENT_INPUT!J231&lt;=SUMIFS(BONUS_RULES!$E$5:$E$46,BONUS_RULES!$A$5:$A$46,$C231,BONUS_RULES!$B$5:$B$46,"Abs%"),SUMIFS(BONUS_RULES!$D$5:$D$46,BONUS_RULES!$A$5:$A$46,$C231,BONUS_RULES!$B$5:$B$46,"Abs%"),IF(AGENT_INPUT!J231&lt;=SUMIFS(BONUS_RULES!$G$5:$G$46,BONUS_RULES!$A$5:$A$46,$C231,BONUS_RULES!$B$5:$B$46,"Abs%"),SUMIFS(BONUS_RULES!$F$5:$F$46,BONUS_RULES!$A$5:$A$46,$C231,BONUS_RULES!$B$5:$B$46,"Abs%"),0))))</f>
        <v/>
      </c>
      <c r="L231" s="10">
        <f>IF(OR($A231="",$D231&lt;&gt;"READY"),"",IF(AGENT_INPUT!G231&gt;=SUMIFS(BONUS_RULES!$E$5:$E$46,BONUS_RULES!$A$5:$A$46,$C231,BONUS_RULES!$B$5:$B$46,"Extra Bonus (PCS Score)"),SUMIFS(BONUS_RULES!$D$5:$D$46,BONUS_RULES!$A$5:$A$46,$C231,BONUS_RULES!$B$5:$B$46,"Extra Bonus (PCS Score)"),IF(AGENT_INPUT!G231&gt;=SUMIFS(BONUS_RULES!$G$5:$G$46,BONUS_RULES!$A$5:$A$46,$C231,BONUS_RULES!$B$5:$B$46,"Extra Bonus (PCS Score)"),SUMIFS(BONUS_RULES!$F$5:$F$46,BONUS_RULES!$A$5:$A$46,$C231,BONUS_RULES!$B$5:$B$46,"Extra Bonus (PCS Score)"),0)))</f>
        <v/>
      </c>
      <c r="M231" s="10">
        <f>IF($A231="","",MIN(IF(POLICY_APPROVAL!$B$6="Replacement",SUM(F231:K231)-H231+MAX(H231,L231),SUM(F231:L231)),POLICY_APPROVAL!$B$10))</f>
        <v/>
      </c>
      <c r="N231" s="10">
        <f>IF($A231="","",IFERROR(INDEX(BONUS_RULES!$J$5:$J$10,MATCH(MIN(MAX(AGENT_INPUT!K231,0),5),BONUS_RULES!$I$5:$I$10,0)),1))</f>
        <v/>
      </c>
      <c r="O231" s="10">
        <f>IF(M231="","",MAX(0,IF(POLICY_APPROVAL!$B$5="Percentage points",M231-N231,M231*(1-N231))))</f>
        <v/>
      </c>
      <c r="P231" s="11">
        <f>IF(D231&lt;&gt;"READY","",IF(AGENT_INPUT!O231&gt;0,AGENT_INPUT!O231,AGENT_INPUT!M231*AGENT_INPUT!N231/IF(POLICY_APPROVAL!$B$7="Annual",12,1)))</f>
        <v/>
      </c>
      <c r="Q231" s="10">
        <f>IF(D231&lt;&gt;"READY","",MIN(1,AGENT_INPUT!P231/AGENT_INPUT!Q231))</f>
        <v/>
      </c>
      <c r="R231" s="11">
        <f>IF(D231&lt;&gt;"READY","",ROUND(P231*Q231*O231,IF(POLICY_APPROVAL!$B$11="Whole MAD",0,2)))</f>
        <v/>
      </c>
      <c r="S231" s="11">
        <f>IF(AND(SETUP!$B$9="READY",T231="READY"),R231,"")</f>
        <v/>
      </c>
      <c r="T231" s="4">
        <f>IF($A231="","",IF(D231&lt;&gt;"READY","BLOCKED - INPUT",IF(E231&lt;&gt;"ELIGIBLE","BLOCKED - ELIGIBILITY",IF(AGENT_INPUT!S231&lt;&gt;"VALIDATED","BLOCKED - DATA",IF(SETUP!$B$9&lt;&gt;"READY","BLOCKED - POLICY","READY")))))</f>
        <v/>
      </c>
      <c r="U231" s="4">
        <f>IF($A231="","",IF(COUNTIFS(AGENT_INPUT!$A$5:$A$254,$A231,AGENT_INPUT!$D$5:$D$254,AGENT_INPUT!D231)&gt;1,"DUPLICATE AGENT + PERIOD",IF(D231&lt;&gt;"READY","INPUT OR CONFIG REVIEW",IF(T231&lt;&gt;"READY",T231,""))))</f>
        <v/>
      </c>
    </row>
    <row r="232" spans="1:21">
      <c r="A232" s="4">
        <f>IF(AGENT_INPUT!A232="","",AGENT_INPUT!A232)</f>
        <v/>
      </c>
      <c r="B232" s="4">
        <f>IF($A232="","",AGENT_INPUT!B232)</f>
        <v/>
      </c>
      <c r="C232" s="4">
        <f>IF($A232="","",AGENT_INPUT!C232)</f>
        <v/>
      </c>
      <c r="D232" s="4">
        <f>IF($A232="","",IF(AND(COUNT(AGENT_INPUT!E232:J232)=6,COUNT(AGENT_INPUT!K232)=1,COUNTIF(BONUS_RULES!$A$5:$A$46,AGENT_INPUT!C232)&gt;0,OR(AGENT_INPUT!O232&gt;0,AND(AGENT_INPUT!M232&gt;0,AGENT_INPUT!N232&gt;0)),AGENT_INPUT!P232&gt;=0,AGENT_INPUT!Q232&gt;0,AGENT_INPUT!P232&lt;=AGENT_INPUT!Q232,AGENT_INPUT!H232&gt;=0,AGENT_INPUT!H232&lt;=1,AGENT_INPUT!I232&gt;=0,AGENT_INPUT!I232&lt;=1,AGENT_INPUT!J232&gt;=0,AGENT_INPUT!J232&lt;=1),"READY","BLOCKED"))</f>
        <v/>
      </c>
      <c r="E232" s="4">
        <f>IF($A232="","",IF(AGENT_INPUT!R232&lt;&gt;"Active","REVIEW",IF(OR(POLICY_APPROVAL!$B$9="Eligibility only",POLICY_APPROVAL!$B$9="Both"),IF(AGENT_INPUT!J232&lt;=SUMIFS(BONUS_RULES!$E$5:$E$46,BONUS_RULES!$A$5:$A$46,$C232,BONUS_RULES!$B$5:$B$46,"Abs%"),"ELIGIBLE","INELIGIBLE ABS"),"ELIGIBLE")))</f>
        <v/>
      </c>
      <c r="F232" s="10">
        <f>IF(OR($A232="",$D232&lt;&gt;"READY"),"",IF(AGENT_INPUT!E232&lt;=SUMIFS(BONUS_RULES!$E$5:$E$46,BONUS_RULES!$A$5:$A$46,$C232,BONUS_RULES!$B$5:$B$46,"AHT"),SUMIFS(BONUS_RULES!$D$5:$D$46,BONUS_RULES!$A$5:$A$46,$C232,BONUS_RULES!$B$5:$B$46,"AHT"),IF(AGENT_INPUT!E232&lt;=SUMIFS(BONUS_RULES!$G$5:$G$46,BONUS_RULES!$A$5:$A$46,$C232,BONUS_RULES!$B$5:$B$46,"AHT"),SUMIFS(BONUS_RULES!$F$5:$F$46,BONUS_RULES!$A$5:$A$46,$C232,BONUS_RULES!$B$5:$B$46,"AHT"),0)))</f>
        <v/>
      </c>
      <c r="G232" s="10">
        <f>IF(OR($A232="",$D232&lt;&gt;"READY"),"",IF(AGENT_INPUT!F232&gt;=SUMIFS(BONUS_RULES!$E$5:$E$46,BONUS_RULES!$A$5:$A$46,$C232,BONUS_RULES!$B$5:$B$46,"Productivity"),SUMIFS(BONUS_RULES!$D$5:$D$46,BONUS_RULES!$A$5:$A$46,$C232,BONUS_RULES!$B$5:$B$46,"Productivity"),IF(AGENT_INPUT!F232&gt;=SUMIFS(BONUS_RULES!$G$5:$G$46,BONUS_RULES!$A$5:$A$46,$C232,BONUS_RULES!$B$5:$B$46,"Productivity"),SUMIFS(BONUS_RULES!$F$5:$F$46,BONUS_RULES!$A$5:$A$46,$C232,BONUS_RULES!$B$5:$B$46,"Productivity"),0)))</f>
        <v/>
      </c>
      <c r="H232" s="10">
        <f>IF(OR($A232="",$D232&lt;&gt;"READY"),"",IF(AGENT_INPUT!G232&gt;=SUMIFS(BONUS_RULES!$E$5:$E$46,BONUS_RULES!$A$5:$A$46,$C232,BONUS_RULES!$B$5:$B$46,"PCS Score"),SUMIFS(BONUS_RULES!$D$5:$D$46,BONUS_RULES!$A$5:$A$46,$C232,BONUS_RULES!$B$5:$B$46,"PCS Score"),IF(AGENT_INPUT!G232&gt;=SUMIFS(BONUS_RULES!$G$5:$G$46,BONUS_RULES!$A$5:$A$46,$C232,BONUS_RULES!$B$5:$B$46,"PCS Score"),SUMIFS(BONUS_RULES!$F$5:$F$46,BONUS_RULES!$A$5:$A$46,$C232,BONUS_RULES!$B$5:$B$46,"PCS Score"),0)))</f>
        <v/>
      </c>
      <c r="I232" s="10">
        <f>IF(OR($A232="",$D232&lt;&gt;"READY"),"",IF(AGENT_INPUT!H232&gt;=SUMIFS(BONUS_RULES!$E$5:$E$46,BONUS_RULES!$A$5:$A$46,$C232,BONUS_RULES!$B$5:$B$46,"PCS % (Participation)"),SUMIFS(BONUS_RULES!$D$5:$D$46,BONUS_RULES!$A$5:$A$46,$C232,BONUS_RULES!$B$5:$B$46,"PCS % (Participation)"),IF(AGENT_INPUT!H232&gt;=SUMIFS(BONUS_RULES!$G$5:$G$46,BONUS_RULES!$A$5:$A$46,$C232,BONUS_RULES!$B$5:$B$46,"PCS % (Participation)"),SUMIFS(BONUS_RULES!$F$5:$F$46,BONUS_RULES!$A$5:$A$46,$C232,BONUS_RULES!$B$5:$B$46,"PCS % (Participation)"),0)))</f>
        <v/>
      </c>
      <c r="J232" s="10">
        <f>IF(OR($A232="",$D232&lt;&gt;"READY"),"",IF(AGENT_INPUT!I232&gt;=SUMIFS(BONUS_RULES!$E$5:$E$46,BONUS_RULES!$A$5:$A$46,$C232,BONUS_RULES!$B$5:$B$46,"QM"),SUMIFS(BONUS_RULES!$D$5:$D$46,BONUS_RULES!$A$5:$A$46,$C232,BONUS_RULES!$B$5:$B$46,"QM"),IF(AGENT_INPUT!I232&gt;=SUMIFS(BONUS_RULES!$G$5:$G$46,BONUS_RULES!$A$5:$A$46,$C232,BONUS_RULES!$B$5:$B$46,"QM"),SUMIFS(BONUS_RULES!$F$5:$F$46,BONUS_RULES!$A$5:$A$46,$C232,BONUS_RULES!$B$5:$B$46,"QM"),0)))</f>
        <v/>
      </c>
      <c r="K232" s="10">
        <f>IF(POLICY_APPROVAL!$B$9="Eligibility only",0,IF(OR($A232="",$D232&lt;&gt;"READY"),"",IF(AGENT_INPUT!J232&lt;=SUMIFS(BONUS_RULES!$E$5:$E$46,BONUS_RULES!$A$5:$A$46,$C232,BONUS_RULES!$B$5:$B$46,"Abs%"),SUMIFS(BONUS_RULES!$D$5:$D$46,BONUS_RULES!$A$5:$A$46,$C232,BONUS_RULES!$B$5:$B$46,"Abs%"),IF(AGENT_INPUT!J232&lt;=SUMIFS(BONUS_RULES!$G$5:$G$46,BONUS_RULES!$A$5:$A$46,$C232,BONUS_RULES!$B$5:$B$46,"Abs%"),SUMIFS(BONUS_RULES!$F$5:$F$46,BONUS_RULES!$A$5:$A$46,$C232,BONUS_RULES!$B$5:$B$46,"Abs%"),0))))</f>
        <v/>
      </c>
      <c r="L232" s="10">
        <f>IF(OR($A232="",$D232&lt;&gt;"READY"),"",IF(AGENT_INPUT!G232&gt;=SUMIFS(BONUS_RULES!$E$5:$E$46,BONUS_RULES!$A$5:$A$46,$C232,BONUS_RULES!$B$5:$B$46,"Extra Bonus (PCS Score)"),SUMIFS(BONUS_RULES!$D$5:$D$46,BONUS_RULES!$A$5:$A$46,$C232,BONUS_RULES!$B$5:$B$46,"Extra Bonus (PCS Score)"),IF(AGENT_INPUT!G232&gt;=SUMIFS(BONUS_RULES!$G$5:$G$46,BONUS_RULES!$A$5:$A$46,$C232,BONUS_RULES!$B$5:$B$46,"Extra Bonus (PCS Score)"),SUMIFS(BONUS_RULES!$F$5:$F$46,BONUS_RULES!$A$5:$A$46,$C232,BONUS_RULES!$B$5:$B$46,"Extra Bonus (PCS Score)"),0)))</f>
        <v/>
      </c>
      <c r="M232" s="10">
        <f>IF($A232="","",MIN(IF(POLICY_APPROVAL!$B$6="Replacement",SUM(F232:K232)-H232+MAX(H232,L232),SUM(F232:L232)),POLICY_APPROVAL!$B$10))</f>
        <v/>
      </c>
      <c r="N232" s="10">
        <f>IF($A232="","",IFERROR(INDEX(BONUS_RULES!$J$5:$J$10,MATCH(MIN(MAX(AGENT_INPUT!K232,0),5),BONUS_RULES!$I$5:$I$10,0)),1))</f>
        <v/>
      </c>
      <c r="O232" s="10">
        <f>IF(M232="","",MAX(0,IF(POLICY_APPROVAL!$B$5="Percentage points",M232-N232,M232*(1-N232))))</f>
        <v/>
      </c>
      <c r="P232" s="11">
        <f>IF(D232&lt;&gt;"READY","",IF(AGENT_INPUT!O232&gt;0,AGENT_INPUT!O232,AGENT_INPUT!M232*AGENT_INPUT!N232/IF(POLICY_APPROVAL!$B$7="Annual",12,1)))</f>
        <v/>
      </c>
      <c r="Q232" s="10">
        <f>IF(D232&lt;&gt;"READY","",MIN(1,AGENT_INPUT!P232/AGENT_INPUT!Q232))</f>
        <v/>
      </c>
      <c r="R232" s="11">
        <f>IF(D232&lt;&gt;"READY","",ROUND(P232*Q232*O232,IF(POLICY_APPROVAL!$B$11="Whole MAD",0,2)))</f>
        <v/>
      </c>
      <c r="S232" s="11">
        <f>IF(AND(SETUP!$B$9="READY",T232="READY"),R232,"")</f>
        <v/>
      </c>
      <c r="T232" s="4">
        <f>IF($A232="","",IF(D232&lt;&gt;"READY","BLOCKED - INPUT",IF(E232&lt;&gt;"ELIGIBLE","BLOCKED - ELIGIBILITY",IF(AGENT_INPUT!S232&lt;&gt;"VALIDATED","BLOCKED - DATA",IF(SETUP!$B$9&lt;&gt;"READY","BLOCKED - POLICY","READY")))))</f>
        <v/>
      </c>
      <c r="U232" s="4">
        <f>IF($A232="","",IF(COUNTIFS(AGENT_INPUT!$A$5:$A$254,$A232,AGENT_INPUT!$D$5:$D$254,AGENT_INPUT!D232)&gt;1,"DUPLICATE AGENT + PERIOD",IF(D232&lt;&gt;"READY","INPUT OR CONFIG REVIEW",IF(T232&lt;&gt;"READY",T232,""))))</f>
        <v/>
      </c>
    </row>
    <row r="233" spans="1:21">
      <c r="A233" s="4">
        <f>IF(AGENT_INPUT!A233="","",AGENT_INPUT!A233)</f>
        <v/>
      </c>
      <c r="B233" s="4">
        <f>IF($A233="","",AGENT_INPUT!B233)</f>
        <v/>
      </c>
      <c r="C233" s="4">
        <f>IF($A233="","",AGENT_INPUT!C233)</f>
        <v/>
      </c>
      <c r="D233" s="4">
        <f>IF($A233="","",IF(AND(COUNT(AGENT_INPUT!E233:J233)=6,COUNT(AGENT_INPUT!K233)=1,COUNTIF(BONUS_RULES!$A$5:$A$46,AGENT_INPUT!C233)&gt;0,OR(AGENT_INPUT!O233&gt;0,AND(AGENT_INPUT!M233&gt;0,AGENT_INPUT!N233&gt;0)),AGENT_INPUT!P233&gt;=0,AGENT_INPUT!Q233&gt;0,AGENT_INPUT!P233&lt;=AGENT_INPUT!Q233,AGENT_INPUT!H233&gt;=0,AGENT_INPUT!H233&lt;=1,AGENT_INPUT!I233&gt;=0,AGENT_INPUT!I233&lt;=1,AGENT_INPUT!J233&gt;=0,AGENT_INPUT!J233&lt;=1),"READY","BLOCKED"))</f>
        <v/>
      </c>
      <c r="E233" s="4">
        <f>IF($A233="","",IF(AGENT_INPUT!R233&lt;&gt;"Active","REVIEW",IF(OR(POLICY_APPROVAL!$B$9="Eligibility only",POLICY_APPROVAL!$B$9="Both"),IF(AGENT_INPUT!J233&lt;=SUMIFS(BONUS_RULES!$E$5:$E$46,BONUS_RULES!$A$5:$A$46,$C233,BONUS_RULES!$B$5:$B$46,"Abs%"),"ELIGIBLE","INELIGIBLE ABS"),"ELIGIBLE")))</f>
        <v/>
      </c>
      <c r="F233" s="10">
        <f>IF(OR($A233="",$D233&lt;&gt;"READY"),"",IF(AGENT_INPUT!E233&lt;=SUMIFS(BONUS_RULES!$E$5:$E$46,BONUS_RULES!$A$5:$A$46,$C233,BONUS_RULES!$B$5:$B$46,"AHT"),SUMIFS(BONUS_RULES!$D$5:$D$46,BONUS_RULES!$A$5:$A$46,$C233,BONUS_RULES!$B$5:$B$46,"AHT"),IF(AGENT_INPUT!E233&lt;=SUMIFS(BONUS_RULES!$G$5:$G$46,BONUS_RULES!$A$5:$A$46,$C233,BONUS_RULES!$B$5:$B$46,"AHT"),SUMIFS(BONUS_RULES!$F$5:$F$46,BONUS_RULES!$A$5:$A$46,$C233,BONUS_RULES!$B$5:$B$46,"AHT"),0)))</f>
        <v/>
      </c>
      <c r="G233" s="10">
        <f>IF(OR($A233="",$D233&lt;&gt;"READY"),"",IF(AGENT_INPUT!F233&gt;=SUMIFS(BONUS_RULES!$E$5:$E$46,BONUS_RULES!$A$5:$A$46,$C233,BONUS_RULES!$B$5:$B$46,"Productivity"),SUMIFS(BONUS_RULES!$D$5:$D$46,BONUS_RULES!$A$5:$A$46,$C233,BONUS_RULES!$B$5:$B$46,"Productivity"),IF(AGENT_INPUT!F233&gt;=SUMIFS(BONUS_RULES!$G$5:$G$46,BONUS_RULES!$A$5:$A$46,$C233,BONUS_RULES!$B$5:$B$46,"Productivity"),SUMIFS(BONUS_RULES!$F$5:$F$46,BONUS_RULES!$A$5:$A$46,$C233,BONUS_RULES!$B$5:$B$46,"Productivity"),0)))</f>
        <v/>
      </c>
      <c r="H233" s="10">
        <f>IF(OR($A233="",$D233&lt;&gt;"READY"),"",IF(AGENT_INPUT!G233&gt;=SUMIFS(BONUS_RULES!$E$5:$E$46,BONUS_RULES!$A$5:$A$46,$C233,BONUS_RULES!$B$5:$B$46,"PCS Score"),SUMIFS(BONUS_RULES!$D$5:$D$46,BONUS_RULES!$A$5:$A$46,$C233,BONUS_RULES!$B$5:$B$46,"PCS Score"),IF(AGENT_INPUT!G233&gt;=SUMIFS(BONUS_RULES!$G$5:$G$46,BONUS_RULES!$A$5:$A$46,$C233,BONUS_RULES!$B$5:$B$46,"PCS Score"),SUMIFS(BONUS_RULES!$F$5:$F$46,BONUS_RULES!$A$5:$A$46,$C233,BONUS_RULES!$B$5:$B$46,"PCS Score"),0)))</f>
        <v/>
      </c>
      <c r="I233" s="10">
        <f>IF(OR($A233="",$D233&lt;&gt;"READY"),"",IF(AGENT_INPUT!H233&gt;=SUMIFS(BONUS_RULES!$E$5:$E$46,BONUS_RULES!$A$5:$A$46,$C233,BONUS_RULES!$B$5:$B$46,"PCS % (Participation)"),SUMIFS(BONUS_RULES!$D$5:$D$46,BONUS_RULES!$A$5:$A$46,$C233,BONUS_RULES!$B$5:$B$46,"PCS % (Participation)"),IF(AGENT_INPUT!H233&gt;=SUMIFS(BONUS_RULES!$G$5:$G$46,BONUS_RULES!$A$5:$A$46,$C233,BONUS_RULES!$B$5:$B$46,"PCS % (Participation)"),SUMIFS(BONUS_RULES!$F$5:$F$46,BONUS_RULES!$A$5:$A$46,$C233,BONUS_RULES!$B$5:$B$46,"PCS % (Participation)"),0)))</f>
        <v/>
      </c>
      <c r="J233" s="10">
        <f>IF(OR($A233="",$D233&lt;&gt;"READY"),"",IF(AGENT_INPUT!I233&gt;=SUMIFS(BONUS_RULES!$E$5:$E$46,BONUS_RULES!$A$5:$A$46,$C233,BONUS_RULES!$B$5:$B$46,"QM"),SUMIFS(BONUS_RULES!$D$5:$D$46,BONUS_RULES!$A$5:$A$46,$C233,BONUS_RULES!$B$5:$B$46,"QM"),IF(AGENT_INPUT!I233&gt;=SUMIFS(BONUS_RULES!$G$5:$G$46,BONUS_RULES!$A$5:$A$46,$C233,BONUS_RULES!$B$5:$B$46,"QM"),SUMIFS(BONUS_RULES!$F$5:$F$46,BONUS_RULES!$A$5:$A$46,$C233,BONUS_RULES!$B$5:$B$46,"QM"),0)))</f>
        <v/>
      </c>
      <c r="K233" s="10">
        <f>IF(POLICY_APPROVAL!$B$9="Eligibility only",0,IF(OR($A233="",$D233&lt;&gt;"READY"),"",IF(AGENT_INPUT!J233&lt;=SUMIFS(BONUS_RULES!$E$5:$E$46,BONUS_RULES!$A$5:$A$46,$C233,BONUS_RULES!$B$5:$B$46,"Abs%"),SUMIFS(BONUS_RULES!$D$5:$D$46,BONUS_RULES!$A$5:$A$46,$C233,BONUS_RULES!$B$5:$B$46,"Abs%"),IF(AGENT_INPUT!J233&lt;=SUMIFS(BONUS_RULES!$G$5:$G$46,BONUS_RULES!$A$5:$A$46,$C233,BONUS_RULES!$B$5:$B$46,"Abs%"),SUMIFS(BONUS_RULES!$F$5:$F$46,BONUS_RULES!$A$5:$A$46,$C233,BONUS_RULES!$B$5:$B$46,"Abs%"),0))))</f>
        <v/>
      </c>
      <c r="L233" s="10">
        <f>IF(OR($A233="",$D233&lt;&gt;"READY"),"",IF(AGENT_INPUT!G233&gt;=SUMIFS(BONUS_RULES!$E$5:$E$46,BONUS_RULES!$A$5:$A$46,$C233,BONUS_RULES!$B$5:$B$46,"Extra Bonus (PCS Score)"),SUMIFS(BONUS_RULES!$D$5:$D$46,BONUS_RULES!$A$5:$A$46,$C233,BONUS_RULES!$B$5:$B$46,"Extra Bonus (PCS Score)"),IF(AGENT_INPUT!G233&gt;=SUMIFS(BONUS_RULES!$G$5:$G$46,BONUS_RULES!$A$5:$A$46,$C233,BONUS_RULES!$B$5:$B$46,"Extra Bonus (PCS Score)"),SUMIFS(BONUS_RULES!$F$5:$F$46,BONUS_RULES!$A$5:$A$46,$C233,BONUS_RULES!$B$5:$B$46,"Extra Bonus (PCS Score)"),0)))</f>
        <v/>
      </c>
      <c r="M233" s="10">
        <f>IF($A233="","",MIN(IF(POLICY_APPROVAL!$B$6="Replacement",SUM(F233:K233)-H233+MAX(H233,L233),SUM(F233:L233)),POLICY_APPROVAL!$B$10))</f>
        <v/>
      </c>
      <c r="N233" s="10">
        <f>IF($A233="","",IFERROR(INDEX(BONUS_RULES!$J$5:$J$10,MATCH(MIN(MAX(AGENT_INPUT!K233,0),5),BONUS_RULES!$I$5:$I$10,0)),1))</f>
        <v/>
      </c>
      <c r="O233" s="10">
        <f>IF(M233="","",MAX(0,IF(POLICY_APPROVAL!$B$5="Percentage points",M233-N233,M233*(1-N233))))</f>
        <v/>
      </c>
      <c r="P233" s="11">
        <f>IF(D233&lt;&gt;"READY","",IF(AGENT_INPUT!O233&gt;0,AGENT_INPUT!O233,AGENT_INPUT!M233*AGENT_INPUT!N233/IF(POLICY_APPROVAL!$B$7="Annual",12,1)))</f>
        <v/>
      </c>
      <c r="Q233" s="10">
        <f>IF(D233&lt;&gt;"READY","",MIN(1,AGENT_INPUT!P233/AGENT_INPUT!Q233))</f>
        <v/>
      </c>
      <c r="R233" s="11">
        <f>IF(D233&lt;&gt;"READY","",ROUND(P233*Q233*O233,IF(POLICY_APPROVAL!$B$11="Whole MAD",0,2)))</f>
        <v/>
      </c>
      <c r="S233" s="11">
        <f>IF(AND(SETUP!$B$9="READY",T233="READY"),R233,"")</f>
        <v/>
      </c>
      <c r="T233" s="4">
        <f>IF($A233="","",IF(D233&lt;&gt;"READY","BLOCKED - INPUT",IF(E233&lt;&gt;"ELIGIBLE","BLOCKED - ELIGIBILITY",IF(AGENT_INPUT!S233&lt;&gt;"VALIDATED","BLOCKED - DATA",IF(SETUP!$B$9&lt;&gt;"READY","BLOCKED - POLICY","READY")))))</f>
        <v/>
      </c>
      <c r="U233" s="4">
        <f>IF($A233="","",IF(COUNTIFS(AGENT_INPUT!$A$5:$A$254,$A233,AGENT_INPUT!$D$5:$D$254,AGENT_INPUT!D233)&gt;1,"DUPLICATE AGENT + PERIOD",IF(D233&lt;&gt;"READY","INPUT OR CONFIG REVIEW",IF(T233&lt;&gt;"READY",T233,""))))</f>
        <v/>
      </c>
    </row>
    <row r="234" spans="1:21">
      <c r="A234" s="4">
        <f>IF(AGENT_INPUT!A234="","",AGENT_INPUT!A234)</f>
        <v/>
      </c>
      <c r="B234" s="4">
        <f>IF($A234="","",AGENT_INPUT!B234)</f>
        <v/>
      </c>
      <c r="C234" s="4">
        <f>IF($A234="","",AGENT_INPUT!C234)</f>
        <v/>
      </c>
      <c r="D234" s="4">
        <f>IF($A234="","",IF(AND(COUNT(AGENT_INPUT!E234:J234)=6,COUNT(AGENT_INPUT!K234)=1,COUNTIF(BONUS_RULES!$A$5:$A$46,AGENT_INPUT!C234)&gt;0,OR(AGENT_INPUT!O234&gt;0,AND(AGENT_INPUT!M234&gt;0,AGENT_INPUT!N234&gt;0)),AGENT_INPUT!P234&gt;=0,AGENT_INPUT!Q234&gt;0,AGENT_INPUT!P234&lt;=AGENT_INPUT!Q234,AGENT_INPUT!H234&gt;=0,AGENT_INPUT!H234&lt;=1,AGENT_INPUT!I234&gt;=0,AGENT_INPUT!I234&lt;=1,AGENT_INPUT!J234&gt;=0,AGENT_INPUT!J234&lt;=1),"READY","BLOCKED"))</f>
        <v/>
      </c>
      <c r="E234" s="4">
        <f>IF($A234="","",IF(AGENT_INPUT!R234&lt;&gt;"Active","REVIEW",IF(OR(POLICY_APPROVAL!$B$9="Eligibility only",POLICY_APPROVAL!$B$9="Both"),IF(AGENT_INPUT!J234&lt;=SUMIFS(BONUS_RULES!$E$5:$E$46,BONUS_RULES!$A$5:$A$46,$C234,BONUS_RULES!$B$5:$B$46,"Abs%"),"ELIGIBLE","INELIGIBLE ABS"),"ELIGIBLE")))</f>
        <v/>
      </c>
      <c r="F234" s="10">
        <f>IF(OR($A234="",$D234&lt;&gt;"READY"),"",IF(AGENT_INPUT!E234&lt;=SUMIFS(BONUS_RULES!$E$5:$E$46,BONUS_RULES!$A$5:$A$46,$C234,BONUS_RULES!$B$5:$B$46,"AHT"),SUMIFS(BONUS_RULES!$D$5:$D$46,BONUS_RULES!$A$5:$A$46,$C234,BONUS_RULES!$B$5:$B$46,"AHT"),IF(AGENT_INPUT!E234&lt;=SUMIFS(BONUS_RULES!$G$5:$G$46,BONUS_RULES!$A$5:$A$46,$C234,BONUS_RULES!$B$5:$B$46,"AHT"),SUMIFS(BONUS_RULES!$F$5:$F$46,BONUS_RULES!$A$5:$A$46,$C234,BONUS_RULES!$B$5:$B$46,"AHT"),0)))</f>
        <v/>
      </c>
      <c r="G234" s="10">
        <f>IF(OR($A234="",$D234&lt;&gt;"READY"),"",IF(AGENT_INPUT!F234&gt;=SUMIFS(BONUS_RULES!$E$5:$E$46,BONUS_RULES!$A$5:$A$46,$C234,BONUS_RULES!$B$5:$B$46,"Productivity"),SUMIFS(BONUS_RULES!$D$5:$D$46,BONUS_RULES!$A$5:$A$46,$C234,BONUS_RULES!$B$5:$B$46,"Productivity"),IF(AGENT_INPUT!F234&gt;=SUMIFS(BONUS_RULES!$G$5:$G$46,BONUS_RULES!$A$5:$A$46,$C234,BONUS_RULES!$B$5:$B$46,"Productivity"),SUMIFS(BONUS_RULES!$F$5:$F$46,BONUS_RULES!$A$5:$A$46,$C234,BONUS_RULES!$B$5:$B$46,"Productivity"),0)))</f>
        <v/>
      </c>
      <c r="H234" s="10">
        <f>IF(OR($A234="",$D234&lt;&gt;"READY"),"",IF(AGENT_INPUT!G234&gt;=SUMIFS(BONUS_RULES!$E$5:$E$46,BONUS_RULES!$A$5:$A$46,$C234,BONUS_RULES!$B$5:$B$46,"PCS Score"),SUMIFS(BONUS_RULES!$D$5:$D$46,BONUS_RULES!$A$5:$A$46,$C234,BONUS_RULES!$B$5:$B$46,"PCS Score"),IF(AGENT_INPUT!G234&gt;=SUMIFS(BONUS_RULES!$G$5:$G$46,BONUS_RULES!$A$5:$A$46,$C234,BONUS_RULES!$B$5:$B$46,"PCS Score"),SUMIFS(BONUS_RULES!$F$5:$F$46,BONUS_RULES!$A$5:$A$46,$C234,BONUS_RULES!$B$5:$B$46,"PCS Score"),0)))</f>
        <v/>
      </c>
      <c r="I234" s="10">
        <f>IF(OR($A234="",$D234&lt;&gt;"READY"),"",IF(AGENT_INPUT!H234&gt;=SUMIFS(BONUS_RULES!$E$5:$E$46,BONUS_RULES!$A$5:$A$46,$C234,BONUS_RULES!$B$5:$B$46,"PCS % (Participation)"),SUMIFS(BONUS_RULES!$D$5:$D$46,BONUS_RULES!$A$5:$A$46,$C234,BONUS_RULES!$B$5:$B$46,"PCS % (Participation)"),IF(AGENT_INPUT!H234&gt;=SUMIFS(BONUS_RULES!$G$5:$G$46,BONUS_RULES!$A$5:$A$46,$C234,BONUS_RULES!$B$5:$B$46,"PCS % (Participation)"),SUMIFS(BONUS_RULES!$F$5:$F$46,BONUS_RULES!$A$5:$A$46,$C234,BONUS_RULES!$B$5:$B$46,"PCS % (Participation)"),0)))</f>
        <v/>
      </c>
      <c r="J234" s="10">
        <f>IF(OR($A234="",$D234&lt;&gt;"READY"),"",IF(AGENT_INPUT!I234&gt;=SUMIFS(BONUS_RULES!$E$5:$E$46,BONUS_RULES!$A$5:$A$46,$C234,BONUS_RULES!$B$5:$B$46,"QM"),SUMIFS(BONUS_RULES!$D$5:$D$46,BONUS_RULES!$A$5:$A$46,$C234,BONUS_RULES!$B$5:$B$46,"QM"),IF(AGENT_INPUT!I234&gt;=SUMIFS(BONUS_RULES!$G$5:$G$46,BONUS_RULES!$A$5:$A$46,$C234,BONUS_RULES!$B$5:$B$46,"QM"),SUMIFS(BONUS_RULES!$F$5:$F$46,BONUS_RULES!$A$5:$A$46,$C234,BONUS_RULES!$B$5:$B$46,"QM"),0)))</f>
        <v/>
      </c>
      <c r="K234" s="10">
        <f>IF(POLICY_APPROVAL!$B$9="Eligibility only",0,IF(OR($A234="",$D234&lt;&gt;"READY"),"",IF(AGENT_INPUT!J234&lt;=SUMIFS(BONUS_RULES!$E$5:$E$46,BONUS_RULES!$A$5:$A$46,$C234,BONUS_RULES!$B$5:$B$46,"Abs%"),SUMIFS(BONUS_RULES!$D$5:$D$46,BONUS_RULES!$A$5:$A$46,$C234,BONUS_RULES!$B$5:$B$46,"Abs%"),IF(AGENT_INPUT!J234&lt;=SUMIFS(BONUS_RULES!$G$5:$G$46,BONUS_RULES!$A$5:$A$46,$C234,BONUS_RULES!$B$5:$B$46,"Abs%"),SUMIFS(BONUS_RULES!$F$5:$F$46,BONUS_RULES!$A$5:$A$46,$C234,BONUS_RULES!$B$5:$B$46,"Abs%"),0))))</f>
        <v/>
      </c>
      <c r="L234" s="10">
        <f>IF(OR($A234="",$D234&lt;&gt;"READY"),"",IF(AGENT_INPUT!G234&gt;=SUMIFS(BONUS_RULES!$E$5:$E$46,BONUS_RULES!$A$5:$A$46,$C234,BONUS_RULES!$B$5:$B$46,"Extra Bonus (PCS Score)"),SUMIFS(BONUS_RULES!$D$5:$D$46,BONUS_RULES!$A$5:$A$46,$C234,BONUS_RULES!$B$5:$B$46,"Extra Bonus (PCS Score)"),IF(AGENT_INPUT!G234&gt;=SUMIFS(BONUS_RULES!$G$5:$G$46,BONUS_RULES!$A$5:$A$46,$C234,BONUS_RULES!$B$5:$B$46,"Extra Bonus (PCS Score)"),SUMIFS(BONUS_RULES!$F$5:$F$46,BONUS_RULES!$A$5:$A$46,$C234,BONUS_RULES!$B$5:$B$46,"Extra Bonus (PCS Score)"),0)))</f>
        <v/>
      </c>
      <c r="M234" s="10">
        <f>IF($A234="","",MIN(IF(POLICY_APPROVAL!$B$6="Replacement",SUM(F234:K234)-H234+MAX(H234,L234),SUM(F234:L234)),POLICY_APPROVAL!$B$10))</f>
        <v/>
      </c>
      <c r="N234" s="10">
        <f>IF($A234="","",IFERROR(INDEX(BONUS_RULES!$J$5:$J$10,MATCH(MIN(MAX(AGENT_INPUT!K234,0),5),BONUS_RULES!$I$5:$I$10,0)),1))</f>
        <v/>
      </c>
      <c r="O234" s="10">
        <f>IF(M234="","",MAX(0,IF(POLICY_APPROVAL!$B$5="Percentage points",M234-N234,M234*(1-N234))))</f>
        <v/>
      </c>
      <c r="P234" s="11">
        <f>IF(D234&lt;&gt;"READY","",IF(AGENT_INPUT!O234&gt;0,AGENT_INPUT!O234,AGENT_INPUT!M234*AGENT_INPUT!N234/IF(POLICY_APPROVAL!$B$7="Annual",12,1)))</f>
        <v/>
      </c>
      <c r="Q234" s="10">
        <f>IF(D234&lt;&gt;"READY","",MIN(1,AGENT_INPUT!P234/AGENT_INPUT!Q234))</f>
        <v/>
      </c>
      <c r="R234" s="11">
        <f>IF(D234&lt;&gt;"READY","",ROUND(P234*Q234*O234,IF(POLICY_APPROVAL!$B$11="Whole MAD",0,2)))</f>
        <v/>
      </c>
      <c r="S234" s="11">
        <f>IF(AND(SETUP!$B$9="READY",T234="READY"),R234,"")</f>
        <v/>
      </c>
      <c r="T234" s="4">
        <f>IF($A234="","",IF(D234&lt;&gt;"READY","BLOCKED - INPUT",IF(E234&lt;&gt;"ELIGIBLE","BLOCKED - ELIGIBILITY",IF(AGENT_INPUT!S234&lt;&gt;"VALIDATED","BLOCKED - DATA",IF(SETUP!$B$9&lt;&gt;"READY","BLOCKED - POLICY","READY")))))</f>
        <v/>
      </c>
      <c r="U234" s="4">
        <f>IF($A234="","",IF(COUNTIFS(AGENT_INPUT!$A$5:$A$254,$A234,AGENT_INPUT!$D$5:$D$254,AGENT_INPUT!D234)&gt;1,"DUPLICATE AGENT + PERIOD",IF(D234&lt;&gt;"READY","INPUT OR CONFIG REVIEW",IF(T234&lt;&gt;"READY",T234,""))))</f>
        <v/>
      </c>
    </row>
    <row r="235" spans="1:21">
      <c r="A235" s="4">
        <f>IF(AGENT_INPUT!A235="","",AGENT_INPUT!A235)</f>
        <v/>
      </c>
      <c r="B235" s="4">
        <f>IF($A235="","",AGENT_INPUT!B235)</f>
        <v/>
      </c>
      <c r="C235" s="4">
        <f>IF($A235="","",AGENT_INPUT!C235)</f>
        <v/>
      </c>
      <c r="D235" s="4">
        <f>IF($A235="","",IF(AND(COUNT(AGENT_INPUT!E235:J235)=6,COUNT(AGENT_INPUT!K235)=1,COUNTIF(BONUS_RULES!$A$5:$A$46,AGENT_INPUT!C235)&gt;0,OR(AGENT_INPUT!O235&gt;0,AND(AGENT_INPUT!M235&gt;0,AGENT_INPUT!N235&gt;0)),AGENT_INPUT!P235&gt;=0,AGENT_INPUT!Q235&gt;0,AGENT_INPUT!P235&lt;=AGENT_INPUT!Q235,AGENT_INPUT!H235&gt;=0,AGENT_INPUT!H235&lt;=1,AGENT_INPUT!I235&gt;=0,AGENT_INPUT!I235&lt;=1,AGENT_INPUT!J235&gt;=0,AGENT_INPUT!J235&lt;=1),"READY","BLOCKED"))</f>
        <v/>
      </c>
      <c r="E235" s="4">
        <f>IF($A235="","",IF(AGENT_INPUT!R235&lt;&gt;"Active","REVIEW",IF(OR(POLICY_APPROVAL!$B$9="Eligibility only",POLICY_APPROVAL!$B$9="Both"),IF(AGENT_INPUT!J235&lt;=SUMIFS(BONUS_RULES!$E$5:$E$46,BONUS_RULES!$A$5:$A$46,$C235,BONUS_RULES!$B$5:$B$46,"Abs%"),"ELIGIBLE","INELIGIBLE ABS"),"ELIGIBLE")))</f>
        <v/>
      </c>
      <c r="F235" s="10">
        <f>IF(OR($A235="",$D235&lt;&gt;"READY"),"",IF(AGENT_INPUT!E235&lt;=SUMIFS(BONUS_RULES!$E$5:$E$46,BONUS_RULES!$A$5:$A$46,$C235,BONUS_RULES!$B$5:$B$46,"AHT"),SUMIFS(BONUS_RULES!$D$5:$D$46,BONUS_RULES!$A$5:$A$46,$C235,BONUS_RULES!$B$5:$B$46,"AHT"),IF(AGENT_INPUT!E235&lt;=SUMIFS(BONUS_RULES!$G$5:$G$46,BONUS_RULES!$A$5:$A$46,$C235,BONUS_RULES!$B$5:$B$46,"AHT"),SUMIFS(BONUS_RULES!$F$5:$F$46,BONUS_RULES!$A$5:$A$46,$C235,BONUS_RULES!$B$5:$B$46,"AHT"),0)))</f>
        <v/>
      </c>
      <c r="G235" s="10">
        <f>IF(OR($A235="",$D235&lt;&gt;"READY"),"",IF(AGENT_INPUT!F235&gt;=SUMIFS(BONUS_RULES!$E$5:$E$46,BONUS_RULES!$A$5:$A$46,$C235,BONUS_RULES!$B$5:$B$46,"Productivity"),SUMIFS(BONUS_RULES!$D$5:$D$46,BONUS_RULES!$A$5:$A$46,$C235,BONUS_RULES!$B$5:$B$46,"Productivity"),IF(AGENT_INPUT!F235&gt;=SUMIFS(BONUS_RULES!$G$5:$G$46,BONUS_RULES!$A$5:$A$46,$C235,BONUS_RULES!$B$5:$B$46,"Productivity"),SUMIFS(BONUS_RULES!$F$5:$F$46,BONUS_RULES!$A$5:$A$46,$C235,BONUS_RULES!$B$5:$B$46,"Productivity"),0)))</f>
        <v/>
      </c>
      <c r="H235" s="10">
        <f>IF(OR($A235="",$D235&lt;&gt;"READY"),"",IF(AGENT_INPUT!G235&gt;=SUMIFS(BONUS_RULES!$E$5:$E$46,BONUS_RULES!$A$5:$A$46,$C235,BONUS_RULES!$B$5:$B$46,"PCS Score"),SUMIFS(BONUS_RULES!$D$5:$D$46,BONUS_RULES!$A$5:$A$46,$C235,BONUS_RULES!$B$5:$B$46,"PCS Score"),IF(AGENT_INPUT!G235&gt;=SUMIFS(BONUS_RULES!$G$5:$G$46,BONUS_RULES!$A$5:$A$46,$C235,BONUS_RULES!$B$5:$B$46,"PCS Score"),SUMIFS(BONUS_RULES!$F$5:$F$46,BONUS_RULES!$A$5:$A$46,$C235,BONUS_RULES!$B$5:$B$46,"PCS Score"),0)))</f>
        <v/>
      </c>
      <c r="I235" s="10">
        <f>IF(OR($A235="",$D235&lt;&gt;"READY"),"",IF(AGENT_INPUT!H235&gt;=SUMIFS(BONUS_RULES!$E$5:$E$46,BONUS_RULES!$A$5:$A$46,$C235,BONUS_RULES!$B$5:$B$46,"PCS % (Participation)"),SUMIFS(BONUS_RULES!$D$5:$D$46,BONUS_RULES!$A$5:$A$46,$C235,BONUS_RULES!$B$5:$B$46,"PCS % (Participation)"),IF(AGENT_INPUT!H235&gt;=SUMIFS(BONUS_RULES!$G$5:$G$46,BONUS_RULES!$A$5:$A$46,$C235,BONUS_RULES!$B$5:$B$46,"PCS % (Participation)"),SUMIFS(BONUS_RULES!$F$5:$F$46,BONUS_RULES!$A$5:$A$46,$C235,BONUS_RULES!$B$5:$B$46,"PCS % (Participation)"),0)))</f>
        <v/>
      </c>
      <c r="J235" s="10">
        <f>IF(OR($A235="",$D235&lt;&gt;"READY"),"",IF(AGENT_INPUT!I235&gt;=SUMIFS(BONUS_RULES!$E$5:$E$46,BONUS_RULES!$A$5:$A$46,$C235,BONUS_RULES!$B$5:$B$46,"QM"),SUMIFS(BONUS_RULES!$D$5:$D$46,BONUS_RULES!$A$5:$A$46,$C235,BONUS_RULES!$B$5:$B$46,"QM"),IF(AGENT_INPUT!I235&gt;=SUMIFS(BONUS_RULES!$G$5:$G$46,BONUS_RULES!$A$5:$A$46,$C235,BONUS_RULES!$B$5:$B$46,"QM"),SUMIFS(BONUS_RULES!$F$5:$F$46,BONUS_RULES!$A$5:$A$46,$C235,BONUS_RULES!$B$5:$B$46,"QM"),0)))</f>
        <v/>
      </c>
      <c r="K235" s="10">
        <f>IF(POLICY_APPROVAL!$B$9="Eligibility only",0,IF(OR($A235="",$D235&lt;&gt;"READY"),"",IF(AGENT_INPUT!J235&lt;=SUMIFS(BONUS_RULES!$E$5:$E$46,BONUS_RULES!$A$5:$A$46,$C235,BONUS_RULES!$B$5:$B$46,"Abs%"),SUMIFS(BONUS_RULES!$D$5:$D$46,BONUS_RULES!$A$5:$A$46,$C235,BONUS_RULES!$B$5:$B$46,"Abs%"),IF(AGENT_INPUT!J235&lt;=SUMIFS(BONUS_RULES!$G$5:$G$46,BONUS_RULES!$A$5:$A$46,$C235,BONUS_RULES!$B$5:$B$46,"Abs%"),SUMIFS(BONUS_RULES!$F$5:$F$46,BONUS_RULES!$A$5:$A$46,$C235,BONUS_RULES!$B$5:$B$46,"Abs%"),0))))</f>
        <v/>
      </c>
      <c r="L235" s="10">
        <f>IF(OR($A235="",$D235&lt;&gt;"READY"),"",IF(AGENT_INPUT!G235&gt;=SUMIFS(BONUS_RULES!$E$5:$E$46,BONUS_RULES!$A$5:$A$46,$C235,BONUS_RULES!$B$5:$B$46,"Extra Bonus (PCS Score)"),SUMIFS(BONUS_RULES!$D$5:$D$46,BONUS_RULES!$A$5:$A$46,$C235,BONUS_RULES!$B$5:$B$46,"Extra Bonus (PCS Score)"),IF(AGENT_INPUT!G235&gt;=SUMIFS(BONUS_RULES!$G$5:$G$46,BONUS_RULES!$A$5:$A$46,$C235,BONUS_RULES!$B$5:$B$46,"Extra Bonus (PCS Score)"),SUMIFS(BONUS_RULES!$F$5:$F$46,BONUS_RULES!$A$5:$A$46,$C235,BONUS_RULES!$B$5:$B$46,"Extra Bonus (PCS Score)"),0)))</f>
        <v/>
      </c>
      <c r="M235" s="10">
        <f>IF($A235="","",MIN(IF(POLICY_APPROVAL!$B$6="Replacement",SUM(F235:K235)-H235+MAX(H235,L235),SUM(F235:L235)),POLICY_APPROVAL!$B$10))</f>
        <v/>
      </c>
      <c r="N235" s="10">
        <f>IF($A235="","",IFERROR(INDEX(BONUS_RULES!$J$5:$J$10,MATCH(MIN(MAX(AGENT_INPUT!K235,0),5),BONUS_RULES!$I$5:$I$10,0)),1))</f>
        <v/>
      </c>
      <c r="O235" s="10">
        <f>IF(M235="","",MAX(0,IF(POLICY_APPROVAL!$B$5="Percentage points",M235-N235,M235*(1-N235))))</f>
        <v/>
      </c>
      <c r="P235" s="11">
        <f>IF(D235&lt;&gt;"READY","",IF(AGENT_INPUT!O235&gt;0,AGENT_INPUT!O235,AGENT_INPUT!M235*AGENT_INPUT!N235/IF(POLICY_APPROVAL!$B$7="Annual",12,1)))</f>
        <v/>
      </c>
      <c r="Q235" s="10">
        <f>IF(D235&lt;&gt;"READY","",MIN(1,AGENT_INPUT!P235/AGENT_INPUT!Q235))</f>
        <v/>
      </c>
      <c r="R235" s="11">
        <f>IF(D235&lt;&gt;"READY","",ROUND(P235*Q235*O235,IF(POLICY_APPROVAL!$B$11="Whole MAD",0,2)))</f>
        <v/>
      </c>
      <c r="S235" s="11">
        <f>IF(AND(SETUP!$B$9="READY",T235="READY"),R235,"")</f>
        <v/>
      </c>
      <c r="T235" s="4">
        <f>IF($A235="","",IF(D235&lt;&gt;"READY","BLOCKED - INPUT",IF(E235&lt;&gt;"ELIGIBLE","BLOCKED - ELIGIBILITY",IF(AGENT_INPUT!S235&lt;&gt;"VALIDATED","BLOCKED - DATA",IF(SETUP!$B$9&lt;&gt;"READY","BLOCKED - POLICY","READY")))))</f>
        <v/>
      </c>
      <c r="U235" s="4">
        <f>IF($A235="","",IF(COUNTIFS(AGENT_INPUT!$A$5:$A$254,$A235,AGENT_INPUT!$D$5:$D$254,AGENT_INPUT!D235)&gt;1,"DUPLICATE AGENT + PERIOD",IF(D235&lt;&gt;"READY","INPUT OR CONFIG REVIEW",IF(T235&lt;&gt;"READY",T235,""))))</f>
        <v/>
      </c>
    </row>
    <row r="236" spans="1:21">
      <c r="A236" s="4">
        <f>IF(AGENT_INPUT!A236="","",AGENT_INPUT!A236)</f>
        <v/>
      </c>
      <c r="B236" s="4">
        <f>IF($A236="","",AGENT_INPUT!B236)</f>
        <v/>
      </c>
      <c r="C236" s="4">
        <f>IF($A236="","",AGENT_INPUT!C236)</f>
        <v/>
      </c>
      <c r="D236" s="4">
        <f>IF($A236="","",IF(AND(COUNT(AGENT_INPUT!E236:J236)=6,COUNT(AGENT_INPUT!K236)=1,COUNTIF(BONUS_RULES!$A$5:$A$46,AGENT_INPUT!C236)&gt;0,OR(AGENT_INPUT!O236&gt;0,AND(AGENT_INPUT!M236&gt;0,AGENT_INPUT!N236&gt;0)),AGENT_INPUT!P236&gt;=0,AGENT_INPUT!Q236&gt;0,AGENT_INPUT!P236&lt;=AGENT_INPUT!Q236,AGENT_INPUT!H236&gt;=0,AGENT_INPUT!H236&lt;=1,AGENT_INPUT!I236&gt;=0,AGENT_INPUT!I236&lt;=1,AGENT_INPUT!J236&gt;=0,AGENT_INPUT!J236&lt;=1),"READY","BLOCKED"))</f>
        <v/>
      </c>
      <c r="E236" s="4">
        <f>IF($A236="","",IF(AGENT_INPUT!R236&lt;&gt;"Active","REVIEW",IF(OR(POLICY_APPROVAL!$B$9="Eligibility only",POLICY_APPROVAL!$B$9="Both"),IF(AGENT_INPUT!J236&lt;=SUMIFS(BONUS_RULES!$E$5:$E$46,BONUS_RULES!$A$5:$A$46,$C236,BONUS_RULES!$B$5:$B$46,"Abs%"),"ELIGIBLE","INELIGIBLE ABS"),"ELIGIBLE")))</f>
        <v/>
      </c>
      <c r="F236" s="10">
        <f>IF(OR($A236="",$D236&lt;&gt;"READY"),"",IF(AGENT_INPUT!E236&lt;=SUMIFS(BONUS_RULES!$E$5:$E$46,BONUS_RULES!$A$5:$A$46,$C236,BONUS_RULES!$B$5:$B$46,"AHT"),SUMIFS(BONUS_RULES!$D$5:$D$46,BONUS_RULES!$A$5:$A$46,$C236,BONUS_RULES!$B$5:$B$46,"AHT"),IF(AGENT_INPUT!E236&lt;=SUMIFS(BONUS_RULES!$G$5:$G$46,BONUS_RULES!$A$5:$A$46,$C236,BONUS_RULES!$B$5:$B$46,"AHT"),SUMIFS(BONUS_RULES!$F$5:$F$46,BONUS_RULES!$A$5:$A$46,$C236,BONUS_RULES!$B$5:$B$46,"AHT"),0)))</f>
        <v/>
      </c>
      <c r="G236" s="10">
        <f>IF(OR($A236="",$D236&lt;&gt;"READY"),"",IF(AGENT_INPUT!F236&gt;=SUMIFS(BONUS_RULES!$E$5:$E$46,BONUS_RULES!$A$5:$A$46,$C236,BONUS_RULES!$B$5:$B$46,"Productivity"),SUMIFS(BONUS_RULES!$D$5:$D$46,BONUS_RULES!$A$5:$A$46,$C236,BONUS_RULES!$B$5:$B$46,"Productivity"),IF(AGENT_INPUT!F236&gt;=SUMIFS(BONUS_RULES!$G$5:$G$46,BONUS_RULES!$A$5:$A$46,$C236,BONUS_RULES!$B$5:$B$46,"Productivity"),SUMIFS(BONUS_RULES!$F$5:$F$46,BONUS_RULES!$A$5:$A$46,$C236,BONUS_RULES!$B$5:$B$46,"Productivity"),0)))</f>
        <v/>
      </c>
      <c r="H236" s="10">
        <f>IF(OR($A236="",$D236&lt;&gt;"READY"),"",IF(AGENT_INPUT!G236&gt;=SUMIFS(BONUS_RULES!$E$5:$E$46,BONUS_RULES!$A$5:$A$46,$C236,BONUS_RULES!$B$5:$B$46,"PCS Score"),SUMIFS(BONUS_RULES!$D$5:$D$46,BONUS_RULES!$A$5:$A$46,$C236,BONUS_RULES!$B$5:$B$46,"PCS Score"),IF(AGENT_INPUT!G236&gt;=SUMIFS(BONUS_RULES!$G$5:$G$46,BONUS_RULES!$A$5:$A$46,$C236,BONUS_RULES!$B$5:$B$46,"PCS Score"),SUMIFS(BONUS_RULES!$F$5:$F$46,BONUS_RULES!$A$5:$A$46,$C236,BONUS_RULES!$B$5:$B$46,"PCS Score"),0)))</f>
        <v/>
      </c>
      <c r="I236" s="10">
        <f>IF(OR($A236="",$D236&lt;&gt;"READY"),"",IF(AGENT_INPUT!H236&gt;=SUMIFS(BONUS_RULES!$E$5:$E$46,BONUS_RULES!$A$5:$A$46,$C236,BONUS_RULES!$B$5:$B$46,"PCS % (Participation)"),SUMIFS(BONUS_RULES!$D$5:$D$46,BONUS_RULES!$A$5:$A$46,$C236,BONUS_RULES!$B$5:$B$46,"PCS % (Participation)"),IF(AGENT_INPUT!H236&gt;=SUMIFS(BONUS_RULES!$G$5:$G$46,BONUS_RULES!$A$5:$A$46,$C236,BONUS_RULES!$B$5:$B$46,"PCS % (Participation)"),SUMIFS(BONUS_RULES!$F$5:$F$46,BONUS_RULES!$A$5:$A$46,$C236,BONUS_RULES!$B$5:$B$46,"PCS % (Participation)"),0)))</f>
        <v/>
      </c>
      <c r="J236" s="10">
        <f>IF(OR($A236="",$D236&lt;&gt;"READY"),"",IF(AGENT_INPUT!I236&gt;=SUMIFS(BONUS_RULES!$E$5:$E$46,BONUS_RULES!$A$5:$A$46,$C236,BONUS_RULES!$B$5:$B$46,"QM"),SUMIFS(BONUS_RULES!$D$5:$D$46,BONUS_RULES!$A$5:$A$46,$C236,BONUS_RULES!$B$5:$B$46,"QM"),IF(AGENT_INPUT!I236&gt;=SUMIFS(BONUS_RULES!$G$5:$G$46,BONUS_RULES!$A$5:$A$46,$C236,BONUS_RULES!$B$5:$B$46,"QM"),SUMIFS(BONUS_RULES!$F$5:$F$46,BONUS_RULES!$A$5:$A$46,$C236,BONUS_RULES!$B$5:$B$46,"QM"),0)))</f>
        <v/>
      </c>
      <c r="K236" s="10">
        <f>IF(POLICY_APPROVAL!$B$9="Eligibility only",0,IF(OR($A236="",$D236&lt;&gt;"READY"),"",IF(AGENT_INPUT!J236&lt;=SUMIFS(BONUS_RULES!$E$5:$E$46,BONUS_RULES!$A$5:$A$46,$C236,BONUS_RULES!$B$5:$B$46,"Abs%"),SUMIFS(BONUS_RULES!$D$5:$D$46,BONUS_RULES!$A$5:$A$46,$C236,BONUS_RULES!$B$5:$B$46,"Abs%"),IF(AGENT_INPUT!J236&lt;=SUMIFS(BONUS_RULES!$G$5:$G$46,BONUS_RULES!$A$5:$A$46,$C236,BONUS_RULES!$B$5:$B$46,"Abs%"),SUMIFS(BONUS_RULES!$F$5:$F$46,BONUS_RULES!$A$5:$A$46,$C236,BONUS_RULES!$B$5:$B$46,"Abs%"),0))))</f>
        <v/>
      </c>
      <c r="L236" s="10">
        <f>IF(OR($A236="",$D236&lt;&gt;"READY"),"",IF(AGENT_INPUT!G236&gt;=SUMIFS(BONUS_RULES!$E$5:$E$46,BONUS_RULES!$A$5:$A$46,$C236,BONUS_RULES!$B$5:$B$46,"Extra Bonus (PCS Score)"),SUMIFS(BONUS_RULES!$D$5:$D$46,BONUS_RULES!$A$5:$A$46,$C236,BONUS_RULES!$B$5:$B$46,"Extra Bonus (PCS Score)"),IF(AGENT_INPUT!G236&gt;=SUMIFS(BONUS_RULES!$G$5:$G$46,BONUS_RULES!$A$5:$A$46,$C236,BONUS_RULES!$B$5:$B$46,"Extra Bonus (PCS Score)"),SUMIFS(BONUS_RULES!$F$5:$F$46,BONUS_RULES!$A$5:$A$46,$C236,BONUS_RULES!$B$5:$B$46,"Extra Bonus (PCS Score)"),0)))</f>
        <v/>
      </c>
      <c r="M236" s="10">
        <f>IF($A236="","",MIN(IF(POLICY_APPROVAL!$B$6="Replacement",SUM(F236:K236)-H236+MAX(H236,L236),SUM(F236:L236)),POLICY_APPROVAL!$B$10))</f>
        <v/>
      </c>
      <c r="N236" s="10">
        <f>IF($A236="","",IFERROR(INDEX(BONUS_RULES!$J$5:$J$10,MATCH(MIN(MAX(AGENT_INPUT!K236,0),5),BONUS_RULES!$I$5:$I$10,0)),1))</f>
        <v/>
      </c>
      <c r="O236" s="10">
        <f>IF(M236="","",MAX(0,IF(POLICY_APPROVAL!$B$5="Percentage points",M236-N236,M236*(1-N236))))</f>
        <v/>
      </c>
      <c r="P236" s="11">
        <f>IF(D236&lt;&gt;"READY","",IF(AGENT_INPUT!O236&gt;0,AGENT_INPUT!O236,AGENT_INPUT!M236*AGENT_INPUT!N236/IF(POLICY_APPROVAL!$B$7="Annual",12,1)))</f>
        <v/>
      </c>
      <c r="Q236" s="10">
        <f>IF(D236&lt;&gt;"READY","",MIN(1,AGENT_INPUT!P236/AGENT_INPUT!Q236))</f>
        <v/>
      </c>
      <c r="R236" s="11">
        <f>IF(D236&lt;&gt;"READY","",ROUND(P236*Q236*O236,IF(POLICY_APPROVAL!$B$11="Whole MAD",0,2)))</f>
        <v/>
      </c>
      <c r="S236" s="11">
        <f>IF(AND(SETUP!$B$9="READY",T236="READY"),R236,"")</f>
        <v/>
      </c>
      <c r="T236" s="4">
        <f>IF($A236="","",IF(D236&lt;&gt;"READY","BLOCKED - INPUT",IF(E236&lt;&gt;"ELIGIBLE","BLOCKED - ELIGIBILITY",IF(AGENT_INPUT!S236&lt;&gt;"VALIDATED","BLOCKED - DATA",IF(SETUP!$B$9&lt;&gt;"READY","BLOCKED - POLICY","READY")))))</f>
        <v/>
      </c>
      <c r="U236" s="4">
        <f>IF($A236="","",IF(COUNTIFS(AGENT_INPUT!$A$5:$A$254,$A236,AGENT_INPUT!$D$5:$D$254,AGENT_INPUT!D236)&gt;1,"DUPLICATE AGENT + PERIOD",IF(D236&lt;&gt;"READY","INPUT OR CONFIG REVIEW",IF(T236&lt;&gt;"READY",T236,""))))</f>
        <v/>
      </c>
    </row>
    <row r="237" spans="1:21">
      <c r="A237" s="4">
        <f>IF(AGENT_INPUT!A237="","",AGENT_INPUT!A237)</f>
        <v/>
      </c>
      <c r="B237" s="4">
        <f>IF($A237="","",AGENT_INPUT!B237)</f>
        <v/>
      </c>
      <c r="C237" s="4">
        <f>IF($A237="","",AGENT_INPUT!C237)</f>
        <v/>
      </c>
      <c r="D237" s="4">
        <f>IF($A237="","",IF(AND(COUNT(AGENT_INPUT!E237:J237)=6,COUNT(AGENT_INPUT!K237)=1,COUNTIF(BONUS_RULES!$A$5:$A$46,AGENT_INPUT!C237)&gt;0,OR(AGENT_INPUT!O237&gt;0,AND(AGENT_INPUT!M237&gt;0,AGENT_INPUT!N237&gt;0)),AGENT_INPUT!P237&gt;=0,AGENT_INPUT!Q237&gt;0,AGENT_INPUT!P237&lt;=AGENT_INPUT!Q237,AGENT_INPUT!H237&gt;=0,AGENT_INPUT!H237&lt;=1,AGENT_INPUT!I237&gt;=0,AGENT_INPUT!I237&lt;=1,AGENT_INPUT!J237&gt;=0,AGENT_INPUT!J237&lt;=1),"READY","BLOCKED"))</f>
        <v/>
      </c>
      <c r="E237" s="4">
        <f>IF($A237="","",IF(AGENT_INPUT!R237&lt;&gt;"Active","REVIEW",IF(OR(POLICY_APPROVAL!$B$9="Eligibility only",POLICY_APPROVAL!$B$9="Both"),IF(AGENT_INPUT!J237&lt;=SUMIFS(BONUS_RULES!$E$5:$E$46,BONUS_RULES!$A$5:$A$46,$C237,BONUS_RULES!$B$5:$B$46,"Abs%"),"ELIGIBLE","INELIGIBLE ABS"),"ELIGIBLE")))</f>
        <v/>
      </c>
      <c r="F237" s="10">
        <f>IF(OR($A237="",$D237&lt;&gt;"READY"),"",IF(AGENT_INPUT!E237&lt;=SUMIFS(BONUS_RULES!$E$5:$E$46,BONUS_RULES!$A$5:$A$46,$C237,BONUS_RULES!$B$5:$B$46,"AHT"),SUMIFS(BONUS_RULES!$D$5:$D$46,BONUS_RULES!$A$5:$A$46,$C237,BONUS_RULES!$B$5:$B$46,"AHT"),IF(AGENT_INPUT!E237&lt;=SUMIFS(BONUS_RULES!$G$5:$G$46,BONUS_RULES!$A$5:$A$46,$C237,BONUS_RULES!$B$5:$B$46,"AHT"),SUMIFS(BONUS_RULES!$F$5:$F$46,BONUS_RULES!$A$5:$A$46,$C237,BONUS_RULES!$B$5:$B$46,"AHT"),0)))</f>
        <v/>
      </c>
      <c r="G237" s="10">
        <f>IF(OR($A237="",$D237&lt;&gt;"READY"),"",IF(AGENT_INPUT!F237&gt;=SUMIFS(BONUS_RULES!$E$5:$E$46,BONUS_RULES!$A$5:$A$46,$C237,BONUS_RULES!$B$5:$B$46,"Productivity"),SUMIFS(BONUS_RULES!$D$5:$D$46,BONUS_RULES!$A$5:$A$46,$C237,BONUS_RULES!$B$5:$B$46,"Productivity"),IF(AGENT_INPUT!F237&gt;=SUMIFS(BONUS_RULES!$G$5:$G$46,BONUS_RULES!$A$5:$A$46,$C237,BONUS_RULES!$B$5:$B$46,"Productivity"),SUMIFS(BONUS_RULES!$F$5:$F$46,BONUS_RULES!$A$5:$A$46,$C237,BONUS_RULES!$B$5:$B$46,"Productivity"),0)))</f>
        <v/>
      </c>
      <c r="H237" s="10">
        <f>IF(OR($A237="",$D237&lt;&gt;"READY"),"",IF(AGENT_INPUT!G237&gt;=SUMIFS(BONUS_RULES!$E$5:$E$46,BONUS_RULES!$A$5:$A$46,$C237,BONUS_RULES!$B$5:$B$46,"PCS Score"),SUMIFS(BONUS_RULES!$D$5:$D$46,BONUS_RULES!$A$5:$A$46,$C237,BONUS_RULES!$B$5:$B$46,"PCS Score"),IF(AGENT_INPUT!G237&gt;=SUMIFS(BONUS_RULES!$G$5:$G$46,BONUS_RULES!$A$5:$A$46,$C237,BONUS_RULES!$B$5:$B$46,"PCS Score"),SUMIFS(BONUS_RULES!$F$5:$F$46,BONUS_RULES!$A$5:$A$46,$C237,BONUS_RULES!$B$5:$B$46,"PCS Score"),0)))</f>
        <v/>
      </c>
      <c r="I237" s="10">
        <f>IF(OR($A237="",$D237&lt;&gt;"READY"),"",IF(AGENT_INPUT!H237&gt;=SUMIFS(BONUS_RULES!$E$5:$E$46,BONUS_RULES!$A$5:$A$46,$C237,BONUS_RULES!$B$5:$B$46,"PCS % (Participation)"),SUMIFS(BONUS_RULES!$D$5:$D$46,BONUS_RULES!$A$5:$A$46,$C237,BONUS_RULES!$B$5:$B$46,"PCS % (Participation)"),IF(AGENT_INPUT!H237&gt;=SUMIFS(BONUS_RULES!$G$5:$G$46,BONUS_RULES!$A$5:$A$46,$C237,BONUS_RULES!$B$5:$B$46,"PCS % (Participation)"),SUMIFS(BONUS_RULES!$F$5:$F$46,BONUS_RULES!$A$5:$A$46,$C237,BONUS_RULES!$B$5:$B$46,"PCS % (Participation)"),0)))</f>
        <v/>
      </c>
      <c r="J237" s="10">
        <f>IF(OR($A237="",$D237&lt;&gt;"READY"),"",IF(AGENT_INPUT!I237&gt;=SUMIFS(BONUS_RULES!$E$5:$E$46,BONUS_RULES!$A$5:$A$46,$C237,BONUS_RULES!$B$5:$B$46,"QM"),SUMIFS(BONUS_RULES!$D$5:$D$46,BONUS_RULES!$A$5:$A$46,$C237,BONUS_RULES!$B$5:$B$46,"QM"),IF(AGENT_INPUT!I237&gt;=SUMIFS(BONUS_RULES!$G$5:$G$46,BONUS_RULES!$A$5:$A$46,$C237,BONUS_RULES!$B$5:$B$46,"QM"),SUMIFS(BONUS_RULES!$F$5:$F$46,BONUS_RULES!$A$5:$A$46,$C237,BONUS_RULES!$B$5:$B$46,"QM"),0)))</f>
        <v/>
      </c>
      <c r="K237" s="10">
        <f>IF(POLICY_APPROVAL!$B$9="Eligibility only",0,IF(OR($A237="",$D237&lt;&gt;"READY"),"",IF(AGENT_INPUT!J237&lt;=SUMIFS(BONUS_RULES!$E$5:$E$46,BONUS_RULES!$A$5:$A$46,$C237,BONUS_RULES!$B$5:$B$46,"Abs%"),SUMIFS(BONUS_RULES!$D$5:$D$46,BONUS_RULES!$A$5:$A$46,$C237,BONUS_RULES!$B$5:$B$46,"Abs%"),IF(AGENT_INPUT!J237&lt;=SUMIFS(BONUS_RULES!$G$5:$G$46,BONUS_RULES!$A$5:$A$46,$C237,BONUS_RULES!$B$5:$B$46,"Abs%"),SUMIFS(BONUS_RULES!$F$5:$F$46,BONUS_RULES!$A$5:$A$46,$C237,BONUS_RULES!$B$5:$B$46,"Abs%"),0))))</f>
        <v/>
      </c>
      <c r="L237" s="10">
        <f>IF(OR($A237="",$D237&lt;&gt;"READY"),"",IF(AGENT_INPUT!G237&gt;=SUMIFS(BONUS_RULES!$E$5:$E$46,BONUS_RULES!$A$5:$A$46,$C237,BONUS_RULES!$B$5:$B$46,"Extra Bonus (PCS Score)"),SUMIFS(BONUS_RULES!$D$5:$D$46,BONUS_RULES!$A$5:$A$46,$C237,BONUS_RULES!$B$5:$B$46,"Extra Bonus (PCS Score)"),IF(AGENT_INPUT!G237&gt;=SUMIFS(BONUS_RULES!$G$5:$G$46,BONUS_RULES!$A$5:$A$46,$C237,BONUS_RULES!$B$5:$B$46,"Extra Bonus (PCS Score)"),SUMIFS(BONUS_RULES!$F$5:$F$46,BONUS_RULES!$A$5:$A$46,$C237,BONUS_RULES!$B$5:$B$46,"Extra Bonus (PCS Score)"),0)))</f>
        <v/>
      </c>
      <c r="M237" s="10">
        <f>IF($A237="","",MIN(IF(POLICY_APPROVAL!$B$6="Replacement",SUM(F237:K237)-H237+MAX(H237,L237),SUM(F237:L237)),POLICY_APPROVAL!$B$10))</f>
        <v/>
      </c>
      <c r="N237" s="10">
        <f>IF($A237="","",IFERROR(INDEX(BONUS_RULES!$J$5:$J$10,MATCH(MIN(MAX(AGENT_INPUT!K237,0),5),BONUS_RULES!$I$5:$I$10,0)),1))</f>
        <v/>
      </c>
      <c r="O237" s="10">
        <f>IF(M237="","",MAX(0,IF(POLICY_APPROVAL!$B$5="Percentage points",M237-N237,M237*(1-N237))))</f>
        <v/>
      </c>
      <c r="P237" s="11">
        <f>IF(D237&lt;&gt;"READY","",IF(AGENT_INPUT!O237&gt;0,AGENT_INPUT!O237,AGENT_INPUT!M237*AGENT_INPUT!N237/IF(POLICY_APPROVAL!$B$7="Annual",12,1)))</f>
        <v/>
      </c>
      <c r="Q237" s="10">
        <f>IF(D237&lt;&gt;"READY","",MIN(1,AGENT_INPUT!P237/AGENT_INPUT!Q237))</f>
        <v/>
      </c>
      <c r="R237" s="11">
        <f>IF(D237&lt;&gt;"READY","",ROUND(P237*Q237*O237,IF(POLICY_APPROVAL!$B$11="Whole MAD",0,2)))</f>
        <v/>
      </c>
      <c r="S237" s="11">
        <f>IF(AND(SETUP!$B$9="READY",T237="READY"),R237,"")</f>
        <v/>
      </c>
      <c r="T237" s="4">
        <f>IF($A237="","",IF(D237&lt;&gt;"READY","BLOCKED - INPUT",IF(E237&lt;&gt;"ELIGIBLE","BLOCKED - ELIGIBILITY",IF(AGENT_INPUT!S237&lt;&gt;"VALIDATED","BLOCKED - DATA",IF(SETUP!$B$9&lt;&gt;"READY","BLOCKED - POLICY","READY")))))</f>
        <v/>
      </c>
      <c r="U237" s="4">
        <f>IF($A237="","",IF(COUNTIFS(AGENT_INPUT!$A$5:$A$254,$A237,AGENT_INPUT!$D$5:$D$254,AGENT_INPUT!D237)&gt;1,"DUPLICATE AGENT + PERIOD",IF(D237&lt;&gt;"READY","INPUT OR CONFIG REVIEW",IF(T237&lt;&gt;"READY",T237,""))))</f>
        <v/>
      </c>
    </row>
    <row r="238" spans="1:21">
      <c r="A238" s="4">
        <f>IF(AGENT_INPUT!A238="","",AGENT_INPUT!A238)</f>
        <v/>
      </c>
      <c r="B238" s="4">
        <f>IF($A238="","",AGENT_INPUT!B238)</f>
        <v/>
      </c>
      <c r="C238" s="4">
        <f>IF($A238="","",AGENT_INPUT!C238)</f>
        <v/>
      </c>
      <c r="D238" s="4">
        <f>IF($A238="","",IF(AND(COUNT(AGENT_INPUT!E238:J238)=6,COUNT(AGENT_INPUT!K238)=1,COUNTIF(BONUS_RULES!$A$5:$A$46,AGENT_INPUT!C238)&gt;0,OR(AGENT_INPUT!O238&gt;0,AND(AGENT_INPUT!M238&gt;0,AGENT_INPUT!N238&gt;0)),AGENT_INPUT!P238&gt;=0,AGENT_INPUT!Q238&gt;0,AGENT_INPUT!P238&lt;=AGENT_INPUT!Q238,AGENT_INPUT!H238&gt;=0,AGENT_INPUT!H238&lt;=1,AGENT_INPUT!I238&gt;=0,AGENT_INPUT!I238&lt;=1,AGENT_INPUT!J238&gt;=0,AGENT_INPUT!J238&lt;=1),"READY","BLOCKED"))</f>
        <v/>
      </c>
      <c r="E238" s="4">
        <f>IF($A238="","",IF(AGENT_INPUT!R238&lt;&gt;"Active","REVIEW",IF(OR(POLICY_APPROVAL!$B$9="Eligibility only",POLICY_APPROVAL!$B$9="Both"),IF(AGENT_INPUT!J238&lt;=SUMIFS(BONUS_RULES!$E$5:$E$46,BONUS_RULES!$A$5:$A$46,$C238,BONUS_RULES!$B$5:$B$46,"Abs%"),"ELIGIBLE","INELIGIBLE ABS"),"ELIGIBLE")))</f>
        <v/>
      </c>
      <c r="F238" s="10">
        <f>IF(OR($A238="",$D238&lt;&gt;"READY"),"",IF(AGENT_INPUT!E238&lt;=SUMIFS(BONUS_RULES!$E$5:$E$46,BONUS_RULES!$A$5:$A$46,$C238,BONUS_RULES!$B$5:$B$46,"AHT"),SUMIFS(BONUS_RULES!$D$5:$D$46,BONUS_RULES!$A$5:$A$46,$C238,BONUS_RULES!$B$5:$B$46,"AHT"),IF(AGENT_INPUT!E238&lt;=SUMIFS(BONUS_RULES!$G$5:$G$46,BONUS_RULES!$A$5:$A$46,$C238,BONUS_RULES!$B$5:$B$46,"AHT"),SUMIFS(BONUS_RULES!$F$5:$F$46,BONUS_RULES!$A$5:$A$46,$C238,BONUS_RULES!$B$5:$B$46,"AHT"),0)))</f>
        <v/>
      </c>
      <c r="G238" s="10">
        <f>IF(OR($A238="",$D238&lt;&gt;"READY"),"",IF(AGENT_INPUT!F238&gt;=SUMIFS(BONUS_RULES!$E$5:$E$46,BONUS_RULES!$A$5:$A$46,$C238,BONUS_RULES!$B$5:$B$46,"Productivity"),SUMIFS(BONUS_RULES!$D$5:$D$46,BONUS_RULES!$A$5:$A$46,$C238,BONUS_RULES!$B$5:$B$46,"Productivity"),IF(AGENT_INPUT!F238&gt;=SUMIFS(BONUS_RULES!$G$5:$G$46,BONUS_RULES!$A$5:$A$46,$C238,BONUS_RULES!$B$5:$B$46,"Productivity"),SUMIFS(BONUS_RULES!$F$5:$F$46,BONUS_RULES!$A$5:$A$46,$C238,BONUS_RULES!$B$5:$B$46,"Productivity"),0)))</f>
        <v/>
      </c>
      <c r="H238" s="10">
        <f>IF(OR($A238="",$D238&lt;&gt;"READY"),"",IF(AGENT_INPUT!G238&gt;=SUMIFS(BONUS_RULES!$E$5:$E$46,BONUS_RULES!$A$5:$A$46,$C238,BONUS_RULES!$B$5:$B$46,"PCS Score"),SUMIFS(BONUS_RULES!$D$5:$D$46,BONUS_RULES!$A$5:$A$46,$C238,BONUS_RULES!$B$5:$B$46,"PCS Score"),IF(AGENT_INPUT!G238&gt;=SUMIFS(BONUS_RULES!$G$5:$G$46,BONUS_RULES!$A$5:$A$46,$C238,BONUS_RULES!$B$5:$B$46,"PCS Score"),SUMIFS(BONUS_RULES!$F$5:$F$46,BONUS_RULES!$A$5:$A$46,$C238,BONUS_RULES!$B$5:$B$46,"PCS Score"),0)))</f>
        <v/>
      </c>
      <c r="I238" s="10">
        <f>IF(OR($A238="",$D238&lt;&gt;"READY"),"",IF(AGENT_INPUT!H238&gt;=SUMIFS(BONUS_RULES!$E$5:$E$46,BONUS_RULES!$A$5:$A$46,$C238,BONUS_RULES!$B$5:$B$46,"PCS % (Participation)"),SUMIFS(BONUS_RULES!$D$5:$D$46,BONUS_RULES!$A$5:$A$46,$C238,BONUS_RULES!$B$5:$B$46,"PCS % (Participation)"),IF(AGENT_INPUT!H238&gt;=SUMIFS(BONUS_RULES!$G$5:$G$46,BONUS_RULES!$A$5:$A$46,$C238,BONUS_RULES!$B$5:$B$46,"PCS % (Participation)"),SUMIFS(BONUS_RULES!$F$5:$F$46,BONUS_RULES!$A$5:$A$46,$C238,BONUS_RULES!$B$5:$B$46,"PCS % (Participation)"),0)))</f>
        <v/>
      </c>
      <c r="J238" s="10">
        <f>IF(OR($A238="",$D238&lt;&gt;"READY"),"",IF(AGENT_INPUT!I238&gt;=SUMIFS(BONUS_RULES!$E$5:$E$46,BONUS_RULES!$A$5:$A$46,$C238,BONUS_RULES!$B$5:$B$46,"QM"),SUMIFS(BONUS_RULES!$D$5:$D$46,BONUS_RULES!$A$5:$A$46,$C238,BONUS_RULES!$B$5:$B$46,"QM"),IF(AGENT_INPUT!I238&gt;=SUMIFS(BONUS_RULES!$G$5:$G$46,BONUS_RULES!$A$5:$A$46,$C238,BONUS_RULES!$B$5:$B$46,"QM"),SUMIFS(BONUS_RULES!$F$5:$F$46,BONUS_RULES!$A$5:$A$46,$C238,BONUS_RULES!$B$5:$B$46,"QM"),0)))</f>
        <v/>
      </c>
      <c r="K238" s="10">
        <f>IF(POLICY_APPROVAL!$B$9="Eligibility only",0,IF(OR($A238="",$D238&lt;&gt;"READY"),"",IF(AGENT_INPUT!J238&lt;=SUMIFS(BONUS_RULES!$E$5:$E$46,BONUS_RULES!$A$5:$A$46,$C238,BONUS_RULES!$B$5:$B$46,"Abs%"),SUMIFS(BONUS_RULES!$D$5:$D$46,BONUS_RULES!$A$5:$A$46,$C238,BONUS_RULES!$B$5:$B$46,"Abs%"),IF(AGENT_INPUT!J238&lt;=SUMIFS(BONUS_RULES!$G$5:$G$46,BONUS_RULES!$A$5:$A$46,$C238,BONUS_RULES!$B$5:$B$46,"Abs%"),SUMIFS(BONUS_RULES!$F$5:$F$46,BONUS_RULES!$A$5:$A$46,$C238,BONUS_RULES!$B$5:$B$46,"Abs%"),0))))</f>
        <v/>
      </c>
      <c r="L238" s="10">
        <f>IF(OR($A238="",$D238&lt;&gt;"READY"),"",IF(AGENT_INPUT!G238&gt;=SUMIFS(BONUS_RULES!$E$5:$E$46,BONUS_RULES!$A$5:$A$46,$C238,BONUS_RULES!$B$5:$B$46,"Extra Bonus (PCS Score)"),SUMIFS(BONUS_RULES!$D$5:$D$46,BONUS_RULES!$A$5:$A$46,$C238,BONUS_RULES!$B$5:$B$46,"Extra Bonus (PCS Score)"),IF(AGENT_INPUT!G238&gt;=SUMIFS(BONUS_RULES!$G$5:$G$46,BONUS_RULES!$A$5:$A$46,$C238,BONUS_RULES!$B$5:$B$46,"Extra Bonus (PCS Score)"),SUMIFS(BONUS_RULES!$F$5:$F$46,BONUS_RULES!$A$5:$A$46,$C238,BONUS_RULES!$B$5:$B$46,"Extra Bonus (PCS Score)"),0)))</f>
        <v/>
      </c>
      <c r="M238" s="10">
        <f>IF($A238="","",MIN(IF(POLICY_APPROVAL!$B$6="Replacement",SUM(F238:K238)-H238+MAX(H238,L238),SUM(F238:L238)),POLICY_APPROVAL!$B$10))</f>
        <v/>
      </c>
      <c r="N238" s="10">
        <f>IF($A238="","",IFERROR(INDEX(BONUS_RULES!$J$5:$J$10,MATCH(MIN(MAX(AGENT_INPUT!K238,0),5),BONUS_RULES!$I$5:$I$10,0)),1))</f>
        <v/>
      </c>
      <c r="O238" s="10">
        <f>IF(M238="","",MAX(0,IF(POLICY_APPROVAL!$B$5="Percentage points",M238-N238,M238*(1-N238))))</f>
        <v/>
      </c>
      <c r="P238" s="11">
        <f>IF(D238&lt;&gt;"READY","",IF(AGENT_INPUT!O238&gt;0,AGENT_INPUT!O238,AGENT_INPUT!M238*AGENT_INPUT!N238/IF(POLICY_APPROVAL!$B$7="Annual",12,1)))</f>
        <v/>
      </c>
      <c r="Q238" s="10">
        <f>IF(D238&lt;&gt;"READY","",MIN(1,AGENT_INPUT!P238/AGENT_INPUT!Q238))</f>
        <v/>
      </c>
      <c r="R238" s="11">
        <f>IF(D238&lt;&gt;"READY","",ROUND(P238*Q238*O238,IF(POLICY_APPROVAL!$B$11="Whole MAD",0,2)))</f>
        <v/>
      </c>
      <c r="S238" s="11">
        <f>IF(AND(SETUP!$B$9="READY",T238="READY"),R238,"")</f>
        <v/>
      </c>
      <c r="T238" s="4">
        <f>IF($A238="","",IF(D238&lt;&gt;"READY","BLOCKED - INPUT",IF(E238&lt;&gt;"ELIGIBLE","BLOCKED - ELIGIBILITY",IF(AGENT_INPUT!S238&lt;&gt;"VALIDATED","BLOCKED - DATA",IF(SETUP!$B$9&lt;&gt;"READY","BLOCKED - POLICY","READY")))))</f>
        <v/>
      </c>
      <c r="U238" s="4">
        <f>IF($A238="","",IF(COUNTIFS(AGENT_INPUT!$A$5:$A$254,$A238,AGENT_INPUT!$D$5:$D$254,AGENT_INPUT!D238)&gt;1,"DUPLICATE AGENT + PERIOD",IF(D238&lt;&gt;"READY","INPUT OR CONFIG REVIEW",IF(T238&lt;&gt;"READY",T238,""))))</f>
        <v/>
      </c>
    </row>
    <row r="239" spans="1:21">
      <c r="A239" s="4">
        <f>IF(AGENT_INPUT!A239="","",AGENT_INPUT!A239)</f>
        <v/>
      </c>
      <c r="B239" s="4">
        <f>IF($A239="","",AGENT_INPUT!B239)</f>
        <v/>
      </c>
      <c r="C239" s="4">
        <f>IF($A239="","",AGENT_INPUT!C239)</f>
        <v/>
      </c>
      <c r="D239" s="4">
        <f>IF($A239="","",IF(AND(COUNT(AGENT_INPUT!E239:J239)=6,COUNT(AGENT_INPUT!K239)=1,COUNTIF(BONUS_RULES!$A$5:$A$46,AGENT_INPUT!C239)&gt;0,OR(AGENT_INPUT!O239&gt;0,AND(AGENT_INPUT!M239&gt;0,AGENT_INPUT!N239&gt;0)),AGENT_INPUT!P239&gt;=0,AGENT_INPUT!Q239&gt;0,AGENT_INPUT!P239&lt;=AGENT_INPUT!Q239,AGENT_INPUT!H239&gt;=0,AGENT_INPUT!H239&lt;=1,AGENT_INPUT!I239&gt;=0,AGENT_INPUT!I239&lt;=1,AGENT_INPUT!J239&gt;=0,AGENT_INPUT!J239&lt;=1),"READY","BLOCKED"))</f>
        <v/>
      </c>
      <c r="E239" s="4">
        <f>IF($A239="","",IF(AGENT_INPUT!R239&lt;&gt;"Active","REVIEW",IF(OR(POLICY_APPROVAL!$B$9="Eligibility only",POLICY_APPROVAL!$B$9="Both"),IF(AGENT_INPUT!J239&lt;=SUMIFS(BONUS_RULES!$E$5:$E$46,BONUS_RULES!$A$5:$A$46,$C239,BONUS_RULES!$B$5:$B$46,"Abs%"),"ELIGIBLE","INELIGIBLE ABS"),"ELIGIBLE")))</f>
        <v/>
      </c>
      <c r="F239" s="10">
        <f>IF(OR($A239="",$D239&lt;&gt;"READY"),"",IF(AGENT_INPUT!E239&lt;=SUMIFS(BONUS_RULES!$E$5:$E$46,BONUS_RULES!$A$5:$A$46,$C239,BONUS_RULES!$B$5:$B$46,"AHT"),SUMIFS(BONUS_RULES!$D$5:$D$46,BONUS_RULES!$A$5:$A$46,$C239,BONUS_RULES!$B$5:$B$46,"AHT"),IF(AGENT_INPUT!E239&lt;=SUMIFS(BONUS_RULES!$G$5:$G$46,BONUS_RULES!$A$5:$A$46,$C239,BONUS_RULES!$B$5:$B$46,"AHT"),SUMIFS(BONUS_RULES!$F$5:$F$46,BONUS_RULES!$A$5:$A$46,$C239,BONUS_RULES!$B$5:$B$46,"AHT"),0)))</f>
        <v/>
      </c>
      <c r="G239" s="10">
        <f>IF(OR($A239="",$D239&lt;&gt;"READY"),"",IF(AGENT_INPUT!F239&gt;=SUMIFS(BONUS_RULES!$E$5:$E$46,BONUS_RULES!$A$5:$A$46,$C239,BONUS_RULES!$B$5:$B$46,"Productivity"),SUMIFS(BONUS_RULES!$D$5:$D$46,BONUS_RULES!$A$5:$A$46,$C239,BONUS_RULES!$B$5:$B$46,"Productivity"),IF(AGENT_INPUT!F239&gt;=SUMIFS(BONUS_RULES!$G$5:$G$46,BONUS_RULES!$A$5:$A$46,$C239,BONUS_RULES!$B$5:$B$46,"Productivity"),SUMIFS(BONUS_RULES!$F$5:$F$46,BONUS_RULES!$A$5:$A$46,$C239,BONUS_RULES!$B$5:$B$46,"Productivity"),0)))</f>
        <v/>
      </c>
      <c r="H239" s="10">
        <f>IF(OR($A239="",$D239&lt;&gt;"READY"),"",IF(AGENT_INPUT!G239&gt;=SUMIFS(BONUS_RULES!$E$5:$E$46,BONUS_RULES!$A$5:$A$46,$C239,BONUS_RULES!$B$5:$B$46,"PCS Score"),SUMIFS(BONUS_RULES!$D$5:$D$46,BONUS_RULES!$A$5:$A$46,$C239,BONUS_RULES!$B$5:$B$46,"PCS Score"),IF(AGENT_INPUT!G239&gt;=SUMIFS(BONUS_RULES!$G$5:$G$46,BONUS_RULES!$A$5:$A$46,$C239,BONUS_RULES!$B$5:$B$46,"PCS Score"),SUMIFS(BONUS_RULES!$F$5:$F$46,BONUS_RULES!$A$5:$A$46,$C239,BONUS_RULES!$B$5:$B$46,"PCS Score"),0)))</f>
        <v/>
      </c>
      <c r="I239" s="10">
        <f>IF(OR($A239="",$D239&lt;&gt;"READY"),"",IF(AGENT_INPUT!H239&gt;=SUMIFS(BONUS_RULES!$E$5:$E$46,BONUS_RULES!$A$5:$A$46,$C239,BONUS_RULES!$B$5:$B$46,"PCS % (Participation)"),SUMIFS(BONUS_RULES!$D$5:$D$46,BONUS_RULES!$A$5:$A$46,$C239,BONUS_RULES!$B$5:$B$46,"PCS % (Participation)"),IF(AGENT_INPUT!H239&gt;=SUMIFS(BONUS_RULES!$G$5:$G$46,BONUS_RULES!$A$5:$A$46,$C239,BONUS_RULES!$B$5:$B$46,"PCS % (Participation)"),SUMIFS(BONUS_RULES!$F$5:$F$46,BONUS_RULES!$A$5:$A$46,$C239,BONUS_RULES!$B$5:$B$46,"PCS % (Participation)"),0)))</f>
        <v/>
      </c>
      <c r="J239" s="10">
        <f>IF(OR($A239="",$D239&lt;&gt;"READY"),"",IF(AGENT_INPUT!I239&gt;=SUMIFS(BONUS_RULES!$E$5:$E$46,BONUS_RULES!$A$5:$A$46,$C239,BONUS_RULES!$B$5:$B$46,"QM"),SUMIFS(BONUS_RULES!$D$5:$D$46,BONUS_RULES!$A$5:$A$46,$C239,BONUS_RULES!$B$5:$B$46,"QM"),IF(AGENT_INPUT!I239&gt;=SUMIFS(BONUS_RULES!$G$5:$G$46,BONUS_RULES!$A$5:$A$46,$C239,BONUS_RULES!$B$5:$B$46,"QM"),SUMIFS(BONUS_RULES!$F$5:$F$46,BONUS_RULES!$A$5:$A$46,$C239,BONUS_RULES!$B$5:$B$46,"QM"),0)))</f>
        <v/>
      </c>
      <c r="K239" s="10">
        <f>IF(POLICY_APPROVAL!$B$9="Eligibility only",0,IF(OR($A239="",$D239&lt;&gt;"READY"),"",IF(AGENT_INPUT!J239&lt;=SUMIFS(BONUS_RULES!$E$5:$E$46,BONUS_RULES!$A$5:$A$46,$C239,BONUS_RULES!$B$5:$B$46,"Abs%"),SUMIFS(BONUS_RULES!$D$5:$D$46,BONUS_RULES!$A$5:$A$46,$C239,BONUS_RULES!$B$5:$B$46,"Abs%"),IF(AGENT_INPUT!J239&lt;=SUMIFS(BONUS_RULES!$G$5:$G$46,BONUS_RULES!$A$5:$A$46,$C239,BONUS_RULES!$B$5:$B$46,"Abs%"),SUMIFS(BONUS_RULES!$F$5:$F$46,BONUS_RULES!$A$5:$A$46,$C239,BONUS_RULES!$B$5:$B$46,"Abs%"),0))))</f>
        <v/>
      </c>
      <c r="L239" s="10">
        <f>IF(OR($A239="",$D239&lt;&gt;"READY"),"",IF(AGENT_INPUT!G239&gt;=SUMIFS(BONUS_RULES!$E$5:$E$46,BONUS_RULES!$A$5:$A$46,$C239,BONUS_RULES!$B$5:$B$46,"Extra Bonus (PCS Score)"),SUMIFS(BONUS_RULES!$D$5:$D$46,BONUS_RULES!$A$5:$A$46,$C239,BONUS_RULES!$B$5:$B$46,"Extra Bonus (PCS Score)"),IF(AGENT_INPUT!G239&gt;=SUMIFS(BONUS_RULES!$G$5:$G$46,BONUS_RULES!$A$5:$A$46,$C239,BONUS_RULES!$B$5:$B$46,"Extra Bonus (PCS Score)"),SUMIFS(BONUS_RULES!$F$5:$F$46,BONUS_RULES!$A$5:$A$46,$C239,BONUS_RULES!$B$5:$B$46,"Extra Bonus (PCS Score)"),0)))</f>
        <v/>
      </c>
      <c r="M239" s="10">
        <f>IF($A239="","",MIN(IF(POLICY_APPROVAL!$B$6="Replacement",SUM(F239:K239)-H239+MAX(H239,L239),SUM(F239:L239)),POLICY_APPROVAL!$B$10))</f>
        <v/>
      </c>
      <c r="N239" s="10">
        <f>IF($A239="","",IFERROR(INDEX(BONUS_RULES!$J$5:$J$10,MATCH(MIN(MAX(AGENT_INPUT!K239,0),5),BONUS_RULES!$I$5:$I$10,0)),1))</f>
        <v/>
      </c>
      <c r="O239" s="10">
        <f>IF(M239="","",MAX(0,IF(POLICY_APPROVAL!$B$5="Percentage points",M239-N239,M239*(1-N239))))</f>
        <v/>
      </c>
      <c r="P239" s="11">
        <f>IF(D239&lt;&gt;"READY","",IF(AGENT_INPUT!O239&gt;0,AGENT_INPUT!O239,AGENT_INPUT!M239*AGENT_INPUT!N239/IF(POLICY_APPROVAL!$B$7="Annual",12,1)))</f>
        <v/>
      </c>
      <c r="Q239" s="10">
        <f>IF(D239&lt;&gt;"READY","",MIN(1,AGENT_INPUT!P239/AGENT_INPUT!Q239))</f>
        <v/>
      </c>
      <c r="R239" s="11">
        <f>IF(D239&lt;&gt;"READY","",ROUND(P239*Q239*O239,IF(POLICY_APPROVAL!$B$11="Whole MAD",0,2)))</f>
        <v/>
      </c>
      <c r="S239" s="11">
        <f>IF(AND(SETUP!$B$9="READY",T239="READY"),R239,"")</f>
        <v/>
      </c>
      <c r="T239" s="4">
        <f>IF($A239="","",IF(D239&lt;&gt;"READY","BLOCKED - INPUT",IF(E239&lt;&gt;"ELIGIBLE","BLOCKED - ELIGIBILITY",IF(AGENT_INPUT!S239&lt;&gt;"VALIDATED","BLOCKED - DATA",IF(SETUP!$B$9&lt;&gt;"READY","BLOCKED - POLICY","READY")))))</f>
        <v/>
      </c>
      <c r="U239" s="4">
        <f>IF($A239="","",IF(COUNTIFS(AGENT_INPUT!$A$5:$A$254,$A239,AGENT_INPUT!$D$5:$D$254,AGENT_INPUT!D239)&gt;1,"DUPLICATE AGENT + PERIOD",IF(D239&lt;&gt;"READY","INPUT OR CONFIG REVIEW",IF(T239&lt;&gt;"READY",T239,""))))</f>
        <v/>
      </c>
    </row>
    <row r="240" spans="1:21">
      <c r="A240" s="4">
        <f>IF(AGENT_INPUT!A240="","",AGENT_INPUT!A240)</f>
        <v/>
      </c>
      <c r="B240" s="4">
        <f>IF($A240="","",AGENT_INPUT!B240)</f>
        <v/>
      </c>
      <c r="C240" s="4">
        <f>IF($A240="","",AGENT_INPUT!C240)</f>
        <v/>
      </c>
      <c r="D240" s="4">
        <f>IF($A240="","",IF(AND(COUNT(AGENT_INPUT!E240:J240)=6,COUNT(AGENT_INPUT!K240)=1,COUNTIF(BONUS_RULES!$A$5:$A$46,AGENT_INPUT!C240)&gt;0,OR(AGENT_INPUT!O240&gt;0,AND(AGENT_INPUT!M240&gt;0,AGENT_INPUT!N240&gt;0)),AGENT_INPUT!P240&gt;=0,AGENT_INPUT!Q240&gt;0,AGENT_INPUT!P240&lt;=AGENT_INPUT!Q240,AGENT_INPUT!H240&gt;=0,AGENT_INPUT!H240&lt;=1,AGENT_INPUT!I240&gt;=0,AGENT_INPUT!I240&lt;=1,AGENT_INPUT!J240&gt;=0,AGENT_INPUT!J240&lt;=1),"READY","BLOCKED"))</f>
        <v/>
      </c>
      <c r="E240" s="4">
        <f>IF($A240="","",IF(AGENT_INPUT!R240&lt;&gt;"Active","REVIEW",IF(OR(POLICY_APPROVAL!$B$9="Eligibility only",POLICY_APPROVAL!$B$9="Both"),IF(AGENT_INPUT!J240&lt;=SUMIFS(BONUS_RULES!$E$5:$E$46,BONUS_RULES!$A$5:$A$46,$C240,BONUS_RULES!$B$5:$B$46,"Abs%"),"ELIGIBLE","INELIGIBLE ABS"),"ELIGIBLE")))</f>
        <v/>
      </c>
      <c r="F240" s="10">
        <f>IF(OR($A240="",$D240&lt;&gt;"READY"),"",IF(AGENT_INPUT!E240&lt;=SUMIFS(BONUS_RULES!$E$5:$E$46,BONUS_RULES!$A$5:$A$46,$C240,BONUS_RULES!$B$5:$B$46,"AHT"),SUMIFS(BONUS_RULES!$D$5:$D$46,BONUS_RULES!$A$5:$A$46,$C240,BONUS_RULES!$B$5:$B$46,"AHT"),IF(AGENT_INPUT!E240&lt;=SUMIFS(BONUS_RULES!$G$5:$G$46,BONUS_RULES!$A$5:$A$46,$C240,BONUS_RULES!$B$5:$B$46,"AHT"),SUMIFS(BONUS_RULES!$F$5:$F$46,BONUS_RULES!$A$5:$A$46,$C240,BONUS_RULES!$B$5:$B$46,"AHT"),0)))</f>
        <v/>
      </c>
      <c r="G240" s="10">
        <f>IF(OR($A240="",$D240&lt;&gt;"READY"),"",IF(AGENT_INPUT!F240&gt;=SUMIFS(BONUS_RULES!$E$5:$E$46,BONUS_RULES!$A$5:$A$46,$C240,BONUS_RULES!$B$5:$B$46,"Productivity"),SUMIFS(BONUS_RULES!$D$5:$D$46,BONUS_RULES!$A$5:$A$46,$C240,BONUS_RULES!$B$5:$B$46,"Productivity"),IF(AGENT_INPUT!F240&gt;=SUMIFS(BONUS_RULES!$G$5:$G$46,BONUS_RULES!$A$5:$A$46,$C240,BONUS_RULES!$B$5:$B$46,"Productivity"),SUMIFS(BONUS_RULES!$F$5:$F$46,BONUS_RULES!$A$5:$A$46,$C240,BONUS_RULES!$B$5:$B$46,"Productivity"),0)))</f>
        <v/>
      </c>
      <c r="H240" s="10">
        <f>IF(OR($A240="",$D240&lt;&gt;"READY"),"",IF(AGENT_INPUT!G240&gt;=SUMIFS(BONUS_RULES!$E$5:$E$46,BONUS_RULES!$A$5:$A$46,$C240,BONUS_RULES!$B$5:$B$46,"PCS Score"),SUMIFS(BONUS_RULES!$D$5:$D$46,BONUS_RULES!$A$5:$A$46,$C240,BONUS_RULES!$B$5:$B$46,"PCS Score"),IF(AGENT_INPUT!G240&gt;=SUMIFS(BONUS_RULES!$G$5:$G$46,BONUS_RULES!$A$5:$A$46,$C240,BONUS_RULES!$B$5:$B$46,"PCS Score"),SUMIFS(BONUS_RULES!$F$5:$F$46,BONUS_RULES!$A$5:$A$46,$C240,BONUS_RULES!$B$5:$B$46,"PCS Score"),0)))</f>
        <v/>
      </c>
      <c r="I240" s="10">
        <f>IF(OR($A240="",$D240&lt;&gt;"READY"),"",IF(AGENT_INPUT!H240&gt;=SUMIFS(BONUS_RULES!$E$5:$E$46,BONUS_RULES!$A$5:$A$46,$C240,BONUS_RULES!$B$5:$B$46,"PCS % (Participation)"),SUMIFS(BONUS_RULES!$D$5:$D$46,BONUS_RULES!$A$5:$A$46,$C240,BONUS_RULES!$B$5:$B$46,"PCS % (Participation)"),IF(AGENT_INPUT!H240&gt;=SUMIFS(BONUS_RULES!$G$5:$G$46,BONUS_RULES!$A$5:$A$46,$C240,BONUS_RULES!$B$5:$B$46,"PCS % (Participation)"),SUMIFS(BONUS_RULES!$F$5:$F$46,BONUS_RULES!$A$5:$A$46,$C240,BONUS_RULES!$B$5:$B$46,"PCS % (Participation)"),0)))</f>
        <v/>
      </c>
      <c r="J240" s="10">
        <f>IF(OR($A240="",$D240&lt;&gt;"READY"),"",IF(AGENT_INPUT!I240&gt;=SUMIFS(BONUS_RULES!$E$5:$E$46,BONUS_RULES!$A$5:$A$46,$C240,BONUS_RULES!$B$5:$B$46,"QM"),SUMIFS(BONUS_RULES!$D$5:$D$46,BONUS_RULES!$A$5:$A$46,$C240,BONUS_RULES!$B$5:$B$46,"QM"),IF(AGENT_INPUT!I240&gt;=SUMIFS(BONUS_RULES!$G$5:$G$46,BONUS_RULES!$A$5:$A$46,$C240,BONUS_RULES!$B$5:$B$46,"QM"),SUMIFS(BONUS_RULES!$F$5:$F$46,BONUS_RULES!$A$5:$A$46,$C240,BONUS_RULES!$B$5:$B$46,"QM"),0)))</f>
        <v/>
      </c>
      <c r="K240" s="10">
        <f>IF(POLICY_APPROVAL!$B$9="Eligibility only",0,IF(OR($A240="",$D240&lt;&gt;"READY"),"",IF(AGENT_INPUT!J240&lt;=SUMIFS(BONUS_RULES!$E$5:$E$46,BONUS_RULES!$A$5:$A$46,$C240,BONUS_RULES!$B$5:$B$46,"Abs%"),SUMIFS(BONUS_RULES!$D$5:$D$46,BONUS_RULES!$A$5:$A$46,$C240,BONUS_RULES!$B$5:$B$46,"Abs%"),IF(AGENT_INPUT!J240&lt;=SUMIFS(BONUS_RULES!$G$5:$G$46,BONUS_RULES!$A$5:$A$46,$C240,BONUS_RULES!$B$5:$B$46,"Abs%"),SUMIFS(BONUS_RULES!$F$5:$F$46,BONUS_RULES!$A$5:$A$46,$C240,BONUS_RULES!$B$5:$B$46,"Abs%"),0))))</f>
        <v/>
      </c>
      <c r="L240" s="10">
        <f>IF(OR($A240="",$D240&lt;&gt;"READY"),"",IF(AGENT_INPUT!G240&gt;=SUMIFS(BONUS_RULES!$E$5:$E$46,BONUS_RULES!$A$5:$A$46,$C240,BONUS_RULES!$B$5:$B$46,"Extra Bonus (PCS Score)"),SUMIFS(BONUS_RULES!$D$5:$D$46,BONUS_RULES!$A$5:$A$46,$C240,BONUS_RULES!$B$5:$B$46,"Extra Bonus (PCS Score)"),IF(AGENT_INPUT!G240&gt;=SUMIFS(BONUS_RULES!$G$5:$G$46,BONUS_RULES!$A$5:$A$46,$C240,BONUS_RULES!$B$5:$B$46,"Extra Bonus (PCS Score)"),SUMIFS(BONUS_RULES!$F$5:$F$46,BONUS_RULES!$A$5:$A$46,$C240,BONUS_RULES!$B$5:$B$46,"Extra Bonus (PCS Score)"),0)))</f>
        <v/>
      </c>
      <c r="M240" s="10">
        <f>IF($A240="","",MIN(IF(POLICY_APPROVAL!$B$6="Replacement",SUM(F240:K240)-H240+MAX(H240,L240),SUM(F240:L240)),POLICY_APPROVAL!$B$10))</f>
        <v/>
      </c>
      <c r="N240" s="10">
        <f>IF($A240="","",IFERROR(INDEX(BONUS_RULES!$J$5:$J$10,MATCH(MIN(MAX(AGENT_INPUT!K240,0),5),BONUS_RULES!$I$5:$I$10,0)),1))</f>
        <v/>
      </c>
      <c r="O240" s="10">
        <f>IF(M240="","",MAX(0,IF(POLICY_APPROVAL!$B$5="Percentage points",M240-N240,M240*(1-N240))))</f>
        <v/>
      </c>
      <c r="P240" s="11">
        <f>IF(D240&lt;&gt;"READY","",IF(AGENT_INPUT!O240&gt;0,AGENT_INPUT!O240,AGENT_INPUT!M240*AGENT_INPUT!N240/IF(POLICY_APPROVAL!$B$7="Annual",12,1)))</f>
        <v/>
      </c>
      <c r="Q240" s="10">
        <f>IF(D240&lt;&gt;"READY","",MIN(1,AGENT_INPUT!P240/AGENT_INPUT!Q240))</f>
        <v/>
      </c>
      <c r="R240" s="11">
        <f>IF(D240&lt;&gt;"READY","",ROUND(P240*Q240*O240,IF(POLICY_APPROVAL!$B$11="Whole MAD",0,2)))</f>
        <v/>
      </c>
      <c r="S240" s="11">
        <f>IF(AND(SETUP!$B$9="READY",T240="READY"),R240,"")</f>
        <v/>
      </c>
      <c r="T240" s="4">
        <f>IF($A240="","",IF(D240&lt;&gt;"READY","BLOCKED - INPUT",IF(E240&lt;&gt;"ELIGIBLE","BLOCKED - ELIGIBILITY",IF(AGENT_INPUT!S240&lt;&gt;"VALIDATED","BLOCKED - DATA",IF(SETUP!$B$9&lt;&gt;"READY","BLOCKED - POLICY","READY")))))</f>
        <v/>
      </c>
      <c r="U240" s="4">
        <f>IF($A240="","",IF(COUNTIFS(AGENT_INPUT!$A$5:$A$254,$A240,AGENT_INPUT!$D$5:$D$254,AGENT_INPUT!D240)&gt;1,"DUPLICATE AGENT + PERIOD",IF(D240&lt;&gt;"READY","INPUT OR CONFIG REVIEW",IF(T240&lt;&gt;"READY",T240,""))))</f>
        <v/>
      </c>
    </row>
    <row r="241" spans="1:21">
      <c r="A241" s="4">
        <f>IF(AGENT_INPUT!A241="","",AGENT_INPUT!A241)</f>
        <v/>
      </c>
      <c r="B241" s="4">
        <f>IF($A241="","",AGENT_INPUT!B241)</f>
        <v/>
      </c>
      <c r="C241" s="4">
        <f>IF($A241="","",AGENT_INPUT!C241)</f>
        <v/>
      </c>
      <c r="D241" s="4">
        <f>IF($A241="","",IF(AND(COUNT(AGENT_INPUT!E241:J241)=6,COUNT(AGENT_INPUT!K241)=1,COUNTIF(BONUS_RULES!$A$5:$A$46,AGENT_INPUT!C241)&gt;0,OR(AGENT_INPUT!O241&gt;0,AND(AGENT_INPUT!M241&gt;0,AGENT_INPUT!N241&gt;0)),AGENT_INPUT!P241&gt;=0,AGENT_INPUT!Q241&gt;0,AGENT_INPUT!P241&lt;=AGENT_INPUT!Q241,AGENT_INPUT!H241&gt;=0,AGENT_INPUT!H241&lt;=1,AGENT_INPUT!I241&gt;=0,AGENT_INPUT!I241&lt;=1,AGENT_INPUT!J241&gt;=0,AGENT_INPUT!J241&lt;=1),"READY","BLOCKED"))</f>
        <v/>
      </c>
      <c r="E241" s="4">
        <f>IF($A241="","",IF(AGENT_INPUT!R241&lt;&gt;"Active","REVIEW",IF(OR(POLICY_APPROVAL!$B$9="Eligibility only",POLICY_APPROVAL!$B$9="Both"),IF(AGENT_INPUT!J241&lt;=SUMIFS(BONUS_RULES!$E$5:$E$46,BONUS_RULES!$A$5:$A$46,$C241,BONUS_RULES!$B$5:$B$46,"Abs%"),"ELIGIBLE","INELIGIBLE ABS"),"ELIGIBLE")))</f>
        <v/>
      </c>
      <c r="F241" s="10">
        <f>IF(OR($A241="",$D241&lt;&gt;"READY"),"",IF(AGENT_INPUT!E241&lt;=SUMIFS(BONUS_RULES!$E$5:$E$46,BONUS_RULES!$A$5:$A$46,$C241,BONUS_RULES!$B$5:$B$46,"AHT"),SUMIFS(BONUS_RULES!$D$5:$D$46,BONUS_RULES!$A$5:$A$46,$C241,BONUS_RULES!$B$5:$B$46,"AHT"),IF(AGENT_INPUT!E241&lt;=SUMIFS(BONUS_RULES!$G$5:$G$46,BONUS_RULES!$A$5:$A$46,$C241,BONUS_RULES!$B$5:$B$46,"AHT"),SUMIFS(BONUS_RULES!$F$5:$F$46,BONUS_RULES!$A$5:$A$46,$C241,BONUS_RULES!$B$5:$B$46,"AHT"),0)))</f>
        <v/>
      </c>
      <c r="G241" s="10">
        <f>IF(OR($A241="",$D241&lt;&gt;"READY"),"",IF(AGENT_INPUT!F241&gt;=SUMIFS(BONUS_RULES!$E$5:$E$46,BONUS_RULES!$A$5:$A$46,$C241,BONUS_RULES!$B$5:$B$46,"Productivity"),SUMIFS(BONUS_RULES!$D$5:$D$46,BONUS_RULES!$A$5:$A$46,$C241,BONUS_RULES!$B$5:$B$46,"Productivity"),IF(AGENT_INPUT!F241&gt;=SUMIFS(BONUS_RULES!$G$5:$G$46,BONUS_RULES!$A$5:$A$46,$C241,BONUS_RULES!$B$5:$B$46,"Productivity"),SUMIFS(BONUS_RULES!$F$5:$F$46,BONUS_RULES!$A$5:$A$46,$C241,BONUS_RULES!$B$5:$B$46,"Productivity"),0)))</f>
        <v/>
      </c>
      <c r="H241" s="10">
        <f>IF(OR($A241="",$D241&lt;&gt;"READY"),"",IF(AGENT_INPUT!G241&gt;=SUMIFS(BONUS_RULES!$E$5:$E$46,BONUS_RULES!$A$5:$A$46,$C241,BONUS_RULES!$B$5:$B$46,"PCS Score"),SUMIFS(BONUS_RULES!$D$5:$D$46,BONUS_RULES!$A$5:$A$46,$C241,BONUS_RULES!$B$5:$B$46,"PCS Score"),IF(AGENT_INPUT!G241&gt;=SUMIFS(BONUS_RULES!$G$5:$G$46,BONUS_RULES!$A$5:$A$46,$C241,BONUS_RULES!$B$5:$B$46,"PCS Score"),SUMIFS(BONUS_RULES!$F$5:$F$46,BONUS_RULES!$A$5:$A$46,$C241,BONUS_RULES!$B$5:$B$46,"PCS Score"),0)))</f>
        <v/>
      </c>
      <c r="I241" s="10">
        <f>IF(OR($A241="",$D241&lt;&gt;"READY"),"",IF(AGENT_INPUT!H241&gt;=SUMIFS(BONUS_RULES!$E$5:$E$46,BONUS_RULES!$A$5:$A$46,$C241,BONUS_RULES!$B$5:$B$46,"PCS % (Participation)"),SUMIFS(BONUS_RULES!$D$5:$D$46,BONUS_RULES!$A$5:$A$46,$C241,BONUS_RULES!$B$5:$B$46,"PCS % (Participation)"),IF(AGENT_INPUT!H241&gt;=SUMIFS(BONUS_RULES!$G$5:$G$46,BONUS_RULES!$A$5:$A$46,$C241,BONUS_RULES!$B$5:$B$46,"PCS % (Participation)"),SUMIFS(BONUS_RULES!$F$5:$F$46,BONUS_RULES!$A$5:$A$46,$C241,BONUS_RULES!$B$5:$B$46,"PCS % (Participation)"),0)))</f>
        <v/>
      </c>
      <c r="J241" s="10">
        <f>IF(OR($A241="",$D241&lt;&gt;"READY"),"",IF(AGENT_INPUT!I241&gt;=SUMIFS(BONUS_RULES!$E$5:$E$46,BONUS_RULES!$A$5:$A$46,$C241,BONUS_RULES!$B$5:$B$46,"QM"),SUMIFS(BONUS_RULES!$D$5:$D$46,BONUS_RULES!$A$5:$A$46,$C241,BONUS_RULES!$B$5:$B$46,"QM"),IF(AGENT_INPUT!I241&gt;=SUMIFS(BONUS_RULES!$G$5:$G$46,BONUS_RULES!$A$5:$A$46,$C241,BONUS_RULES!$B$5:$B$46,"QM"),SUMIFS(BONUS_RULES!$F$5:$F$46,BONUS_RULES!$A$5:$A$46,$C241,BONUS_RULES!$B$5:$B$46,"QM"),0)))</f>
        <v/>
      </c>
      <c r="K241" s="10">
        <f>IF(POLICY_APPROVAL!$B$9="Eligibility only",0,IF(OR($A241="",$D241&lt;&gt;"READY"),"",IF(AGENT_INPUT!J241&lt;=SUMIFS(BONUS_RULES!$E$5:$E$46,BONUS_RULES!$A$5:$A$46,$C241,BONUS_RULES!$B$5:$B$46,"Abs%"),SUMIFS(BONUS_RULES!$D$5:$D$46,BONUS_RULES!$A$5:$A$46,$C241,BONUS_RULES!$B$5:$B$46,"Abs%"),IF(AGENT_INPUT!J241&lt;=SUMIFS(BONUS_RULES!$G$5:$G$46,BONUS_RULES!$A$5:$A$46,$C241,BONUS_RULES!$B$5:$B$46,"Abs%"),SUMIFS(BONUS_RULES!$F$5:$F$46,BONUS_RULES!$A$5:$A$46,$C241,BONUS_RULES!$B$5:$B$46,"Abs%"),0))))</f>
        <v/>
      </c>
      <c r="L241" s="10">
        <f>IF(OR($A241="",$D241&lt;&gt;"READY"),"",IF(AGENT_INPUT!G241&gt;=SUMIFS(BONUS_RULES!$E$5:$E$46,BONUS_RULES!$A$5:$A$46,$C241,BONUS_RULES!$B$5:$B$46,"Extra Bonus (PCS Score)"),SUMIFS(BONUS_RULES!$D$5:$D$46,BONUS_RULES!$A$5:$A$46,$C241,BONUS_RULES!$B$5:$B$46,"Extra Bonus (PCS Score)"),IF(AGENT_INPUT!G241&gt;=SUMIFS(BONUS_RULES!$G$5:$G$46,BONUS_RULES!$A$5:$A$46,$C241,BONUS_RULES!$B$5:$B$46,"Extra Bonus (PCS Score)"),SUMIFS(BONUS_RULES!$F$5:$F$46,BONUS_RULES!$A$5:$A$46,$C241,BONUS_RULES!$B$5:$B$46,"Extra Bonus (PCS Score)"),0)))</f>
        <v/>
      </c>
      <c r="M241" s="10">
        <f>IF($A241="","",MIN(IF(POLICY_APPROVAL!$B$6="Replacement",SUM(F241:K241)-H241+MAX(H241,L241),SUM(F241:L241)),POLICY_APPROVAL!$B$10))</f>
        <v/>
      </c>
      <c r="N241" s="10">
        <f>IF($A241="","",IFERROR(INDEX(BONUS_RULES!$J$5:$J$10,MATCH(MIN(MAX(AGENT_INPUT!K241,0),5),BONUS_RULES!$I$5:$I$10,0)),1))</f>
        <v/>
      </c>
      <c r="O241" s="10">
        <f>IF(M241="","",MAX(0,IF(POLICY_APPROVAL!$B$5="Percentage points",M241-N241,M241*(1-N241))))</f>
        <v/>
      </c>
      <c r="P241" s="11">
        <f>IF(D241&lt;&gt;"READY","",IF(AGENT_INPUT!O241&gt;0,AGENT_INPUT!O241,AGENT_INPUT!M241*AGENT_INPUT!N241/IF(POLICY_APPROVAL!$B$7="Annual",12,1)))</f>
        <v/>
      </c>
      <c r="Q241" s="10">
        <f>IF(D241&lt;&gt;"READY","",MIN(1,AGENT_INPUT!P241/AGENT_INPUT!Q241))</f>
        <v/>
      </c>
      <c r="R241" s="11">
        <f>IF(D241&lt;&gt;"READY","",ROUND(P241*Q241*O241,IF(POLICY_APPROVAL!$B$11="Whole MAD",0,2)))</f>
        <v/>
      </c>
      <c r="S241" s="11">
        <f>IF(AND(SETUP!$B$9="READY",T241="READY"),R241,"")</f>
        <v/>
      </c>
      <c r="T241" s="4">
        <f>IF($A241="","",IF(D241&lt;&gt;"READY","BLOCKED - INPUT",IF(E241&lt;&gt;"ELIGIBLE","BLOCKED - ELIGIBILITY",IF(AGENT_INPUT!S241&lt;&gt;"VALIDATED","BLOCKED - DATA",IF(SETUP!$B$9&lt;&gt;"READY","BLOCKED - POLICY","READY")))))</f>
        <v/>
      </c>
      <c r="U241" s="4">
        <f>IF($A241="","",IF(COUNTIFS(AGENT_INPUT!$A$5:$A$254,$A241,AGENT_INPUT!$D$5:$D$254,AGENT_INPUT!D241)&gt;1,"DUPLICATE AGENT + PERIOD",IF(D241&lt;&gt;"READY","INPUT OR CONFIG REVIEW",IF(T241&lt;&gt;"READY",T241,""))))</f>
        <v/>
      </c>
    </row>
    <row r="242" spans="1:21">
      <c r="A242" s="4">
        <f>IF(AGENT_INPUT!A242="","",AGENT_INPUT!A242)</f>
        <v/>
      </c>
      <c r="B242" s="4">
        <f>IF($A242="","",AGENT_INPUT!B242)</f>
        <v/>
      </c>
      <c r="C242" s="4">
        <f>IF($A242="","",AGENT_INPUT!C242)</f>
        <v/>
      </c>
      <c r="D242" s="4">
        <f>IF($A242="","",IF(AND(COUNT(AGENT_INPUT!E242:J242)=6,COUNT(AGENT_INPUT!K242)=1,COUNTIF(BONUS_RULES!$A$5:$A$46,AGENT_INPUT!C242)&gt;0,OR(AGENT_INPUT!O242&gt;0,AND(AGENT_INPUT!M242&gt;0,AGENT_INPUT!N242&gt;0)),AGENT_INPUT!P242&gt;=0,AGENT_INPUT!Q242&gt;0,AGENT_INPUT!P242&lt;=AGENT_INPUT!Q242,AGENT_INPUT!H242&gt;=0,AGENT_INPUT!H242&lt;=1,AGENT_INPUT!I242&gt;=0,AGENT_INPUT!I242&lt;=1,AGENT_INPUT!J242&gt;=0,AGENT_INPUT!J242&lt;=1),"READY","BLOCKED"))</f>
        <v/>
      </c>
      <c r="E242" s="4">
        <f>IF($A242="","",IF(AGENT_INPUT!R242&lt;&gt;"Active","REVIEW",IF(OR(POLICY_APPROVAL!$B$9="Eligibility only",POLICY_APPROVAL!$B$9="Both"),IF(AGENT_INPUT!J242&lt;=SUMIFS(BONUS_RULES!$E$5:$E$46,BONUS_RULES!$A$5:$A$46,$C242,BONUS_RULES!$B$5:$B$46,"Abs%"),"ELIGIBLE","INELIGIBLE ABS"),"ELIGIBLE")))</f>
        <v/>
      </c>
      <c r="F242" s="10">
        <f>IF(OR($A242="",$D242&lt;&gt;"READY"),"",IF(AGENT_INPUT!E242&lt;=SUMIFS(BONUS_RULES!$E$5:$E$46,BONUS_RULES!$A$5:$A$46,$C242,BONUS_RULES!$B$5:$B$46,"AHT"),SUMIFS(BONUS_RULES!$D$5:$D$46,BONUS_RULES!$A$5:$A$46,$C242,BONUS_RULES!$B$5:$B$46,"AHT"),IF(AGENT_INPUT!E242&lt;=SUMIFS(BONUS_RULES!$G$5:$G$46,BONUS_RULES!$A$5:$A$46,$C242,BONUS_RULES!$B$5:$B$46,"AHT"),SUMIFS(BONUS_RULES!$F$5:$F$46,BONUS_RULES!$A$5:$A$46,$C242,BONUS_RULES!$B$5:$B$46,"AHT"),0)))</f>
        <v/>
      </c>
      <c r="G242" s="10">
        <f>IF(OR($A242="",$D242&lt;&gt;"READY"),"",IF(AGENT_INPUT!F242&gt;=SUMIFS(BONUS_RULES!$E$5:$E$46,BONUS_RULES!$A$5:$A$46,$C242,BONUS_RULES!$B$5:$B$46,"Productivity"),SUMIFS(BONUS_RULES!$D$5:$D$46,BONUS_RULES!$A$5:$A$46,$C242,BONUS_RULES!$B$5:$B$46,"Productivity"),IF(AGENT_INPUT!F242&gt;=SUMIFS(BONUS_RULES!$G$5:$G$46,BONUS_RULES!$A$5:$A$46,$C242,BONUS_RULES!$B$5:$B$46,"Productivity"),SUMIFS(BONUS_RULES!$F$5:$F$46,BONUS_RULES!$A$5:$A$46,$C242,BONUS_RULES!$B$5:$B$46,"Productivity"),0)))</f>
        <v/>
      </c>
      <c r="H242" s="10">
        <f>IF(OR($A242="",$D242&lt;&gt;"READY"),"",IF(AGENT_INPUT!G242&gt;=SUMIFS(BONUS_RULES!$E$5:$E$46,BONUS_RULES!$A$5:$A$46,$C242,BONUS_RULES!$B$5:$B$46,"PCS Score"),SUMIFS(BONUS_RULES!$D$5:$D$46,BONUS_RULES!$A$5:$A$46,$C242,BONUS_RULES!$B$5:$B$46,"PCS Score"),IF(AGENT_INPUT!G242&gt;=SUMIFS(BONUS_RULES!$G$5:$G$46,BONUS_RULES!$A$5:$A$46,$C242,BONUS_RULES!$B$5:$B$46,"PCS Score"),SUMIFS(BONUS_RULES!$F$5:$F$46,BONUS_RULES!$A$5:$A$46,$C242,BONUS_RULES!$B$5:$B$46,"PCS Score"),0)))</f>
        <v/>
      </c>
      <c r="I242" s="10">
        <f>IF(OR($A242="",$D242&lt;&gt;"READY"),"",IF(AGENT_INPUT!H242&gt;=SUMIFS(BONUS_RULES!$E$5:$E$46,BONUS_RULES!$A$5:$A$46,$C242,BONUS_RULES!$B$5:$B$46,"PCS % (Participation)"),SUMIFS(BONUS_RULES!$D$5:$D$46,BONUS_RULES!$A$5:$A$46,$C242,BONUS_RULES!$B$5:$B$46,"PCS % (Participation)"),IF(AGENT_INPUT!H242&gt;=SUMIFS(BONUS_RULES!$G$5:$G$46,BONUS_RULES!$A$5:$A$46,$C242,BONUS_RULES!$B$5:$B$46,"PCS % (Participation)"),SUMIFS(BONUS_RULES!$F$5:$F$46,BONUS_RULES!$A$5:$A$46,$C242,BONUS_RULES!$B$5:$B$46,"PCS % (Participation)"),0)))</f>
        <v/>
      </c>
      <c r="J242" s="10">
        <f>IF(OR($A242="",$D242&lt;&gt;"READY"),"",IF(AGENT_INPUT!I242&gt;=SUMIFS(BONUS_RULES!$E$5:$E$46,BONUS_RULES!$A$5:$A$46,$C242,BONUS_RULES!$B$5:$B$46,"QM"),SUMIFS(BONUS_RULES!$D$5:$D$46,BONUS_RULES!$A$5:$A$46,$C242,BONUS_RULES!$B$5:$B$46,"QM"),IF(AGENT_INPUT!I242&gt;=SUMIFS(BONUS_RULES!$G$5:$G$46,BONUS_RULES!$A$5:$A$46,$C242,BONUS_RULES!$B$5:$B$46,"QM"),SUMIFS(BONUS_RULES!$F$5:$F$46,BONUS_RULES!$A$5:$A$46,$C242,BONUS_RULES!$B$5:$B$46,"QM"),0)))</f>
        <v/>
      </c>
      <c r="K242" s="10">
        <f>IF(POLICY_APPROVAL!$B$9="Eligibility only",0,IF(OR($A242="",$D242&lt;&gt;"READY"),"",IF(AGENT_INPUT!J242&lt;=SUMIFS(BONUS_RULES!$E$5:$E$46,BONUS_RULES!$A$5:$A$46,$C242,BONUS_RULES!$B$5:$B$46,"Abs%"),SUMIFS(BONUS_RULES!$D$5:$D$46,BONUS_RULES!$A$5:$A$46,$C242,BONUS_RULES!$B$5:$B$46,"Abs%"),IF(AGENT_INPUT!J242&lt;=SUMIFS(BONUS_RULES!$G$5:$G$46,BONUS_RULES!$A$5:$A$46,$C242,BONUS_RULES!$B$5:$B$46,"Abs%"),SUMIFS(BONUS_RULES!$F$5:$F$46,BONUS_RULES!$A$5:$A$46,$C242,BONUS_RULES!$B$5:$B$46,"Abs%"),0))))</f>
        <v/>
      </c>
      <c r="L242" s="10">
        <f>IF(OR($A242="",$D242&lt;&gt;"READY"),"",IF(AGENT_INPUT!G242&gt;=SUMIFS(BONUS_RULES!$E$5:$E$46,BONUS_RULES!$A$5:$A$46,$C242,BONUS_RULES!$B$5:$B$46,"Extra Bonus (PCS Score)"),SUMIFS(BONUS_RULES!$D$5:$D$46,BONUS_RULES!$A$5:$A$46,$C242,BONUS_RULES!$B$5:$B$46,"Extra Bonus (PCS Score)"),IF(AGENT_INPUT!G242&gt;=SUMIFS(BONUS_RULES!$G$5:$G$46,BONUS_RULES!$A$5:$A$46,$C242,BONUS_RULES!$B$5:$B$46,"Extra Bonus (PCS Score)"),SUMIFS(BONUS_RULES!$F$5:$F$46,BONUS_RULES!$A$5:$A$46,$C242,BONUS_RULES!$B$5:$B$46,"Extra Bonus (PCS Score)"),0)))</f>
        <v/>
      </c>
      <c r="M242" s="10">
        <f>IF($A242="","",MIN(IF(POLICY_APPROVAL!$B$6="Replacement",SUM(F242:K242)-H242+MAX(H242,L242),SUM(F242:L242)),POLICY_APPROVAL!$B$10))</f>
        <v/>
      </c>
      <c r="N242" s="10">
        <f>IF($A242="","",IFERROR(INDEX(BONUS_RULES!$J$5:$J$10,MATCH(MIN(MAX(AGENT_INPUT!K242,0),5),BONUS_RULES!$I$5:$I$10,0)),1))</f>
        <v/>
      </c>
      <c r="O242" s="10">
        <f>IF(M242="","",MAX(0,IF(POLICY_APPROVAL!$B$5="Percentage points",M242-N242,M242*(1-N242))))</f>
        <v/>
      </c>
      <c r="P242" s="11">
        <f>IF(D242&lt;&gt;"READY","",IF(AGENT_INPUT!O242&gt;0,AGENT_INPUT!O242,AGENT_INPUT!M242*AGENT_INPUT!N242/IF(POLICY_APPROVAL!$B$7="Annual",12,1)))</f>
        <v/>
      </c>
      <c r="Q242" s="10">
        <f>IF(D242&lt;&gt;"READY","",MIN(1,AGENT_INPUT!P242/AGENT_INPUT!Q242))</f>
        <v/>
      </c>
      <c r="R242" s="11">
        <f>IF(D242&lt;&gt;"READY","",ROUND(P242*Q242*O242,IF(POLICY_APPROVAL!$B$11="Whole MAD",0,2)))</f>
        <v/>
      </c>
      <c r="S242" s="11">
        <f>IF(AND(SETUP!$B$9="READY",T242="READY"),R242,"")</f>
        <v/>
      </c>
      <c r="T242" s="4">
        <f>IF($A242="","",IF(D242&lt;&gt;"READY","BLOCKED - INPUT",IF(E242&lt;&gt;"ELIGIBLE","BLOCKED - ELIGIBILITY",IF(AGENT_INPUT!S242&lt;&gt;"VALIDATED","BLOCKED - DATA",IF(SETUP!$B$9&lt;&gt;"READY","BLOCKED - POLICY","READY")))))</f>
        <v/>
      </c>
      <c r="U242" s="4">
        <f>IF($A242="","",IF(COUNTIFS(AGENT_INPUT!$A$5:$A$254,$A242,AGENT_INPUT!$D$5:$D$254,AGENT_INPUT!D242)&gt;1,"DUPLICATE AGENT + PERIOD",IF(D242&lt;&gt;"READY","INPUT OR CONFIG REVIEW",IF(T242&lt;&gt;"READY",T242,""))))</f>
        <v/>
      </c>
    </row>
    <row r="243" spans="1:21">
      <c r="A243" s="4">
        <f>IF(AGENT_INPUT!A243="","",AGENT_INPUT!A243)</f>
        <v/>
      </c>
      <c r="B243" s="4">
        <f>IF($A243="","",AGENT_INPUT!B243)</f>
        <v/>
      </c>
      <c r="C243" s="4">
        <f>IF($A243="","",AGENT_INPUT!C243)</f>
        <v/>
      </c>
      <c r="D243" s="4">
        <f>IF($A243="","",IF(AND(COUNT(AGENT_INPUT!E243:J243)=6,COUNT(AGENT_INPUT!K243)=1,COUNTIF(BONUS_RULES!$A$5:$A$46,AGENT_INPUT!C243)&gt;0,OR(AGENT_INPUT!O243&gt;0,AND(AGENT_INPUT!M243&gt;0,AGENT_INPUT!N243&gt;0)),AGENT_INPUT!P243&gt;=0,AGENT_INPUT!Q243&gt;0,AGENT_INPUT!P243&lt;=AGENT_INPUT!Q243,AGENT_INPUT!H243&gt;=0,AGENT_INPUT!H243&lt;=1,AGENT_INPUT!I243&gt;=0,AGENT_INPUT!I243&lt;=1,AGENT_INPUT!J243&gt;=0,AGENT_INPUT!J243&lt;=1),"READY","BLOCKED"))</f>
        <v/>
      </c>
      <c r="E243" s="4">
        <f>IF($A243="","",IF(AGENT_INPUT!R243&lt;&gt;"Active","REVIEW",IF(OR(POLICY_APPROVAL!$B$9="Eligibility only",POLICY_APPROVAL!$B$9="Both"),IF(AGENT_INPUT!J243&lt;=SUMIFS(BONUS_RULES!$E$5:$E$46,BONUS_RULES!$A$5:$A$46,$C243,BONUS_RULES!$B$5:$B$46,"Abs%"),"ELIGIBLE","INELIGIBLE ABS"),"ELIGIBLE")))</f>
        <v/>
      </c>
      <c r="F243" s="10">
        <f>IF(OR($A243="",$D243&lt;&gt;"READY"),"",IF(AGENT_INPUT!E243&lt;=SUMIFS(BONUS_RULES!$E$5:$E$46,BONUS_RULES!$A$5:$A$46,$C243,BONUS_RULES!$B$5:$B$46,"AHT"),SUMIFS(BONUS_RULES!$D$5:$D$46,BONUS_RULES!$A$5:$A$46,$C243,BONUS_RULES!$B$5:$B$46,"AHT"),IF(AGENT_INPUT!E243&lt;=SUMIFS(BONUS_RULES!$G$5:$G$46,BONUS_RULES!$A$5:$A$46,$C243,BONUS_RULES!$B$5:$B$46,"AHT"),SUMIFS(BONUS_RULES!$F$5:$F$46,BONUS_RULES!$A$5:$A$46,$C243,BONUS_RULES!$B$5:$B$46,"AHT"),0)))</f>
        <v/>
      </c>
      <c r="G243" s="10">
        <f>IF(OR($A243="",$D243&lt;&gt;"READY"),"",IF(AGENT_INPUT!F243&gt;=SUMIFS(BONUS_RULES!$E$5:$E$46,BONUS_RULES!$A$5:$A$46,$C243,BONUS_RULES!$B$5:$B$46,"Productivity"),SUMIFS(BONUS_RULES!$D$5:$D$46,BONUS_RULES!$A$5:$A$46,$C243,BONUS_RULES!$B$5:$B$46,"Productivity"),IF(AGENT_INPUT!F243&gt;=SUMIFS(BONUS_RULES!$G$5:$G$46,BONUS_RULES!$A$5:$A$46,$C243,BONUS_RULES!$B$5:$B$46,"Productivity"),SUMIFS(BONUS_RULES!$F$5:$F$46,BONUS_RULES!$A$5:$A$46,$C243,BONUS_RULES!$B$5:$B$46,"Productivity"),0)))</f>
        <v/>
      </c>
      <c r="H243" s="10">
        <f>IF(OR($A243="",$D243&lt;&gt;"READY"),"",IF(AGENT_INPUT!G243&gt;=SUMIFS(BONUS_RULES!$E$5:$E$46,BONUS_RULES!$A$5:$A$46,$C243,BONUS_RULES!$B$5:$B$46,"PCS Score"),SUMIFS(BONUS_RULES!$D$5:$D$46,BONUS_RULES!$A$5:$A$46,$C243,BONUS_RULES!$B$5:$B$46,"PCS Score"),IF(AGENT_INPUT!G243&gt;=SUMIFS(BONUS_RULES!$G$5:$G$46,BONUS_RULES!$A$5:$A$46,$C243,BONUS_RULES!$B$5:$B$46,"PCS Score"),SUMIFS(BONUS_RULES!$F$5:$F$46,BONUS_RULES!$A$5:$A$46,$C243,BONUS_RULES!$B$5:$B$46,"PCS Score"),0)))</f>
        <v/>
      </c>
      <c r="I243" s="10">
        <f>IF(OR($A243="",$D243&lt;&gt;"READY"),"",IF(AGENT_INPUT!H243&gt;=SUMIFS(BONUS_RULES!$E$5:$E$46,BONUS_RULES!$A$5:$A$46,$C243,BONUS_RULES!$B$5:$B$46,"PCS % (Participation)"),SUMIFS(BONUS_RULES!$D$5:$D$46,BONUS_RULES!$A$5:$A$46,$C243,BONUS_RULES!$B$5:$B$46,"PCS % (Participation)"),IF(AGENT_INPUT!H243&gt;=SUMIFS(BONUS_RULES!$G$5:$G$46,BONUS_RULES!$A$5:$A$46,$C243,BONUS_RULES!$B$5:$B$46,"PCS % (Participation)"),SUMIFS(BONUS_RULES!$F$5:$F$46,BONUS_RULES!$A$5:$A$46,$C243,BONUS_RULES!$B$5:$B$46,"PCS % (Participation)"),0)))</f>
        <v/>
      </c>
      <c r="J243" s="10">
        <f>IF(OR($A243="",$D243&lt;&gt;"READY"),"",IF(AGENT_INPUT!I243&gt;=SUMIFS(BONUS_RULES!$E$5:$E$46,BONUS_RULES!$A$5:$A$46,$C243,BONUS_RULES!$B$5:$B$46,"QM"),SUMIFS(BONUS_RULES!$D$5:$D$46,BONUS_RULES!$A$5:$A$46,$C243,BONUS_RULES!$B$5:$B$46,"QM"),IF(AGENT_INPUT!I243&gt;=SUMIFS(BONUS_RULES!$G$5:$G$46,BONUS_RULES!$A$5:$A$46,$C243,BONUS_RULES!$B$5:$B$46,"QM"),SUMIFS(BONUS_RULES!$F$5:$F$46,BONUS_RULES!$A$5:$A$46,$C243,BONUS_RULES!$B$5:$B$46,"QM"),0)))</f>
        <v/>
      </c>
      <c r="K243" s="10">
        <f>IF(POLICY_APPROVAL!$B$9="Eligibility only",0,IF(OR($A243="",$D243&lt;&gt;"READY"),"",IF(AGENT_INPUT!J243&lt;=SUMIFS(BONUS_RULES!$E$5:$E$46,BONUS_RULES!$A$5:$A$46,$C243,BONUS_RULES!$B$5:$B$46,"Abs%"),SUMIFS(BONUS_RULES!$D$5:$D$46,BONUS_RULES!$A$5:$A$46,$C243,BONUS_RULES!$B$5:$B$46,"Abs%"),IF(AGENT_INPUT!J243&lt;=SUMIFS(BONUS_RULES!$G$5:$G$46,BONUS_RULES!$A$5:$A$46,$C243,BONUS_RULES!$B$5:$B$46,"Abs%"),SUMIFS(BONUS_RULES!$F$5:$F$46,BONUS_RULES!$A$5:$A$46,$C243,BONUS_RULES!$B$5:$B$46,"Abs%"),0))))</f>
        <v/>
      </c>
      <c r="L243" s="10">
        <f>IF(OR($A243="",$D243&lt;&gt;"READY"),"",IF(AGENT_INPUT!G243&gt;=SUMIFS(BONUS_RULES!$E$5:$E$46,BONUS_RULES!$A$5:$A$46,$C243,BONUS_RULES!$B$5:$B$46,"Extra Bonus (PCS Score)"),SUMIFS(BONUS_RULES!$D$5:$D$46,BONUS_RULES!$A$5:$A$46,$C243,BONUS_RULES!$B$5:$B$46,"Extra Bonus (PCS Score)"),IF(AGENT_INPUT!G243&gt;=SUMIFS(BONUS_RULES!$G$5:$G$46,BONUS_RULES!$A$5:$A$46,$C243,BONUS_RULES!$B$5:$B$46,"Extra Bonus (PCS Score)"),SUMIFS(BONUS_RULES!$F$5:$F$46,BONUS_RULES!$A$5:$A$46,$C243,BONUS_RULES!$B$5:$B$46,"Extra Bonus (PCS Score)"),0)))</f>
        <v/>
      </c>
      <c r="M243" s="10">
        <f>IF($A243="","",MIN(IF(POLICY_APPROVAL!$B$6="Replacement",SUM(F243:K243)-H243+MAX(H243,L243),SUM(F243:L243)),POLICY_APPROVAL!$B$10))</f>
        <v/>
      </c>
      <c r="N243" s="10">
        <f>IF($A243="","",IFERROR(INDEX(BONUS_RULES!$J$5:$J$10,MATCH(MIN(MAX(AGENT_INPUT!K243,0),5),BONUS_RULES!$I$5:$I$10,0)),1))</f>
        <v/>
      </c>
      <c r="O243" s="10">
        <f>IF(M243="","",MAX(0,IF(POLICY_APPROVAL!$B$5="Percentage points",M243-N243,M243*(1-N243))))</f>
        <v/>
      </c>
      <c r="P243" s="11">
        <f>IF(D243&lt;&gt;"READY","",IF(AGENT_INPUT!O243&gt;0,AGENT_INPUT!O243,AGENT_INPUT!M243*AGENT_INPUT!N243/IF(POLICY_APPROVAL!$B$7="Annual",12,1)))</f>
        <v/>
      </c>
      <c r="Q243" s="10">
        <f>IF(D243&lt;&gt;"READY","",MIN(1,AGENT_INPUT!P243/AGENT_INPUT!Q243))</f>
        <v/>
      </c>
      <c r="R243" s="11">
        <f>IF(D243&lt;&gt;"READY","",ROUND(P243*Q243*O243,IF(POLICY_APPROVAL!$B$11="Whole MAD",0,2)))</f>
        <v/>
      </c>
      <c r="S243" s="11">
        <f>IF(AND(SETUP!$B$9="READY",T243="READY"),R243,"")</f>
        <v/>
      </c>
      <c r="T243" s="4">
        <f>IF($A243="","",IF(D243&lt;&gt;"READY","BLOCKED - INPUT",IF(E243&lt;&gt;"ELIGIBLE","BLOCKED - ELIGIBILITY",IF(AGENT_INPUT!S243&lt;&gt;"VALIDATED","BLOCKED - DATA",IF(SETUP!$B$9&lt;&gt;"READY","BLOCKED - POLICY","READY")))))</f>
        <v/>
      </c>
      <c r="U243" s="4">
        <f>IF($A243="","",IF(COUNTIFS(AGENT_INPUT!$A$5:$A$254,$A243,AGENT_INPUT!$D$5:$D$254,AGENT_INPUT!D243)&gt;1,"DUPLICATE AGENT + PERIOD",IF(D243&lt;&gt;"READY","INPUT OR CONFIG REVIEW",IF(T243&lt;&gt;"READY",T243,""))))</f>
        <v/>
      </c>
    </row>
    <row r="244" spans="1:21">
      <c r="A244" s="4">
        <f>IF(AGENT_INPUT!A244="","",AGENT_INPUT!A244)</f>
        <v/>
      </c>
      <c r="B244" s="4">
        <f>IF($A244="","",AGENT_INPUT!B244)</f>
        <v/>
      </c>
      <c r="C244" s="4">
        <f>IF($A244="","",AGENT_INPUT!C244)</f>
        <v/>
      </c>
      <c r="D244" s="4">
        <f>IF($A244="","",IF(AND(COUNT(AGENT_INPUT!E244:J244)=6,COUNT(AGENT_INPUT!K244)=1,COUNTIF(BONUS_RULES!$A$5:$A$46,AGENT_INPUT!C244)&gt;0,OR(AGENT_INPUT!O244&gt;0,AND(AGENT_INPUT!M244&gt;0,AGENT_INPUT!N244&gt;0)),AGENT_INPUT!P244&gt;=0,AGENT_INPUT!Q244&gt;0,AGENT_INPUT!P244&lt;=AGENT_INPUT!Q244,AGENT_INPUT!H244&gt;=0,AGENT_INPUT!H244&lt;=1,AGENT_INPUT!I244&gt;=0,AGENT_INPUT!I244&lt;=1,AGENT_INPUT!J244&gt;=0,AGENT_INPUT!J244&lt;=1),"READY","BLOCKED"))</f>
        <v/>
      </c>
      <c r="E244" s="4">
        <f>IF($A244="","",IF(AGENT_INPUT!R244&lt;&gt;"Active","REVIEW",IF(OR(POLICY_APPROVAL!$B$9="Eligibility only",POLICY_APPROVAL!$B$9="Both"),IF(AGENT_INPUT!J244&lt;=SUMIFS(BONUS_RULES!$E$5:$E$46,BONUS_RULES!$A$5:$A$46,$C244,BONUS_RULES!$B$5:$B$46,"Abs%"),"ELIGIBLE","INELIGIBLE ABS"),"ELIGIBLE")))</f>
        <v/>
      </c>
      <c r="F244" s="10">
        <f>IF(OR($A244="",$D244&lt;&gt;"READY"),"",IF(AGENT_INPUT!E244&lt;=SUMIFS(BONUS_RULES!$E$5:$E$46,BONUS_RULES!$A$5:$A$46,$C244,BONUS_RULES!$B$5:$B$46,"AHT"),SUMIFS(BONUS_RULES!$D$5:$D$46,BONUS_RULES!$A$5:$A$46,$C244,BONUS_RULES!$B$5:$B$46,"AHT"),IF(AGENT_INPUT!E244&lt;=SUMIFS(BONUS_RULES!$G$5:$G$46,BONUS_RULES!$A$5:$A$46,$C244,BONUS_RULES!$B$5:$B$46,"AHT"),SUMIFS(BONUS_RULES!$F$5:$F$46,BONUS_RULES!$A$5:$A$46,$C244,BONUS_RULES!$B$5:$B$46,"AHT"),0)))</f>
        <v/>
      </c>
      <c r="G244" s="10">
        <f>IF(OR($A244="",$D244&lt;&gt;"READY"),"",IF(AGENT_INPUT!F244&gt;=SUMIFS(BONUS_RULES!$E$5:$E$46,BONUS_RULES!$A$5:$A$46,$C244,BONUS_RULES!$B$5:$B$46,"Productivity"),SUMIFS(BONUS_RULES!$D$5:$D$46,BONUS_RULES!$A$5:$A$46,$C244,BONUS_RULES!$B$5:$B$46,"Productivity"),IF(AGENT_INPUT!F244&gt;=SUMIFS(BONUS_RULES!$G$5:$G$46,BONUS_RULES!$A$5:$A$46,$C244,BONUS_RULES!$B$5:$B$46,"Productivity"),SUMIFS(BONUS_RULES!$F$5:$F$46,BONUS_RULES!$A$5:$A$46,$C244,BONUS_RULES!$B$5:$B$46,"Productivity"),0)))</f>
        <v/>
      </c>
      <c r="H244" s="10">
        <f>IF(OR($A244="",$D244&lt;&gt;"READY"),"",IF(AGENT_INPUT!G244&gt;=SUMIFS(BONUS_RULES!$E$5:$E$46,BONUS_RULES!$A$5:$A$46,$C244,BONUS_RULES!$B$5:$B$46,"PCS Score"),SUMIFS(BONUS_RULES!$D$5:$D$46,BONUS_RULES!$A$5:$A$46,$C244,BONUS_RULES!$B$5:$B$46,"PCS Score"),IF(AGENT_INPUT!G244&gt;=SUMIFS(BONUS_RULES!$G$5:$G$46,BONUS_RULES!$A$5:$A$46,$C244,BONUS_RULES!$B$5:$B$46,"PCS Score"),SUMIFS(BONUS_RULES!$F$5:$F$46,BONUS_RULES!$A$5:$A$46,$C244,BONUS_RULES!$B$5:$B$46,"PCS Score"),0)))</f>
        <v/>
      </c>
      <c r="I244" s="10">
        <f>IF(OR($A244="",$D244&lt;&gt;"READY"),"",IF(AGENT_INPUT!H244&gt;=SUMIFS(BONUS_RULES!$E$5:$E$46,BONUS_RULES!$A$5:$A$46,$C244,BONUS_RULES!$B$5:$B$46,"PCS % (Participation)"),SUMIFS(BONUS_RULES!$D$5:$D$46,BONUS_RULES!$A$5:$A$46,$C244,BONUS_RULES!$B$5:$B$46,"PCS % (Participation)"),IF(AGENT_INPUT!H244&gt;=SUMIFS(BONUS_RULES!$G$5:$G$46,BONUS_RULES!$A$5:$A$46,$C244,BONUS_RULES!$B$5:$B$46,"PCS % (Participation)"),SUMIFS(BONUS_RULES!$F$5:$F$46,BONUS_RULES!$A$5:$A$46,$C244,BONUS_RULES!$B$5:$B$46,"PCS % (Participation)"),0)))</f>
        <v/>
      </c>
      <c r="J244" s="10">
        <f>IF(OR($A244="",$D244&lt;&gt;"READY"),"",IF(AGENT_INPUT!I244&gt;=SUMIFS(BONUS_RULES!$E$5:$E$46,BONUS_RULES!$A$5:$A$46,$C244,BONUS_RULES!$B$5:$B$46,"QM"),SUMIFS(BONUS_RULES!$D$5:$D$46,BONUS_RULES!$A$5:$A$46,$C244,BONUS_RULES!$B$5:$B$46,"QM"),IF(AGENT_INPUT!I244&gt;=SUMIFS(BONUS_RULES!$G$5:$G$46,BONUS_RULES!$A$5:$A$46,$C244,BONUS_RULES!$B$5:$B$46,"QM"),SUMIFS(BONUS_RULES!$F$5:$F$46,BONUS_RULES!$A$5:$A$46,$C244,BONUS_RULES!$B$5:$B$46,"QM"),0)))</f>
        <v/>
      </c>
      <c r="K244" s="10">
        <f>IF(POLICY_APPROVAL!$B$9="Eligibility only",0,IF(OR($A244="",$D244&lt;&gt;"READY"),"",IF(AGENT_INPUT!J244&lt;=SUMIFS(BONUS_RULES!$E$5:$E$46,BONUS_RULES!$A$5:$A$46,$C244,BONUS_RULES!$B$5:$B$46,"Abs%"),SUMIFS(BONUS_RULES!$D$5:$D$46,BONUS_RULES!$A$5:$A$46,$C244,BONUS_RULES!$B$5:$B$46,"Abs%"),IF(AGENT_INPUT!J244&lt;=SUMIFS(BONUS_RULES!$G$5:$G$46,BONUS_RULES!$A$5:$A$46,$C244,BONUS_RULES!$B$5:$B$46,"Abs%"),SUMIFS(BONUS_RULES!$F$5:$F$46,BONUS_RULES!$A$5:$A$46,$C244,BONUS_RULES!$B$5:$B$46,"Abs%"),0))))</f>
        <v/>
      </c>
      <c r="L244" s="10">
        <f>IF(OR($A244="",$D244&lt;&gt;"READY"),"",IF(AGENT_INPUT!G244&gt;=SUMIFS(BONUS_RULES!$E$5:$E$46,BONUS_RULES!$A$5:$A$46,$C244,BONUS_RULES!$B$5:$B$46,"Extra Bonus (PCS Score)"),SUMIFS(BONUS_RULES!$D$5:$D$46,BONUS_RULES!$A$5:$A$46,$C244,BONUS_RULES!$B$5:$B$46,"Extra Bonus (PCS Score)"),IF(AGENT_INPUT!G244&gt;=SUMIFS(BONUS_RULES!$G$5:$G$46,BONUS_RULES!$A$5:$A$46,$C244,BONUS_RULES!$B$5:$B$46,"Extra Bonus (PCS Score)"),SUMIFS(BONUS_RULES!$F$5:$F$46,BONUS_RULES!$A$5:$A$46,$C244,BONUS_RULES!$B$5:$B$46,"Extra Bonus (PCS Score)"),0)))</f>
        <v/>
      </c>
      <c r="M244" s="10">
        <f>IF($A244="","",MIN(IF(POLICY_APPROVAL!$B$6="Replacement",SUM(F244:K244)-H244+MAX(H244,L244),SUM(F244:L244)),POLICY_APPROVAL!$B$10))</f>
        <v/>
      </c>
      <c r="N244" s="10">
        <f>IF($A244="","",IFERROR(INDEX(BONUS_RULES!$J$5:$J$10,MATCH(MIN(MAX(AGENT_INPUT!K244,0),5),BONUS_RULES!$I$5:$I$10,0)),1))</f>
        <v/>
      </c>
      <c r="O244" s="10">
        <f>IF(M244="","",MAX(0,IF(POLICY_APPROVAL!$B$5="Percentage points",M244-N244,M244*(1-N244))))</f>
        <v/>
      </c>
      <c r="P244" s="11">
        <f>IF(D244&lt;&gt;"READY","",IF(AGENT_INPUT!O244&gt;0,AGENT_INPUT!O244,AGENT_INPUT!M244*AGENT_INPUT!N244/IF(POLICY_APPROVAL!$B$7="Annual",12,1)))</f>
        <v/>
      </c>
      <c r="Q244" s="10">
        <f>IF(D244&lt;&gt;"READY","",MIN(1,AGENT_INPUT!P244/AGENT_INPUT!Q244))</f>
        <v/>
      </c>
      <c r="R244" s="11">
        <f>IF(D244&lt;&gt;"READY","",ROUND(P244*Q244*O244,IF(POLICY_APPROVAL!$B$11="Whole MAD",0,2)))</f>
        <v/>
      </c>
      <c r="S244" s="11">
        <f>IF(AND(SETUP!$B$9="READY",T244="READY"),R244,"")</f>
        <v/>
      </c>
      <c r="T244" s="4">
        <f>IF($A244="","",IF(D244&lt;&gt;"READY","BLOCKED - INPUT",IF(E244&lt;&gt;"ELIGIBLE","BLOCKED - ELIGIBILITY",IF(AGENT_INPUT!S244&lt;&gt;"VALIDATED","BLOCKED - DATA",IF(SETUP!$B$9&lt;&gt;"READY","BLOCKED - POLICY","READY")))))</f>
        <v/>
      </c>
      <c r="U244" s="4">
        <f>IF($A244="","",IF(COUNTIFS(AGENT_INPUT!$A$5:$A$254,$A244,AGENT_INPUT!$D$5:$D$254,AGENT_INPUT!D244)&gt;1,"DUPLICATE AGENT + PERIOD",IF(D244&lt;&gt;"READY","INPUT OR CONFIG REVIEW",IF(T244&lt;&gt;"READY",T244,""))))</f>
        <v/>
      </c>
    </row>
    <row r="245" spans="1:21">
      <c r="A245" s="4">
        <f>IF(AGENT_INPUT!A245="","",AGENT_INPUT!A245)</f>
        <v/>
      </c>
      <c r="B245" s="4">
        <f>IF($A245="","",AGENT_INPUT!B245)</f>
        <v/>
      </c>
      <c r="C245" s="4">
        <f>IF($A245="","",AGENT_INPUT!C245)</f>
        <v/>
      </c>
      <c r="D245" s="4">
        <f>IF($A245="","",IF(AND(COUNT(AGENT_INPUT!E245:J245)=6,COUNT(AGENT_INPUT!K245)=1,COUNTIF(BONUS_RULES!$A$5:$A$46,AGENT_INPUT!C245)&gt;0,OR(AGENT_INPUT!O245&gt;0,AND(AGENT_INPUT!M245&gt;0,AGENT_INPUT!N245&gt;0)),AGENT_INPUT!P245&gt;=0,AGENT_INPUT!Q245&gt;0,AGENT_INPUT!P245&lt;=AGENT_INPUT!Q245,AGENT_INPUT!H245&gt;=0,AGENT_INPUT!H245&lt;=1,AGENT_INPUT!I245&gt;=0,AGENT_INPUT!I245&lt;=1,AGENT_INPUT!J245&gt;=0,AGENT_INPUT!J245&lt;=1),"READY","BLOCKED"))</f>
        <v/>
      </c>
      <c r="E245" s="4">
        <f>IF($A245="","",IF(AGENT_INPUT!R245&lt;&gt;"Active","REVIEW",IF(OR(POLICY_APPROVAL!$B$9="Eligibility only",POLICY_APPROVAL!$B$9="Both"),IF(AGENT_INPUT!J245&lt;=SUMIFS(BONUS_RULES!$E$5:$E$46,BONUS_RULES!$A$5:$A$46,$C245,BONUS_RULES!$B$5:$B$46,"Abs%"),"ELIGIBLE","INELIGIBLE ABS"),"ELIGIBLE")))</f>
        <v/>
      </c>
      <c r="F245" s="10">
        <f>IF(OR($A245="",$D245&lt;&gt;"READY"),"",IF(AGENT_INPUT!E245&lt;=SUMIFS(BONUS_RULES!$E$5:$E$46,BONUS_RULES!$A$5:$A$46,$C245,BONUS_RULES!$B$5:$B$46,"AHT"),SUMIFS(BONUS_RULES!$D$5:$D$46,BONUS_RULES!$A$5:$A$46,$C245,BONUS_RULES!$B$5:$B$46,"AHT"),IF(AGENT_INPUT!E245&lt;=SUMIFS(BONUS_RULES!$G$5:$G$46,BONUS_RULES!$A$5:$A$46,$C245,BONUS_RULES!$B$5:$B$46,"AHT"),SUMIFS(BONUS_RULES!$F$5:$F$46,BONUS_RULES!$A$5:$A$46,$C245,BONUS_RULES!$B$5:$B$46,"AHT"),0)))</f>
        <v/>
      </c>
      <c r="G245" s="10">
        <f>IF(OR($A245="",$D245&lt;&gt;"READY"),"",IF(AGENT_INPUT!F245&gt;=SUMIFS(BONUS_RULES!$E$5:$E$46,BONUS_RULES!$A$5:$A$46,$C245,BONUS_RULES!$B$5:$B$46,"Productivity"),SUMIFS(BONUS_RULES!$D$5:$D$46,BONUS_RULES!$A$5:$A$46,$C245,BONUS_RULES!$B$5:$B$46,"Productivity"),IF(AGENT_INPUT!F245&gt;=SUMIFS(BONUS_RULES!$G$5:$G$46,BONUS_RULES!$A$5:$A$46,$C245,BONUS_RULES!$B$5:$B$46,"Productivity"),SUMIFS(BONUS_RULES!$F$5:$F$46,BONUS_RULES!$A$5:$A$46,$C245,BONUS_RULES!$B$5:$B$46,"Productivity"),0)))</f>
        <v/>
      </c>
      <c r="H245" s="10">
        <f>IF(OR($A245="",$D245&lt;&gt;"READY"),"",IF(AGENT_INPUT!G245&gt;=SUMIFS(BONUS_RULES!$E$5:$E$46,BONUS_RULES!$A$5:$A$46,$C245,BONUS_RULES!$B$5:$B$46,"PCS Score"),SUMIFS(BONUS_RULES!$D$5:$D$46,BONUS_RULES!$A$5:$A$46,$C245,BONUS_RULES!$B$5:$B$46,"PCS Score"),IF(AGENT_INPUT!G245&gt;=SUMIFS(BONUS_RULES!$G$5:$G$46,BONUS_RULES!$A$5:$A$46,$C245,BONUS_RULES!$B$5:$B$46,"PCS Score"),SUMIFS(BONUS_RULES!$F$5:$F$46,BONUS_RULES!$A$5:$A$46,$C245,BONUS_RULES!$B$5:$B$46,"PCS Score"),0)))</f>
        <v/>
      </c>
      <c r="I245" s="10">
        <f>IF(OR($A245="",$D245&lt;&gt;"READY"),"",IF(AGENT_INPUT!H245&gt;=SUMIFS(BONUS_RULES!$E$5:$E$46,BONUS_RULES!$A$5:$A$46,$C245,BONUS_RULES!$B$5:$B$46,"PCS % (Participation)"),SUMIFS(BONUS_RULES!$D$5:$D$46,BONUS_RULES!$A$5:$A$46,$C245,BONUS_RULES!$B$5:$B$46,"PCS % (Participation)"),IF(AGENT_INPUT!H245&gt;=SUMIFS(BONUS_RULES!$G$5:$G$46,BONUS_RULES!$A$5:$A$46,$C245,BONUS_RULES!$B$5:$B$46,"PCS % (Participation)"),SUMIFS(BONUS_RULES!$F$5:$F$46,BONUS_RULES!$A$5:$A$46,$C245,BONUS_RULES!$B$5:$B$46,"PCS % (Participation)"),0)))</f>
        <v/>
      </c>
      <c r="J245" s="10">
        <f>IF(OR($A245="",$D245&lt;&gt;"READY"),"",IF(AGENT_INPUT!I245&gt;=SUMIFS(BONUS_RULES!$E$5:$E$46,BONUS_RULES!$A$5:$A$46,$C245,BONUS_RULES!$B$5:$B$46,"QM"),SUMIFS(BONUS_RULES!$D$5:$D$46,BONUS_RULES!$A$5:$A$46,$C245,BONUS_RULES!$B$5:$B$46,"QM"),IF(AGENT_INPUT!I245&gt;=SUMIFS(BONUS_RULES!$G$5:$G$46,BONUS_RULES!$A$5:$A$46,$C245,BONUS_RULES!$B$5:$B$46,"QM"),SUMIFS(BONUS_RULES!$F$5:$F$46,BONUS_RULES!$A$5:$A$46,$C245,BONUS_RULES!$B$5:$B$46,"QM"),0)))</f>
        <v/>
      </c>
      <c r="K245" s="10">
        <f>IF(POLICY_APPROVAL!$B$9="Eligibility only",0,IF(OR($A245="",$D245&lt;&gt;"READY"),"",IF(AGENT_INPUT!J245&lt;=SUMIFS(BONUS_RULES!$E$5:$E$46,BONUS_RULES!$A$5:$A$46,$C245,BONUS_RULES!$B$5:$B$46,"Abs%"),SUMIFS(BONUS_RULES!$D$5:$D$46,BONUS_RULES!$A$5:$A$46,$C245,BONUS_RULES!$B$5:$B$46,"Abs%"),IF(AGENT_INPUT!J245&lt;=SUMIFS(BONUS_RULES!$G$5:$G$46,BONUS_RULES!$A$5:$A$46,$C245,BONUS_RULES!$B$5:$B$46,"Abs%"),SUMIFS(BONUS_RULES!$F$5:$F$46,BONUS_RULES!$A$5:$A$46,$C245,BONUS_RULES!$B$5:$B$46,"Abs%"),0))))</f>
        <v/>
      </c>
      <c r="L245" s="10">
        <f>IF(OR($A245="",$D245&lt;&gt;"READY"),"",IF(AGENT_INPUT!G245&gt;=SUMIFS(BONUS_RULES!$E$5:$E$46,BONUS_RULES!$A$5:$A$46,$C245,BONUS_RULES!$B$5:$B$46,"Extra Bonus (PCS Score)"),SUMIFS(BONUS_RULES!$D$5:$D$46,BONUS_RULES!$A$5:$A$46,$C245,BONUS_RULES!$B$5:$B$46,"Extra Bonus (PCS Score)"),IF(AGENT_INPUT!G245&gt;=SUMIFS(BONUS_RULES!$G$5:$G$46,BONUS_RULES!$A$5:$A$46,$C245,BONUS_RULES!$B$5:$B$46,"Extra Bonus (PCS Score)"),SUMIFS(BONUS_RULES!$F$5:$F$46,BONUS_RULES!$A$5:$A$46,$C245,BONUS_RULES!$B$5:$B$46,"Extra Bonus (PCS Score)"),0)))</f>
        <v/>
      </c>
      <c r="M245" s="10">
        <f>IF($A245="","",MIN(IF(POLICY_APPROVAL!$B$6="Replacement",SUM(F245:K245)-H245+MAX(H245,L245),SUM(F245:L245)),POLICY_APPROVAL!$B$10))</f>
        <v/>
      </c>
      <c r="N245" s="10">
        <f>IF($A245="","",IFERROR(INDEX(BONUS_RULES!$J$5:$J$10,MATCH(MIN(MAX(AGENT_INPUT!K245,0),5),BONUS_RULES!$I$5:$I$10,0)),1))</f>
        <v/>
      </c>
      <c r="O245" s="10">
        <f>IF(M245="","",MAX(0,IF(POLICY_APPROVAL!$B$5="Percentage points",M245-N245,M245*(1-N245))))</f>
        <v/>
      </c>
      <c r="P245" s="11">
        <f>IF(D245&lt;&gt;"READY","",IF(AGENT_INPUT!O245&gt;0,AGENT_INPUT!O245,AGENT_INPUT!M245*AGENT_INPUT!N245/IF(POLICY_APPROVAL!$B$7="Annual",12,1)))</f>
        <v/>
      </c>
      <c r="Q245" s="10">
        <f>IF(D245&lt;&gt;"READY","",MIN(1,AGENT_INPUT!P245/AGENT_INPUT!Q245))</f>
        <v/>
      </c>
      <c r="R245" s="11">
        <f>IF(D245&lt;&gt;"READY","",ROUND(P245*Q245*O245,IF(POLICY_APPROVAL!$B$11="Whole MAD",0,2)))</f>
        <v/>
      </c>
      <c r="S245" s="11">
        <f>IF(AND(SETUP!$B$9="READY",T245="READY"),R245,"")</f>
        <v/>
      </c>
      <c r="T245" s="4">
        <f>IF($A245="","",IF(D245&lt;&gt;"READY","BLOCKED - INPUT",IF(E245&lt;&gt;"ELIGIBLE","BLOCKED - ELIGIBILITY",IF(AGENT_INPUT!S245&lt;&gt;"VALIDATED","BLOCKED - DATA",IF(SETUP!$B$9&lt;&gt;"READY","BLOCKED - POLICY","READY")))))</f>
        <v/>
      </c>
      <c r="U245" s="4">
        <f>IF($A245="","",IF(COUNTIFS(AGENT_INPUT!$A$5:$A$254,$A245,AGENT_INPUT!$D$5:$D$254,AGENT_INPUT!D245)&gt;1,"DUPLICATE AGENT + PERIOD",IF(D245&lt;&gt;"READY","INPUT OR CONFIG REVIEW",IF(T245&lt;&gt;"READY",T245,""))))</f>
        <v/>
      </c>
    </row>
    <row r="246" spans="1:21">
      <c r="A246" s="4">
        <f>IF(AGENT_INPUT!A246="","",AGENT_INPUT!A246)</f>
        <v/>
      </c>
      <c r="B246" s="4">
        <f>IF($A246="","",AGENT_INPUT!B246)</f>
        <v/>
      </c>
      <c r="C246" s="4">
        <f>IF($A246="","",AGENT_INPUT!C246)</f>
        <v/>
      </c>
      <c r="D246" s="4">
        <f>IF($A246="","",IF(AND(COUNT(AGENT_INPUT!E246:J246)=6,COUNT(AGENT_INPUT!K246)=1,COUNTIF(BONUS_RULES!$A$5:$A$46,AGENT_INPUT!C246)&gt;0,OR(AGENT_INPUT!O246&gt;0,AND(AGENT_INPUT!M246&gt;0,AGENT_INPUT!N246&gt;0)),AGENT_INPUT!P246&gt;=0,AGENT_INPUT!Q246&gt;0,AGENT_INPUT!P246&lt;=AGENT_INPUT!Q246,AGENT_INPUT!H246&gt;=0,AGENT_INPUT!H246&lt;=1,AGENT_INPUT!I246&gt;=0,AGENT_INPUT!I246&lt;=1,AGENT_INPUT!J246&gt;=0,AGENT_INPUT!J246&lt;=1),"READY","BLOCKED"))</f>
        <v/>
      </c>
      <c r="E246" s="4">
        <f>IF($A246="","",IF(AGENT_INPUT!R246&lt;&gt;"Active","REVIEW",IF(OR(POLICY_APPROVAL!$B$9="Eligibility only",POLICY_APPROVAL!$B$9="Both"),IF(AGENT_INPUT!J246&lt;=SUMIFS(BONUS_RULES!$E$5:$E$46,BONUS_RULES!$A$5:$A$46,$C246,BONUS_RULES!$B$5:$B$46,"Abs%"),"ELIGIBLE","INELIGIBLE ABS"),"ELIGIBLE")))</f>
        <v/>
      </c>
      <c r="F246" s="10">
        <f>IF(OR($A246="",$D246&lt;&gt;"READY"),"",IF(AGENT_INPUT!E246&lt;=SUMIFS(BONUS_RULES!$E$5:$E$46,BONUS_RULES!$A$5:$A$46,$C246,BONUS_RULES!$B$5:$B$46,"AHT"),SUMIFS(BONUS_RULES!$D$5:$D$46,BONUS_RULES!$A$5:$A$46,$C246,BONUS_RULES!$B$5:$B$46,"AHT"),IF(AGENT_INPUT!E246&lt;=SUMIFS(BONUS_RULES!$G$5:$G$46,BONUS_RULES!$A$5:$A$46,$C246,BONUS_RULES!$B$5:$B$46,"AHT"),SUMIFS(BONUS_RULES!$F$5:$F$46,BONUS_RULES!$A$5:$A$46,$C246,BONUS_RULES!$B$5:$B$46,"AHT"),0)))</f>
        <v/>
      </c>
      <c r="G246" s="10">
        <f>IF(OR($A246="",$D246&lt;&gt;"READY"),"",IF(AGENT_INPUT!F246&gt;=SUMIFS(BONUS_RULES!$E$5:$E$46,BONUS_RULES!$A$5:$A$46,$C246,BONUS_RULES!$B$5:$B$46,"Productivity"),SUMIFS(BONUS_RULES!$D$5:$D$46,BONUS_RULES!$A$5:$A$46,$C246,BONUS_RULES!$B$5:$B$46,"Productivity"),IF(AGENT_INPUT!F246&gt;=SUMIFS(BONUS_RULES!$G$5:$G$46,BONUS_RULES!$A$5:$A$46,$C246,BONUS_RULES!$B$5:$B$46,"Productivity"),SUMIFS(BONUS_RULES!$F$5:$F$46,BONUS_RULES!$A$5:$A$46,$C246,BONUS_RULES!$B$5:$B$46,"Productivity"),0)))</f>
        <v/>
      </c>
      <c r="H246" s="10">
        <f>IF(OR($A246="",$D246&lt;&gt;"READY"),"",IF(AGENT_INPUT!G246&gt;=SUMIFS(BONUS_RULES!$E$5:$E$46,BONUS_RULES!$A$5:$A$46,$C246,BONUS_RULES!$B$5:$B$46,"PCS Score"),SUMIFS(BONUS_RULES!$D$5:$D$46,BONUS_RULES!$A$5:$A$46,$C246,BONUS_RULES!$B$5:$B$46,"PCS Score"),IF(AGENT_INPUT!G246&gt;=SUMIFS(BONUS_RULES!$G$5:$G$46,BONUS_RULES!$A$5:$A$46,$C246,BONUS_RULES!$B$5:$B$46,"PCS Score"),SUMIFS(BONUS_RULES!$F$5:$F$46,BONUS_RULES!$A$5:$A$46,$C246,BONUS_RULES!$B$5:$B$46,"PCS Score"),0)))</f>
        <v/>
      </c>
      <c r="I246" s="10">
        <f>IF(OR($A246="",$D246&lt;&gt;"READY"),"",IF(AGENT_INPUT!H246&gt;=SUMIFS(BONUS_RULES!$E$5:$E$46,BONUS_RULES!$A$5:$A$46,$C246,BONUS_RULES!$B$5:$B$46,"PCS % (Participation)"),SUMIFS(BONUS_RULES!$D$5:$D$46,BONUS_RULES!$A$5:$A$46,$C246,BONUS_RULES!$B$5:$B$46,"PCS % (Participation)"),IF(AGENT_INPUT!H246&gt;=SUMIFS(BONUS_RULES!$G$5:$G$46,BONUS_RULES!$A$5:$A$46,$C246,BONUS_RULES!$B$5:$B$46,"PCS % (Participation)"),SUMIFS(BONUS_RULES!$F$5:$F$46,BONUS_RULES!$A$5:$A$46,$C246,BONUS_RULES!$B$5:$B$46,"PCS % (Participation)"),0)))</f>
        <v/>
      </c>
      <c r="J246" s="10">
        <f>IF(OR($A246="",$D246&lt;&gt;"READY"),"",IF(AGENT_INPUT!I246&gt;=SUMIFS(BONUS_RULES!$E$5:$E$46,BONUS_RULES!$A$5:$A$46,$C246,BONUS_RULES!$B$5:$B$46,"QM"),SUMIFS(BONUS_RULES!$D$5:$D$46,BONUS_RULES!$A$5:$A$46,$C246,BONUS_RULES!$B$5:$B$46,"QM"),IF(AGENT_INPUT!I246&gt;=SUMIFS(BONUS_RULES!$G$5:$G$46,BONUS_RULES!$A$5:$A$46,$C246,BONUS_RULES!$B$5:$B$46,"QM"),SUMIFS(BONUS_RULES!$F$5:$F$46,BONUS_RULES!$A$5:$A$46,$C246,BONUS_RULES!$B$5:$B$46,"QM"),0)))</f>
        <v/>
      </c>
      <c r="K246" s="10">
        <f>IF(POLICY_APPROVAL!$B$9="Eligibility only",0,IF(OR($A246="",$D246&lt;&gt;"READY"),"",IF(AGENT_INPUT!J246&lt;=SUMIFS(BONUS_RULES!$E$5:$E$46,BONUS_RULES!$A$5:$A$46,$C246,BONUS_RULES!$B$5:$B$46,"Abs%"),SUMIFS(BONUS_RULES!$D$5:$D$46,BONUS_RULES!$A$5:$A$46,$C246,BONUS_RULES!$B$5:$B$46,"Abs%"),IF(AGENT_INPUT!J246&lt;=SUMIFS(BONUS_RULES!$G$5:$G$46,BONUS_RULES!$A$5:$A$46,$C246,BONUS_RULES!$B$5:$B$46,"Abs%"),SUMIFS(BONUS_RULES!$F$5:$F$46,BONUS_RULES!$A$5:$A$46,$C246,BONUS_RULES!$B$5:$B$46,"Abs%"),0))))</f>
        <v/>
      </c>
      <c r="L246" s="10">
        <f>IF(OR($A246="",$D246&lt;&gt;"READY"),"",IF(AGENT_INPUT!G246&gt;=SUMIFS(BONUS_RULES!$E$5:$E$46,BONUS_RULES!$A$5:$A$46,$C246,BONUS_RULES!$B$5:$B$46,"Extra Bonus (PCS Score)"),SUMIFS(BONUS_RULES!$D$5:$D$46,BONUS_RULES!$A$5:$A$46,$C246,BONUS_RULES!$B$5:$B$46,"Extra Bonus (PCS Score)"),IF(AGENT_INPUT!G246&gt;=SUMIFS(BONUS_RULES!$G$5:$G$46,BONUS_RULES!$A$5:$A$46,$C246,BONUS_RULES!$B$5:$B$46,"Extra Bonus (PCS Score)"),SUMIFS(BONUS_RULES!$F$5:$F$46,BONUS_RULES!$A$5:$A$46,$C246,BONUS_RULES!$B$5:$B$46,"Extra Bonus (PCS Score)"),0)))</f>
        <v/>
      </c>
      <c r="M246" s="10">
        <f>IF($A246="","",MIN(IF(POLICY_APPROVAL!$B$6="Replacement",SUM(F246:K246)-H246+MAX(H246,L246),SUM(F246:L246)),POLICY_APPROVAL!$B$10))</f>
        <v/>
      </c>
      <c r="N246" s="10">
        <f>IF($A246="","",IFERROR(INDEX(BONUS_RULES!$J$5:$J$10,MATCH(MIN(MAX(AGENT_INPUT!K246,0),5),BONUS_RULES!$I$5:$I$10,0)),1))</f>
        <v/>
      </c>
      <c r="O246" s="10">
        <f>IF(M246="","",MAX(0,IF(POLICY_APPROVAL!$B$5="Percentage points",M246-N246,M246*(1-N246))))</f>
        <v/>
      </c>
      <c r="P246" s="11">
        <f>IF(D246&lt;&gt;"READY","",IF(AGENT_INPUT!O246&gt;0,AGENT_INPUT!O246,AGENT_INPUT!M246*AGENT_INPUT!N246/IF(POLICY_APPROVAL!$B$7="Annual",12,1)))</f>
        <v/>
      </c>
      <c r="Q246" s="10">
        <f>IF(D246&lt;&gt;"READY","",MIN(1,AGENT_INPUT!P246/AGENT_INPUT!Q246))</f>
        <v/>
      </c>
      <c r="R246" s="11">
        <f>IF(D246&lt;&gt;"READY","",ROUND(P246*Q246*O246,IF(POLICY_APPROVAL!$B$11="Whole MAD",0,2)))</f>
        <v/>
      </c>
      <c r="S246" s="11">
        <f>IF(AND(SETUP!$B$9="READY",T246="READY"),R246,"")</f>
        <v/>
      </c>
      <c r="T246" s="4">
        <f>IF($A246="","",IF(D246&lt;&gt;"READY","BLOCKED - INPUT",IF(E246&lt;&gt;"ELIGIBLE","BLOCKED - ELIGIBILITY",IF(AGENT_INPUT!S246&lt;&gt;"VALIDATED","BLOCKED - DATA",IF(SETUP!$B$9&lt;&gt;"READY","BLOCKED - POLICY","READY")))))</f>
        <v/>
      </c>
      <c r="U246" s="4">
        <f>IF($A246="","",IF(COUNTIFS(AGENT_INPUT!$A$5:$A$254,$A246,AGENT_INPUT!$D$5:$D$254,AGENT_INPUT!D246)&gt;1,"DUPLICATE AGENT + PERIOD",IF(D246&lt;&gt;"READY","INPUT OR CONFIG REVIEW",IF(T246&lt;&gt;"READY",T246,""))))</f>
        <v/>
      </c>
    </row>
    <row r="247" spans="1:21">
      <c r="A247" s="4">
        <f>IF(AGENT_INPUT!A247="","",AGENT_INPUT!A247)</f>
        <v/>
      </c>
      <c r="B247" s="4">
        <f>IF($A247="","",AGENT_INPUT!B247)</f>
        <v/>
      </c>
      <c r="C247" s="4">
        <f>IF($A247="","",AGENT_INPUT!C247)</f>
        <v/>
      </c>
      <c r="D247" s="4">
        <f>IF($A247="","",IF(AND(COUNT(AGENT_INPUT!E247:J247)=6,COUNT(AGENT_INPUT!K247)=1,COUNTIF(BONUS_RULES!$A$5:$A$46,AGENT_INPUT!C247)&gt;0,OR(AGENT_INPUT!O247&gt;0,AND(AGENT_INPUT!M247&gt;0,AGENT_INPUT!N247&gt;0)),AGENT_INPUT!P247&gt;=0,AGENT_INPUT!Q247&gt;0,AGENT_INPUT!P247&lt;=AGENT_INPUT!Q247,AGENT_INPUT!H247&gt;=0,AGENT_INPUT!H247&lt;=1,AGENT_INPUT!I247&gt;=0,AGENT_INPUT!I247&lt;=1,AGENT_INPUT!J247&gt;=0,AGENT_INPUT!J247&lt;=1),"READY","BLOCKED"))</f>
        <v/>
      </c>
      <c r="E247" s="4">
        <f>IF($A247="","",IF(AGENT_INPUT!R247&lt;&gt;"Active","REVIEW",IF(OR(POLICY_APPROVAL!$B$9="Eligibility only",POLICY_APPROVAL!$B$9="Both"),IF(AGENT_INPUT!J247&lt;=SUMIFS(BONUS_RULES!$E$5:$E$46,BONUS_RULES!$A$5:$A$46,$C247,BONUS_RULES!$B$5:$B$46,"Abs%"),"ELIGIBLE","INELIGIBLE ABS"),"ELIGIBLE")))</f>
        <v/>
      </c>
      <c r="F247" s="10">
        <f>IF(OR($A247="",$D247&lt;&gt;"READY"),"",IF(AGENT_INPUT!E247&lt;=SUMIFS(BONUS_RULES!$E$5:$E$46,BONUS_RULES!$A$5:$A$46,$C247,BONUS_RULES!$B$5:$B$46,"AHT"),SUMIFS(BONUS_RULES!$D$5:$D$46,BONUS_RULES!$A$5:$A$46,$C247,BONUS_RULES!$B$5:$B$46,"AHT"),IF(AGENT_INPUT!E247&lt;=SUMIFS(BONUS_RULES!$G$5:$G$46,BONUS_RULES!$A$5:$A$46,$C247,BONUS_RULES!$B$5:$B$46,"AHT"),SUMIFS(BONUS_RULES!$F$5:$F$46,BONUS_RULES!$A$5:$A$46,$C247,BONUS_RULES!$B$5:$B$46,"AHT"),0)))</f>
        <v/>
      </c>
      <c r="G247" s="10">
        <f>IF(OR($A247="",$D247&lt;&gt;"READY"),"",IF(AGENT_INPUT!F247&gt;=SUMIFS(BONUS_RULES!$E$5:$E$46,BONUS_RULES!$A$5:$A$46,$C247,BONUS_RULES!$B$5:$B$46,"Productivity"),SUMIFS(BONUS_RULES!$D$5:$D$46,BONUS_RULES!$A$5:$A$46,$C247,BONUS_RULES!$B$5:$B$46,"Productivity"),IF(AGENT_INPUT!F247&gt;=SUMIFS(BONUS_RULES!$G$5:$G$46,BONUS_RULES!$A$5:$A$46,$C247,BONUS_RULES!$B$5:$B$46,"Productivity"),SUMIFS(BONUS_RULES!$F$5:$F$46,BONUS_RULES!$A$5:$A$46,$C247,BONUS_RULES!$B$5:$B$46,"Productivity"),0)))</f>
        <v/>
      </c>
      <c r="H247" s="10">
        <f>IF(OR($A247="",$D247&lt;&gt;"READY"),"",IF(AGENT_INPUT!G247&gt;=SUMIFS(BONUS_RULES!$E$5:$E$46,BONUS_RULES!$A$5:$A$46,$C247,BONUS_RULES!$B$5:$B$46,"PCS Score"),SUMIFS(BONUS_RULES!$D$5:$D$46,BONUS_RULES!$A$5:$A$46,$C247,BONUS_RULES!$B$5:$B$46,"PCS Score"),IF(AGENT_INPUT!G247&gt;=SUMIFS(BONUS_RULES!$G$5:$G$46,BONUS_RULES!$A$5:$A$46,$C247,BONUS_RULES!$B$5:$B$46,"PCS Score"),SUMIFS(BONUS_RULES!$F$5:$F$46,BONUS_RULES!$A$5:$A$46,$C247,BONUS_RULES!$B$5:$B$46,"PCS Score"),0)))</f>
        <v/>
      </c>
      <c r="I247" s="10">
        <f>IF(OR($A247="",$D247&lt;&gt;"READY"),"",IF(AGENT_INPUT!H247&gt;=SUMIFS(BONUS_RULES!$E$5:$E$46,BONUS_RULES!$A$5:$A$46,$C247,BONUS_RULES!$B$5:$B$46,"PCS % (Participation)"),SUMIFS(BONUS_RULES!$D$5:$D$46,BONUS_RULES!$A$5:$A$46,$C247,BONUS_RULES!$B$5:$B$46,"PCS % (Participation)"),IF(AGENT_INPUT!H247&gt;=SUMIFS(BONUS_RULES!$G$5:$G$46,BONUS_RULES!$A$5:$A$46,$C247,BONUS_RULES!$B$5:$B$46,"PCS % (Participation)"),SUMIFS(BONUS_RULES!$F$5:$F$46,BONUS_RULES!$A$5:$A$46,$C247,BONUS_RULES!$B$5:$B$46,"PCS % (Participation)"),0)))</f>
        <v/>
      </c>
      <c r="J247" s="10">
        <f>IF(OR($A247="",$D247&lt;&gt;"READY"),"",IF(AGENT_INPUT!I247&gt;=SUMIFS(BONUS_RULES!$E$5:$E$46,BONUS_RULES!$A$5:$A$46,$C247,BONUS_RULES!$B$5:$B$46,"QM"),SUMIFS(BONUS_RULES!$D$5:$D$46,BONUS_RULES!$A$5:$A$46,$C247,BONUS_RULES!$B$5:$B$46,"QM"),IF(AGENT_INPUT!I247&gt;=SUMIFS(BONUS_RULES!$G$5:$G$46,BONUS_RULES!$A$5:$A$46,$C247,BONUS_RULES!$B$5:$B$46,"QM"),SUMIFS(BONUS_RULES!$F$5:$F$46,BONUS_RULES!$A$5:$A$46,$C247,BONUS_RULES!$B$5:$B$46,"QM"),0)))</f>
        <v/>
      </c>
      <c r="K247" s="10">
        <f>IF(POLICY_APPROVAL!$B$9="Eligibility only",0,IF(OR($A247="",$D247&lt;&gt;"READY"),"",IF(AGENT_INPUT!J247&lt;=SUMIFS(BONUS_RULES!$E$5:$E$46,BONUS_RULES!$A$5:$A$46,$C247,BONUS_RULES!$B$5:$B$46,"Abs%"),SUMIFS(BONUS_RULES!$D$5:$D$46,BONUS_RULES!$A$5:$A$46,$C247,BONUS_RULES!$B$5:$B$46,"Abs%"),IF(AGENT_INPUT!J247&lt;=SUMIFS(BONUS_RULES!$G$5:$G$46,BONUS_RULES!$A$5:$A$46,$C247,BONUS_RULES!$B$5:$B$46,"Abs%"),SUMIFS(BONUS_RULES!$F$5:$F$46,BONUS_RULES!$A$5:$A$46,$C247,BONUS_RULES!$B$5:$B$46,"Abs%"),0))))</f>
        <v/>
      </c>
      <c r="L247" s="10">
        <f>IF(OR($A247="",$D247&lt;&gt;"READY"),"",IF(AGENT_INPUT!G247&gt;=SUMIFS(BONUS_RULES!$E$5:$E$46,BONUS_RULES!$A$5:$A$46,$C247,BONUS_RULES!$B$5:$B$46,"Extra Bonus (PCS Score)"),SUMIFS(BONUS_RULES!$D$5:$D$46,BONUS_RULES!$A$5:$A$46,$C247,BONUS_RULES!$B$5:$B$46,"Extra Bonus (PCS Score)"),IF(AGENT_INPUT!G247&gt;=SUMIFS(BONUS_RULES!$G$5:$G$46,BONUS_RULES!$A$5:$A$46,$C247,BONUS_RULES!$B$5:$B$46,"Extra Bonus (PCS Score)"),SUMIFS(BONUS_RULES!$F$5:$F$46,BONUS_RULES!$A$5:$A$46,$C247,BONUS_RULES!$B$5:$B$46,"Extra Bonus (PCS Score)"),0)))</f>
        <v/>
      </c>
      <c r="M247" s="10">
        <f>IF($A247="","",MIN(IF(POLICY_APPROVAL!$B$6="Replacement",SUM(F247:K247)-H247+MAX(H247,L247),SUM(F247:L247)),POLICY_APPROVAL!$B$10))</f>
        <v/>
      </c>
      <c r="N247" s="10">
        <f>IF($A247="","",IFERROR(INDEX(BONUS_RULES!$J$5:$J$10,MATCH(MIN(MAX(AGENT_INPUT!K247,0),5),BONUS_RULES!$I$5:$I$10,0)),1))</f>
        <v/>
      </c>
      <c r="O247" s="10">
        <f>IF(M247="","",MAX(0,IF(POLICY_APPROVAL!$B$5="Percentage points",M247-N247,M247*(1-N247))))</f>
        <v/>
      </c>
      <c r="P247" s="11">
        <f>IF(D247&lt;&gt;"READY","",IF(AGENT_INPUT!O247&gt;0,AGENT_INPUT!O247,AGENT_INPUT!M247*AGENT_INPUT!N247/IF(POLICY_APPROVAL!$B$7="Annual",12,1)))</f>
        <v/>
      </c>
      <c r="Q247" s="10">
        <f>IF(D247&lt;&gt;"READY","",MIN(1,AGENT_INPUT!P247/AGENT_INPUT!Q247))</f>
        <v/>
      </c>
      <c r="R247" s="11">
        <f>IF(D247&lt;&gt;"READY","",ROUND(P247*Q247*O247,IF(POLICY_APPROVAL!$B$11="Whole MAD",0,2)))</f>
        <v/>
      </c>
      <c r="S247" s="11">
        <f>IF(AND(SETUP!$B$9="READY",T247="READY"),R247,"")</f>
        <v/>
      </c>
      <c r="T247" s="4">
        <f>IF($A247="","",IF(D247&lt;&gt;"READY","BLOCKED - INPUT",IF(E247&lt;&gt;"ELIGIBLE","BLOCKED - ELIGIBILITY",IF(AGENT_INPUT!S247&lt;&gt;"VALIDATED","BLOCKED - DATA",IF(SETUP!$B$9&lt;&gt;"READY","BLOCKED - POLICY","READY")))))</f>
        <v/>
      </c>
      <c r="U247" s="4">
        <f>IF($A247="","",IF(COUNTIFS(AGENT_INPUT!$A$5:$A$254,$A247,AGENT_INPUT!$D$5:$D$254,AGENT_INPUT!D247)&gt;1,"DUPLICATE AGENT + PERIOD",IF(D247&lt;&gt;"READY","INPUT OR CONFIG REVIEW",IF(T247&lt;&gt;"READY",T247,""))))</f>
        <v/>
      </c>
    </row>
    <row r="248" spans="1:21">
      <c r="A248" s="4">
        <f>IF(AGENT_INPUT!A248="","",AGENT_INPUT!A248)</f>
        <v/>
      </c>
      <c r="B248" s="4">
        <f>IF($A248="","",AGENT_INPUT!B248)</f>
        <v/>
      </c>
      <c r="C248" s="4">
        <f>IF($A248="","",AGENT_INPUT!C248)</f>
        <v/>
      </c>
      <c r="D248" s="4">
        <f>IF($A248="","",IF(AND(COUNT(AGENT_INPUT!E248:J248)=6,COUNT(AGENT_INPUT!K248)=1,COUNTIF(BONUS_RULES!$A$5:$A$46,AGENT_INPUT!C248)&gt;0,OR(AGENT_INPUT!O248&gt;0,AND(AGENT_INPUT!M248&gt;0,AGENT_INPUT!N248&gt;0)),AGENT_INPUT!P248&gt;=0,AGENT_INPUT!Q248&gt;0,AGENT_INPUT!P248&lt;=AGENT_INPUT!Q248,AGENT_INPUT!H248&gt;=0,AGENT_INPUT!H248&lt;=1,AGENT_INPUT!I248&gt;=0,AGENT_INPUT!I248&lt;=1,AGENT_INPUT!J248&gt;=0,AGENT_INPUT!J248&lt;=1),"READY","BLOCKED"))</f>
        <v/>
      </c>
      <c r="E248" s="4">
        <f>IF($A248="","",IF(AGENT_INPUT!R248&lt;&gt;"Active","REVIEW",IF(OR(POLICY_APPROVAL!$B$9="Eligibility only",POLICY_APPROVAL!$B$9="Both"),IF(AGENT_INPUT!J248&lt;=SUMIFS(BONUS_RULES!$E$5:$E$46,BONUS_RULES!$A$5:$A$46,$C248,BONUS_RULES!$B$5:$B$46,"Abs%"),"ELIGIBLE","INELIGIBLE ABS"),"ELIGIBLE")))</f>
        <v/>
      </c>
      <c r="F248" s="10">
        <f>IF(OR($A248="",$D248&lt;&gt;"READY"),"",IF(AGENT_INPUT!E248&lt;=SUMIFS(BONUS_RULES!$E$5:$E$46,BONUS_RULES!$A$5:$A$46,$C248,BONUS_RULES!$B$5:$B$46,"AHT"),SUMIFS(BONUS_RULES!$D$5:$D$46,BONUS_RULES!$A$5:$A$46,$C248,BONUS_RULES!$B$5:$B$46,"AHT"),IF(AGENT_INPUT!E248&lt;=SUMIFS(BONUS_RULES!$G$5:$G$46,BONUS_RULES!$A$5:$A$46,$C248,BONUS_RULES!$B$5:$B$46,"AHT"),SUMIFS(BONUS_RULES!$F$5:$F$46,BONUS_RULES!$A$5:$A$46,$C248,BONUS_RULES!$B$5:$B$46,"AHT"),0)))</f>
        <v/>
      </c>
      <c r="G248" s="10">
        <f>IF(OR($A248="",$D248&lt;&gt;"READY"),"",IF(AGENT_INPUT!F248&gt;=SUMIFS(BONUS_RULES!$E$5:$E$46,BONUS_RULES!$A$5:$A$46,$C248,BONUS_RULES!$B$5:$B$46,"Productivity"),SUMIFS(BONUS_RULES!$D$5:$D$46,BONUS_RULES!$A$5:$A$46,$C248,BONUS_RULES!$B$5:$B$46,"Productivity"),IF(AGENT_INPUT!F248&gt;=SUMIFS(BONUS_RULES!$G$5:$G$46,BONUS_RULES!$A$5:$A$46,$C248,BONUS_RULES!$B$5:$B$46,"Productivity"),SUMIFS(BONUS_RULES!$F$5:$F$46,BONUS_RULES!$A$5:$A$46,$C248,BONUS_RULES!$B$5:$B$46,"Productivity"),0)))</f>
        <v/>
      </c>
      <c r="H248" s="10">
        <f>IF(OR($A248="",$D248&lt;&gt;"READY"),"",IF(AGENT_INPUT!G248&gt;=SUMIFS(BONUS_RULES!$E$5:$E$46,BONUS_RULES!$A$5:$A$46,$C248,BONUS_RULES!$B$5:$B$46,"PCS Score"),SUMIFS(BONUS_RULES!$D$5:$D$46,BONUS_RULES!$A$5:$A$46,$C248,BONUS_RULES!$B$5:$B$46,"PCS Score"),IF(AGENT_INPUT!G248&gt;=SUMIFS(BONUS_RULES!$G$5:$G$46,BONUS_RULES!$A$5:$A$46,$C248,BONUS_RULES!$B$5:$B$46,"PCS Score"),SUMIFS(BONUS_RULES!$F$5:$F$46,BONUS_RULES!$A$5:$A$46,$C248,BONUS_RULES!$B$5:$B$46,"PCS Score"),0)))</f>
        <v/>
      </c>
      <c r="I248" s="10">
        <f>IF(OR($A248="",$D248&lt;&gt;"READY"),"",IF(AGENT_INPUT!H248&gt;=SUMIFS(BONUS_RULES!$E$5:$E$46,BONUS_RULES!$A$5:$A$46,$C248,BONUS_RULES!$B$5:$B$46,"PCS % (Participation)"),SUMIFS(BONUS_RULES!$D$5:$D$46,BONUS_RULES!$A$5:$A$46,$C248,BONUS_RULES!$B$5:$B$46,"PCS % (Participation)"),IF(AGENT_INPUT!H248&gt;=SUMIFS(BONUS_RULES!$G$5:$G$46,BONUS_RULES!$A$5:$A$46,$C248,BONUS_RULES!$B$5:$B$46,"PCS % (Participation)"),SUMIFS(BONUS_RULES!$F$5:$F$46,BONUS_RULES!$A$5:$A$46,$C248,BONUS_RULES!$B$5:$B$46,"PCS % (Participation)"),0)))</f>
        <v/>
      </c>
      <c r="J248" s="10">
        <f>IF(OR($A248="",$D248&lt;&gt;"READY"),"",IF(AGENT_INPUT!I248&gt;=SUMIFS(BONUS_RULES!$E$5:$E$46,BONUS_RULES!$A$5:$A$46,$C248,BONUS_RULES!$B$5:$B$46,"QM"),SUMIFS(BONUS_RULES!$D$5:$D$46,BONUS_RULES!$A$5:$A$46,$C248,BONUS_RULES!$B$5:$B$46,"QM"),IF(AGENT_INPUT!I248&gt;=SUMIFS(BONUS_RULES!$G$5:$G$46,BONUS_RULES!$A$5:$A$46,$C248,BONUS_RULES!$B$5:$B$46,"QM"),SUMIFS(BONUS_RULES!$F$5:$F$46,BONUS_RULES!$A$5:$A$46,$C248,BONUS_RULES!$B$5:$B$46,"QM"),0)))</f>
        <v/>
      </c>
      <c r="K248" s="10">
        <f>IF(POLICY_APPROVAL!$B$9="Eligibility only",0,IF(OR($A248="",$D248&lt;&gt;"READY"),"",IF(AGENT_INPUT!J248&lt;=SUMIFS(BONUS_RULES!$E$5:$E$46,BONUS_RULES!$A$5:$A$46,$C248,BONUS_RULES!$B$5:$B$46,"Abs%"),SUMIFS(BONUS_RULES!$D$5:$D$46,BONUS_RULES!$A$5:$A$46,$C248,BONUS_RULES!$B$5:$B$46,"Abs%"),IF(AGENT_INPUT!J248&lt;=SUMIFS(BONUS_RULES!$G$5:$G$46,BONUS_RULES!$A$5:$A$46,$C248,BONUS_RULES!$B$5:$B$46,"Abs%"),SUMIFS(BONUS_RULES!$F$5:$F$46,BONUS_RULES!$A$5:$A$46,$C248,BONUS_RULES!$B$5:$B$46,"Abs%"),0))))</f>
        <v/>
      </c>
      <c r="L248" s="10">
        <f>IF(OR($A248="",$D248&lt;&gt;"READY"),"",IF(AGENT_INPUT!G248&gt;=SUMIFS(BONUS_RULES!$E$5:$E$46,BONUS_RULES!$A$5:$A$46,$C248,BONUS_RULES!$B$5:$B$46,"Extra Bonus (PCS Score)"),SUMIFS(BONUS_RULES!$D$5:$D$46,BONUS_RULES!$A$5:$A$46,$C248,BONUS_RULES!$B$5:$B$46,"Extra Bonus (PCS Score)"),IF(AGENT_INPUT!G248&gt;=SUMIFS(BONUS_RULES!$G$5:$G$46,BONUS_RULES!$A$5:$A$46,$C248,BONUS_RULES!$B$5:$B$46,"Extra Bonus (PCS Score)"),SUMIFS(BONUS_RULES!$F$5:$F$46,BONUS_RULES!$A$5:$A$46,$C248,BONUS_RULES!$B$5:$B$46,"Extra Bonus (PCS Score)"),0)))</f>
        <v/>
      </c>
      <c r="M248" s="10">
        <f>IF($A248="","",MIN(IF(POLICY_APPROVAL!$B$6="Replacement",SUM(F248:K248)-H248+MAX(H248,L248),SUM(F248:L248)),POLICY_APPROVAL!$B$10))</f>
        <v/>
      </c>
      <c r="N248" s="10">
        <f>IF($A248="","",IFERROR(INDEX(BONUS_RULES!$J$5:$J$10,MATCH(MIN(MAX(AGENT_INPUT!K248,0),5),BONUS_RULES!$I$5:$I$10,0)),1))</f>
        <v/>
      </c>
      <c r="O248" s="10">
        <f>IF(M248="","",MAX(0,IF(POLICY_APPROVAL!$B$5="Percentage points",M248-N248,M248*(1-N248))))</f>
        <v/>
      </c>
      <c r="P248" s="11">
        <f>IF(D248&lt;&gt;"READY","",IF(AGENT_INPUT!O248&gt;0,AGENT_INPUT!O248,AGENT_INPUT!M248*AGENT_INPUT!N248/IF(POLICY_APPROVAL!$B$7="Annual",12,1)))</f>
        <v/>
      </c>
      <c r="Q248" s="10">
        <f>IF(D248&lt;&gt;"READY","",MIN(1,AGENT_INPUT!P248/AGENT_INPUT!Q248))</f>
        <v/>
      </c>
      <c r="R248" s="11">
        <f>IF(D248&lt;&gt;"READY","",ROUND(P248*Q248*O248,IF(POLICY_APPROVAL!$B$11="Whole MAD",0,2)))</f>
        <v/>
      </c>
      <c r="S248" s="11">
        <f>IF(AND(SETUP!$B$9="READY",T248="READY"),R248,"")</f>
        <v/>
      </c>
      <c r="T248" s="4">
        <f>IF($A248="","",IF(D248&lt;&gt;"READY","BLOCKED - INPUT",IF(E248&lt;&gt;"ELIGIBLE","BLOCKED - ELIGIBILITY",IF(AGENT_INPUT!S248&lt;&gt;"VALIDATED","BLOCKED - DATA",IF(SETUP!$B$9&lt;&gt;"READY","BLOCKED - POLICY","READY")))))</f>
        <v/>
      </c>
      <c r="U248" s="4">
        <f>IF($A248="","",IF(COUNTIFS(AGENT_INPUT!$A$5:$A$254,$A248,AGENT_INPUT!$D$5:$D$254,AGENT_INPUT!D248)&gt;1,"DUPLICATE AGENT + PERIOD",IF(D248&lt;&gt;"READY","INPUT OR CONFIG REVIEW",IF(T248&lt;&gt;"READY",T248,""))))</f>
        <v/>
      </c>
    </row>
    <row r="249" spans="1:21">
      <c r="A249" s="4">
        <f>IF(AGENT_INPUT!A249="","",AGENT_INPUT!A249)</f>
        <v/>
      </c>
      <c r="B249" s="4">
        <f>IF($A249="","",AGENT_INPUT!B249)</f>
        <v/>
      </c>
      <c r="C249" s="4">
        <f>IF($A249="","",AGENT_INPUT!C249)</f>
        <v/>
      </c>
      <c r="D249" s="4">
        <f>IF($A249="","",IF(AND(COUNT(AGENT_INPUT!E249:J249)=6,COUNT(AGENT_INPUT!K249)=1,COUNTIF(BONUS_RULES!$A$5:$A$46,AGENT_INPUT!C249)&gt;0,OR(AGENT_INPUT!O249&gt;0,AND(AGENT_INPUT!M249&gt;0,AGENT_INPUT!N249&gt;0)),AGENT_INPUT!P249&gt;=0,AGENT_INPUT!Q249&gt;0,AGENT_INPUT!P249&lt;=AGENT_INPUT!Q249,AGENT_INPUT!H249&gt;=0,AGENT_INPUT!H249&lt;=1,AGENT_INPUT!I249&gt;=0,AGENT_INPUT!I249&lt;=1,AGENT_INPUT!J249&gt;=0,AGENT_INPUT!J249&lt;=1),"READY","BLOCKED"))</f>
        <v/>
      </c>
      <c r="E249" s="4">
        <f>IF($A249="","",IF(AGENT_INPUT!R249&lt;&gt;"Active","REVIEW",IF(OR(POLICY_APPROVAL!$B$9="Eligibility only",POLICY_APPROVAL!$B$9="Both"),IF(AGENT_INPUT!J249&lt;=SUMIFS(BONUS_RULES!$E$5:$E$46,BONUS_RULES!$A$5:$A$46,$C249,BONUS_RULES!$B$5:$B$46,"Abs%"),"ELIGIBLE","INELIGIBLE ABS"),"ELIGIBLE")))</f>
        <v/>
      </c>
      <c r="F249" s="10">
        <f>IF(OR($A249="",$D249&lt;&gt;"READY"),"",IF(AGENT_INPUT!E249&lt;=SUMIFS(BONUS_RULES!$E$5:$E$46,BONUS_RULES!$A$5:$A$46,$C249,BONUS_RULES!$B$5:$B$46,"AHT"),SUMIFS(BONUS_RULES!$D$5:$D$46,BONUS_RULES!$A$5:$A$46,$C249,BONUS_RULES!$B$5:$B$46,"AHT"),IF(AGENT_INPUT!E249&lt;=SUMIFS(BONUS_RULES!$G$5:$G$46,BONUS_RULES!$A$5:$A$46,$C249,BONUS_RULES!$B$5:$B$46,"AHT"),SUMIFS(BONUS_RULES!$F$5:$F$46,BONUS_RULES!$A$5:$A$46,$C249,BONUS_RULES!$B$5:$B$46,"AHT"),0)))</f>
        <v/>
      </c>
      <c r="G249" s="10">
        <f>IF(OR($A249="",$D249&lt;&gt;"READY"),"",IF(AGENT_INPUT!F249&gt;=SUMIFS(BONUS_RULES!$E$5:$E$46,BONUS_RULES!$A$5:$A$46,$C249,BONUS_RULES!$B$5:$B$46,"Productivity"),SUMIFS(BONUS_RULES!$D$5:$D$46,BONUS_RULES!$A$5:$A$46,$C249,BONUS_RULES!$B$5:$B$46,"Productivity"),IF(AGENT_INPUT!F249&gt;=SUMIFS(BONUS_RULES!$G$5:$G$46,BONUS_RULES!$A$5:$A$46,$C249,BONUS_RULES!$B$5:$B$46,"Productivity"),SUMIFS(BONUS_RULES!$F$5:$F$46,BONUS_RULES!$A$5:$A$46,$C249,BONUS_RULES!$B$5:$B$46,"Productivity"),0)))</f>
        <v/>
      </c>
      <c r="H249" s="10">
        <f>IF(OR($A249="",$D249&lt;&gt;"READY"),"",IF(AGENT_INPUT!G249&gt;=SUMIFS(BONUS_RULES!$E$5:$E$46,BONUS_RULES!$A$5:$A$46,$C249,BONUS_RULES!$B$5:$B$46,"PCS Score"),SUMIFS(BONUS_RULES!$D$5:$D$46,BONUS_RULES!$A$5:$A$46,$C249,BONUS_RULES!$B$5:$B$46,"PCS Score"),IF(AGENT_INPUT!G249&gt;=SUMIFS(BONUS_RULES!$G$5:$G$46,BONUS_RULES!$A$5:$A$46,$C249,BONUS_RULES!$B$5:$B$46,"PCS Score"),SUMIFS(BONUS_RULES!$F$5:$F$46,BONUS_RULES!$A$5:$A$46,$C249,BONUS_RULES!$B$5:$B$46,"PCS Score"),0)))</f>
        <v/>
      </c>
      <c r="I249" s="10">
        <f>IF(OR($A249="",$D249&lt;&gt;"READY"),"",IF(AGENT_INPUT!H249&gt;=SUMIFS(BONUS_RULES!$E$5:$E$46,BONUS_RULES!$A$5:$A$46,$C249,BONUS_RULES!$B$5:$B$46,"PCS % (Participation)"),SUMIFS(BONUS_RULES!$D$5:$D$46,BONUS_RULES!$A$5:$A$46,$C249,BONUS_RULES!$B$5:$B$46,"PCS % (Participation)"),IF(AGENT_INPUT!H249&gt;=SUMIFS(BONUS_RULES!$G$5:$G$46,BONUS_RULES!$A$5:$A$46,$C249,BONUS_RULES!$B$5:$B$46,"PCS % (Participation)"),SUMIFS(BONUS_RULES!$F$5:$F$46,BONUS_RULES!$A$5:$A$46,$C249,BONUS_RULES!$B$5:$B$46,"PCS % (Participation)"),0)))</f>
        <v/>
      </c>
      <c r="J249" s="10">
        <f>IF(OR($A249="",$D249&lt;&gt;"READY"),"",IF(AGENT_INPUT!I249&gt;=SUMIFS(BONUS_RULES!$E$5:$E$46,BONUS_RULES!$A$5:$A$46,$C249,BONUS_RULES!$B$5:$B$46,"QM"),SUMIFS(BONUS_RULES!$D$5:$D$46,BONUS_RULES!$A$5:$A$46,$C249,BONUS_RULES!$B$5:$B$46,"QM"),IF(AGENT_INPUT!I249&gt;=SUMIFS(BONUS_RULES!$G$5:$G$46,BONUS_RULES!$A$5:$A$46,$C249,BONUS_RULES!$B$5:$B$46,"QM"),SUMIFS(BONUS_RULES!$F$5:$F$46,BONUS_RULES!$A$5:$A$46,$C249,BONUS_RULES!$B$5:$B$46,"QM"),0)))</f>
        <v/>
      </c>
      <c r="K249" s="10">
        <f>IF(POLICY_APPROVAL!$B$9="Eligibility only",0,IF(OR($A249="",$D249&lt;&gt;"READY"),"",IF(AGENT_INPUT!J249&lt;=SUMIFS(BONUS_RULES!$E$5:$E$46,BONUS_RULES!$A$5:$A$46,$C249,BONUS_RULES!$B$5:$B$46,"Abs%"),SUMIFS(BONUS_RULES!$D$5:$D$46,BONUS_RULES!$A$5:$A$46,$C249,BONUS_RULES!$B$5:$B$46,"Abs%"),IF(AGENT_INPUT!J249&lt;=SUMIFS(BONUS_RULES!$G$5:$G$46,BONUS_RULES!$A$5:$A$46,$C249,BONUS_RULES!$B$5:$B$46,"Abs%"),SUMIFS(BONUS_RULES!$F$5:$F$46,BONUS_RULES!$A$5:$A$46,$C249,BONUS_RULES!$B$5:$B$46,"Abs%"),0))))</f>
        <v/>
      </c>
      <c r="L249" s="10">
        <f>IF(OR($A249="",$D249&lt;&gt;"READY"),"",IF(AGENT_INPUT!G249&gt;=SUMIFS(BONUS_RULES!$E$5:$E$46,BONUS_RULES!$A$5:$A$46,$C249,BONUS_RULES!$B$5:$B$46,"Extra Bonus (PCS Score)"),SUMIFS(BONUS_RULES!$D$5:$D$46,BONUS_RULES!$A$5:$A$46,$C249,BONUS_RULES!$B$5:$B$46,"Extra Bonus (PCS Score)"),IF(AGENT_INPUT!G249&gt;=SUMIFS(BONUS_RULES!$G$5:$G$46,BONUS_RULES!$A$5:$A$46,$C249,BONUS_RULES!$B$5:$B$46,"Extra Bonus (PCS Score)"),SUMIFS(BONUS_RULES!$F$5:$F$46,BONUS_RULES!$A$5:$A$46,$C249,BONUS_RULES!$B$5:$B$46,"Extra Bonus (PCS Score)"),0)))</f>
        <v/>
      </c>
      <c r="M249" s="10">
        <f>IF($A249="","",MIN(IF(POLICY_APPROVAL!$B$6="Replacement",SUM(F249:K249)-H249+MAX(H249,L249),SUM(F249:L249)),POLICY_APPROVAL!$B$10))</f>
        <v/>
      </c>
      <c r="N249" s="10">
        <f>IF($A249="","",IFERROR(INDEX(BONUS_RULES!$J$5:$J$10,MATCH(MIN(MAX(AGENT_INPUT!K249,0),5),BONUS_RULES!$I$5:$I$10,0)),1))</f>
        <v/>
      </c>
      <c r="O249" s="10">
        <f>IF(M249="","",MAX(0,IF(POLICY_APPROVAL!$B$5="Percentage points",M249-N249,M249*(1-N249))))</f>
        <v/>
      </c>
      <c r="P249" s="11">
        <f>IF(D249&lt;&gt;"READY","",IF(AGENT_INPUT!O249&gt;0,AGENT_INPUT!O249,AGENT_INPUT!M249*AGENT_INPUT!N249/IF(POLICY_APPROVAL!$B$7="Annual",12,1)))</f>
        <v/>
      </c>
      <c r="Q249" s="10">
        <f>IF(D249&lt;&gt;"READY","",MIN(1,AGENT_INPUT!P249/AGENT_INPUT!Q249))</f>
        <v/>
      </c>
      <c r="R249" s="11">
        <f>IF(D249&lt;&gt;"READY","",ROUND(P249*Q249*O249,IF(POLICY_APPROVAL!$B$11="Whole MAD",0,2)))</f>
        <v/>
      </c>
      <c r="S249" s="11">
        <f>IF(AND(SETUP!$B$9="READY",T249="READY"),R249,"")</f>
        <v/>
      </c>
      <c r="T249" s="4">
        <f>IF($A249="","",IF(D249&lt;&gt;"READY","BLOCKED - INPUT",IF(E249&lt;&gt;"ELIGIBLE","BLOCKED - ELIGIBILITY",IF(AGENT_INPUT!S249&lt;&gt;"VALIDATED","BLOCKED - DATA",IF(SETUP!$B$9&lt;&gt;"READY","BLOCKED - POLICY","READY")))))</f>
        <v/>
      </c>
      <c r="U249" s="4">
        <f>IF($A249="","",IF(COUNTIFS(AGENT_INPUT!$A$5:$A$254,$A249,AGENT_INPUT!$D$5:$D$254,AGENT_INPUT!D249)&gt;1,"DUPLICATE AGENT + PERIOD",IF(D249&lt;&gt;"READY","INPUT OR CONFIG REVIEW",IF(T249&lt;&gt;"READY",T249,""))))</f>
        <v/>
      </c>
    </row>
    <row r="250" spans="1:21">
      <c r="A250" s="4">
        <f>IF(AGENT_INPUT!A250="","",AGENT_INPUT!A250)</f>
        <v/>
      </c>
      <c r="B250" s="4">
        <f>IF($A250="","",AGENT_INPUT!B250)</f>
        <v/>
      </c>
      <c r="C250" s="4">
        <f>IF($A250="","",AGENT_INPUT!C250)</f>
        <v/>
      </c>
      <c r="D250" s="4">
        <f>IF($A250="","",IF(AND(COUNT(AGENT_INPUT!E250:J250)=6,COUNT(AGENT_INPUT!K250)=1,COUNTIF(BONUS_RULES!$A$5:$A$46,AGENT_INPUT!C250)&gt;0,OR(AGENT_INPUT!O250&gt;0,AND(AGENT_INPUT!M250&gt;0,AGENT_INPUT!N250&gt;0)),AGENT_INPUT!P250&gt;=0,AGENT_INPUT!Q250&gt;0,AGENT_INPUT!P250&lt;=AGENT_INPUT!Q250,AGENT_INPUT!H250&gt;=0,AGENT_INPUT!H250&lt;=1,AGENT_INPUT!I250&gt;=0,AGENT_INPUT!I250&lt;=1,AGENT_INPUT!J250&gt;=0,AGENT_INPUT!J250&lt;=1),"READY","BLOCKED"))</f>
        <v/>
      </c>
      <c r="E250" s="4">
        <f>IF($A250="","",IF(AGENT_INPUT!R250&lt;&gt;"Active","REVIEW",IF(OR(POLICY_APPROVAL!$B$9="Eligibility only",POLICY_APPROVAL!$B$9="Both"),IF(AGENT_INPUT!J250&lt;=SUMIFS(BONUS_RULES!$E$5:$E$46,BONUS_RULES!$A$5:$A$46,$C250,BONUS_RULES!$B$5:$B$46,"Abs%"),"ELIGIBLE","INELIGIBLE ABS"),"ELIGIBLE")))</f>
        <v/>
      </c>
      <c r="F250" s="10">
        <f>IF(OR($A250="",$D250&lt;&gt;"READY"),"",IF(AGENT_INPUT!E250&lt;=SUMIFS(BONUS_RULES!$E$5:$E$46,BONUS_RULES!$A$5:$A$46,$C250,BONUS_RULES!$B$5:$B$46,"AHT"),SUMIFS(BONUS_RULES!$D$5:$D$46,BONUS_RULES!$A$5:$A$46,$C250,BONUS_RULES!$B$5:$B$46,"AHT"),IF(AGENT_INPUT!E250&lt;=SUMIFS(BONUS_RULES!$G$5:$G$46,BONUS_RULES!$A$5:$A$46,$C250,BONUS_RULES!$B$5:$B$46,"AHT"),SUMIFS(BONUS_RULES!$F$5:$F$46,BONUS_RULES!$A$5:$A$46,$C250,BONUS_RULES!$B$5:$B$46,"AHT"),0)))</f>
        <v/>
      </c>
      <c r="G250" s="10">
        <f>IF(OR($A250="",$D250&lt;&gt;"READY"),"",IF(AGENT_INPUT!F250&gt;=SUMIFS(BONUS_RULES!$E$5:$E$46,BONUS_RULES!$A$5:$A$46,$C250,BONUS_RULES!$B$5:$B$46,"Productivity"),SUMIFS(BONUS_RULES!$D$5:$D$46,BONUS_RULES!$A$5:$A$46,$C250,BONUS_RULES!$B$5:$B$46,"Productivity"),IF(AGENT_INPUT!F250&gt;=SUMIFS(BONUS_RULES!$G$5:$G$46,BONUS_RULES!$A$5:$A$46,$C250,BONUS_RULES!$B$5:$B$46,"Productivity"),SUMIFS(BONUS_RULES!$F$5:$F$46,BONUS_RULES!$A$5:$A$46,$C250,BONUS_RULES!$B$5:$B$46,"Productivity"),0)))</f>
        <v/>
      </c>
      <c r="H250" s="10">
        <f>IF(OR($A250="",$D250&lt;&gt;"READY"),"",IF(AGENT_INPUT!G250&gt;=SUMIFS(BONUS_RULES!$E$5:$E$46,BONUS_RULES!$A$5:$A$46,$C250,BONUS_RULES!$B$5:$B$46,"PCS Score"),SUMIFS(BONUS_RULES!$D$5:$D$46,BONUS_RULES!$A$5:$A$46,$C250,BONUS_RULES!$B$5:$B$46,"PCS Score"),IF(AGENT_INPUT!G250&gt;=SUMIFS(BONUS_RULES!$G$5:$G$46,BONUS_RULES!$A$5:$A$46,$C250,BONUS_RULES!$B$5:$B$46,"PCS Score"),SUMIFS(BONUS_RULES!$F$5:$F$46,BONUS_RULES!$A$5:$A$46,$C250,BONUS_RULES!$B$5:$B$46,"PCS Score"),0)))</f>
        <v/>
      </c>
      <c r="I250" s="10">
        <f>IF(OR($A250="",$D250&lt;&gt;"READY"),"",IF(AGENT_INPUT!H250&gt;=SUMIFS(BONUS_RULES!$E$5:$E$46,BONUS_RULES!$A$5:$A$46,$C250,BONUS_RULES!$B$5:$B$46,"PCS % (Participation)"),SUMIFS(BONUS_RULES!$D$5:$D$46,BONUS_RULES!$A$5:$A$46,$C250,BONUS_RULES!$B$5:$B$46,"PCS % (Participation)"),IF(AGENT_INPUT!H250&gt;=SUMIFS(BONUS_RULES!$G$5:$G$46,BONUS_RULES!$A$5:$A$46,$C250,BONUS_RULES!$B$5:$B$46,"PCS % (Participation)"),SUMIFS(BONUS_RULES!$F$5:$F$46,BONUS_RULES!$A$5:$A$46,$C250,BONUS_RULES!$B$5:$B$46,"PCS % (Participation)"),0)))</f>
        <v/>
      </c>
      <c r="J250" s="10">
        <f>IF(OR($A250="",$D250&lt;&gt;"READY"),"",IF(AGENT_INPUT!I250&gt;=SUMIFS(BONUS_RULES!$E$5:$E$46,BONUS_RULES!$A$5:$A$46,$C250,BONUS_RULES!$B$5:$B$46,"QM"),SUMIFS(BONUS_RULES!$D$5:$D$46,BONUS_RULES!$A$5:$A$46,$C250,BONUS_RULES!$B$5:$B$46,"QM"),IF(AGENT_INPUT!I250&gt;=SUMIFS(BONUS_RULES!$G$5:$G$46,BONUS_RULES!$A$5:$A$46,$C250,BONUS_RULES!$B$5:$B$46,"QM"),SUMIFS(BONUS_RULES!$F$5:$F$46,BONUS_RULES!$A$5:$A$46,$C250,BONUS_RULES!$B$5:$B$46,"QM"),0)))</f>
        <v/>
      </c>
      <c r="K250" s="10">
        <f>IF(POLICY_APPROVAL!$B$9="Eligibility only",0,IF(OR($A250="",$D250&lt;&gt;"READY"),"",IF(AGENT_INPUT!J250&lt;=SUMIFS(BONUS_RULES!$E$5:$E$46,BONUS_RULES!$A$5:$A$46,$C250,BONUS_RULES!$B$5:$B$46,"Abs%"),SUMIFS(BONUS_RULES!$D$5:$D$46,BONUS_RULES!$A$5:$A$46,$C250,BONUS_RULES!$B$5:$B$46,"Abs%"),IF(AGENT_INPUT!J250&lt;=SUMIFS(BONUS_RULES!$G$5:$G$46,BONUS_RULES!$A$5:$A$46,$C250,BONUS_RULES!$B$5:$B$46,"Abs%"),SUMIFS(BONUS_RULES!$F$5:$F$46,BONUS_RULES!$A$5:$A$46,$C250,BONUS_RULES!$B$5:$B$46,"Abs%"),0))))</f>
        <v/>
      </c>
      <c r="L250" s="10">
        <f>IF(OR($A250="",$D250&lt;&gt;"READY"),"",IF(AGENT_INPUT!G250&gt;=SUMIFS(BONUS_RULES!$E$5:$E$46,BONUS_RULES!$A$5:$A$46,$C250,BONUS_RULES!$B$5:$B$46,"Extra Bonus (PCS Score)"),SUMIFS(BONUS_RULES!$D$5:$D$46,BONUS_RULES!$A$5:$A$46,$C250,BONUS_RULES!$B$5:$B$46,"Extra Bonus (PCS Score)"),IF(AGENT_INPUT!G250&gt;=SUMIFS(BONUS_RULES!$G$5:$G$46,BONUS_RULES!$A$5:$A$46,$C250,BONUS_RULES!$B$5:$B$46,"Extra Bonus (PCS Score)"),SUMIFS(BONUS_RULES!$F$5:$F$46,BONUS_RULES!$A$5:$A$46,$C250,BONUS_RULES!$B$5:$B$46,"Extra Bonus (PCS Score)"),0)))</f>
        <v/>
      </c>
      <c r="M250" s="10">
        <f>IF($A250="","",MIN(IF(POLICY_APPROVAL!$B$6="Replacement",SUM(F250:K250)-H250+MAX(H250,L250),SUM(F250:L250)),POLICY_APPROVAL!$B$10))</f>
        <v/>
      </c>
      <c r="N250" s="10">
        <f>IF($A250="","",IFERROR(INDEX(BONUS_RULES!$J$5:$J$10,MATCH(MIN(MAX(AGENT_INPUT!K250,0),5),BONUS_RULES!$I$5:$I$10,0)),1))</f>
        <v/>
      </c>
      <c r="O250" s="10">
        <f>IF(M250="","",MAX(0,IF(POLICY_APPROVAL!$B$5="Percentage points",M250-N250,M250*(1-N250))))</f>
        <v/>
      </c>
      <c r="P250" s="11">
        <f>IF(D250&lt;&gt;"READY","",IF(AGENT_INPUT!O250&gt;0,AGENT_INPUT!O250,AGENT_INPUT!M250*AGENT_INPUT!N250/IF(POLICY_APPROVAL!$B$7="Annual",12,1)))</f>
        <v/>
      </c>
      <c r="Q250" s="10">
        <f>IF(D250&lt;&gt;"READY","",MIN(1,AGENT_INPUT!P250/AGENT_INPUT!Q250))</f>
        <v/>
      </c>
      <c r="R250" s="11">
        <f>IF(D250&lt;&gt;"READY","",ROUND(P250*Q250*O250,IF(POLICY_APPROVAL!$B$11="Whole MAD",0,2)))</f>
        <v/>
      </c>
      <c r="S250" s="11">
        <f>IF(AND(SETUP!$B$9="READY",T250="READY"),R250,"")</f>
        <v/>
      </c>
      <c r="T250" s="4">
        <f>IF($A250="","",IF(D250&lt;&gt;"READY","BLOCKED - INPUT",IF(E250&lt;&gt;"ELIGIBLE","BLOCKED - ELIGIBILITY",IF(AGENT_INPUT!S250&lt;&gt;"VALIDATED","BLOCKED - DATA",IF(SETUP!$B$9&lt;&gt;"READY","BLOCKED - POLICY","READY")))))</f>
        <v/>
      </c>
      <c r="U250" s="4">
        <f>IF($A250="","",IF(COUNTIFS(AGENT_INPUT!$A$5:$A$254,$A250,AGENT_INPUT!$D$5:$D$254,AGENT_INPUT!D250)&gt;1,"DUPLICATE AGENT + PERIOD",IF(D250&lt;&gt;"READY","INPUT OR CONFIG REVIEW",IF(T250&lt;&gt;"READY",T250,""))))</f>
        <v/>
      </c>
    </row>
    <row r="251" spans="1:21">
      <c r="A251" s="4">
        <f>IF(AGENT_INPUT!A251="","",AGENT_INPUT!A251)</f>
        <v/>
      </c>
      <c r="B251" s="4">
        <f>IF($A251="","",AGENT_INPUT!B251)</f>
        <v/>
      </c>
      <c r="C251" s="4">
        <f>IF($A251="","",AGENT_INPUT!C251)</f>
        <v/>
      </c>
      <c r="D251" s="4">
        <f>IF($A251="","",IF(AND(COUNT(AGENT_INPUT!E251:J251)=6,COUNT(AGENT_INPUT!K251)=1,COUNTIF(BONUS_RULES!$A$5:$A$46,AGENT_INPUT!C251)&gt;0,OR(AGENT_INPUT!O251&gt;0,AND(AGENT_INPUT!M251&gt;0,AGENT_INPUT!N251&gt;0)),AGENT_INPUT!P251&gt;=0,AGENT_INPUT!Q251&gt;0,AGENT_INPUT!P251&lt;=AGENT_INPUT!Q251,AGENT_INPUT!H251&gt;=0,AGENT_INPUT!H251&lt;=1,AGENT_INPUT!I251&gt;=0,AGENT_INPUT!I251&lt;=1,AGENT_INPUT!J251&gt;=0,AGENT_INPUT!J251&lt;=1),"READY","BLOCKED"))</f>
        <v/>
      </c>
      <c r="E251" s="4">
        <f>IF($A251="","",IF(AGENT_INPUT!R251&lt;&gt;"Active","REVIEW",IF(OR(POLICY_APPROVAL!$B$9="Eligibility only",POLICY_APPROVAL!$B$9="Both"),IF(AGENT_INPUT!J251&lt;=SUMIFS(BONUS_RULES!$E$5:$E$46,BONUS_RULES!$A$5:$A$46,$C251,BONUS_RULES!$B$5:$B$46,"Abs%"),"ELIGIBLE","INELIGIBLE ABS"),"ELIGIBLE")))</f>
        <v/>
      </c>
      <c r="F251" s="10">
        <f>IF(OR($A251="",$D251&lt;&gt;"READY"),"",IF(AGENT_INPUT!E251&lt;=SUMIFS(BONUS_RULES!$E$5:$E$46,BONUS_RULES!$A$5:$A$46,$C251,BONUS_RULES!$B$5:$B$46,"AHT"),SUMIFS(BONUS_RULES!$D$5:$D$46,BONUS_RULES!$A$5:$A$46,$C251,BONUS_RULES!$B$5:$B$46,"AHT"),IF(AGENT_INPUT!E251&lt;=SUMIFS(BONUS_RULES!$G$5:$G$46,BONUS_RULES!$A$5:$A$46,$C251,BONUS_RULES!$B$5:$B$46,"AHT"),SUMIFS(BONUS_RULES!$F$5:$F$46,BONUS_RULES!$A$5:$A$46,$C251,BONUS_RULES!$B$5:$B$46,"AHT"),0)))</f>
        <v/>
      </c>
      <c r="G251" s="10">
        <f>IF(OR($A251="",$D251&lt;&gt;"READY"),"",IF(AGENT_INPUT!F251&gt;=SUMIFS(BONUS_RULES!$E$5:$E$46,BONUS_RULES!$A$5:$A$46,$C251,BONUS_RULES!$B$5:$B$46,"Productivity"),SUMIFS(BONUS_RULES!$D$5:$D$46,BONUS_RULES!$A$5:$A$46,$C251,BONUS_RULES!$B$5:$B$46,"Productivity"),IF(AGENT_INPUT!F251&gt;=SUMIFS(BONUS_RULES!$G$5:$G$46,BONUS_RULES!$A$5:$A$46,$C251,BONUS_RULES!$B$5:$B$46,"Productivity"),SUMIFS(BONUS_RULES!$F$5:$F$46,BONUS_RULES!$A$5:$A$46,$C251,BONUS_RULES!$B$5:$B$46,"Productivity"),0)))</f>
        <v/>
      </c>
      <c r="H251" s="10">
        <f>IF(OR($A251="",$D251&lt;&gt;"READY"),"",IF(AGENT_INPUT!G251&gt;=SUMIFS(BONUS_RULES!$E$5:$E$46,BONUS_RULES!$A$5:$A$46,$C251,BONUS_RULES!$B$5:$B$46,"PCS Score"),SUMIFS(BONUS_RULES!$D$5:$D$46,BONUS_RULES!$A$5:$A$46,$C251,BONUS_RULES!$B$5:$B$46,"PCS Score"),IF(AGENT_INPUT!G251&gt;=SUMIFS(BONUS_RULES!$G$5:$G$46,BONUS_RULES!$A$5:$A$46,$C251,BONUS_RULES!$B$5:$B$46,"PCS Score"),SUMIFS(BONUS_RULES!$F$5:$F$46,BONUS_RULES!$A$5:$A$46,$C251,BONUS_RULES!$B$5:$B$46,"PCS Score"),0)))</f>
        <v/>
      </c>
      <c r="I251" s="10">
        <f>IF(OR($A251="",$D251&lt;&gt;"READY"),"",IF(AGENT_INPUT!H251&gt;=SUMIFS(BONUS_RULES!$E$5:$E$46,BONUS_RULES!$A$5:$A$46,$C251,BONUS_RULES!$B$5:$B$46,"PCS % (Participation)"),SUMIFS(BONUS_RULES!$D$5:$D$46,BONUS_RULES!$A$5:$A$46,$C251,BONUS_RULES!$B$5:$B$46,"PCS % (Participation)"),IF(AGENT_INPUT!H251&gt;=SUMIFS(BONUS_RULES!$G$5:$G$46,BONUS_RULES!$A$5:$A$46,$C251,BONUS_RULES!$B$5:$B$46,"PCS % (Participation)"),SUMIFS(BONUS_RULES!$F$5:$F$46,BONUS_RULES!$A$5:$A$46,$C251,BONUS_RULES!$B$5:$B$46,"PCS % (Participation)"),0)))</f>
        <v/>
      </c>
      <c r="J251" s="10">
        <f>IF(OR($A251="",$D251&lt;&gt;"READY"),"",IF(AGENT_INPUT!I251&gt;=SUMIFS(BONUS_RULES!$E$5:$E$46,BONUS_RULES!$A$5:$A$46,$C251,BONUS_RULES!$B$5:$B$46,"QM"),SUMIFS(BONUS_RULES!$D$5:$D$46,BONUS_RULES!$A$5:$A$46,$C251,BONUS_RULES!$B$5:$B$46,"QM"),IF(AGENT_INPUT!I251&gt;=SUMIFS(BONUS_RULES!$G$5:$G$46,BONUS_RULES!$A$5:$A$46,$C251,BONUS_RULES!$B$5:$B$46,"QM"),SUMIFS(BONUS_RULES!$F$5:$F$46,BONUS_RULES!$A$5:$A$46,$C251,BONUS_RULES!$B$5:$B$46,"QM"),0)))</f>
        <v/>
      </c>
      <c r="K251" s="10">
        <f>IF(POLICY_APPROVAL!$B$9="Eligibility only",0,IF(OR($A251="",$D251&lt;&gt;"READY"),"",IF(AGENT_INPUT!J251&lt;=SUMIFS(BONUS_RULES!$E$5:$E$46,BONUS_RULES!$A$5:$A$46,$C251,BONUS_RULES!$B$5:$B$46,"Abs%"),SUMIFS(BONUS_RULES!$D$5:$D$46,BONUS_RULES!$A$5:$A$46,$C251,BONUS_RULES!$B$5:$B$46,"Abs%"),IF(AGENT_INPUT!J251&lt;=SUMIFS(BONUS_RULES!$G$5:$G$46,BONUS_RULES!$A$5:$A$46,$C251,BONUS_RULES!$B$5:$B$46,"Abs%"),SUMIFS(BONUS_RULES!$F$5:$F$46,BONUS_RULES!$A$5:$A$46,$C251,BONUS_RULES!$B$5:$B$46,"Abs%"),0))))</f>
        <v/>
      </c>
      <c r="L251" s="10">
        <f>IF(OR($A251="",$D251&lt;&gt;"READY"),"",IF(AGENT_INPUT!G251&gt;=SUMIFS(BONUS_RULES!$E$5:$E$46,BONUS_RULES!$A$5:$A$46,$C251,BONUS_RULES!$B$5:$B$46,"Extra Bonus (PCS Score)"),SUMIFS(BONUS_RULES!$D$5:$D$46,BONUS_RULES!$A$5:$A$46,$C251,BONUS_RULES!$B$5:$B$46,"Extra Bonus (PCS Score)"),IF(AGENT_INPUT!G251&gt;=SUMIFS(BONUS_RULES!$G$5:$G$46,BONUS_RULES!$A$5:$A$46,$C251,BONUS_RULES!$B$5:$B$46,"Extra Bonus (PCS Score)"),SUMIFS(BONUS_RULES!$F$5:$F$46,BONUS_RULES!$A$5:$A$46,$C251,BONUS_RULES!$B$5:$B$46,"Extra Bonus (PCS Score)"),0)))</f>
        <v/>
      </c>
      <c r="M251" s="10">
        <f>IF($A251="","",MIN(IF(POLICY_APPROVAL!$B$6="Replacement",SUM(F251:K251)-H251+MAX(H251,L251),SUM(F251:L251)),POLICY_APPROVAL!$B$10))</f>
        <v/>
      </c>
      <c r="N251" s="10">
        <f>IF($A251="","",IFERROR(INDEX(BONUS_RULES!$J$5:$J$10,MATCH(MIN(MAX(AGENT_INPUT!K251,0),5),BONUS_RULES!$I$5:$I$10,0)),1))</f>
        <v/>
      </c>
      <c r="O251" s="10">
        <f>IF(M251="","",MAX(0,IF(POLICY_APPROVAL!$B$5="Percentage points",M251-N251,M251*(1-N251))))</f>
        <v/>
      </c>
      <c r="P251" s="11">
        <f>IF(D251&lt;&gt;"READY","",IF(AGENT_INPUT!O251&gt;0,AGENT_INPUT!O251,AGENT_INPUT!M251*AGENT_INPUT!N251/IF(POLICY_APPROVAL!$B$7="Annual",12,1)))</f>
        <v/>
      </c>
      <c r="Q251" s="10">
        <f>IF(D251&lt;&gt;"READY","",MIN(1,AGENT_INPUT!P251/AGENT_INPUT!Q251))</f>
        <v/>
      </c>
      <c r="R251" s="11">
        <f>IF(D251&lt;&gt;"READY","",ROUND(P251*Q251*O251,IF(POLICY_APPROVAL!$B$11="Whole MAD",0,2)))</f>
        <v/>
      </c>
      <c r="S251" s="11">
        <f>IF(AND(SETUP!$B$9="READY",T251="READY"),R251,"")</f>
        <v/>
      </c>
      <c r="T251" s="4">
        <f>IF($A251="","",IF(D251&lt;&gt;"READY","BLOCKED - INPUT",IF(E251&lt;&gt;"ELIGIBLE","BLOCKED - ELIGIBILITY",IF(AGENT_INPUT!S251&lt;&gt;"VALIDATED","BLOCKED - DATA",IF(SETUP!$B$9&lt;&gt;"READY","BLOCKED - POLICY","READY")))))</f>
        <v/>
      </c>
      <c r="U251" s="4">
        <f>IF($A251="","",IF(COUNTIFS(AGENT_INPUT!$A$5:$A$254,$A251,AGENT_INPUT!$D$5:$D$254,AGENT_INPUT!D251)&gt;1,"DUPLICATE AGENT + PERIOD",IF(D251&lt;&gt;"READY","INPUT OR CONFIG REVIEW",IF(T251&lt;&gt;"READY",T251,""))))</f>
        <v/>
      </c>
    </row>
    <row r="252" spans="1:21">
      <c r="A252" s="4">
        <f>IF(AGENT_INPUT!A252="","",AGENT_INPUT!A252)</f>
        <v/>
      </c>
      <c r="B252" s="4">
        <f>IF($A252="","",AGENT_INPUT!B252)</f>
        <v/>
      </c>
      <c r="C252" s="4">
        <f>IF($A252="","",AGENT_INPUT!C252)</f>
        <v/>
      </c>
      <c r="D252" s="4">
        <f>IF($A252="","",IF(AND(COUNT(AGENT_INPUT!E252:J252)=6,COUNT(AGENT_INPUT!K252)=1,COUNTIF(BONUS_RULES!$A$5:$A$46,AGENT_INPUT!C252)&gt;0,OR(AGENT_INPUT!O252&gt;0,AND(AGENT_INPUT!M252&gt;0,AGENT_INPUT!N252&gt;0)),AGENT_INPUT!P252&gt;=0,AGENT_INPUT!Q252&gt;0,AGENT_INPUT!P252&lt;=AGENT_INPUT!Q252,AGENT_INPUT!H252&gt;=0,AGENT_INPUT!H252&lt;=1,AGENT_INPUT!I252&gt;=0,AGENT_INPUT!I252&lt;=1,AGENT_INPUT!J252&gt;=0,AGENT_INPUT!J252&lt;=1),"READY","BLOCKED"))</f>
        <v/>
      </c>
      <c r="E252" s="4">
        <f>IF($A252="","",IF(AGENT_INPUT!R252&lt;&gt;"Active","REVIEW",IF(OR(POLICY_APPROVAL!$B$9="Eligibility only",POLICY_APPROVAL!$B$9="Both"),IF(AGENT_INPUT!J252&lt;=SUMIFS(BONUS_RULES!$E$5:$E$46,BONUS_RULES!$A$5:$A$46,$C252,BONUS_RULES!$B$5:$B$46,"Abs%"),"ELIGIBLE","INELIGIBLE ABS"),"ELIGIBLE")))</f>
        <v/>
      </c>
      <c r="F252" s="10">
        <f>IF(OR($A252="",$D252&lt;&gt;"READY"),"",IF(AGENT_INPUT!E252&lt;=SUMIFS(BONUS_RULES!$E$5:$E$46,BONUS_RULES!$A$5:$A$46,$C252,BONUS_RULES!$B$5:$B$46,"AHT"),SUMIFS(BONUS_RULES!$D$5:$D$46,BONUS_RULES!$A$5:$A$46,$C252,BONUS_RULES!$B$5:$B$46,"AHT"),IF(AGENT_INPUT!E252&lt;=SUMIFS(BONUS_RULES!$G$5:$G$46,BONUS_RULES!$A$5:$A$46,$C252,BONUS_RULES!$B$5:$B$46,"AHT"),SUMIFS(BONUS_RULES!$F$5:$F$46,BONUS_RULES!$A$5:$A$46,$C252,BONUS_RULES!$B$5:$B$46,"AHT"),0)))</f>
        <v/>
      </c>
      <c r="G252" s="10">
        <f>IF(OR($A252="",$D252&lt;&gt;"READY"),"",IF(AGENT_INPUT!F252&gt;=SUMIFS(BONUS_RULES!$E$5:$E$46,BONUS_RULES!$A$5:$A$46,$C252,BONUS_RULES!$B$5:$B$46,"Productivity"),SUMIFS(BONUS_RULES!$D$5:$D$46,BONUS_RULES!$A$5:$A$46,$C252,BONUS_RULES!$B$5:$B$46,"Productivity"),IF(AGENT_INPUT!F252&gt;=SUMIFS(BONUS_RULES!$G$5:$G$46,BONUS_RULES!$A$5:$A$46,$C252,BONUS_RULES!$B$5:$B$46,"Productivity"),SUMIFS(BONUS_RULES!$F$5:$F$46,BONUS_RULES!$A$5:$A$46,$C252,BONUS_RULES!$B$5:$B$46,"Productivity"),0)))</f>
        <v/>
      </c>
      <c r="H252" s="10">
        <f>IF(OR($A252="",$D252&lt;&gt;"READY"),"",IF(AGENT_INPUT!G252&gt;=SUMIFS(BONUS_RULES!$E$5:$E$46,BONUS_RULES!$A$5:$A$46,$C252,BONUS_RULES!$B$5:$B$46,"PCS Score"),SUMIFS(BONUS_RULES!$D$5:$D$46,BONUS_RULES!$A$5:$A$46,$C252,BONUS_RULES!$B$5:$B$46,"PCS Score"),IF(AGENT_INPUT!G252&gt;=SUMIFS(BONUS_RULES!$G$5:$G$46,BONUS_RULES!$A$5:$A$46,$C252,BONUS_RULES!$B$5:$B$46,"PCS Score"),SUMIFS(BONUS_RULES!$F$5:$F$46,BONUS_RULES!$A$5:$A$46,$C252,BONUS_RULES!$B$5:$B$46,"PCS Score"),0)))</f>
        <v/>
      </c>
      <c r="I252" s="10">
        <f>IF(OR($A252="",$D252&lt;&gt;"READY"),"",IF(AGENT_INPUT!H252&gt;=SUMIFS(BONUS_RULES!$E$5:$E$46,BONUS_RULES!$A$5:$A$46,$C252,BONUS_RULES!$B$5:$B$46,"PCS % (Participation)"),SUMIFS(BONUS_RULES!$D$5:$D$46,BONUS_RULES!$A$5:$A$46,$C252,BONUS_RULES!$B$5:$B$46,"PCS % (Participation)"),IF(AGENT_INPUT!H252&gt;=SUMIFS(BONUS_RULES!$G$5:$G$46,BONUS_RULES!$A$5:$A$46,$C252,BONUS_RULES!$B$5:$B$46,"PCS % (Participation)"),SUMIFS(BONUS_RULES!$F$5:$F$46,BONUS_RULES!$A$5:$A$46,$C252,BONUS_RULES!$B$5:$B$46,"PCS % (Participation)"),0)))</f>
        <v/>
      </c>
      <c r="J252" s="10">
        <f>IF(OR($A252="",$D252&lt;&gt;"READY"),"",IF(AGENT_INPUT!I252&gt;=SUMIFS(BONUS_RULES!$E$5:$E$46,BONUS_RULES!$A$5:$A$46,$C252,BONUS_RULES!$B$5:$B$46,"QM"),SUMIFS(BONUS_RULES!$D$5:$D$46,BONUS_RULES!$A$5:$A$46,$C252,BONUS_RULES!$B$5:$B$46,"QM"),IF(AGENT_INPUT!I252&gt;=SUMIFS(BONUS_RULES!$G$5:$G$46,BONUS_RULES!$A$5:$A$46,$C252,BONUS_RULES!$B$5:$B$46,"QM"),SUMIFS(BONUS_RULES!$F$5:$F$46,BONUS_RULES!$A$5:$A$46,$C252,BONUS_RULES!$B$5:$B$46,"QM"),0)))</f>
        <v/>
      </c>
      <c r="K252" s="10">
        <f>IF(POLICY_APPROVAL!$B$9="Eligibility only",0,IF(OR($A252="",$D252&lt;&gt;"READY"),"",IF(AGENT_INPUT!J252&lt;=SUMIFS(BONUS_RULES!$E$5:$E$46,BONUS_RULES!$A$5:$A$46,$C252,BONUS_RULES!$B$5:$B$46,"Abs%"),SUMIFS(BONUS_RULES!$D$5:$D$46,BONUS_RULES!$A$5:$A$46,$C252,BONUS_RULES!$B$5:$B$46,"Abs%"),IF(AGENT_INPUT!J252&lt;=SUMIFS(BONUS_RULES!$G$5:$G$46,BONUS_RULES!$A$5:$A$46,$C252,BONUS_RULES!$B$5:$B$46,"Abs%"),SUMIFS(BONUS_RULES!$F$5:$F$46,BONUS_RULES!$A$5:$A$46,$C252,BONUS_RULES!$B$5:$B$46,"Abs%"),0))))</f>
        <v/>
      </c>
      <c r="L252" s="10">
        <f>IF(OR($A252="",$D252&lt;&gt;"READY"),"",IF(AGENT_INPUT!G252&gt;=SUMIFS(BONUS_RULES!$E$5:$E$46,BONUS_RULES!$A$5:$A$46,$C252,BONUS_RULES!$B$5:$B$46,"Extra Bonus (PCS Score)"),SUMIFS(BONUS_RULES!$D$5:$D$46,BONUS_RULES!$A$5:$A$46,$C252,BONUS_RULES!$B$5:$B$46,"Extra Bonus (PCS Score)"),IF(AGENT_INPUT!G252&gt;=SUMIFS(BONUS_RULES!$G$5:$G$46,BONUS_RULES!$A$5:$A$46,$C252,BONUS_RULES!$B$5:$B$46,"Extra Bonus (PCS Score)"),SUMIFS(BONUS_RULES!$F$5:$F$46,BONUS_RULES!$A$5:$A$46,$C252,BONUS_RULES!$B$5:$B$46,"Extra Bonus (PCS Score)"),0)))</f>
        <v/>
      </c>
      <c r="M252" s="10">
        <f>IF($A252="","",MIN(IF(POLICY_APPROVAL!$B$6="Replacement",SUM(F252:K252)-H252+MAX(H252,L252),SUM(F252:L252)),POLICY_APPROVAL!$B$10))</f>
        <v/>
      </c>
      <c r="N252" s="10">
        <f>IF($A252="","",IFERROR(INDEX(BONUS_RULES!$J$5:$J$10,MATCH(MIN(MAX(AGENT_INPUT!K252,0),5),BONUS_RULES!$I$5:$I$10,0)),1))</f>
        <v/>
      </c>
      <c r="O252" s="10">
        <f>IF(M252="","",MAX(0,IF(POLICY_APPROVAL!$B$5="Percentage points",M252-N252,M252*(1-N252))))</f>
        <v/>
      </c>
      <c r="P252" s="11">
        <f>IF(D252&lt;&gt;"READY","",IF(AGENT_INPUT!O252&gt;0,AGENT_INPUT!O252,AGENT_INPUT!M252*AGENT_INPUT!N252/IF(POLICY_APPROVAL!$B$7="Annual",12,1)))</f>
        <v/>
      </c>
      <c r="Q252" s="10">
        <f>IF(D252&lt;&gt;"READY","",MIN(1,AGENT_INPUT!P252/AGENT_INPUT!Q252))</f>
        <v/>
      </c>
      <c r="R252" s="11">
        <f>IF(D252&lt;&gt;"READY","",ROUND(P252*Q252*O252,IF(POLICY_APPROVAL!$B$11="Whole MAD",0,2)))</f>
        <v/>
      </c>
      <c r="S252" s="11">
        <f>IF(AND(SETUP!$B$9="READY",T252="READY"),R252,"")</f>
        <v/>
      </c>
      <c r="T252" s="4">
        <f>IF($A252="","",IF(D252&lt;&gt;"READY","BLOCKED - INPUT",IF(E252&lt;&gt;"ELIGIBLE","BLOCKED - ELIGIBILITY",IF(AGENT_INPUT!S252&lt;&gt;"VALIDATED","BLOCKED - DATA",IF(SETUP!$B$9&lt;&gt;"READY","BLOCKED - POLICY","READY")))))</f>
        <v/>
      </c>
      <c r="U252" s="4">
        <f>IF($A252="","",IF(COUNTIFS(AGENT_INPUT!$A$5:$A$254,$A252,AGENT_INPUT!$D$5:$D$254,AGENT_INPUT!D252)&gt;1,"DUPLICATE AGENT + PERIOD",IF(D252&lt;&gt;"READY","INPUT OR CONFIG REVIEW",IF(T252&lt;&gt;"READY",T252,""))))</f>
        <v/>
      </c>
    </row>
    <row r="253" spans="1:21">
      <c r="A253" s="4">
        <f>IF(AGENT_INPUT!A253="","",AGENT_INPUT!A253)</f>
        <v/>
      </c>
      <c r="B253" s="4">
        <f>IF($A253="","",AGENT_INPUT!B253)</f>
        <v/>
      </c>
      <c r="C253" s="4">
        <f>IF($A253="","",AGENT_INPUT!C253)</f>
        <v/>
      </c>
      <c r="D253" s="4">
        <f>IF($A253="","",IF(AND(COUNT(AGENT_INPUT!E253:J253)=6,COUNT(AGENT_INPUT!K253)=1,COUNTIF(BONUS_RULES!$A$5:$A$46,AGENT_INPUT!C253)&gt;0,OR(AGENT_INPUT!O253&gt;0,AND(AGENT_INPUT!M253&gt;0,AGENT_INPUT!N253&gt;0)),AGENT_INPUT!P253&gt;=0,AGENT_INPUT!Q253&gt;0,AGENT_INPUT!P253&lt;=AGENT_INPUT!Q253,AGENT_INPUT!H253&gt;=0,AGENT_INPUT!H253&lt;=1,AGENT_INPUT!I253&gt;=0,AGENT_INPUT!I253&lt;=1,AGENT_INPUT!J253&gt;=0,AGENT_INPUT!J253&lt;=1),"READY","BLOCKED"))</f>
        <v/>
      </c>
      <c r="E253" s="4">
        <f>IF($A253="","",IF(AGENT_INPUT!R253&lt;&gt;"Active","REVIEW",IF(OR(POLICY_APPROVAL!$B$9="Eligibility only",POLICY_APPROVAL!$B$9="Both"),IF(AGENT_INPUT!J253&lt;=SUMIFS(BONUS_RULES!$E$5:$E$46,BONUS_RULES!$A$5:$A$46,$C253,BONUS_RULES!$B$5:$B$46,"Abs%"),"ELIGIBLE","INELIGIBLE ABS"),"ELIGIBLE")))</f>
        <v/>
      </c>
      <c r="F253" s="10">
        <f>IF(OR($A253="",$D253&lt;&gt;"READY"),"",IF(AGENT_INPUT!E253&lt;=SUMIFS(BONUS_RULES!$E$5:$E$46,BONUS_RULES!$A$5:$A$46,$C253,BONUS_RULES!$B$5:$B$46,"AHT"),SUMIFS(BONUS_RULES!$D$5:$D$46,BONUS_RULES!$A$5:$A$46,$C253,BONUS_RULES!$B$5:$B$46,"AHT"),IF(AGENT_INPUT!E253&lt;=SUMIFS(BONUS_RULES!$G$5:$G$46,BONUS_RULES!$A$5:$A$46,$C253,BONUS_RULES!$B$5:$B$46,"AHT"),SUMIFS(BONUS_RULES!$F$5:$F$46,BONUS_RULES!$A$5:$A$46,$C253,BONUS_RULES!$B$5:$B$46,"AHT"),0)))</f>
        <v/>
      </c>
      <c r="G253" s="10">
        <f>IF(OR($A253="",$D253&lt;&gt;"READY"),"",IF(AGENT_INPUT!F253&gt;=SUMIFS(BONUS_RULES!$E$5:$E$46,BONUS_RULES!$A$5:$A$46,$C253,BONUS_RULES!$B$5:$B$46,"Productivity"),SUMIFS(BONUS_RULES!$D$5:$D$46,BONUS_RULES!$A$5:$A$46,$C253,BONUS_RULES!$B$5:$B$46,"Productivity"),IF(AGENT_INPUT!F253&gt;=SUMIFS(BONUS_RULES!$G$5:$G$46,BONUS_RULES!$A$5:$A$46,$C253,BONUS_RULES!$B$5:$B$46,"Productivity"),SUMIFS(BONUS_RULES!$F$5:$F$46,BONUS_RULES!$A$5:$A$46,$C253,BONUS_RULES!$B$5:$B$46,"Productivity"),0)))</f>
        <v/>
      </c>
      <c r="H253" s="10">
        <f>IF(OR($A253="",$D253&lt;&gt;"READY"),"",IF(AGENT_INPUT!G253&gt;=SUMIFS(BONUS_RULES!$E$5:$E$46,BONUS_RULES!$A$5:$A$46,$C253,BONUS_RULES!$B$5:$B$46,"PCS Score"),SUMIFS(BONUS_RULES!$D$5:$D$46,BONUS_RULES!$A$5:$A$46,$C253,BONUS_RULES!$B$5:$B$46,"PCS Score"),IF(AGENT_INPUT!G253&gt;=SUMIFS(BONUS_RULES!$G$5:$G$46,BONUS_RULES!$A$5:$A$46,$C253,BONUS_RULES!$B$5:$B$46,"PCS Score"),SUMIFS(BONUS_RULES!$F$5:$F$46,BONUS_RULES!$A$5:$A$46,$C253,BONUS_RULES!$B$5:$B$46,"PCS Score"),0)))</f>
        <v/>
      </c>
      <c r="I253" s="10">
        <f>IF(OR($A253="",$D253&lt;&gt;"READY"),"",IF(AGENT_INPUT!H253&gt;=SUMIFS(BONUS_RULES!$E$5:$E$46,BONUS_RULES!$A$5:$A$46,$C253,BONUS_RULES!$B$5:$B$46,"PCS % (Participation)"),SUMIFS(BONUS_RULES!$D$5:$D$46,BONUS_RULES!$A$5:$A$46,$C253,BONUS_RULES!$B$5:$B$46,"PCS % (Participation)"),IF(AGENT_INPUT!H253&gt;=SUMIFS(BONUS_RULES!$G$5:$G$46,BONUS_RULES!$A$5:$A$46,$C253,BONUS_RULES!$B$5:$B$46,"PCS % (Participation)"),SUMIFS(BONUS_RULES!$F$5:$F$46,BONUS_RULES!$A$5:$A$46,$C253,BONUS_RULES!$B$5:$B$46,"PCS % (Participation)"),0)))</f>
        <v/>
      </c>
      <c r="J253" s="10">
        <f>IF(OR($A253="",$D253&lt;&gt;"READY"),"",IF(AGENT_INPUT!I253&gt;=SUMIFS(BONUS_RULES!$E$5:$E$46,BONUS_RULES!$A$5:$A$46,$C253,BONUS_RULES!$B$5:$B$46,"QM"),SUMIFS(BONUS_RULES!$D$5:$D$46,BONUS_RULES!$A$5:$A$46,$C253,BONUS_RULES!$B$5:$B$46,"QM"),IF(AGENT_INPUT!I253&gt;=SUMIFS(BONUS_RULES!$G$5:$G$46,BONUS_RULES!$A$5:$A$46,$C253,BONUS_RULES!$B$5:$B$46,"QM"),SUMIFS(BONUS_RULES!$F$5:$F$46,BONUS_RULES!$A$5:$A$46,$C253,BONUS_RULES!$B$5:$B$46,"QM"),0)))</f>
        <v/>
      </c>
      <c r="K253" s="10">
        <f>IF(POLICY_APPROVAL!$B$9="Eligibility only",0,IF(OR($A253="",$D253&lt;&gt;"READY"),"",IF(AGENT_INPUT!J253&lt;=SUMIFS(BONUS_RULES!$E$5:$E$46,BONUS_RULES!$A$5:$A$46,$C253,BONUS_RULES!$B$5:$B$46,"Abs%"),SUMIFS(BONUS_RULES!$D$5:$D$46,BONUS_RULES!$A$5:$A$46,$C253,BONUS_RULES!$B$5:$B$46,"Abs%"),IF(AGENT_INPUT!J253&lt;=SUMIFS(BONUS_RULES!$G$5:$G$46,BONUS_RULES!$A$5:$A$46,$C253,BONUS_RULES!$B$5:$B$46,"Abs%"),SUMIFS(BONUS_RULES!$F$5:$F$46,BONUS_RULES!$A$5:$A$46,$C253,BONUS_RULES!$B$5:$B$46,"Abs%"),0))))</f>
        <v/>
      </c>
      <c r="L253" s="10">
        <f>IF(OR($A253="",$D253&lt;&gt;"READY"),"",IF(AGENT_INPUT!G253&gt;=SUMIFS(BONUS_RULES!$E$5:$E$46,BONUS_RULES!$A$5:$A$46,$C253,BONUS_RULES!$B$5:$B$46,"Extra Bonus (PCS Score)"),SUMIFS(BONUS_RULES!$D$5:$D$46,BONUS_RULES!$A$5:$A$46,$C253,BONUS_RULES!$B$5:$B$46,"Extra Bonus (PCS Score)"),IF(AGENT_INPUT!G253&gt;=SUMIFS(BONUS_RULES!$G$5:$G$46,BONUS_RULES!$A$5:$A$46,$C253,BONUS_RULES!$B$5:$B$46,"Extra Bonus (PCS Score)"),SUMIFS(BONUS_RULES!$F$5:$F$46,BONUS_RULES!$A$5:$A$46,$C253,BONUS_RULES!$B$5:$B$46,"Extra Bonus (PCS Score)"),0)))</f>
        <v/>
      </c>
      <c r="M253" s="10">
        <f>IF($A253="","",MIN(IF(POLICY_APPROVAL!$B$6="Replacement",SUM(F253:K253)-H253+MAX(H253,L253),SUM(F253:L253)),POLICY_APPROVAL!$B$10))</f>
        <v/>
      </c>
      <c r="N253" s="10">
        <f>IF($A253="","",IFERROR(INDEX(BONUS_RULES!$J$5:$J$10,MATCH(MIN(MAX(AGENT_INPUT!K253,0),5),BONUS_RULES!$I$5:$I$10,0)),1))</f>
        <v/>
      </c>
      <c r="O253" s="10">
        <f>IF(M253="","",MAX(0,IF(POLICY_APPROVAL!$B$5="Percentage points",M253-N253,M253*(1-N253))))</f>
        <v/>
      </c>
      <c r="P253" s="11">
        <f>IF(D253&lt;&gt;"READY","",IF(AGENT_INPUT!O253&gt;0,AGENT_INPUT!O253,AGENT_INPUT!M253*AGENT_INPUT!N253/IF(POLICY_APPROVAL!$B$7="Annual",12,1)))</f>
        <v/>
      </c>
      <c r="Q253" s="10">
        <f>IF(D253&lt;&gt;"READY","",MIN(1,AGENT_INPUT!P253/AGENT_INPUT!Q253))</f>
        <v/>
      </c>
      <c r="R253" s="11">
        <f>IF(D253&lt;&gt;"READY","",ROUND(P253*Q253*O253,IF(POLICY_APPROVAL!$B$11="Whole MAD",0,2)))</f>
        <v/>
      </c>
      <c r="S253" s="11">
        <f>IF(AND(SETUP!$B$9="READY",T253="READY"),R253,"")</f>
        <v/>
      </c>
      <c r="T253" s="4">
        <f>IF($A253="","",IF(D253&lt;&gt;"READY","BLOCKED - INPUT",IF(E253&lt;&gt;"ELIGIBLE","BLOCKED - ELIGIBILITY",IF(AGENT_INPUT!S253&lt;&gt;"VALIDATED","BLOCKED - DATA",IF(SETUP!$B$9&lt;&gt;"READY","BLOCKED - POLICY","READY")))))</f>
        <v/>
      </c>
      <c r="U253" s="4">
        <f>IF($A253="","",IF(COUNTIFS(AGENT_INPUT!$A$5:$A$254,$A253,AGENT_INPUT!$D$5:$D$254,AGENT_INPUT!D253)&gt;1,"DUPLICATE AGENT + PERIOD",IF(D253&lt;&gt;"READY","INPUT OR CONFIG REVIEW",IF(T253&lt;&gt;"READY",T253,""))))</f>
        <v/>
      </c>
    </row>
    <row r="254" spans="1:21">
      <c r="A254" s="4">
        <f>IF(AGENT_INPUT!A254="","",AGENT_INPUT!A254)</f>
        <v/>
      </c>
      <c r="B254" s="4">
        <f>IF($A254="","",AGENT_INPUT!B254)</f>
        <v/>
      </c>
      <c r="C254" s="4">
        <f>IF($A254="","",AGENT_INPUT!C254)</f>
        <v/>
      </c>
      <c r="D254" s="4">
        <f>IF($A254="","",IF(AND(COUNT(AGENT_INPUT!E254:J254)=6,COUNT(AGENT_INPUT!K254)=1,COUNTIF(BONUS_RULES!$A$5:$A$46,AGENT_INPUT!C254)&gt;0,OR(AGENT_INPUT!O254&gt;0,AND(AGENT_INPUT!M254&gt;0,AGENT_INPUT!N254&gt;0)),AGENT_INPUT!P254&gt;=0,AGENT_INPUT!Q254&gt;0,AGENT_INPUT!P254&lt;=AGENT_INPUT!Q254,AGENT_INPUT!H254&gt;=0,AGENT_INPUT!H254&lt;=1,AGENT_INPUT!I254&gt;=0,AGENT_INPUT!I254&lt;=1,AGENT_INPUT!J254&gt;=0,AGENT_INPUT!J254&lt;=1),"READY","BLOCKED"))</f>
        <v/>
      </c>
      <c r="E254" s="4">
        <f>IF($A254="","",IF(AGENT_INPUT!R254&lt;&gt;"Active","REVIEW",IF(OR(POLICY_APPROVAL!$B$9="Eligibility only",POLICY_APPROVAL!$B$9="Both"),IF(AGENT_INPUT!J254&lt;=SUMIFS(BONUS_RULES!$E$5:$E$46,BONUS_RULES!$A$5:$A$46,$C254,BONUS_RULES!$B$5:$B$46,"Abs%"),"ELIGIBLE","INELIGIBLE ABS"),"ELIGIBLE")))</f>
        <v/>
      </c>
      <c r="F254" s="10">
        <f>IF(OR($A254="",$D254&lt;&gt;"READY"),"",IF(AGENT_INPUT!E254&lt;=SUMIFS(BONUS_RULES!$E$5:$E$46,BONUS_RULES!$A$5:$A$46,$C254,BONUS_RULES!$B$5:$B$46,"AHT"),SUMIFS(BONUS_RULES!$D$5:$D$46,BONUS_RULES!$A$5:$A$46,$C254,BONUS_RULES!$B$5:$B$46,"AHT"),IF(AGENT_INPUT!E254&lt;=SUMIFS(BONUS_RULES!$G$5:$G$46,BONUS_RULES!$A$5:$A$46,$C254,BONUS_RULES!$B$5:$B$46,"AHT"),SUMIFS(BONUS_RULES!$F$5:$F$46,BONUS_RULES!$A$5:$A$46,$C254,BONUS_RULES!$B$5:$B$46,"AHT"),0)))</f>
        <v/>
      </c>
      <c r="G254" s="10">
        <f>IF(OR($A254="",$D254&lt;&gt;"READY"),"",IF(AGENT_INPUT!F254&gt;=SUMIFS(BONUS_RULES!$E$5:$E$46,BONUS_RULES!$A$5:$A$46,$C254,BONUS_RULES!$B$5:$B$46,"Productivity"),SUMIFS(BONUS_RULES!$D$5:$D$46,BONUS_RULES!$A$5:$A$46,$C254,BONUS_RULES!$B$5:$B$46,"Productivity"),IF(AGENT_INPUT!F254&gt;=SUMIFS(BONUS_RULES!$G$5:$G$46,BONUS_RULES!$A$5:$A$46,$C254,BONUS_RULES!$B$5:$B$46,"Productivity"),SUMIFS(BONUS_RULES!$F$5:$F$46,BONUS_RULES!$A$5:$A$46,$C254,BONUS_RULES!$B$5:$B$46,"Productivity"),0)))</f>
        <v/>
      </c>
      <c r="H254" s="10">
        <f>IF(OR($A254="",$D254&lt;&gt;"READY"),"",IF(AGENT_INPUT!G254&gt;=SUMIFS(BONUS_RULES!$E$5:$E$46,BONUS_RULES!$A$5:$A$46,$C254,BONUS_RULES!$B$5:$B$46,"PCS Score"),SUMIFS(BONUS_RULES!$D$5:$D$46,BONUS_RULES!$A$5:$A$46,$C254,BONUS_RULES!$B$5:$B$46,"PCS Score"),IF(AGENT_INPUT!G254&gt;=SUMIFS(BONUS_RULES!$G$5:$G$46,BONUS_RULES!$A$5:$A$46,$C254,BONUS_RULES!$B$5:$B$46,"PCS Score"),SUMIFS(BONUS_RULES!$F$5:$F$46,BONUS_RULES!$A$5:$A$46,$C254,BONUS_RULES!$B$5:$B$46,"PCS Score"),0)))</f>
        <v/>
      </c>
      <c r="I254" s="10">
        <f>IF(OR($A254="",$D254&lt;&gt;"READY"),"",IF(AGENT_INPUT!H254&gt;=SUMIFS(BONUS_RULES!$E$5:$E$46,BONUS_RULES!$A$5:$A$46,$C254,BONUS_RULES!$B$5:$B$46,"PCS % (Participation)"),SUMIFS(BONUS_RULES!$D$5:$D$46,BONUS_RULES!$A$5:$A$46,$C254,BONUS_RULES!$B$5:$B$46,"PCS % (Participation)"),IF(AGENT_INPUT!H254&gt;=SUMIFS(BONUS_RULES!$G$5:$G$46,BONUS_RULES!$A$5:$A$46,$C254,BONUS_RULES!$B$5:$B$46,"PCS % (Participation)"),SUMIFS(BONUS_RULES!$F$5:$F$46,BONUS_RULES!$A$5:$A$46,$C254,BONUS_RULES!$B$5:$B$46,"PCS % (Participation)"),0)))</f>
        <v/>
      </c>
      <c r="J254" s="10">
        <f>IF(OR($A254="",$D254&lt;&gt;"READY"),"",IF(AGENT_INPUT!I254&gt;=SUMIFS(BONUS_RULES!$E$5:$E$46,BONUS_RULES!$A$5:$A$46,$C254,BONUS_RULES!$B$5:$B$46,"QM"),SUMIFS(BONUS_RULES!$D$5:$D$46,BONUS_RULES!$A$5:$A$46,$C254,BONUS_RULES!$B$5:$B$46,"QM"),IF(AGENT_INPUT!I254&gt;=SUMIFS(BONUS_RULES!$G$5:$G$46,BONUS_RULES!$A$5:$A$46,$C254,BONUS_RULES!$B$5:$B$46,"QM"),SUMIFS(BONUS_RULES!$F$5:$F$46,BONUS_RULES!$A$5:$A$46,$C254,BONUS_RULES!$B$5:$B$46,"QM"),0)))</f>
        <v/>
      </c>
      <c r="K254" s="10">
        <f>IF(POLICY_APPROVAL!$B$9="Eligibility only",0,IF(OR($A254="",$D254&lt;&gt;"READY"),"",IF(AGENT_INPUT!J254&lt;=SUMIFS(BONUS_RULES!$E$5:$E$46,BONUS_RULES!$A$5:$A$46,$C254,BONUS_RULES!$B$5:$B$46,"Abs%"),SUMIFS(BONUS_RULES!$D$5:$D$46,BONUS_RULES!$A$5:$A$46,$C254,BONUS_RULES!$B$5:$B$46,"Abs%"),IF(AGENT_INPUT!J254&lt;=SUMIFS(BONUS_RULES!$G$5:$G$46,BONUS_RULES!$A$5:$A$46,$C254,BONUS_RULES!$B$5:$B$46,"Abs%"),SUMIFS(BONUS_RULES!$F$5:$F$46,BONUS_RULES!$A$5:$A$46,$C254,BONUS_RULES!$B$5:$B$46,"Abs%"),0))))</f>
        <v/>
      </c>
      <c r="L254" s="10">
        <f>IF(OR($A254="",$D254&lt;&gt;"READY"),"",IF(AGENT_INPUT!G254&gt;=SUMIFS(BONUS_RULES!$E$5:$E$46,BONUS_RULES!$A$5:$A$46,$C254,BONUS_RULES!$B$5:$B$46,"Extra Bonus (PCS Score)"),SUMIFS(BONUS_RULES!$D$5:$D$46,BONUS_RULES!$A$5:$A$46,$C254,BONUS_RULES!$B$5:$B$46,"Extra Bonus (PCS Score)"),IF(AGENT_INPUT!G254&gt;=SUMIFS(BONUS_RULES!$G$5:$G$46,BONUS_RULES!$A$5:$A$46,$C254,BONUS_RULES!$B$5:$B$46,"Extra Bonus (PCS Score)"),SUMIFS(BONUS_RULES!$F$5:$F$46,BONUS_RULES!$A$5:$A$46,$C254,BONUS_RULES!$B$5:$B$46,"Extra Bonus (PCS Score)"),0)))</f>
        <v/>
      </c>
      <c r="M254" s="10">
        <f>IF($A254="","",MIN(IF(POLICY_APPROVAL!$B$6="Replacement",SUM(F254:K254)-H254+MAX(H254,L254),SUM(F254:L254)),POLICY_APPROVAL!$B$10))</f>
        <v/>
      </c>
      <c r="N254" s="10">
        <f>IF($A254="","",IFERROR(INDEX(BONUS_RULES!$J$5:$J$10,MATCH(MIN(MAX(AGENT_INPUT!K254,0),5),BONUS_RULES!$I$5:$I$10,0)),1))</f>
        <v/>
      </c>
      <c r="O254" s="10">
        <f>IF(M254="","",MAX(0,IF(POLICY_APPROVAL!$B$5="Percentage points",M254-N254,M254*(1-N254))))</f>
        <v/>
      </c>
      <c r="P254" s="11">
        <f>IF(D254&lt;&gt;"READY","",IF(AGENT_INPUT!O254&gt;0,AGENT_INPUT!O254,AGENT_INPUT!M254*AGENT_INPUT!N254/IF(POLICY_APPROVAL!$B$7="Annual",12,1)))</f>
        <v/>
      </c>
      <c r="Q254" s="10">
        <f>IF(D254&lt;&gt;"READY","",MIN(1,AGENT_INPUT!P254/AGENT_INPUT!Q254))</f>
        <v/>
      </c>
      <c r="R254" s="11">
        <f>IF(D254&lt;&gt;"READY","",ROUND(P254*Q254*O254,IF(POLICY_APPROVAL!$B$11="Whole MAD",0,2)))</f>
        <v/>
      </c>
      <c r="S254" s="11">
        <f>IF(AND(SETUP!$B$9="READY",T254="READY"),R254,"")</f>
        <v/>
      </c>
      <c r="T254" s="4">
        <f>IF($A254="","",IF(D254&lt;&gt;"READY","BLOCKED - INPUT",IF(E254&lt;&gt;"ELIGIBLE","BLOCKED - ELIGIBILITY",IF(AGENT_INPUT!S254&lt;&gt;"VALIDATED","BLOCKED - DATA",IF(SETUP!$B$9&lt;&gt;"READY","BLOCKED - POLICY","READY")))))</f>
        <v/>
      </c>
      <c r="U254" s="4">
        <f>IF($A254="","",IF(COUNTIFS(AGENT_INPUT!$A$5:$A$254,$A254,AGENT_INPUT!$D$5:$D$254,AGENT_INPUT!D254)&gt;1,"DUPLICATE AGENT + PERIOD",IF(D254&lt;&gt;"READY","INPUT OR CONFIG REVIEW",IF(T254&lt;&gt;"READY",T254,""))))</f>
        <v/>
      </c>
    </row>
  </sheetData>
  <mergeCells count="2">
    <mergeCell ref="A1:U1"/>
    <mergeCell ref="A2:U2"/>
  </mergeCells>
  <conditionalFormatting sqref="T5:T254">
    <cfRule type="containsText" dxfId="0" priority="1" operator="containsText" text="READY">
      <formula>NOT(ISERROR(SEARCH("READY",T5)))</formula>
    </cfRule>
    <cfRule type="containsText" dxfId="1" priority="2" operator="containsText" text="BLOCKED">
      <formula>NOT(ISERROR(SEARCH("BLOCKED",T5)))</formula>
    </cfRule>
  </conditionalFormatting>
  <pageMargins left="0.7" right="0.7" top="0.75" bottom="0.75" header="0.3" footer="0.3"/>
  <pageSetup fitToHeight="0" orientation="landscape"/>
  <headerFooter>
    <oddFooter>&amp;LWFMHub | made by Anass ASSRI&amp;CPage &amp;P of &amp;N&amp;RConfidential</oddFooter>
  </headerFooter>
  <tableParts count="1">
    <tablePart r:id="rId1"/>
  </tableParts>
</worksheet>
</file>

<file path=xl/worksheets/sheet6.xml><?xml version="1.0" encoding="utf-8"?>
<worksheet xmlns="http://schemas.openxmlformats.org/spreadsheetml/2006/main" xmlns:r="http://schemas.openxmlformats.org/officeDocument/2006/relationships">
  <sheetPr>
    <tabColor rgb="FF007C83"/>
    <pageSetUpPr fitToPage="1"/>
  </sheetPr>
  <dimension ref="A1:L22"/>
  <sheetViews>
    <sheetView showGridLines="0" tabSelected="1" zoomScale="90" zoomScaleNormal="90" workbookViewId="0"/>
  </sheetViews>
  <sheetFormatPr defaultRowHeight="15"/>
  <cols>
    <col min="1" max="12" width="14.7109375" customWidth="1"/>
  </cols>
  <sheetData>
    <row r="1" spans="1:12" ht="32" customHeight="1">
      <c r="A1" s="1" t="s">
        <v>297</v>
      </c>
      <c r="B1" s="1"/>
      <c r="C1" s="1"/>
      <c r="D1" s="1"/>
      <c r="E1" s="1"/>
      <c r="F1" s="1"/>
      <c r="G1" s="1"/>
      <c r="H1" s="1"/>
      <c r="I1" s="1"/>
      <c r="J1" s="1"/>
      <c r="K1" s="1"/>
      <c r="L1" s="1"/>
    </row>
    <row r="2" spans="1:12" ht="20" customHeight="1">
      <c r="A2" s="2" t="s">
        <v>298</v>
      </c>
      <c r="B2" s="2"/>
      <c r="C2" s="2"/>
      <c r="D2" s="2"/>
      <c r="E2" s="2"/>
      <c r="F2" s="2"/>
      <c r="G2" s="2"/>
      <c r="H2" s="2"/>
      <c r="I2" s="2"/>
      <c r="J2" s="2"/>
      <c r="K2" s="2"/>
      <c r="L2" s="2"/>
    </row>
    <row r="4" spans="1:12" ht="27" customHeight="1">
      <c r="A4" s="7" t="s">
        <v>299</v>
      </c>
      <c r="B4" s="7"/>
      <c r="C4" s="7"/>
      <c r="D4" s="7"/>
      <c r="E4" s="7"/>
      <c r="F4" s="7"/>
      <c r="G4" s="7"/>
      <c r="H4" s="7"/>
      <c r="I4" s="7"/>
      <c r="J4" s="7"/>
      <c r="K4" s="7"/>
      <c r="L4" s="7"/>
    </row>
    <row r="6" spans="1:12">
      <c r="A6" s="12" t="s">
        <v>300</v>
      </c>
      <c r="B6" s="12"/>
      <c r="C6" s="12" t="s">
        <v>301</v>
      </c>
      <c r="D6" s="12"/>
      <c r="E6" s="12" t="s">
        <v>302</v>
      </c>
      <c r="F6" s="12"/>
      <c r="G6" s="12" t="s">
        <v>303</v>
      </c>
      <c r="H6" s="12"/>
      <c r="I6" s="12" t="s">
        <v>304</v>
      </c>
      <c r="J6" s="12"/>
      <c r="K6" s="12" t="s">
        <v>305</v>
      </c>
      <c r="L6" s="12"/>
    </row>
    <row r="7" spans="1:12" ht="25" customHeight="1">
      <c r="A7" s="13">
        <f>COUNTIF(tblBonusCalc[Agent ID],"&lt;&gt;")</f>
        <v>167</v>
      </c>
      <c r="B7" s="13"/>
      <c r="C7" s="14">
        <f>IFERROR(AVERAGE(tblBonusCalc[Final Achievement]),0)</f>
        <v>0.5371900826446281</v>
      </c>
      <c r="D7" s="14"/>
      <c r="E7" s="15">
        <f>SUMPRODUCT(tblBonusCalc[Reference Bonus],tblBonusCalc[Proration],tblBonusCalc[Gross Achievement])</f>
        <v>130000.0</v>
      </c>
      <c r="F7" s="15"/>
      <c r="G7" s="15">
        <f>SUMPRODUCT(tblBonusCalc[Reference Bonus],tblBonusCalc[Proration],tblBonusCalc[Gross Achievement])-SUM(tblBonusCalc[Scenario Payout])</f>
        <v>0.0</v>
      </c>
      <c r="H7" s="15"/>
      <c r="I7" s="15">
        <f>SUM(tblBonusCalc[Scenario Payout])</f>
        <v>130000.0</v>
      </c>
      <c r="J7" s="15"/>
      <c r="K7" s="15">
        <f>SUM(tblBonusCalc[Released Payout])</f>
        <v>0</v>
      </c>
      <c r="L7" s="15"/>
    </row>
    <row r="8" spans="1:12" ht="25" customHeight="1">
      <c r="A8" s="13"/>
      <c r="B8" s="13"/>
      <c r="C8" s="14"/>
      <c r="D8" s="14"/>
      <c r="E8" s="15"/>
      <c r="F8" s="15"/>
      <c r="G8" s="15"/>
      <c r="H8" s="15"/>
      <c r="I8" s="15"/>
      <c r="J8" s="15"/>
      <c r="K8" s="15"/>
      <c r="L8" s="15"/>
    </row>
    <row r="11" spans="1:12">
      <c r="A11" s="3" t="s">
        <v>64</v>
      </c>
      <c r="B11" s="3" t="s">
        <v>306</v>
      </c>
      <c r="C11" s="3" t="s">
        <v>307</v>
      </c>
      <c r="D11" s="3" t="s">
        <v>308</v>
      </c>
    </row>
    <row r="12" spans="1:12">
      <c r="A12" s="4" t="s">
        <v>81</v>
      </c>
      <c r="B12" s="16">
        <f>COUNTIF(tblBonusCalc[Population],A12)</f>
        <v>24</v>
      </c>
      <c r="C12" s="11">
        <f>SUMIF(tblBonusCalc[Population],A12,tblBonusCalc[Scenario Payout])</f>
        <v>20500.0</v>
      </c>
      <c r="D12" s="10">
        <f>IFERROR(AVERAGEIF(tblBonusCalc[Population],A12,tblBonusCalc[Final Achievement]),0)</f>
        <v>0.4659090909090909</v>
      </c>
    </row>
    <row r="13" spans="1:12">
      <c r="A13" s="4" t="s">
        <v>71</v>
      </c>
      <c r="B13" s="16">
        <f>COUNTIF(tblBonusCalc[Population],A13)</f>
        <v>7</v>
      </c>
      <c r="C13" s="11">
        <f>SUMIF(tblBonusCalc[Population],A13,tblBonusCalc[Scenario Payout])</f>
        <v>0</v>
      </c>
      <c r="D13" s="10">
        <f>IFERROR(AVERAGEIF(tblBonusCalc[Population],A13,tblBonusCalc[Final Achievement]),0)</f>
        <v>0</v>
      </c>
    </row>
    <row r="14" spans="1:12">
      <c r="A14" s="4" t="s">
        <v>82</v>
      </c>
      <c r="B14" s="16">
        <f>COUNTIF(tblBonusCalc[Population],A14)</f>
        <v>59</v>
      </c>
      <c r="C14" s="11">
        <f>SUMIF(tblBonusCalc[Population],A14,tblBonusCalc[Scenario Payout])</f>
        <v>56700.0</v>
      </c>
      <c r="D14" s="10">
        <f>IFERROR(AVERAGEIF(tblBonusCalc[Population],A14,tblBonusCalc[Final Achievement]),0)</f>
        <v>0.63</v>
      </c>
    </row>
    <row r="15" spans="1:12">
      <c r="A15" s="4" t="s">
        <v>83</v>
      </c>
      <c r="B15" s="16">
        <f>COUNTIF(tblBonusCalc[Population],A15)</f>
        <v>18</v>
      </c>
      <c r="C15" s="11">
        <f>SUMIF(tblBonusCalc[Population],A15,tblBonusCalc[Scenario Payout])</f>
        <v>12500.0</v>
      </c>
      <c r="D15" s="10">
        <f>IFERROR(AVERAGEIF(tblBonusCalc[Population],A15,tblBonusCalc[Final Achievement]),0)</f>
        <v>0.5208333333333334</v>
      </c>
    </row>
    <row r="16" spans="1:12">
      <c r="A16" s="4" t="s">
        <v>84</v>
      </c>
      <c r="B16" s="16">
        <f>COUNTIF(tblBonusCalc[Population],A16)</f>
        <v>45</v>
      </c>
      <c r="C16" s="11">
        <f>SUMIF(tblBonusCalc[Population],A16,tblBonusCalc[Scenario Payout])</f>
        <v>28600.0</v>
      </c>
      <c r="D16" s="10">
        <f>IFERROR(AVERAGEIF(tblBonusCalc[Population],A16,tblBonusCalc[Final Achievement]),0)</f>
        <v>0.4766666666666666</v>
      </c>
    </row>
    <row r="17" spans="1:12">
      <c r="A17" s="4" t="s">
        <v>85</v>
      </c>
      <c r="B17" s="16">
        <f>COUNTIF(tblBonusCalc[Population],A17)</f>
        <v>14</v>
      </c>
      <c r="C17" s="11">
        <f>SUMIF(tblBonusCalc[Population],A17,tblBonusCalc[Scenario Payout])</f>
        <v>11700.0</v>
      </c>
      <c r="D17" s="10">
        <f>IFERROR(AVERAGEIF(tblBonusCalc[Population],A17,tblBonusCalc[Final Achievement]),0)</f>
        <v>0.4875</v>
      </c>
    </row>
    <row r="18" spans="1:12">
      <c r="A18" s="8" t="s">
        <v>309</v>
      </c>
    </row>
    <row r="19" spans="1:12">
      <c r="A19" s="9" t="s">
        <v>310</v>
      </c>
      <c r="B19" s="9"/>
      <c r="C19" s="9"/>
      <c r="D19" s="9"/>
      <c r="E19" s="9"/>
      <c r="F19" s="9"/>
      <c r="G19" s="9"/>
      <c r="H19" s="9"/>
      <c r="I19" s="9"/>
      <c r="J19" s="9"/>
      <c r="K19" s="9"/>
      <c r="L19" s="9"/>
    </row>
    <row r="20" spans="1:12">
      <c r="A20" s="9"/>
      <c r="B20" s="9"/>
      <c r="C20" s="9"/>
      <c r="D20" s="9"/>
      <c r="E20" s="9"/>
      <c r="F20" s="9"/>
      <c r="G20" s="9"/>
      <c r="H20" s="9"/>
      <c r="I20" s="9"/>
      <c r="J20" s="9"/>
      <c r="K20" s="9"/>
      <c r="L20" s="9"/>
    </row>
    <row r="21" spans="1:12">
      <c r="A21" s="9"/>
      <c r="B21" s="9"/>
      <c r="C21" s="9"/>
      <c r="D21" s="9"/>
      <c r="E21" s="9"/>
      <c r="F21" s="9"/>
      <c r="G21" s="9"/>
      <c r="H21" s="9"/>
      <c r="I21" s="9"/>
      <c r="J21" s="9"/>
      <c r="K21" s="9"/>
      <c r="L21" s="9"/>
    </row>
    <row r="22" spans="1:12">
      <c r="A22" s="9"/>
      <c r="B22" s="9"/>
      <c r="C22" s="9"/>
      <c r="D22" s="9"/>
      <c r="E22" s="9"/>
      <c r="F22" s="9"/>
      <c r="G22" s="9"/>
      <c r="H22" s="9"/>
      <c r="I22" s="9"/>
      <c r="J22" s="9"/>
      <c r="K22" s="9"/>
      <c r="L22" s="9"/>
    </row>
  </sheetData>
  <mergeCells count="16">
    <mergeCell ref="A1:L1"/>
    <mergeCell ref="A2:L2"/>
    <mergeCell ref="A4:L4"/>
    <mergeCell ref="A6:B6"/>
    <mergeCell ref="A7:B8"/>
    <mergeCell ref="C6:D6"/>
    <mergeCell ref="C7:D8"/>
    <mergeCell ref="E6:F6"/>
    <mergeCell ref="E7:F8"/>
    <mergeCell ref="G6:H6"/>
    <mergeCell ref="G7:H8"/>
    <mergeCell ref="I6:J6"/>
    <mergeCell ref="I7:J8"/>
    <mergeCell ref="K6:L6"/>
    <mergeCell ref="K7:L8"/>
    <mergeCell ref="A19:L22"/>
  </mergeCells>
  <pageMargins left="0.7" right="0.7" top="0.75" bottom="0.75" header="0.3" footer="0.3"/>
  <pageSetup fitToHeight="0" orientation="landscape"/>
  <headerFooter>
    <oddFooter>&amp;LWFMHub | made by Anass ASSRI&amp;CPage &amp;P of &amp;N&amp;RConfidential</oddFooter>
  </headerFooter>
  <drawing r:id="rId1"/>
</worksheet>
</file>

<file path=xl/worksheets/sheet7.xml><?xml version="1.0" encoding="utf-8"?>
<worksheet xmlns="http://schemas.openxmlformats.org/spreadsheetml/2006/main" xmlns:r="http://schemas.openxmlformats.org/officeDocument/2006/relationships">
  <sheetPr>
    <tabColor rgb="FF007C83"/>
    <pageSetUpPr fitToPage="1"/>
  </sheetPr>
  <dimension ref="A1:H11"/>
  <sheetViews>
    <sheetView showGridLines="0" zoomScale="90" zoomScaleNormal="90" workbookViewId="0"/>
  </sheetViews>
  <sheetFormatPr defaultRowHeight="15"/>
  <cols>
    <col min="1" max="1" width="36.7109375" customWidth="1"/>
    <col min="2" max="2" width="22.7109375" customWidth="1"/>
  </cols>
  <sheetData>
    <row r="1" spans="1:8" ht="32" customHeight="1">
      <c r="A1" s="1" t="s">
        <v>311</v>
      </c>
      <c r="B1" s="1"/>
      <c r="C1" s="1"/>
      <c r="D1" s="1"/>
      <c r="E1" s="1"/>
      <c r="F1" s="1"/>
      <c r="G1" s="1"/>
      <c r="H1" s="1"/>
    </row>
    <row r="2" spans="1:8" ht="20" customHeight="1">
      <c r="A2" s="2" t="s">
        <v>312</v>
      </c>
      <c r="B2" s="2"/>
      <c r="C2" s="2"/>
      <c r="D2" s="2"/>
      <c r="E2" s="2"/>
      <c r="F2" s="2"/>
      <c r="G2" s="2"/>
      <c r="H2" s="2"/>
    </row>
    <row r="4" spans="1:8">
      <c r="A4" s="3" t="s">
        <v>2</v>
      </c>
      <c r="B4" s="3" t="s">
        <v>313</v>
      </c>
    </row>
    <row r="5" spans="1:8">
      <c r="A5" s="4" t="s">
        <v>314</v>
      </c>
      <c r="B5" s="4" t="str">
        <f>IF(SETUP!$B$9="READY","PASS","BLOCKED")</f>
        <v>BLOCKED</v>
      </c>
    </row>
    <row r="6" spans="1:8">
      <c r="A6" s="4" t="s">
        <v>315</v>
      </c>
      <c r="B6" s="4">
        <f>COUNTIFS(tblBonusInput[Agent ID],"&lt;&gt;",tblBonusInput[Data Status],"VALIDATED")</f>
        <v>0</v>
      </c>
    </row>
    <row r="7" spans="1:8">
      <c r="A7" s="4" t="s">
        <v>316</v>
      </c>
      <c r="B7" s="4">
        <f>COUNTIFS(tblBonusInput[Agent ID],"&lt;&gt;",tblBonusInput[Data Status],"SYNTHETIC")</f>
        <v>0</v>
      </c>
    </row>
    <row r="8" spans="1:8">
      <c r="A8" s="4" t="s">
        <v>317</v>
      </c>
      <c r="B8" s="4">
        <f>COUNTIF(tblBonusCalc[Core Input],"BLOCKED")</f>
        <v>46</v>
      </c>
    </row>
    <row r="9" spans="1:8">
      <c r="A9" s="4" t="s">
        <v>318</v>
      </c>
      <c r="B9" s="4">
        <f>COUNTIF(tblBonusCalc[Eligibility Review],"REVIEW")</f>
        <v>121</v>
      </c>
    </row>
    <row r="10" spans="1:8">
      <c r="A10" s="4" t="s">
        <v>319</v>
      </c>
      <c r="B10" s="4">
        <f>COUNTIF(tblBonusCalc[Data Issue],"DUPLICATE*")</f>
        <v>0</v>
      </c>
    </row>
    <row r="11" spans="1:8">
      <c r="A11" s="4" t="s">
        <v>320</v>
      </c>
      <c r="B11" s="4">
        <f>SUM(tblBonusCalc[Released Payout])</f>
        <v>0</v>
      </c>
    </row>
  </sheetData>
  <mergeCells count="2">
    <mergeCell ref="A1:H1"/>
    <mergeCell ref="A2:H2"/>
  </mergeCells>
  <pageMargins left="0.7" right="0.7" top="0.75" bottom="0.75" header="0.3" footer="0.3"/>
  <pageSetup fitToHeight="0" orientation="landscape"/>
  <headerFooter>
    <oddFooter>&amp;LWFMHub | made by Anass ASSRI&amp;CPage &amp;P of &amp;N&amp;RConfidential</oddFooter>
  </headerFooter>
</worksheet>
</file>

<file path=xl/worksheets/sheet8.xml><?xml version="1.0" encoding="utf-8"?>
<worksheet xmlns="http://schemas.openxmlformats.org/spreadsheetml/2006/main" xmlns:r="http://schemas.openxmlformats.org/officeDocument/2006/relationships">
  <sheetPr>
    <tabColor rgb="FF007C83"/>
    <pageSetUpPr fitToPage="1"/>
  </sheetPr>
  <dimension ref="A1:H14"/>
  <sheetViews>
    <sheetView showGridLines="0" zoomScale="90" zoomScaleNormal="90" workbookViewId="0"/>
  </sheetViews>
  <sheetFormatPr defaultRowHeight="15"/>
  <cols>
    <col min="1" max="1" width="24.7109375" customWidth="1"/>
    <col min="2" max="2" width="95.7109375" customWidth="1"/>
  </cols>
  <sheetData>
    <row r="1" spans="1:8" ht="32" customHeight="1">
      <c r="A1" s="1" t="s">
        <v>321</v>
      </c>
      <c r="B1" s="1"/>
      <c r="C1" s="1"/>
      <c r="D1" s="1"/>
      <c r="E1" s="1"/>
      <c r="F1" s="1"/>
      <c r="G1" s="1"/>
      <c r="H1" s="1"/>
    </row>
    <row r="2" spans="1:8" ht="20" customHeight="1">
      <c r="A2" s="2" t="s">
        <v>322</v>
      </c>
      <c r="B2" s="2"/>
      <c r="C2" s="2"/>
      <c r="D2" s="2"/>
      <c r="E2" s="2"/>
      <c r="F2" s="2"/>
      <c r="G2" s="2"/>
      <c r="H2" s="2"/>
    </row>
    <row r="4" spans="1:8">
      <c r="A4" s="3" t="s">
        <v>323</v>
      </c>
      <c r="B4" s="3" t="s">
        <v>324</v>
      </c>
    </row>
    <row r="5" spans="1:8" ht="34" customHeight="1">
      <c r="A5" s="4" t="s">
        <v>325</v>
      </c>
      <c r="B5" s="9" t="s">
        <v>326</v>
      </c>
    </row>
    <row r="6" spans="1:8" ht="34" customHeight="1">
      <c r="A6" s="4" t="s">
        <v>327</v>
      </c>
      <c r="B6" s="9" t="s">
        <v>328</v>
      </c>
    </row>
    <row r="7" spans="1:8" ht="34" customHeight="1">
      <c r="A7" s="4" t="s">
        <v>329</v>
      </c>
      <c r="B7" s="9" t="s">
        <v>330</v>
      </c>
    </row>
    <row r="8" spans="1:8" ht="34" customHeight="1">
      <c r="A8" s="4" t="s">
        <v>331</v>
      </c>
      <c r="B8" s="9" t="s">
        <v>332</v>
      </c>
    </row>
    <row r="9" spans="1:8" ht="34" customHeight="1">
      <c r="A9" s="4" t="s">
        <v>333</v>
      </c>
      <c r="B9" s="9" t="s">
        <v>334</v>
      </c>
    </row>
    <row r="10" spans="1:8" ht="34" customHeight="1">
      <c r="A10" s="4" t="s">
        <v>335</v>
      </c>
      <c r="B10" s="9" t="s">
        <v>336</v>
      </c>
    </row>
    <row r="11" spans="1:8" ht="34" customHeight="1">
      <c r="A11" s="4" t="s">
        <v>337</v>
      </c>
      <c r="B11" s="9" t="s">
        <v>338</v>
      </c>
    </row>
    <row r="12" spans="1:8" ht="34" customHeight="1">
      <c r="A12" s="4" t="s">
        <v>292</v>
      </c>
      <c r="B12" s="9" t="s">
        <v>339</v>
      </c>
    </row>
    <row r="13" spans="1:8" ht="34" customHeight="1">
      <c r="A13" s="4" t="s">
        <v>307</v>
      </c>
      <c r="B13" s="9" t="s">
        <v>340</v>
      </c>
    </row>
    <row r="14" spans="1:8" ht="34" customHeight="1">
      <c r="A14" s="4" t="s">
        <v>320</v>
      </c>
      <c r="B14" s="9" t="s">
        <v>341</v>
      </c>
    </row>
  </sheetData>
  <mergeCells count="2">
    <mergeCell ref="A1:H1"/>
    <mergeCell ref="A2:H2"/>
  </mergeCells>
  <pageMargins left="0.7" right="0.7" top="0.75" bottom="0.75" header="0.3" footer="0.3"/>
  <pageSetup fitToHeight="0" orientation="landscape"/>
  <headerFooter>
    <oddFooter>&amp;LWFMHub | made by Anass ASSRI&amp;CPage &amp;P of &amp;N&amp;RConfidential</oddFooter>
  </headerFooter>
</worksheet>
</file>

<file path=xl/worksheets/sheet9.xml><?xml version="1.0" encoding="utf-8"?>
<worksheet xmlns="http://schemas.openxmlformats.org/spreadsheetml/2006/main" xmlns:r="http://schemas.openxmlformats.org/officeDocument/2006/relationships">
  <sheetPr>
    <tabColor rgb="FF007C83"/>
    <pageSetUpPr fitToPage="1"/>
  </sheetPr>
  <dimension ref="A1:H19"/>
  <sheetViews>
    <sheetView showGridLines="0" zoomScale="90" zoomScaleNormal="90" workbookViewId="0"/>
  </sheetViews>
  <sheetFormatPr defaultRowHeight="15"/>
  <cols>
    <col min="1" max="8" width="18.7109375" customWidth="1"/>
  </cols>
  <sheetData>
    <row r="1" spans="1:8" ht="32" customHeight="1">
      <c r="A1" s="1" t="s">
        <v>342</v>
      </c>
      <c r="B1" s="1"/>
      <c r="C1" s="1"/>
      <c r="D1" s="1"/>
      <c r="E1" s="1"/>
      <c r="F1" s="1"/>
      <c r="G1" s="1"/>
      <c r="H1" s="1"/>
    </row>
    <row r="2" spans="1:8" ht="20" customHeight="1">
      <c r="A2" s="2" t="s">
        <v>343</v>
      </c>
      <c r="B2" s="2"/>
      <c r="C2" s="2"/>
      <c r="D2" s="2"/>
      <c r="E2" s="2"/>
      <c r="F2" s="2"/>
      <c r="G2" s="2"/>
      <c r="H2" s="2"/>
    </row>
    <row r="4" spans="1:8">
      <c r="A4" s="3" t="s">
        <v>344</v>
      </c>
      <c r="B4" s="5" t="s">
        <v>345</v>
      </c>
      <c r="C4" s="5"/>
      <c r="D4" s="5"/>
      <c r="E4" s="5"/>
      <c r="F4" s="5"/>
      <c r="G4" s="5"/>
      <c r="H4" s="5"/>
    </row>
    <row r="6" spans="1:8" ht="32" customHeight="1">
      <c r="A6" s="3" t="s">
        <v>346</v>
      </c>
      <c r="B6" s="9" t="s">
        <v>347</v>
      </c>
      <c r="C6" s="9"/>
      <c r="D6" s="9"/>
      <c r="E6" s="9"/>
      <c r="F6" s="9"/>
      <c r="G6" s="9"/>
      <c r="H6" s="9"/>
    </row>
    <row r="7" spans="1:8" ht="21" customHeight="1">
      <c r="B7" s="9"/>
      <c r="C7" s="9"/>
      <c r="D7" s="9"/>
      <c r="E7" s="9"/>
      <c r="F7" s="9"/>
      <c r="G7" s="9"/>
      <c r="H7" s="9"/>
    </row>
    <row r="8" spans="1:8" ht="21" customHeight="1">
      <c r="B8" s="9"/>
      <c r="C8" s="9"/>
      <c r="D8" s="9"/>
      <c r="E8" s="9"/>
      <c r="F8" s="9"/>
      <c r="G8" s="9"/>
      <c r="H8" s="9"/>
    </row>
    <row r="9" spans="1:8" ht="21" customHeight="1">
      <c r="B9" s="9"/>
      <c r="C9" s="9"/>
      <c r="D9" s="9"/>
      <c r="E9" s="9"/>
      <c r="F9" s="9"/>
      <c r="G9" s="9"/>
      <c r="H9" s="9"/>
    </row>
    <row r="10" spans="1:8" ht="21" customHeight="1">
      <c r="B10" s="9"/>
      <c r="C10" s="9"/>
      <c r="D10" s="9"/>
      <c r="E10" s="9"/>
      <c r="F10" s="9"/>
      <c r="G10" s="9"/>
      <c r="H10" s="9"/>
    </row>
    <row r="11" spans="1:8" ht="21" customHeight="1">
      <c r="B11" s="9"/>
      <c r="C11" s="9"/>
      <c r="D11" s="9"/>
      <c r="E11" s="9"/>
      <c r="F11" s="9"/>
      <c r="G11" s="9"/>
      <c r="H11" s="9"/>
    </row>
    <row r="12" spans="1:8" ht="21" customHeight="1">
      <c r="B12" s="9"/>
      <c r="C12" s="9"/>
      <c r="D12" s="9"/>
      <c r="E12" s="9"/>
      <c r="F12" s="9"/>
      <c r="G12" s="9"/>
      <c r="H12" s="9"/>
    </row>
    <row r="13" spans="1:8" ht="21" customHeight="1">
      <c r="B13" s="9"/>
      <c r="C13" s="9"/>
      <c r="D13" s="9"/>
      <c r="E13" s="9"/>
      <c r="F13" s="9"/>
      <c r="G13" s="9"/>
      <c r="H13" s="9"/>
    </row>
    <row r="14" spans="1:8" ht="21" customHeight="1">
      <c r="B14" s="9"/>
      <c r="C14" s="9"/>
      <c r="D14" s="9"/>
      <c r="E14" s="9"/>
      <c r="F14" s="9"/>
      <c r="G14" s="9"/>
      <c r="H14" s="9"/>
    </row>
    <row r="15" spans="1:8" ht="21" customHeight="1">
      <c r="B15" s="9"/>
      <c r="C15" s="9"/>
      <c r="D15" s="9"/>
      <c r="E15" s="9"/>
      <c r="F15" s="9"/>
      <c r="G15" s="9"/>
      <c r="H15" s="9"/>
    </row>
    <row r="16" spans="1:8" ht="21" customHeight="1">
      <c r="B16" s="9"/>
      <c r="C16" s="9"/>
      <c r="D16" s="9"/>
      <c r="E16" s="9"/>
      <c r="F16" s="9"/>
      <c r="G16" s="9"/>
      <c r="H16" s="9"/>
    </row>
    <row r="17" spans="2:8" ht="21" customHeight="1">
      <c r="B17" s="9"/>
      <c r="C17" s="9"/>
      <c r="D17" s="9"/>
      <c r="E17" s="9"/>
      <c r="F17" s="9"/>
      <c r="G17" s="9"/>
      <c r="H17" s="9"/>
    </row>
    <row r="18" spans="2:8" ht="21" customHeight="1">
      <c r="B18" s="9"/>
      <c r="C18" s="9"/>
      <c r="D18" s="9"/>
      <c r="E18" s="9"/>
      <c r="F18" s="9"/>
      <c r="G18" s="9"/>
      <c r="H18" s="9"/>
    </row>
    <row r="19" spans="2:8" ht="21" customHeight="1"/>
  </sheetData>
  <mergeCells count="4">
    <mergeCell ref="A1:H1"/>
    <mergeCell ref="A2:H2"/>
    <mergeCell ref="B4:H4"/>
    <mergeCell ref="B6:H18"/>
  </mergeCells>
  <pageMargins left="0.7" right="0.7" top="0.75" bottom="0.75" header="0.3" footer="0.3"/>
  <pageSetup fitToHeight="0" orientation="landscape"/>
  <headerFooter>
    <oddFooter>&amp;LWFMHub | made by Anass ASSRI&amp;CPage &amp;P of &amp;N&amp;RConfidential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SETUP</vt:lpstr>
      <vt:lpstr>POLICY_APPROVAL</vt:lpstr>
      <vt:lpstr>BONUS_RULES</vt:lpstr>
      <vt:lpstr>AGENT_INPUT</vt:lpstr>
      <vt:lpstr>AGENT_RESULTS</vt:lpstr>
      <vt:lpstr>MANAGEMENT</vt:lpstr>
      <vt:lpstr>CONTROLS</vt:lpstr>
      <vt:lpstr>FORMULA_LOGIC</vt:lpstr>
      <vt:lpstr>EMAIL_BRIEF</vt:lpstr>
      <vt:lpstr>Bonus_Report_Period</vt:lpstr>
    </vt:vector>
  </TitlesOfParts>
  <Company>WFM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Bonus Management Proposal</dc:title>
  <dc:subject>WFMHub manually shared management report</dc:subject>
  <dc:creator>Anass ASSRI</dc:creator>
  <dc:description>Generated by WFMHub; source files were not modified.</dc:description>
  <cp:lastModifiedBy>Anass ASSRI</cp:lastModifiedBy>
  <dcterms:created xsi:type="dcterms:W3CDTF">2026-08-30T22:19:33Z</dcterms:created>
  <dcterms:modified xsi:type="dcterms:W3CDTF">2026-08-30T22:19:33Z</dcterms:modified>
</cp:coreProperties>
</file>