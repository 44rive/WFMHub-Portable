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E2C931CD-1A51-4A0A-B97C-01CC5E228AFD}" xr6:coauthVersionLast="47" xr6:coauthVersionMax="47" xr10:uidLastSave="{00000000-0000-0000-0000-000000000000}"/>
  <bookViews>
    <workbookView xWindow="0" yWindow="0" windowWidth="16384" windowHeight="8192" firstSheet="5" activeTab="6" xr2:uid="{00000000-000D-0000-FFFF-FFFF00000000}"/>
  </bookViews>
  <sheets>
    <sheet name="Policy_Decisions" sheetId="1" r:id="rId1"/>
    <sheet name="Control_Checks" sheetId="2" r:id="rId2"/>
    <sheet name="KPI_Config" sheetId="3" r:id="rId3"/>
    <sheet name="Raw_Data" sheetId="4" r:id="rId4"/>
    <sheet name="Results" sheetId="5" r:id="rId5"/>
    <sheet name="KPI_Analysis" sheetId="6" r:id="rId6"/>
    <sheet name="Team_Lead_Analysis" sheetId="7" r:id="rId7"/>
    <sheet name="Dashboard" sheetId="8" r:id="rId8"/>
  </sheets>
  <definedNames>
    <definedName name="_xlnm._FilterDatabase" localSheetId="2" hidden="1">KPI_Config!$A$4:$J$46</definedName>
    <definedName name="_xlnm._FilterDatabase" localSheetId="3" hidden="1">Raw_Data!$A$4:$S$1004</definedName>
    <definedName name="_xlnm._FilterDatabase" localSheetId="4" hidden="1">Results!$A$4:$Y$206</definedName>
    <definedName name="_xlnm.Print_Area" localSheetId="7">Dashboard!$B$1:$O$55</definedName>
    <definedName name="_xlnm.Print_Area" localSheetId="5">KPI_Analysis!$A$1:$N$32</definedName>
    <definedName name="_xlnm.Print_Area" localSheetId="6">Team_Lead_Analysis!$A$1:$O$35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206" i="5" l="1"/>
  <c r="Z206" i="5"/>
  <c r="D206" i="5"/>
  <c r="C206" i="5"/>
  <c r="B206" i="5"/>
  <c r="A206" i="5"/>
  <c r="AA205" i="5"/>
  <c r="Z205" i="5"/>
  <c r="D205" i="5"/>
  <c r="C205" i="5"/>
  <c r="B205" i="5"/>
  <c r="A205" i="5"/>
  <c r="AA204" i="5"/>
  <c r="Z204" i="5"/>
  <c r="D204" i="5"/>
  <c r="C204" i="5"/>
  <c r="B204" i="5"/>
  <c r="A204" i="5"/>
  <c r="AA203" i="5"/>
  <c r="Z203" i="5"/>
  <c r="D203" i="5"/>
  <c r="C203" i="5"/>
  <c r="B203" i="5"/>
  <c r="A203" i="5"/>
  <c r="AA202" i="5"/>
  <c r="Z202" i="5"/>
  <c r="D202" i="5"/>
  <c r="C202" i="5"/>
  <c r="B202" i="5"/>
  <c r="A202" i="5"/>
  <c r="AA201" i="5"/>
  <c r="Z201" i="5"/>
  <c r="D201" i="5"/>
  <c r="C201" i="5"/>
  <c r="B201" i="5"/>
  <c r="A201" i="5"/>
  <c r="AA200" i="5"/>
  <c r="Z200" i="5"/>
  <c r="D200" i="5"/>
  <c r="C200" i="5"/>
  <c r="B200" i="5"/>
  <c r="A200" i="5"/>
  <c r="AA199" i="5"/>
  <c r="Z199" i="5"/>
  <c r="D199" i="5"/>
  <c r="C199" i="5"/>
  <c r="B199" i="5"/>
  <c r="A199" i="5"/>
  <c r="AA198" i="5"/>
  <c r="Z198" i="5"/>
  <c r="D198" i="5"/>
  <c r="C198" i="5"/>
  <c r="B198" i="5"/>
  <c r="A198" i="5"/>
  <c r="AA197" i="5"/>
  <c r="Z197" i="5"/>
  <c r="D197" i="5"/>
  <c r="C197" i="5"/>
  <c r="B197" i="5"/>
  <c r="A197" i="5"/>
  <c r="AA196" i="5"/>
  <c r="Z196" i="5"/>
  <c r="D196" i="5"/>
  <c r="C196" i="5"/>
  <c r="B196" i="5"/>
  <c r="A196" i="5"/>
  <c r="AA195" i="5"/>
  <c r="Z195" i="5"/>
  <c r="D195" i="5"/>
  <c r="C195" i="5"/>
  <c r="B195" i="5"/>
  <c r="A195" i="5"/>
  <c r="AA194" i="5"/>
  <c r="Z194" i="5"/>
  <c r="D194" i="5"/>
  <c r="C194" i="5"/>
  <c r="B194" i="5"/>
  <c r="A194" i="5"/>
  <c r="AA193" i="5"/>
  <c r="Z193" i="5"/>
  <c r="D193" i="5"/>
  <c r="C193" i="5"/>
  <c r="B193" i="5"/>
  <c r="A193" i="5"/>
  <c r="AA192" i="5"/>
  <c r="Z192" i="5"/>
  <c r="D192" i="5"/>
  <c r="C192" i="5"/>
  <c r="B192" i="5"/>
  <c r="A192" i="5"/>
  <c r="AA191" i="5"/>
  <c r="Z191" i="5"/>
  <c r="D191" i="5"/>
  <c r="C191" i="5"/>
  <c r="B191" i="5"/>
  <c r="A191" i="5"/>
  <c r="AA190" i="5"/>
  <c r="Z190" i="5"/>
  <c r="D190" i="5"/>
  <c r="C190" i="5"/>
  <c r="B190" i="5"/>
  <c r="A190" i="5"/>
  <c r="AA189" i="5"/>
  <c r="Z189" i="5"/>
  <c r="D189" i="5"/>
  <c r="C189" i="5"/>
  <c r="B189" i="5"/>
  <c r="A189" i="5"/>
  <c r="AA188" i="5"/>
  <c r="Z188" i="5"/>
  <c r="D188" i="5"/>
  <c r="C188" i="5"/>
  <c r="B188" i="5"/>
  <c r="A188" i="5"/>
  <c r="AA187" i="5"/>
  <c r="Z187" i="5"/>
  <c r="D187" i="5"/>
  <c r="C187" i="5"/>
  <c r="B187" i="5"/>
  <c r="A187" i="5"/>
  <c r="AA186" i="5"/>
  <c r="Z186" i="5"/>
  <c r="D186" i="5"/>
  <c r="C186" i="5"/>
  <c r="B186" i="5"/>
  <c r="A186" i="5"/>
  <c r="AA185" i="5"/>
  <c r="Z185" i="5"/>
  <c r="D185" i="5"/>
  <c r="C185" i="5"/>
  <c r="B185" i="5"/>
  <c r="A185" i="5"/>
  <c r="AA184" i="5"/>
  <c r="Z184" i="5"/>
  <c r="D184" i="5"/>
  <c r="C184" i="5"/>
  <c r="B184" i="5"/>
  <c r="A184" i="5"/>
  <c r="AA183" i="5"/>
  <c r="Z183" i="5"/>
  <c r="D183" i="5"/>
  <c r="C183" i="5"/>
  <c r="B183" i="5"/>
  <c r="A183" i="5"/>
  <c r="AA182" i="5"/>
  <c r="Z182" i="5"/>
  <c r="D182" i="5"/>
  <c r="C182" i="5"/>
  <c r="B182" i="5"/>
  <c r="A182" i="5"/>
  <c r="AA181" i="5"/>
  <c r="Z181" i="5"/>
  <c r="D181" i="5"/>
  <c r="C181" i="5"/>
  <c r="B181" i="5"/>
  <c r="A181" i="5"/>
  <c r="AA180" i="5"/>
  <c r="Z180" i="5"/>
  <c r="D180" i="5"/>
  <c r="C180" i="5"/>
  <c r="B180" i="5"/>
  <c r="A180" i="5"/>
  <c r="AA179" i="5"/>
  <c r="Z179" i="5"/>
  <c r="D179" i="5"/>
  <c r="C179" i="5"/>
  <c r="B179" i="5"/>
  <c r="A179" i="5"/>
  <c r="AA178" i="5"/>
  <c r="Z178" i="5"/>
  <c r="D178" i="5"/>
  <c r="C178" i="5"/>
  <c r="B178" i="5"/>
  <c r="A178" i="5"/>
  <c r="AA177" i="5"/>
  <c r="Z177" i="5"/>
  <c r="D177" i="5"/>
  <c r="C177" i="5"/>
  <c r="B177" i="5"/>
  <c r="A177" i="5"/>
  <c r="AA176" i="5"/>
  <c r="Z176" i="5"/>
  <c r="D176" i="5"/>
  <c r="C176" i="5"/>
  <c r="B176" i="5"/>
  <c r="A176" i="5"/>
  <c r="AA175" i="5"/>
  <c r="Z175" i="5"/>
  <c r="D175" i="5"/>
  <c r="C175" i="5"/>
  <c r="B175" i="5"/>
  <c r="A175" i="5"/>
  <c r="AA174" i="5"/>
  <c r="Z174" i="5"/>
  <c r="D174" i="5"/>
  <c r="C174" i="5"/>
  <c r="B174" i="5"/>
  <c r="A174" i="5"/>
  <c r="AA173" i="5"/>
  <c r="Z173" i="5"/>
  <c r="D173" i="5"/>
  <c r="C173" i="5"/>
  <c r="B173" i="5"/>
  <c r="A173" i="5"/>
  <c r="AA172" i="5"/>
  <c r="Z172" i="5"/>
  <c r="D172" i="5"/>
  <c r="C172" i="5"/>
  <c r="B172" i="5"/>
  <c r="A172" i="5"/>
  <c r="AA171" i="5"/>
  <c r="Z171" i="5"/>
  <c r="D171" i="5"/>
  <c r="C171" i="5"/>
  <c r="B171" i="5"/>
  <c r="A171" i="5"/>
  <c r="AA170" i="5"/>
  <c r="Z170" i="5"/>
  <c r="D170" i="5"/>
  <c r="C170" i="5"/>
  <c r="B170" i="5"/>
  <c r="A170" i="5"/>
  <c r="AA169" i="5"/>
  <c r="Z169" i="5"/>
  <c r="D169" i="5"/>
  <c r="C169" i="5"/>
  <c r="B169" i="5"/>
  <c r="A169" i="5"/>
  <c r="AA168" i="5"/>
  <c r="Z168" i="5"/>
  <c r="D168" i="5"/>
  <c r="C168" i="5"/>
  <c r="B168" i="5"/>
  <c r="A168" i="5"/>
  <c r="AA167" i="5"/>
  <c r="Z167" i="5"/>
  <c r="D167" i="5"/>
  <c r="C167" i="5"/>
  <c r="B167" i="5"/>
  <c r="A167" i="5"/>
  <c r="AA166" i="5"/>
  <c r="Z166" i="5"/>
  <c r="D166" i="5"/>
  <c r="C166" i="5"/>
  <c r="B166" i="5"/>
  <c r="A166" i="5"/>
  <c r="AA165" i="5"/>
  <c r="Z165" i="5"/>
  <c r="D165" i="5"/>
  <c r="C165" i="5"/>
  <c r="B165" i="5"/>
  <c r="A165" i="5"/>
  <c r="AA164" i="5"/>
  <c r="Z164" i="5"/>
  <c r="D164" i="5"/>
  <c r="C164" i="5"/>
  <c r="B164" i="5"/>
  <c r="A164" i="5"/>
  <c r="AA163" i="5"/>
  <c r="Z163" i="5"/>
  <c r="D163" i="5"/>
  <c r="C163" i="5"/>
  <c r="B163" i="5"/>
  <c r="A163" i="5"/>
  <c r="AA162" i="5"/>
  <c r="Z162" i="5"/>
  <c r="D162" i="5"/>
  <c r="C162" i="5"/>
  <c r="B162" i="5"/>
  <c r="A162" i="5"/>
  <c r="AA161" i="5"/>
  <c r="Z161" i="5"/>
  <c r="D161" i="5"/>
  <c r="C161" i="5"/>
  <c r="B161" i="5"/>
  <c r="A161" i="5"/>
  <c r="AA160" i="5"/>
  <c r="Z160" i="5"/>
  <c r="D160" i="5"/>
  <c r="C160" i="5"/>
  <c r="B160" i="5"/>
  <c r="A160" i="5"/>
  <c r="AA159" i="5"/>
  <c r="Z159" i="5"/>
  <c r="D159" i="5"/>
  <c r="C159" i="5"/>
  <c r="B159" i="5"/>
  <c r="A159" i="5"/>
  <c r="AA158" i="5"/>
  <c r="Z158" i="5"/>
  <c r="D158" i="5"/>
  <c r="C158" i="5"/>
  <c r="B158" i="5"/>
  <c r="A158" i="5"/>
  <c r="AA157" i="5"/>
  <c r="Z157" i="5"/>
  <c r="D157" i="5"/>
  <c r="C157" i="5"/>
  <c r="B157" i="5"/>
  <c r="A157" i="5"/>
  <c r="AA156" i="5"/>
  <c r="Z156" i="5"/>
  <c r="D156" i="5"/>
  <c r="C156" i="5"/>
  <c r="B156" i="5"/>
  <c r="A156" i="5"/>
  <c r="AA155" i="5"/>
  <c r="Z155" i="5"/>
  <c r="D155" i="5"/>
  <c r="C155" i="5"/>
  <c r="B155" i="5"/>
  <c r="A155" i="5"/>
  <c r="AA154" i="5"/>
  <c r="Z154" i="5"/>
  <c r="D154" i="5"/>
  <c r="C154" i="5"/>
  <c r="B154" i="5"/>
  <c r="A154" i="5"/>
  <c r="AA153" i="5"/>
  <c r="Z153" i="5"/>
  <c r="D153" i="5"/>
  <c r="C153" i="5"/>
  <c r="B153" i="5"/>
  <c r="A153" i="5"/>
  <c r="AA152" i="5"/>
  <c r="Z152" i="5"/>
  <c r="D152" i="5"/>
  <c r="C152" i="5"/>
  <c r="B152" i="5"/>
  <c r="A152" i="5"/>
  <c r="AA151" i="5"/>
  <c r="Z151" i="5"/>
  <c r="D151" i="5"/>
  <c r="C151" i="5"/>
  <c r="B151" i="5"/>
  <c r="A151" i="5"/>
  <c r="AA150" i="5"/>
  <c r="Z150" i="5"/>
  <c r="D150" i="5"/>
  <c r="C150" i="5"/>
  <c r="B150" i="5"/>
  <c r="A150" i="5"/>
  <c r="AA149" i="5"/>
  <c r="Z149" i="5"/>
  <c r="D149" i="5"/>
  <c r="C149" i="5"/>
  <c r="B149" i="5"/>
  <c r="A149" i="5"/>
  <c r="AA148" i="5"/>
  <c r="Z148" i="5"/>
  <c r="D148" i="5"/>
  <c r="C148" i="5"/>
  <c r="B148" i="5"/>
  <c r="A148" i="5"/>
  <c r="AA147" i="5"/>
  <c r="Z147" i="5"/>
  <c r="D147" i="5"/>
  <c r="C147" i="5"/>
  <c r="B147" i="5"/>
  <c r="A147" i="5"/>
  <c r="AA146" i="5"/>
  <c r="Z146" i="5"/>
  <c r="D146" i="5"/>
  <c r="C146" i="5"/>
  <c r="B146" i="5"/>
  <c r="A146" i="5"/>
  <c r="AA145" i="5"/>
  <c r="Z145" i="5"/>
  <c r="D145" i="5"/>
  <c r="C145" i="5"/>
  <c r="B145" i="5"/>
  <c r="A145" i="5"/>
  <c r="AA144" i="5"/>
  <c r="Z144" i="5"/>
  <c r="D144" i="5"/>
  <c r="C144" i="5"/>
  <c r="B144" i="5"/>
  <c r="A144" i="5"/>
  <c r="AA143" i="5"/>
  <c r="Z143" i="5"/>
  <c r="D143" i="5"/>
  <c r="C143" i="5"/>
  <c r="B143" i="5"/>
  <c r="A143" i="5"/>
  <c r="AA142" i="5"/>
  <c r="Z142" i="5"/>
  <c r="D142" i="5"/>
  <c r="C142" i="5"/>
  <c r="B142" i="5"/>
  <c r="A142" i="5"/>
  <c r="AA141" i="5"/>
  <c r="Z141" i="5"/>
  <c r="D141" i="5"/>
  <c r="C141" i="5"/>
  <c r="B141" i="5"/>
  <c r="A141" i="5"/>
  <c r="AA140" i="5"/>
  <c r="Z140" i="5"/>
  <c r="D140" i="5"/>
  <c r="C140" i="5"/>
  <c r="B140" i="5"/>
  <c r="A140" i="5"/>
  <c r="AA139" i="5"/>
  <c r="Z139" i="5"/>
  <c r="D139" i="5"/>
  <c r="C139" i="5"/>
  <c r="B139" i="5"/>
  <c r="A139" i="5"/>
  <c r="AA138" i="5"/>
  <c r="Z138" i="5"/>
  <c r="D138" i="5"/>
  <c r="C138" i="5"/>
  <c r="B138" i="5"/>
  <c r="A138" i="5"/>
  <c r="AA137" i="5"/>
  <c r="Z137" i="5"/>
  <c r="D137" i="5"/>
  <c r="C137" i="5"/>
  <c r="B137" i="5"/>
  <c r="A137" i="5"/>
  <c r="AA136" i="5"/>
  <c r="Z136" i="5"/>
  <c r="D136" i="5"/>
  <c r="C136" i="5"/>
  <c r="B136" i="5"/>
  <c r="A136" i="5"/>
  <c r="AA135" i="5"/>
  <c r="Z135" i="5"/>
  <c r="D135" i="5"/>
  <c r="C135" i="5"/>
  <c r="B135" i="5"/>
  <c r="A135" i="5"/>
  <c r="AA134" i="5"/>
  <c r="Z134" i="5"/>
  <c r="D134" i="5"/>
  <c r="C134" i="5"/>
  <c r="B134" i="5"/>
  <c r="A134" i="5"/>
  <c r="AA133" i="5"/>
  <c r="Z133" i="5"/>
  <c r="D133" i="5"/>
  <c r="C133" i="5"/>
  <c r="B133" i="5"/>
  <c r="A133" i="5"/>
  <c r="AA132" i="5"/>
  <c r="Z132" i="5"/>
  <c r="D132" i="5"/>
  <c r="C132" i="5"/>
  <c r="B132" i="5"/>
  <c r="A132" i="5"/>
  <c r="AA131" i="5"/>
  <c r="Z131" i="5"/>
  <c r="D131" i="5"/>
  <c r="C131" i="5"/>
  <c r="B131" i="5"/>
  <c r="A131" i="5"/>
  <c r="AA130" i="5"/>
  <c r="Z130" i="5"/>
  <c r="D130" i="5"/>
  <c r="C130" i="5"/>
  <c r="B130" i="5"/>
  <c r="A130" i="5"/>
  <c r="AA129" i="5"/>
  <c r="Z129" i="5"/>
  <c r="D129" i="5"/>
  <c r="C129" i="5"/>
  <c r="B129" i="5"/>
  <c r="A129" i="5"/>
  <c r="AA128" i="5"/>
  <c r="Z128" i="5"/>
  <c r="D128" i="5"/>
  <c r="C128" i="5"/>
  <c r="B128" i="5"/>
  <c r="A128" i="5"/>
  <c r="AA127" i="5"/>
  <c r="Z127" i="5"/>
  <c r="D127" i="5"/>
  <c r="C127" i="5"/>
  <c r="B127" i="5"/>
  <c r="A127" i="5"/>
  <c r="AA126" i="5"/>
  <c r="Z126" i="5"/>
  <c r="D126" i="5"/>
  <c r="C126" i="5"/>
  <c r="B126" i="5"/>
  <c r="A126" i="5"/>
  <c r="AA125" i="5"/>
  <c r="Z125" i="5"/>
  <c r="D125" i="5"/>
  <c r="C125" i="5"/>
  <c r="B125" i="5"/>
  <c r="A125" i="5"/>
  <c r="AA124" i="5"/>
  <c r="Z124" i="5"/>
  <c r="D124" i="5"/>
  <c r="C124" i="5"/>
  <c r="B124" i="5"/>
  <c r="A124" i="5"/>
  <c r="AA123" i="5"/>
  <c r="Z123" i="5"/>
  <c r="D123" i="5"/>
  <c r="C123" i="5"/>
  <c r="B123" i="5"/>
  <c r="A123" i="5"/>
  <c r="AA122" i="5"/>
  <c r="Z122" i="5"/>
  <c r="D122" i="5"/>
  <c r="C122" i="5"/>
  <c r="B122" i="5"/>
  <c r="A122" i="5"/>
  <c r="AA121" i="5"/>
  <c r="Z121" i="5"/>
  <c r="D121" i="5"/>
  <c r="C121" i="5"/>
  <c r="B121" i="5"/>
  <c r="A121" i="5"/>
  <c r="AA120" i="5"/>
  <c r="Z120" i="5"/>
  <c r="D120" i="5"/>
  <c r="C120" i="5"/>
  <c r="B120" i="5"/>
  <c r="A120" i="5"/>
  <c r="AA119" i="5"/>
  <c r="Z119" i="5"/>
  <c r="D119" i="5"/>
  <c r="C119" i="5"/>
  <c r="B119" i="5"/>
  <c r="A119" i="5"/>
  <c r="AA118" i="5"/>
  <c r="Z118" i="5"/>
  <c r="D118" i="5"/>
  <c r="C118" i="5"/>
  <c r="B118" i="5"/>
  <c r="A118" i="5"/>
  <c r="AA117" i="5"/>
  <c r="Z117" i="5"/>
  <c r="D117" i="5"/>
  <c r="C117" i="5"/>
  <c r="B117" i="5"/>
  <c r="A117" i="5"/>
  <c r="AA116" i="5"/>
  <c r="Z116" i="5"/>
  <c r="D116" i="5"/>
  <c r="C116" i="5"/>
  <c r="B116" i="5"/>
  <c r="A116" i="5"/>
  <c r="AA115" i="5"/>
  <c r="Z115" i="5"/>
  <c r="D115" i="5"/>
  <c r="C115" i="5"/>
  <c r="B115" i="5"/>
  <c r="A115" i="5"/>
  <c r="AA114" i="5"/>
  <c r="Z114" i="5"/>
  <c r="D114" i="5"/>
  <c r="C114" i="5"/>
  <c r="B114" i="5"/>
  <c r="A114" i="5"/>
  <c r="AA113" i="5"/>
  <c r="Z113" i="5"/>
  <c r="D113" i="5"/>
  <c r="C113" i="5"/>
  <c r="B113" i="5"/>
  <c r="A113" i="5"/>
  <c r="AA112" i="5"/>
  <c r="Z112" i="5"/>
  <c r="D112" i="5"/>
  <c r="C112" i="5"/>
  <c r="B112" i="5"/>
  <c r="A112" i="5"/>
  <c r="AA111" i="5"/>
  <c r="Z111" i="5"/>
  <c r="D111" i="5"/>
  <c r="C111" i="5"/>
  <c r="B111" i="5"/>
  <c r="A111" i="5"/>
  <c r="AA110" i="5"/>
  <c r="Z110" i="5"/>
  <c r="D110" i="5"/>
  <c r="C110" i="5"/>
  <c r="B110" i="5"/>
  <c r="A110" i="5"/>
  <c r="AA109" i="5"/>
  <c r="Z109" i="5"/>
  <c r="D109" i="5"/>
  <c r="C109" i="5"/>
  <c r="B109" i="5"/>
  <c r="A109" i="5"/>
  <c r="AA108" i="5"/>
  <c r="Z108" i="5"/>
  <c r="D108" i="5"/>
  <c r="C108" i="5"/>
  <c r="B108" i="5"/>
  <c r="A108" i="5"/>
  <c r="AA107" i="5"/>
  <c r="Z107" i="5"/>
  <c r="D107" i="5"/>
  <c r="C107" i="5"/>
  <c r="B107" i="5"/>
  <c r="A107" i="5"/>
  <c r="AA106" i="5"/>
  <c r="Z106" i="5"/>
  <c r="D106" i="5"/>
  <c r="C106" i="5"/>
  <c r="B106" i="5"/>
  <c r="A106" i="5"/>
  <c r="AA105" i="5"/>
  <c r="Z105" i="5"/>
  <c r="D105" i="5"/>
  <c r="C105" i="5"/>
  <c r="B105" i="5"/>
  <c r="A105" i="5"/>
  <c r="AA104" i="5"/>
  <c r="Z104" i="5"/>
  <c r="D104" i="5"/>
  <c r="C104" i="5"/>
  <c r="B104" i="5"/>
  <c r="A104" i="5"/>
  <c r="AA103" i="5"/>
  <c r="Z103" i="5"/>
  <c r="D103" i="5"/>
  <c r="C103" i="5"/>
  <c r="B103" i="5"/>
  <c r="A103" i="5"/>
  <c r="AA102" i="5"/>
  <c r="Z102" i="5"/>
  <c r="D102" i="5"/>
  <c r="C102" i="5"/>
  <c r="B102" i="5"/>
  <c r="A102" i="5"/>
  <c r="AA101" i="5"/>
  <c r="Z101" i="5"/>
  <c r="D101" i="5"/>
  <c r="C101" i="5"/>
  <c r="B101" i="5"/>
  <c r="A101" i="5"/>
  <c r="AA100" i="5"/>
  <c r="Z100" i="5"/>
  <c r="D100" i="5"/>
  <c r="C100" i="5"/>
  <c r="B100" i="5"/>
  <c r="A100" i="5"/>
  <c r="AA99" i="5"/>
  <c r="Z99" i="5"/>
  <c r="D99" i="5"/>
  <c r="C99" i="5"/>
  <c r="B99" i="5"/>
  <c r="A99" i="5"/>
  <c r="AA98" i="5"/>
  <c r="Z98" i="5"/>
  <c r="D98" i="5"/>
  <c r="C98" i="5"/>
  <c r="B98" i="5"/>
  <c r="A98" i="5"/>
  <c r="AA97" i="5"/>
  <c r="Z97" i="5"/>
  <c r="D97" i="5"/>
  <c r="C97" i="5"/>
  <c r="B97" i="5"/>
  <c r="A97" i="5"/>
  <c r="AA96" i="5"/>
  <c r="Z96" i="5"/>
  <c r="D96" i="5"/>
  <c r="C96" i="5"/>
  <c r="B96" i="5"/>
  <c r="A96" i="5"/>
  <c r="AA95" i="5"/>
  <c r="Z95" i="5"/>
  <c r="D95" i="5"/>
  <c r="C95" i="5"/>
  <c r="B95" i="5"/>
  <c r="A95" i="5"/>
  <c r="AA94" i="5"/>
  <c r="Z94" i="5"/>
  <c r="D94" i="5"/>
  <c r="C94" i="5"/>
  <c r="B94" i="5"/>
  <c r="A94" i="5"/>
  <c r="AA93" i="5"/>
  <c r="Z93" i="5"/>
  <c r="D93" i="5"/>
  <c r="C93" i="5"/>
  <c r="B93" i="5"/>
  <c r="A93" i="5"/>
  <c r="AA92" i="5"/>
  <c r="Z92" i="5"/>
  <c r="D92" i="5"/>
  <c r="C92" i="5"/>
  <c r="B92" i="5"/>
  <c r="A92" i="5"/>
  <c r="AA91" i="5"/>
  <c r="Z91" i="5"/>
  <c r="D91" i="5"/>
  <c r="C91" i="5"/>
  <c r="B91" i="5"/>
  <c r="A91" i="5"/>
  <c r="AA90" i="5"/>
  <c r="Z90" i="5"/>
  <c r="D90" i="5"/>
  <c r="C90" i="5"/>
  <c r="B90" i="5"/>
  <c r="A90" i="5"/>
  <c r="AA89" i="5"/>
  <c r="Z89" i="5"/>
  <c r="D89" i="5"/>
  <c r="C89" i="5"/>
  <c r="B89" i="5"/>
  <c r="A89" i="5"/>
  <c r="AA88" i="5"/>
  <c r="Z88" i="5"/>
  <c r="D88" i="5"/>
  <c r="C88" i="5"/>
  <c r="B88" i="5"/>
  <c r="A88" i="5"/>
  <c r="AA87" i="5"/>
  <c r="Z87" i="5"/>
  <c r="D87" i="5"/>
  <c r="C87" i="5"/>
  <c r="B87" i="5"/>
  <c r="A87" i="5"/>
  <c r="AA86" i="5"/>
  <c r="Z86" i="5"/>
  <c r="D86" i="5"/>
  <c r="C86" i="5"/>
  <c r="B86" i="5"/>
  <c r="A86" i="5"/>
  <c r="AA85" i="5"/>
  <c r="Z85" i="5"/>
  <c r="D85" i="5"/>
  <c r="C85" i="5"/>
  <c r="B85" i="5"/>
  <c r="A85" i="5"/>
  <c r="AA84" i="5"/>
  <c r="Z84" i="5"/>
  <c r="D84" i="5"/>
  <c r="C84" i="5"/>
  <c r="B84" i="5"/>
  <c r="A84" i="5"/>
  <c r="AA83" i="5"/>
  <c r="Z83" i="5"/>
  <c r="D83" i="5"/>
  <c r="C83" i="5"/>
  <c r="B83" i="5"/>
  <c r="A83" i="5"/>
  <c r="AA82" i="5"/>
  <c r="Z82" i="5"/>
  <c r="D82" i="5"/>
  <c r="C82" i="5"/>
  <c r="B82" i="5"/>
  <c r="A82" i="5"/>
  <c r="AA81" i="5"/>
  <c r="Z81" i="5"/>
  <c r="D81" i="5"/>
  <c r="C81" i="5"/>
  <c r="B81" i="5"/>
  <c r="A81" i="5"/>
  <c r="AA80" i="5"/>
  <c r="Z80" i="5"/>
  <c r="D80" i="5"/>
  <c r="C80" i="5"/>
  <c r="B80" i="5"/>
  <c r="A80" i="5"/>
  <c r="AA79" i="5"/>
  <c r="Z79" i="5"/>
  <c r="D79" i="5"/>
  <c r="C79" i="5"/>
  <c r="B79" i="5"/>
  <c r="A79" i="5"/>
  <c r="AA78" i="5"/>
  <c r="Z78" i="5"/>
  <c r="D78" i="5"/>
  <c r="C78" i="5"/>
  <c r="B78" i="5"/>
  <c r="A78" i="5"/>
  <c r="AA77" i="5"/>
  <c r="Z77" i="5"/>
  <c r="D77" i="5"/>
  <c r="C77" i="5"/>
  <c r="B77" i="5"/>
  <c r="A77" i="5"/>
  <c r="AA76" i="5"/>
  <c r="Z76" i="5"/>
  <c r="D76" i="5"/>
  <c r="C76" i="5"/>
  <c r="B76" i="5"/>
  <c r="A76" i="5"/>
  <c r="AA75" i="5"/>
  <c r="Z75" i="5"/>
  <c r="D75" i="5"/>
  <c r="C75" i="5"/>
  <c r="B75" i="5"/>
  <c r="A75" i="5"/>
  <c r="AA74" i="5"/>
  <c r="Z74" i="5"/>
  <c r="D74" i="5"/>
  <c r="C74" i="5"/>
  <c r="B74" i="5"/>
  <c r="A74" i="5"/>
  <c r="AA73" i="5"/>
  <c r="Z73" i="5"/>
  <c r="D73" i="5"/>
  <c r="C73" i="5"/>
  <c r="B73" i="5"/>
  <c r="A73" i="5"/>
  <c r="AA72" i="5"/>
  <c r="Z72" i="5"/>
  <c r="D72" i="5"/>
  <c r="C72" i="5"/>
  <c r="B72" i="5"/>
  <c r="A72" i="5"/>
  <c r="AA71" i="5"/>
  <c r="Z71" i="5"/>
  <c r="D71" i="5"/>
  <c r="C71" i="5"/>
  <c r="B71" i="5"/>
  <c r="A71" i="5"/>
  <c r="AA70" i="5"/>
  <c r="Z70" i="5"/>
  <c r="D70" i="5"/>
  <c r="C70" i="5"/>
  <c r="B70" i="5"/>
  <c r="A70" i="5"/>
  <c r="AA69" i="5"/>
  <c r="Z69" i="5"/>
  <c r="D69" i="5"/>
  <c r="C69" i="5"/>
  <c r="B69" i="5"/>
  <c r="A69" i="5"/>
  <c r="AA68" i="5"/>
  <c r="Z68" i="5"/>
  <c r="D68" i="5"/>
  <c r="C68" i="5"/>
  <c r="B68" i="5"/>
  <c r="A68" i="5"/>
  <c r="AA67" i="5"/>
  <c r="Z67" i="5"/>
  <c r="D67" i="5"/>
  <c r="C67" i="5"/>
  <c r="B67" i="5"/>
  <c r="A67" i="5"/>
  <c r="AA66" i="5"/>
  <c r="Z66" i="5"/>
  <c r="D66" i="5"/>
  <c r="C66" i="5"/>
  <c r="B66" i="5"/>
  <c r="A66" i="5"/>
  <c r="AA65" i="5"/>
  <c r="Z65" i="5"/>
  <c r="D65" i="5"/>
  <c r="C65" i="5"/>
  <c r="B65" i="5"/>
  <c r="A65" i="5"/>
  <c r="AA64" i="5"/>
  <c r="Z64" i="5"/>
  <c r="D64" i="5"/>
  <c r="C64" i="5"/>
  <c r="B64" i="5"/>
  <c r="A64" i="5"/>
  <c r="AA63" i="5"/>
  <c r="Z63" i="5"/>
  <c r="D63" i="5"/>
  <c r="C63" i="5"/>
  <c r="B63" i="5"/>
  <c r="A63" i="5"/>
  <c r="AA62" i="5"/>
  <c r="Z62" i="5"/>
  <c r="D62" i="5"/>
  <c r="C62" i="5"/>
  <c r="B62" i="5"/>
  <c r="A62" i="5"/>
  <c r="AA61" i="5"/>
  <c r="Z61" i="5"/>
  <c r="D61" i="5"/>
  <c r="C61" i="5"/>
  <c r="B61" i="5"/>
  <c r="A61" i="5"/>
  <c r="AA60" i="5"/>
  <c r="Z60" i="5"/>
  <c r="D60" i="5"/>
  <c r="C60" i="5"/>
  <c r="B60" i="5"/>
  <c r="A60" i="5"/>
  <c r="AA59" i="5"/>
  <c r="Z59" i="5"/>
  <c r="D59" i="5"/>
  <c r="C59" i="5"/>
  <c r="B59" i="5"/>
  <c r="A59" i="5"/>
  <c r="AA58" i="5"/>
  <c r="Z58" i="5"/>
  <c r="D58" i="5"/>
  <c r="C58" i="5"/>
  <c r="B58" i="5"/>
  <c r="A58" i="5"/>
  <c r="AA57" i="5"/>
  <c r="Z57" i="5"/>
  <c r="D57" i="5"/>
  <c r="C57" i="5"/>
  <c r="B57" i="5"/>
  <c r="A57" i="5"/>
  <c r="AA56" i="5"/>
  <c r="Z56" i="5"/>
  <c r="D56" i="5"/>
  <c r="C56" i="5"/>
  <c r="B56" i="5"/>
  <c r="A56" i="5"/>
  <c r="AA55" i="5"/>
  <c r="Z55" i="5"/>
  <c r="D55" i="5"/>
  <c r="C55" i="5"/>
  <c r="B55" i="5"/>
  <c r="A55" i="5"/>
  <c r="AA54" i="5"/>
  <c r="Z54" i="5"/>
  <c r="D54" i="5"/>
  <c r="C54" i="5"/>
  <c r="B54" i="5"/>
  <c r="A54" i="5"/>
  <c r="AA53" i="5"/>
  <c r="Z53" i="5"/>
  <c r="D53" i="5"/>
  <c r="C53" i="5"/>
  <c r="B53" i="5"/>
  <c r="A53" i="5"/>
  <c r="AA52" i="5"/>
  <c r="Z52" i="5"/>
  <c r="D52" i="5"/>
  <c r="C52" i="5"/>
  <c r="B52" i="5"/>
  <c r="A52" i="5"/>
  <c r="AA51" i="5"/>
  <c r="Z51" i="5"/>
  <c r="D51" i="5"/>
  <c r="C51" i="5"/>
  <c r="B51" i="5"/>
  <c r="A51" i="5"/>
  <c r="AA50" i="5"/>
  <c r="Z50" i="5"/>
  <c r="D50" i="5"/>
  <c r="C50" i="5"/>
  <c r="B50" i="5"/>
  <c r="A50" i="5"/>
  <c r="AA49" i="5"/>
  <c r="Z49" i="5"/>
  <c r="D49" i="5"/>
  <c r="C49" i="5"/>
  <c r="B49" i="5"/>
  <c r="A49" i="5"/>
  <c r="AA48" i="5"/>
  <c r="Z48" i="5"/>
  <c r="D48" i="5"/>
  <c r="C48" i="5"/>
  <c r="B48" i="5"/>
  <c r="A48" i="5"/>
  <c r="AA47" i="5"/>
  <c r="Z47" i="5"/>
  <c r="D47" i="5"/>
  <c r="C47" i="5"/>
  <c r="B47" i="5"/>
  <c r="A47" i="5"/>
  <c r="AA46" i="5"/>
  <c r="Z46" i="5"/>
  <c r="D46" i="5"/>
  <c r="C46" i="5"/>
  <c r="B46" i="5"/>
  <c r="A46" i="5"/>
  <c r="AA45" i="5"/>
  <c r="Z45" i="5"/>
  <c r="D45" i="5"/>
  <c r="C45" i="5"/>
  <c r="B45" i="5"/>
  <c r="A45" i="5"/>
  <c r="AA44" i="5"/>
  <c r="Z44" i="5"/>
  <c r="D44" i="5"/>
  <c r="C44" i="5"/>
  <c r="B44" i="5"/>
  <c r="A44" i="5"/>
  <c r="AA43" i="5"/>
  <c r="Z43" i="5"/>
  <c r="D43" i="5"/>
  <c r="C43" i="5"/>
  <c r="B43" i="5"/>
  <c r="A43" i="5"/>
  <c r="AA42" i="5"/>
  <c r="Z42" i="5"/>
  <c r="D42" i="5"/>
  <c r="C42" i="5"/>
  <c r="B42" i="5"/>
  <c r="A42" i="5"/>
  <c r="AA41" i="5"/>
  <c r="Z41" i="5"/>
  <c r="D41" i="5"/>
  <c r="C41" i="5"/>
  <c r="B41" i="5"/>
  <c r="A41" i="5"/>
  <c r="AA40" i="5"/>
  <c r="Z40" i="5"/>
  <c r="D40" i="5"/>
  <c r="C40" i="5"/>
  <c r="B40" i="5"/>
  <c r="A40" i="5"/>
  <c r="AA39" i="5"/>
  <c r="Z39" i="5"/>
  <c r="D39" i="5"/>
  <c r="C39" i="5"/>
  <c r="B39" i="5"/>
  <c r="A39" i="5"/>
  <c r="AA38" i="5"/>
  <c r="Z38" i="5"/>
  <c r="D38" i="5"/>
  <c r="C38" i="5"/>
  <c r="B38" i="5"/>
  <c r="A38" i="5"/>
  <c r="AA37" i="5"/>
  <c r="Z37" i="5"/>
  <c r="D37" i="5"/>
  <c r="C37" i="5"/>
  <c r="B37" i="5"/>
  <c r="A37" i="5"/>
  <c r="AA36" i="5"/>
  <c r="Z36" i="5"/>
  <c r="D36" i="5"/>
  <c r="C36" i="5"/>
  <c r="B36" i="5"/>
  <c r="A36" i="5"/>
  <c r="AA35" i="5"/>
  <c r="Z35" i="5"/>
  <c r="D35" i="5"/>
  <c r="C35" i="5"/>
  <c r="B35" i="5"/>
  <c r="A35" i="5"/>
  <c r="AA34" i="5"/>
  <c r="Z34" i="5"/>
  <c r="D34" i="5"/>
  <c r="C34" i="5"/>
  <c r="B34" i="5"/>
  <c r="A34" i="5"/>
  <c r="AA33" i="5"/>
  <c r="Z33" i="5"/>
  <c r="D33" i="5"/>
  <c r="C33" i="5"/>
  <c r="B33" i="5"/>
  <c r="A33" i="5"/>
  <c r="AA32" i="5"/>
  <c r="Z32" i="5"/>
  <c r="D32" i="5"/>
  <c r="C32" i="5"/>
  <c r="B32" i="5"/>
  <c r="A32" i="5"/>
  <c r="AA31" i="5"/>
  <c r="Z31" i="5"/>
  <c r="D31" i="5"/>
  <c r="C31" i="5"/>
  <c r="B31" i="5"/>
  <c r="A31" i="5"/>
  <c r="AA30" i="5"/>
  <c r="Z30" i="5"/>
  <c r="D30" i="5"/>
  <c r="C30" i="5"/>
  <c r="B30" i="5"/>
  <c r="A30" i="5"/>
  <c r="AA29" i="5"/>
  <c r="Z29" i="5"/>
  <c r="D29" i="5"/>
  <c r="C29" i="5"/>
  <c r="B29" i="5"/>
  <c r="A29" i="5"/>
  <c r="AA28" i="5"/>
  <c r="Z28" i="5"/>
  <c r="D28" i="5"/>
  <c r="C28" i="5"/>
  <c r="B28" i="5"/>
  <c r="A28" i="5"/>
  <c r="AA27" i="5"/>
  <c r="Z27" i="5"/>
  <c r="D27" i="5"/>
  <c r="C27" i="5"/>
  <c r="B27" i="5"/>
  <c r="A27" i="5"/>
  <c r="AA26" i="5"/>
  <c r="Z26" i="5"/>
  <c r="D26" i="5"/>
  <c r="C26" i="5"/>
  <c r="B26" i="5"/>
  <c r="A26" i="5"/>
  <c r="AA25" i="5"/>
  <c r="Z25" i="5"/>
  <c r="D25" i="5"/>
  <c r="C25" i="5"/>
  <c r="B25" i="5"/>
  <c r="A25" i="5"/>
  <c r="AA24" i="5"/>
  <c r="Z24" i="5"/>
  <c r="D24" i="5"/>
  <c r="C24" i="5"/>
  <c r="B24" i="5"/>
  <c r="A24" i="5"/>
  <c r="AA23" i="5"/>
  <c r="Z23" i="5"/>
  <c r="D23" i="5"/>
  <c r="C23" i="5"/>
  <c r="B23" i="5"/>
  <c r="A23" i="5"/>
  <c r="AA22" i="5"/>
  <c r="Z22" i="5"/>
  <c r="D22" i="5"/>
  <c r="C22" i="5"/>
  <c r="B22" i="5"/>
  <c r="A22" i="5"/>
  <c r="AA21" i="5"/>
  <c r="Z21" i="5"/>
  <c r="D21" i="5"/>
  <c r="C21" i="5"/>
  <c r="B21" i="5"/>
  <c r="A21" i="5"/>
  <c r="AA20" i="5"/>
  <c r="Z20" i="5"/>
  <c r="D20" i="5"/>
  <c r="C20" i="5"/>
  <c r="B20" i="5"/>
  <c r="A20" i="5"/>
  <c r="AA19" i="5"/>
  <c r="Z19" i="5"/>
  <c r="D19" i="5"/>
  <c r="C19" i="5"/>
  <c r="B19" i="5"/>
  <c r="A19" i="5"/>
  <c r="AA18" i="5"/>
  <c r="Z18" i="5"/>
  <c r="D18" i="5"/>
  <c r="C18" i="5"/>
  <c r="B18" i="5"/>
  <c r="A18" i="5"/>
  <c r="AA17" i="5"/>
  <c r="Z17" i="5"/>
  <c r="D17" i="5"/>
  <c r="C17" i="5"/>
  <c r="B17" i="5"/>
  <c r="A17" i="5"/>
  <c r="AA16" i="5"/>
  <c r="Z16" i="5"/>
  <c r="D16" i="5"/>
  <c r="C16" i="5"/>
  <c r="B16" i="5"/>
  <c r="A16" i="5"/>
  <c r="AA15" i="5"/>
  <c r="Z15" i="5"/>
  <c r="D15" i="5"/>
  <c r="C15" i="5"/>
  <c r="B15" i="5"/>
  <c r="A15" i="5"/>
  <c r="AA14" i="5"/>
  <c r="Z14" i="5"/>
  <c r="D14" i="5"/>
  <c r="C14" i="5"/>
  <c r="B14" i="5"/>
  <c r="A14" i="5"/>
  <c r="AA13" i="5"/>
  <c r="Z13" i="5"/>
  <c r="D13" i="5"/>
  <c r="C13" i="5"/>
  <c r="B13" i="5"/>
  <c r="A13" i="5"/>
  <c r="AA12" i="5"/>
  <c r="Z12" i="5"/>
  <c r="D12" i="5"/>
  <c r="C12" i="5"/>
  <c r="B12" i="5"/>
  <c r="A12" i="5"/>
  <c r="AA11" i="5"/>
  <c r="Z11" i="5"/>
  <c r="D11" i="5"/>
  <c r="C11" i="5"/>
  <c r="B11" i="5"/>
  <c r="A11" i="5"/>
  <c r="AA10" i="5"/>
  <c r="Z10" i="5"/>
  <c r="D10" i="5"/>
  <c r="C10" i="5"/>
  <c r="B10" i="5"/>
  <c r="A10" i="5"/>
  <c r="AA9" i="5"/>
  <c r="Z9" i="5"/>
  <c r="D9" i="5"/>
  <c r="C9" i="5"/>
  <c r="B9" i="5"/>
  <c r="A9" i="5"/>
  <c r="AA8" i="5"/>
  <c r="Z8" i="5"/>
  <c r="D8" i="5"/>
  <c r="C8" i="5"/>
  <c r="B8" i="5"/>
  <c r="A8" i="5"/>
  <c r="AA7" i="5"/>
  <c r="Z7" i="5"/>
  <c r="D7" i="5"/>
  <c r="C7" i="5"/>
  <c r="B7" i="5"/>
  <c r="A7" i="5"/>
  <c r="AA6" i="5"/>
  <c r="Z6" i="5"/>
  <c r="D6" i="5"/>
  <c r="C6" i="5"/>
  <c r="B6" i="5"/>
  <c r="A6" i="5"/>
  <c r="AA5" i="5"/>
  <c r="Z5" i="5"/>
  <c r="D5" i="5"/>
  <c r="C5" i="5"/>
  <c r="B5" i="5"/>
  <c r="A5" i="5"/>
  <c r="E17" i="2"/>
  <c r="C16" i="2"/>
  <c r="C15" i="2"/>
  <c r="C14" i="2"/>
  <c r="E14" i="2" s="1"/>
  <c r="C13" i="2"/>
  <c r="E13" i="2" s="1"/>
  <c r="C12" i="2"/>
  <c r="E12" i="2" s="1"/>
  <c r="C11" i="2"/>
  <c r="E11" i="2" s="1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B12" i="6"/>
  <c r="B11" i="6"/>
  <c r="B10" i="6"/>
  <c r="B9" i="6"/>
  <c r="B8" i="6"/>
  <c r="B7" i="6"/>
  <c r="B6" i="6"/>
  <c r="E16" i="2" l="1"/>
  <c r="E15" i="2"/>
  <c r="L9" i="8" s="1"/>
  <c r="C20" i="8"/>
  <c r="B18" i="7"/>
  <c r="U5" i="5"/>
  <c r="T5" i="5"/>
  <c r="S5" i="5"/>
  <c r="R5" i="5"/>
  <c r="Q5" i="5"/>
  <c r="M5" i="5"/>
  <c r="N5" i="5" s="1"/>
  <c r="K5" i="5"/>
  <c r="J5" i="5"/>
  <c r="I5" i="5"/>
  <c r="H5" i="5"/>
  <c r="G5" i="5"/>
  <c r="F5" i="5"/>
  <c r="E5" i="5"/>
  <c r="C19" i="8"/>
  <c r="C18" i="8"/>
  <c r="C17" i="8"/>
  <c r="C16" i="8"/>
  <c r="C15" i="8"/>
  <c r="C14" i="8"/>
  <c r="B17" i="7"/>
  <c r="B16" i="7"/>
  <c r="B15" i="7"/>
  <c r="B14" i="7"/>
  <c r="B13" i="7"/>
  <c r="B12" i="7"/>
  <c r="B11" i="7"/>
  <c r="B10" i="7"/>
  <c r="B9" i="7"/>
  <c r="B8" i="7"/>
  <c r="B7" i="7"/>
  <c r="B6" i="7"/>
  <c r="U6" i="5"/>
  <c r="T6" i="5"/>
  <c r="S6" i="5"/>
  <c r="R6" i="5"/>
  <c r="Q6" i="5"/>
  <c r="M6" i="5"/>
  <c r="N6" i="5" s="1"/>
  <c r="K6" i="5"/>
  <c r="J6" i="5"/>
  <c r="I6" i="5"/>
  <c r="H6" i="5"/>
  <c r="G6" i="5"/>
  <c r="F6" i="5"/>
  <c r="E6" i="5"/>
  <c r="U7" i="5"/>
  <c r="T7" i="5"/>
  <c r="S7" i="5"/>
  <c r="R7" i="5"/>
  <c r="Q7" i="5"/>
  <c r="M7" i="5"/>
  <c r="N7" i="5" s="1"/>
  <c r="K7" i="5"/>
  <c r="J7" i="5"/>
  <c r="I7" i="5"/>
  <c r="H7" i="5"/>
  <c r="G7" i="5"/>
  <c r="F7" i="5"/>
  <c r="E7" i="5"/>
  <c r="L7" i="5" s="1"/>
  <c r="O7" i="5" s="1"/>
  <c r="P7" i="5" s="1"/>
  <c r="U8" i="5"/>
  <c r="T8" i="5"/>
  <c r="S8" i="5"/>
  <c r="R8" i="5"/>
  <c r="Q8" i="5"/>
  <c r="M8" i="5"/>
  <c r="N8" i="5" s="1"/>
  <c r="K8" i="5"/>
  <c r="J8" i="5"/>
  <c r="I8" i="5"/>
  <c r="H8" i="5"/>
  <c r="G8" i="5"/>
  <c r="F8" i="5"/>
  <c r="E8" i="5"/>
  <c r="L8" i="5" s="1"/>
  <c r="O8" i="5" s="1"/>
  <c r="P8" i="5" s="1"/>
  <c r="U9" i="5"/>
  <c r="T9" i="5"/>
  <c r="S9" i="5"/>
  <c r="R9" i="5"/>
  <c r="Q9" i="5"/>
  <c r="M9" i="5"/>
  <c r="N9" i="5" s="1"/>
  <c r="K9" i="5"/>
  <c r="J9" i="5"/>
  <c r="I9" i="5"/>
  <c r="H9" i="5"/>
  <c r="G9" i="5"/>
  <c r="F9" i="5"/>
  <c r="E9" i="5"/>
  <c r="L9" i="5" s="1"/>
  <c r="O9" i="5" s="1"/>
  <c r="P9" i="5" s="1"/>
  <c r="U10" i="5"/>
  <c r="T10" i="5"/>
  <c r="S10" i="5"/>
  <c r="R10" i="5"/>
  <c r="Q10" i="5"/>
  <c r="M10" i="5"/>
  <c r="N10" i="5" s="1"/>
  <c r="K10" i="5"/>
  <c r="J10" i="5"/>
  <c r="I10" i="5"/>
  <c r="H10" i="5"/>
  <c r="G10" i="5"/>
  <c r="F10" i="5"/>
  <c r="E10" i="5"/>
  <c r="L10" i="5" s="1"/>
  <c r="O10" i="5" s="1"/>
  <c r="P10" i="5" s="1"/>
  <c r="U11" i="5"/>
  <c r="T11" i="5"/>
  <c r="S11" i="5"/>
  <c r="R11" i="5"/>
  <c r="Q11" i="5"/>
  <c r="M11" i="5"/>
  <c r="N11" i="5" s="1"/>
  <c r="K11" i="5"/>
  <c r="J11" i="5"/>
  <c r="I11" i="5"/>
  <c r="H11" i="5"/>
  <c r="G11" i="5"/>
  <c r="F11" i="5"/>
  <c r="E11" i="5"/>
  <c r="L11" i="5" s="1"/>
  <c r="O11" i="5" s="1"/>
  <c r="P11" i="5" s="1"/>
  <c r="U12" i="5"/>
  <c r="T12" i="5"/>
  <c r="S12" i="5"/>
  <c r="R12" i="5"/>
  <c r="Q12" i="5"/>
  <c r="M12" i="5"/>
  <c r="N12" i="5" s="1"/>
  <c r="K12" i="5"/>
  <c r="J12" i="5"/>
  <c r="I12" i="5"/>
  <c r="H12" i="5"/>
  <c r="G12" i="5"/>
  <c r="F12" i="5"/>
  <c r="E12" i="5"/>
  <c r="U13" i="5"/>
  <c r="T13" i="5"/>
  <c r="S13" i="5"/>
  <c r="R13" i="5"/>
  <c r="Q13" i="5"/>
  <c r="M13" i="5"/>
  <c r="N13" i="5" s="1"/>
  <c r="K13" i="5"/>
  <c r="J13" i="5"/>
  <c r="I13" i="5"/>
  <c r="H13" i="5"/>
  <c r="G13" i="5"/>
  <c r="F13" i="5"/>
  <c r="E13" i="5"/>
  <c r="U14" i="5"/>
  <c r="T14" i="5"/>
  <c r="S14" i="5"/>
  <c r="R14" i="5"/>
  <c r="Q14" i="5"/>
  <c r="M14" i="5"/>
  <c r="N14" i="5" s="1"/>
  <c r="K14" i="5"/>
  <c r="J14" i="5"/>
  <c r="I14" i="5"/>
  <c r="H14" i="5"/>
  <c r="G14" i="5"/>
  <c r="F14" i="5"/>
  <c r="E14" i="5"/>
  <c r="U15" i="5"/>
  <c r="T15" i="5"/>
  <c r="S15" i="5"/>
  <c r="R15" i="5"/>
  <c r="Q15" i="5"/>
  <c r="M15" i="5"/>
  <c r="N15" i="5" s="1"/>
  <c r="K15" i="5"/>
  <c r="J15" i="5"/>
  <c r="I15" i="5"/>
  <c r="H15" i="5"/>
  <c r="G15" i="5"/>
  <c r="F15" i="5"/>
  <c r="E15" i="5"/>
  <c r="U16" i="5"/>
  <c r="T16" i="5"/>
  <c r="S16" i="5"/>
  <c r="R16" i="5"/>
  <c r="Q16" i="5"/>
  <c r="M16" i="5"/>
  <c r="N16" i="5" s="1"/>
  <c r="K16" i="5"/>
  <c r="J16" i="5"/>
  <c r="I16" i="5"/>
  <c r="H16" i="5"/>
  <c r="G16" i="5"/>
  <c r="F16" i="5"/>
  <c r="E16" i="5"/>
  <c r="U17" i="5"/>
  <c r="T17" i="5"/>
  <c r="S17" i="5"/>
  <c r="R17" i="5"/>
  <c r="Q17" i="5"/>
  <c r="M17" i="5"/>
  <c r="N17" i="5" s="1"/>
  <c r="K17" i="5"/>
  <c r="J17" i="5"/>
  <c r="I17" i="5"/>
  <c r="H17" i="5"/>
  <c r="G17" i="5"/>
  <c r="F17" i="5"/>
  <c r="E17" i="5"/>
  <c r="U18" i="5"/>
  <c r="T18" i="5"/>
  <c r="S18" i="5"/>
  <c r="R18" i="5"/>
  <c r="Q18" i="5"/>
  <c r="M18" i="5"/>
  <c r="N18" i="5" s="1"/>
  <c r="K18" i="5"/>
  <c r="J18" i="5"/>
  <c r="I18" i="5"/>
  <c r="H18" i="5"/>
  <c r="G18" i="5"/>
  <c r="F18" i="5"/>
  <c r="E18" i="5"/>
  <c r="L18" i="5" s="1"/>
  <c r="O18" i="5" s="1"/>
  <c r="P18" i="5" s="1"/>
  <c r="U19" i="5"/>
  <c r="T19" i="5"/>
  <c r="S19" i="5"/>
  <c r="R19" i="5"/>
  <c r="Q19" i="5"/>
  <c r="M19" i="5"/>
  <c r="N19" i="5" s="1"/>
  <c r="K19" i="5"/>
  <c r="J19" i="5"/>
  <c r="I19" i="5"/>
  <c r="H19" i="5"/>
  <c r="G19" i="5"/>
  <c r="F19" i="5"/>
  <c r="E19" i="5"/>
  <c r="U20" i="5"/>
  <c r="T20" i="5"/>
  <c r="S20" i="5"/>
  <c r="R20" i="5"/>
  <c r="Q20" i="5"/>
  <c r="M20" i="5"/>
  <c r="N20" i="5" s="1"/>
  <c r="K20" i="5"/>
  <c r="J20" i="5"/>
  <c r="I20" i="5"/>
  <c r="H20" i="5"/>
  <c r="G20" i="5"/>
  <c r="F20" i="5"/>
  <c r="E20" i="5"/>
  <c r="L20" i="5" s="1"/>
  <c r="O20" i="5" s="1"/>
  <c r="P20" i="5" s="1"/>
  <c r="U21" i="5"/>
  <c r="T21" i="5"/>
  <c r="S21" i="5"/>
  <c r="R21" i="5"/>
  <c r="Q21" i="5"/>
  <c r="M21" i="5"/>
  <c r="N21" i="5" s="1"/>
  <c r="K21" i="5"/>
  <c r="J21" i="5"/>
  <c r="I21" i="5"/>
  <c r="H21" i="5"/>
  <c r="G21" i="5"/>
  <c r="F21" i="5"/>
  <c r="E21" i="5"/>
  <c r="L21" i="5" s="1"/>
  <c r="O21" i="5" s="1"/>
  <c r="P21" i="5" s="1"/>
  <c r="U22" i="5"/>
  <c r="T22" i="5"/>
  <c r="S22" i="5"/>
  <c r="R22" i="5"/>
  <c r="Q22" i="5"/>
  <c r="M22" i="5"/>
  <c r="N22" i="5" s="1"/>
  <c r="K22" i="5"/>
  <c r="J22" i="5"/>
  <c r="I22" i="5"/>
  <c r="H22" i="5"/>
  <c r="G22" i="5"/>
  <c r="F22" i="5"/>
  <c r="E22" i="5"/>
  <c r="L22" i="5" s="1"/>
  <c r="O22" i="5" s="1"/>
  <c r="P22" i="5" s="1"/>
  <c r="U23" i="5"/>
  <c r="T23" i="5"/>
  <c r="S23" i="5"/>
  <c r="R23" i="5"/>
  <c r="Q23" i="5"/>
  <c r="M23" i="5"/>
  <c r="N23" i="5" s="1"/>
  <c r="K23" i="5"/>
  <c r="J23" i="5"/>
  <c r="I23" i="5"/>
  <c r="H23" i="5"/>
  <c r="G23" i="5"/>
  <c r="F23" i="5"/>
  <c r="E23" i="5"/>
  <c r="L23" i="5" s="1"/>
  <c r="O23" i="5" s="1"/>
  <c r="P23" i="5" s="1"/>
  <c r="U24" i="5"/>
  <c r="T24" i="5"/>
  <c r="S24" i="5"/>
  <c r="R24" i="5"/>
  <c r="Q24" i="5"/>
  <c r="M24" i="5"/>
  <c r="N24" i="5" s="1"/>
  <c r="K24" i="5"/>
  <c r="J24" i="5"/>
  <c r="I24" i="5"/>
  <c r="H24" i="5"/>
  <c r="G24" i="5"/>
  <c r="F24" i="5"/>
  <c r="E24" i="5"/>
  <c r="U25" i="5"/>
  <c r="T25" i="5"/>
  <c r="S25" i="5"/>
  <c r="R25" i="5"/>
  <c r="Q25" i="5"/>
  <c r="M25" i="5"/>
  <c r="N25" i="5" s="1"/>
  <c r="K25" i="5"/>
  <c r="J25" i="5"/>
  <c r="I25" i="5"/>
  <c r="H25" i="5"/>
  <c r="G25" i="5"/>
  <c r="F25" i="5"/>
  <c r="E25" i="5"/>
  <c r="U26" i="5"/>
  <c r="T26" i="5"/>
  <c r="S26" i="5"/>
  <c r="R26" i="5"/>
  <c r="Q26" i="5"/>
  <c r="M26" i="5"/>
  <c r="N26" i="5" s="1"/>
  <c r="K26" i="5"/>
  <c r="J26" i="5"/>
  <c r="I26" i="5"/>
  <c r="H26" i="5"/>
  <c r="G26" i="5"/>
  <c r="F26" i="5"/>
  <c r="E26" i="5"/>
  <c r="L26" i="5" s="1"/>
  <c r="O26" i="5" s="1"/>
  <c r="P26" i="5" s="1"/>
  <c r="U27" i="5"/>
  <c r="T27" i="5"/>
  <c r="S27" i="5"/>
  <c r="R27" i="5"/>
  <c r="Q27" i="5"/>
  <c r="M27" i="5"/>
  <c r="N27" i="5" s="1"/>
  <c r="K27" i="5"/>
  <c r="J27" i="5"/>
  <c r="I27" i="5"/>
  <c r="H27" i="5"/>
  <c r="G27" i="5"/>
  <c r="F27" i="5"/>
  <c r="E27" i="5"/>
  <c r="L27" i="5" s="1"/>
  <c r="O27" i="5" s="1"/>
  <c r="P27" i="5" s="1"/>
  <c r="U28" i="5"/>
  <c r="T28" i="5"/>
  <c r="S28" i="5"/>
  <c r="R28" i="5"/>
  <c r="Q28" i="5"/>
  <c r="M28" i="5"/>
  <c r="N28" i="5" s="1"/>
  <c r="K28" i="5"/>
  <c r="J28" i="5"/>
  <c r="I28" i="5"/>
  <c r="H28" i="5"/>
  <c r="G28" i="5"/>
  <c r="F28" i="5"/>
  <c r="E28" i="5"/>
  <c r="U29" i="5"/>
  <c r="T29" i="5"/>
  <c r="S29" i="5"/>
  <c r="R29" i="5"/>
  <c r="Q29" i="5"/>
  <c r="M29" i="5"/>
  <c r="N29" i="5" s="1"/>
  <c r="K29" i="5"/>
  <c r="J29" i="5"/>
  <c r="I29" i="5"/>
  <c r="H29" i="5"/>
  <c r="G29" i="5"/>
  <c r="F29" i="5"/>
  <c r="E29" i="5"/>
  <c r="L29" i="5" s="1"/>
  <c r="O29" i="5" s="1"/>
  <c r="P29" i="5" s="1"/>
  <c r="U30" i="5"/>
  <c r="T30" i="5"/>
  <c r="S30" i="5"/>
  <c r="R30" i="5"/>
  <c r="Q30" i="5"/>
  <c r="M30" i="5"/>
  <c r="N30" i="5" s="1"/>
  <c r="K30" i="5"/>
  <c r="J30" i="5"/>
  <c r="I30" i="5"/>
  <c r="H30" i="5"/>
  <c r="G30" i="5"/>
  <c r="F30" i="5"/>
  <c r="E30" i="5"/>
  <c r="L30" i="5" s="1"/>
  <c r="O30" i="5" s="1"/>
  <c r="P30" i="5" s="1"/>
  <c r="U31" i="5"/>
  <c r="T31" i="5"/>
  <c r="S31" i="5"/>
  <c r="R31" i="5"/>
  <c r="Q31" i="5"/>
  <c r="M31" i="5"/>
  <c r="N31" i="5" s="1"/>
  <c r="K31" i="5"/>
  <c r="J31" i="5"/>
  <c r="I31" i="5"/>
  <c r="H31" i="5"/>
  <c r="G31" i="5"/>
  <c r="F31" i="5"/>
  <c r="E31" i="5"/>
  <c r="L31" i="5" s="1"/>
  <c r="O31" i="5" s="1"/>
  <c r="P31" i="5" s="1"/>
  <c r="U32" i="5"/>
  <c r="T32" i="5"/>
  <c r="S32" i="5"/>
  <c r="R32" i="5"/>
  <c r="Q32" i="5"/>
  <c r="M32" i="5"/>
  <c r="N32" i="5" s="1"/>
  <c r="K32" i="5"/>
  <c r="J32" i="5"/>
  <c r="I32" i="5"/>
  <c r="H32" i="5"/>
  <c r="G32" i="5"/>
  <c r="F32" i="5"/>
  <c r="E32" i="5"/>
  <c r="L32" i="5" s="1"/>
  <c r="O32" i="5" s="1"/>
  <c r="P32" i="5" s="1"/>
  <c r="U33" i="5"/>
  <c r="T33" i="5"/>
  <c r="S33" i="5"/>
  <c r="R33" i="5"/>
  <c r="Q33" i="5"/>
  <c r="M33" i="5"/>
  <c r="N33" i="5" s="1"/>
  <c r="K33" i="5"/>
  <c r="J33" i="5"/>
  <c r="I33" i="5"/>
  <c r="H33" i="5"/>
  <c r="G33" i="5"/>
  <c r="F33" i="5"/>
  <c r="E33" i="5"/>
  <c r="L33" i="5" s="1"/>
  <c r="O33" i="5" s="1"/>
  <c r="P33" i="5" s="1"/>
  <c r="U34" i="5"/>
  <c r="T34" i="5"/>
  <c r="S34" i="5"/>
  <c r="R34" i="5"/>
  <c r="Q34" i="5"/>
  <c r="M34" i="5"/>
  <c r="N34" i="5" s="1"/>
  <c r="K34" i="5"/>
  <c r="J34" i="5"/>
  <c r="I34" i="5"/>
  <c r="H34" i="5"/>
  <c r="G34" i="5"/>
  <c r="F34" i="5"/>
  <c r="E34" i="5"/>
  <c r="U35" i="5"/>
  <c r="T35" i="5"/>
  <c r="S35" i="5"/>
  <c r="R35" i="5"/>
  <c r="Q35" i="5"/>
  <c r="M35" i="5"/>
  <c r="N35" i="5" s="1"/>
  <c r="K35" i="5"/>
  <c r="J35" i="5"/>
  <c r="I35" i="5"/>
  <c r="H35" i="5"/>
  <c r="G35" i="5"/>
  <c r="F35" i="5"/>
  <c r="E35" i="5"/>
  <c r="L35" i="5" s="1"/>
  <c r="O35" i="5" s="1"/>
  <c r="P35" i="5" s="1"/>
  <c r="U36" i="5"/>
  <c r="T36" i="5"/>
  <c r="S36" i="5"/>
  <c r="R36" i="5"/>
  <c r="Q36" i="5"/>
  <c r="M36" i="5"/>
  <c r="N36" i="5" s="1"/>
  <c r="K36" i="5"/>
  <c r="J36" i="5"/>
  <c r="I36" i="5"/>
  <c r="H36" i="5"/>
  <c r="G36" i="5"/>
  <c r="F36" i="5"/>
  <c r="E36" i="5"/>
  <c r="L36" i="5" s="1"/>
  <c r="O36" i="5" s="1"/>
  <c r="P36" i="5" s="1"/>
  <c r="U37" i="5"/>
  <c r="T37" i="5"/>
  <c r="S37" i="5"/>
  <c r="R37" i="5"/>
  <c r="Q37" i="5"/>
  <c r="M37" i="5"/>
  <c r="N37" i="5" s="1"/>
  <c r="K37" i="5"/>
  <c r="J37" i="5"/>
  <c r="I37" i="5"/>
  <c r="H37" i="5"/>
  <c r="G37" i="5"/>
  <c r="F37" i="5"/>
  <c r="E37" i="5"/>
  <c r="U38" i="5"/>
  <c r="T38" i="5"/>
  <c r="S38" i="5"/>
  <c r="R38" i="5"/>
  <c r="Q38" i="5"/>
  <c r="M38" i="5"/>
  <c r="N38" i="5" s="1"/>
  <c r="K38" i="5"/>
  <c r="J38" i="5"/>
  <c r="I38" i="5"/>
  <c r="H38" i="5"/>
  <c r="G38" i="5"/>
  <c r="F38" i="5"/>
  <c r="E38" i="5"/>
  <c r="L38" i="5" s="1"/>
  <c r="O38" i="5" s="1"/>
  <c r="P38" i="5" s="1"/>
  <c r="U39" i="5"/>
  <c r="T39" i="5"/>
  <c r="S39" i="5"/>
  <c r="R39" i="5"/>
  <c r="Q39" i="5"/>
  <c r="M39" i="5"/>
  <c r="N39" i="5" s="1"/>
  <c r="K39" i="5"/>
  <c r="J39" i="5"/>
  <c r="I39" i="5"/>
  <c r="H39" i="5"/>
  <c r="G39" i="5"/>
  <c r="F39" i="5"/>
  <c r="E39" i="5"/>
  <c r="L39" i="5" s="1"/>
  <c r="O39" i="5" s="1"/>
  <c r="P39" i="5" s="1"/>
  <c r="U40" i="5"/>
  <c r="T40" i="5"/>
  <c r="S40" i="5"/>
  <c r="R40" i="5"/>
  <c r="Q40" i="5"/>
  <c r="M40" i="5"/>
  <c r="N40" i="5" s="1"/>
  <c r="K40" i="5"/>
  <c r="J40" i="5"/>
  <c r="I40" i="5"/>
  <c r="H40" i="5"/>
  <c r="G40" i="5"/>
  <c r="F40" i="5"/>
  <c r="E40" i="5"/>
  <c r="L40" i="5" s="1"/>
  <c r="O40" i="5" s="1"/>
  <c r="P40" i="5" s="1"/>
  <c r="U41" i="5"/>
  <c r="T41" i="5"/>
  <c r="S41" i="5"/>
  <c r="R41" i="5"/>
  <c r="Q41" i="5"/>
  <c r="M41" i="5"/>
  <c r="N41" i="5" s="1"/>
  <c r="K41" i="5"/>
  <c r="J41" i="5"/>
  <c r="I41" i="5"/>
  <c r="H41" i="5"/>
  <c r="G41" i="5"/>
  <c r="F41" i="5"/>
  <c r="E41" i="5"/>
  <c r="L41" i="5" s="1"/>
  <c r="O41" i="5" s="1"/>
  <c r="P41" i="5" s="1"/>
  <c r="U42" i="5"/>
  <c r="T42" i="5"/>
  <c r="S42" i="5"/>
  <c r="R42" i="5"/>
  <c r="Q42" i="5"/>
  <c r="M42" i="5"/>
  <c r="N42" i="5" s="1"/>
  <c r="K42" i="5"/>
  <c r="J42" i="5"/>
  <c r="I42" i="5"/>
  <c r="H42" i="5"/>
  <c r="G42" i="5"/>
  <c r="F42" i="5"/>
  <c r="E42" i="5"/>
  <c r="L42" i="5" s="1"/>
  <c r="O42" i="5" s="1"/>
  <c r="P42" i="5" s="1"/>
  <c r="U43" i="5"/>
  <c r="T43" i="5"/>
  <c r="S43" i="5"/>
  <c r="R43" i="5"/>
  <c r="Q43" i="5"/>
  <c r="M43" i="5"/>
  <c r="N43" i="5" s="1"/>
  <c r="K43" i="5"/>
  <c r="J43" i="5"/>
  <c r="I43" i="5"/>
  <c r="H43" i="5"/>
  <c r="G43" i="5"/>
  <c r="F43" i="5"/>
  <c r="E43" i="5"/>
  <c r="L43" i="5" s="1"/>
  <c r="O43" i="5" s="1"/>
  <c r="P43" i="5" s="1"/>
  <c r="U44" i="5"/>
  <c r="T44" i="5"/>
  <c r="S44" i="5"/>
  <c r="R44" i="5"/>
  <c r="Q44" i="5"/>
  <c r="M44" i="5"/>
  <c r="N44" i="5" s="1"/>
  <c r="K44" i="5"/>
  <c r="J44" i="5"/>
  <c r="I44" i="5"/>
  <c r="H44" i="5"/>
  <c r="G44" i="5"/>
  <c r="F44" i="5"/>
  <c r="E44" i="5"/>
  <c r="L44" i="5" s="1"/>
  <c r="O44" i="5" s="1"/>
  <c r="P44" i="5" s="1"/>
  <c r="U45" i="5"/>
  <c r="T45" i="5"/>
  <c r="S45" i="5"/>
  <c r="R45" i="5"/>
  <c r="Q45" i="5"/>
  <c r="M45" i="5"/>
  <c r="N45" i="5" s="1"/>
  <c r="K45" i="5"/>
  <c r="J45" i="5"/>
  <c r="I45" i="5"/>
  <c r="H45" i="5"/>
  <c r="G45" i="5"/>
  <c r="F45" i="5"/>
  <c r="E45" i="5"/>
  <c r="L45" i="5" s="1"/>
  <c r="O45" i="5" s="1"/>
  <c r="P45" i="5" s="1"/>
  <c r="U46" i="5"/>
  <c r="T46" i="5"/>
  <c r="S46" i="5"/>
  <c r="R46" i="5"/>
  <c r="Q46" i="5"/>
  <c r="M46" i="5"/>
  <c r="N46" i="5" s="1"/>
  <c r="K46" i="5"/>
  <c r="J46" i="5"/>
  <c r="I46" i="5"/>
  <c r="H46" i="5"/>
  <c r="G46" i="5"/>
  <c r="F46" i="5"/>
  <c r="E46" i="5"/>
  <c r="L46" i="5" s="1"/>
  <c r="O46" i="5" s="1"/>
  <c r="P46" i="5" s="1"/>
  <c r="U47" i="5"/>
  <c r="T47" i="5"/>
  <c r="S47" i="5"/>
  <c r="R47" i="5"/>
  <c r="Q47" i="5"/>
  <c r="M47" i="5"/>
  <c r="N47" i="5" s="1"/>
  <c r="K47" i="5"/>
  <c r="J47" i="5"/>
  <c r="I47" i="5"/>
  <c r="H47" i="5"/>
  <c r="G47" i="5"/>
  <c r="F47" i="5"/>
  <c r="E47" i="5"/>
  <c r="L47" i="5" s="1"/>
  <c r="O47" i="5" s="1"/>
  <c r="P47" i="5" s="1"/>
  <c r="U48" i="5"/>
  <c r="T48" i="5"/>
  <c r="S48" i="5"/>
  <c r="R48" i="5"/>
  <c r="Q48" i="5"/>
  <c r="M48" i="5"/>
  <c r="N48" i="5" s="1"/>
  <c r="K48" i="5"/>
  <c r="J48" i="5"/>
  <c r="I48" i="5"/>
  <c r="H48" i="5"/>
  <c r="G48" i="5"/>
  <c r="F48" i="5"/>
  <c r="E48" i="5"/>
  <c r="L48" i="5" s="1"/>
  <c r="O48" i="5" s="1"/>
  <c r="P48" i="5" s="1"/>
  <c r="U49" i="5"/>
  <c r="T49" i="5"/>
  <c r="S49" i="5"/>
  <c r="R49" i="5"/>
  <c r="Q49" i="5"/>
  <c r="M49" i="5"/>
  <c r="N49" i="5" s="1"/>
  <c r="K49" i="5"/>
  <c r="J49" i="5"/>
  <c r="I49" i="5"/>
  <c r="H49" i="5"/>
  <c r="G49" i="5"/>
  <c r="F49" i="5"/>
  <c r="E49" i="5"/>
  <c r="L49" i="5" s="1"/>
  <c r="O49" i="5" s="1"/>
  <c r="P49" i="5" s="1"/>
  <c r="U50" i="5"/>
  <c r="T50" i="5"/>
  <c r="S50" i="5"/>
  <c r="R50" i="5"/>
  <c r="Q50" i="5"/>
  <c r="M50" i="5"/>
  <c r="N50" i="5" s="1"/>
  <c r="K50" i="5"/>
  <c r="J50" i="5"/>
  <c r="I50" i="5"/>
  <c r="H50" i="5"/>
  <c r="G50" i="5"/>
  <c r="F50" i="5"/>
  <c r="E50" i="5"/>
  <c r="L50" i="5" s="1"/>
  <c r="O50" i="5" s="1"/>
  <c r="P50" i="5" s="1"/>
  <c r="U51" i="5"/>
  <c r="T51" i="5"/>
  <c r="S51" i="5"/>
  <c r="R51" i="5"/>
  <c r="Q51" i="5"/>
  <c r="M51" i="5"/>
  <c r="N51" i="5" s="1"/>
  <c r="K51" i="5"/>
  <c r="J51" i="5"/>
  <c r="I51" i="5"/>
  <c r="H51" i="5"/>
  <c r="G51" i="5"/>
  <c r="F51" i="5"/>
  <c r="E51" i="5"/>
  <c r="L51" i="5" s="1"/>
  <c r="O51" i="5" s="1"/>
  <c r="P51" i="5" s="1"/>
  <c r="U52" i="5"/>
  <c r="T52" i="5"/>
  <c r="S52" i="5"/>
  <c r="R52" i="5"/>
  <c r="Q52" i="5"/>
  <c r="M52" i="5"/>
  <c r="N52" i="5" s="1"/>
  <c r="K52" i="5"/>
  <c r="J52" i="5"/>
  <c r="I52" i="5"/>
  <c r="H52" i="5"/>
  <c r="G52" i="5"/>
  <c r="F52" i="5"/>
  <c r="E52" i="5"/>
  <c r="L52" i="5" s="1"/>
  <c r="O52" i="5" s="1"/>
  <c r="P52" i="5" s="1"/>
  <c r="U53" i="5"/>
  <c r="T53" i="5"/>
  <c r="S53" i="5"/>
  <c r="R53" i="5"/>
  <c r="Q53" i="5"/>
  <c r="M53" i="5"/>
  <c r="N53" i="5" s="1"/>
  <c r="K53" i="5"/>
  <c r="J53" i="5"/>
  <c r="I53" i="5"/>
  <c r="H53" i="5"/>
  <c r="G53" i="5"/>
  <c r="F53" i="5"/>
  <c r="E53" i="5"/>
  <c r="L53" i="5" s="1"/>
  <c r="O53" i="5" s="1"/>
  <c r="P53" i="5" s="1"/>
  <c r="U54" i="5"/>
  <c r="T54" i="5"/>
  <c r="S54" i="5"/>
  <c r="R54" i="5"/>
  <c r="Q54" i="5"/>
  <c r="M54" i="5"/>
  <c r="N54" i="5" s="1"/>
  <c r="K54" i="5"/>
  <c r="J54" i="5"/>
  <c r="I54" i="5"/>
  <c r="H54" i="5"/>
  <c r="G54" i="5"/>
  <c r="F54" i="5"/>
  <c r="E54" i="5"/>
  <c r="L54" i="5" s="1"/>
  <c r="O54" i="5" s="1"/>
  <c r="P54" i="5" s="1"/>
  <c r="U55" i="5"/>
  <c r="T55" i="5"/>
  <c r="S55" i="5"/>
  <c r="R55" i="5"/>
  <c r="Q55" i="5"/>
  <c r="M55" i="5"/>
  <c r="N55" i="5" s="1"/>
  <c r="K55" i="5"/>
  <c r="J55" i="5"/>
  <c r="I55" i="5"/>
  <c r="H55" i="5"/>
  <c r="G55" i="5"/>
  <c r="F55" i="5"/>
  <c r="E55" i="5"/>
  <c r="L55" i="5" s="1"/>
  <c r="O55" i="5" s="1"/>
  <c r="P55" i="5" s="1"/>
  <c r="U56" i="5"/>
  <c r="T56" i="5"/>
  <c r="S56" i="5"/>
  <c r="R56" i="5"/>
  <c r="Q56" i="5"/>
  <c r="M56" i="5"/>
  <c r="N56" i="5" s="1"/>
  <c r="K56" i="5"/>
  <c r="J56" i="5"/>
  <c r="I56" i="5"/>
  <c r="H56" i="5"/>
  <c r="G56" i="5"/>
  <c r="F56" i="5"/>
  <c r="E56" i="5"/>
  <c r="L56" i="5" s="1"/>
  <c r="O56" i="5" s="1"/>
  <c r="P56" i="5" s="1"/>
  <c r="U57" i="5"/>
  <c r="T57" i="5"/>
  <c r="S57" i="5"/>
  <c r="R57" i="5"/>
  <c r="Q57" i="5"/>
  <c r="M57" i="5"/>
  <c r="N57" i="5" s="1"/>
  <c r="K57" i="5"/>
  <c r="J57" i="5"/>
  <c r="I57" i="5"/>
  <c r="H57" i="5"/>
  <c r="G57" i="5"/>
  <c r="F57" i="5"/>
  <c r="E57" i="5"/>
  <c r="L57" i="5" s="1"/>
  <c r="O57" i="5" s="1"/>
  <c r="P57" i="5" s="1"/>
  <c r="U58" i="5"/>
  <c r="T58" i="5"/>
  <c r="S58" i="5"/>
  <c r="R58" i="5"/>
  <c r="Q58" i="5"/>
  <c r="M58" i="5"/>
  <c r="N58" i="5" s="1"/>
  <c r="K58" i="5"/>
  <c r="J58" i="5"/>
  <c r="I58" i="5"/>
  <c r="H58" i="5"/>
  <c r="G58" i="5"/>
  <c r="F58" i="5"/>
  <c r="E58" i="5"/>
  <c r="L58" i="5" s="1"/>
  <c r="O58" i="5" s="1"/>
  <c r="P58" i="5" s="1"/>
  <c r="U59" i="5"/>
  <c r="T59" i="5"/>
  <c r="S59" i="5"/>
  <c r="R59" i="5"/>
  <c r="Q59" i="5"/>
  <c r="M59" i="5"/>
  <c r="N59" i="5" s="1"/>
  <c r="K59" i="5"/>
  <c r="J59" i="5"/>
  <c r="I59" i="5"/>
  <c r="H59" i="5"/>
  <c r="G59" i="5"/>
  <c r="F59" i="5"/>
  <c r="E59" i="5"/>
  <c r="L59" i="5" s="1"/>
  <c r="O59" i="5" s="1"/>
  <c r="P59" i="5" s="1"/>
  <c r="U60" i="5"/>
  <c r="T60" i="5"/>
  <c r="S60" i="5"/>
  <c r="R60" i="5"/>
  <c r="Q60" i="5"/>
  <c r="M60" i="5"/>
  <c r="N60" i="5" s="1"/>
  <c r="K60" i="5"/>
  <c r="J60" i="5"/>
  <c r="I60" i="5"/>
  <c r="H60" i="5"/>
  <c r="G60" i="5"/>
  <c r="F60" i="5"/>
  <c r="E60" i="5"/>
  <c r="L60" i="5" s="1"/>
  <c r="O60" i="5" s="1"/>
  <c r="P60" i="5" s="1"/>
  <c r="U61" i="5"/>
  <c r="T61" i="5"/>
  <c r="S61" i="5"/>
  <c r="R61" i="5"/>
  <c r="Q61" i="5"/>
  <c r="M61" i="5"/>
  <c r="N61" i="5" s="1"/>
  <c r="K61" i="5"/>
  <c r="J61" i="5"/>
  <c r="I61" i="5"/>
  <c r="H61" i="5"/>
  <c r="G61" i="5"/>
  <c r="F61" i="5"/>
  <c r="E61" i="5"/>
  <c r="L61" i="5" s="1"/>
  <c r="O61" i="5" s="1"/>
  <c r="P61" i="5" s="1"/>
  <c r="U62" i="5"/>
  <c r="T62" i="5"/>
  <c r="S62" i="5"/>
  <c r="R62" i="5"/>
  <c r="Q62" i="5"/>
  <c r="M62" i="5"/>
  <c r="N62" i="5" s="1"/>
  <c r="K62" i="5"/>
  <c r="J62" i="5"/>
  <c r="I62" i="5"/>
  <c r="H62" i="5"/>
  <c r="G62" i="5"/>
  <c r="F62" i="5"/>
  <c r="E62" i="5"/>
  <c r="L62" i="5" s="1"/>
  <c r="O62" i="5" s="1"/>
  <c r="P62" i="5" s="1"/>
  <c r="U63" i="5"/>
  <c r="T63" i="5"/>
  <c r="S63" i="5"/>
  <c r="R63" i="5"/>
  <c r="Q63" i="5"/>
  <c r="M63" i="5"/>
  <c r="N63" i="5" s="1"/>
  <c r="K63" i="5"/>
  <c r="J63" i="5"/>
  <c r="I63" i="5"/>
  <c r="H63" i="5"/>
  <c r="G63" i="5"/>
  <c r="F63" i="5"/>
  <c r="E63" i="5"/>
  <c r="L63" i="5" s="1"/>
  <c r="O63" i="5" s="1"/>
  <c r="P63" i="5" s="1"/>
  <c r="U64" i="5"/>
  <c r="T64" i="5"/>
  <c r="S64" i="5"/>
  <c r="R64" i="5"/>
  <c r="Q64" i="5"/>
  <c r="M64" i="5"/>
  <c r="N64" i="5" s="1"/>
  <c r="K64" i="5"/>
  <c r="J64" i="5"/>
  <c r="I64" i="5"/>
  <c r="H64" i="5"/>
  <c r="G64" i="5"/>
  <c r="F64" i="5"/>
  <c r="E64" i="5"/>
  <c r="L64" i="5" s="1"/>
  <c r="O64" i="5" s="1"/>
  <c r="P64" i="5" s="1"/>
  <c r="U65" i="5"/>
  <c r="T65" i="5"/>
  <c r="S65" i="5"/>
  <c r="R65" i="5"/>
  <c r="Q65" i="5"/>
  <c r="M65" i="5"/>
  <c r="N65" i="5" s="1"/>
  <c r="K65" i="5"/>
  <c r="J65" i="5"/>
  <c r="I65" i="5"/>
  <c r="H65" i="5"/>
  <c r="G65" i="5"/>
  <c r="F65" i="5"/>
  <c r="E65" i="5"/>
  <c r="L65" i="5" s="1"/>
  <c r="O65" i="5" s="1"/>
  <c r="P65" i="5" s="1"/>
  <c r="U66" i="5"/>
  <c r="T66" i="5"/>
  <c r="S66" i="5"/>
  <c r="R66" i="5"/>
  <c r="Q66" i="5"/>
  <c r="M66" i="5"/>
  <c r="N66" i="5" s="1"/>
  <c r="K66" i="5"/>
  <c r="J66" i="5"/>
  <c r="I66" i="5"/>
  <c r="H66" i="5"/>
  <c r="G66" i="5"/>
  <c r="F66" i="5"/>
  <c r="E66" i="5"/>
  <c r="L66" i="5" s="1"/>
  <c r="O66" i="5" s="1"/>
  <c r="P66" i="5" s="1"/>
  <c r="U67" i="5"/>
  <c r="T67" i="5"/>
  <c r="S67" i="5"/>
  <c r="R67" i="5"/>
  <c r="Q67" i="5"/>
  <c r="M67" i="5"/>
  <c r="N67" i="5" s="1"/>
  <c r="K67" i="5"/>
  <c r="J67" i="5"/>
  <c r="I67" i="5"/>
  <c r="H67" i="5"/>
  <c r="G67" i="5"/>
  <c r="F67" i="5"/>
  <c r="E67" i="5"/>
  <c r="L67" i="5" s="1"/>
  <c r="O67" i="5" s="1"/>
  <c r="P67" i="5" s="1"/>
  <c r="U68" i="5"/>
  <c r="T68" i="5"/>
  <c r="S68" i="5"/>
  <c r="R68" i="5"/>
  <c r="Q68" i="5"/>
  <c r="M68" i="5"/>
  <c r="N68" i="5" s="1"/>
  <c r="K68" i="5"/>
  <c r="J68" i="5"/>
  <c r="I68" i="5"/>
  <c r="H68" i="5"/>
  <c r="G68" i="5"/>
  <c r="F68" i="5"/>
  <c r="E68" i="5"/>
  <c r="L68" i="5" s="1"/>
  <c r="O68" i="5" s="1"/>
  <c r="P68" i="5" s="1"/>
  <c r="U69" i="5"/>
  <c r="T69" i="5"/>
  <c r="S69" i="5"/>
  <c r="R69" i="5"/>
  <c r="Q69" i="5"/>
  <c r="M69" i="5"/>
  <c r="N69" i="5" s="1"/>
  <c r="K69" i="5"/>
  <c r="J69" i="5"/>
  <c r="I69" i="5"/>
  <c r="H69" i="5"/>
  <c r="G69" i="5"/>
  <c r="F69" i="5"/>
  <c r="E69" i="5"/>
  <c r="L69" i="5" s="1"/>
  <c r="O69" i="5" s="1"/>
  <c r="P69" i="5" s="1"/>
  <c r="U70" i="5"/>
  <c r="T70" i="5"/>
  <c r="S70" i="5"/>
  <c r="R70" i="5"/>
  <c r="Q70" i="5"/>
  <c r="M70" i="5"/>
  <c r="N70" i="5" s="1"/>
  <c r="K70" i="5"/>
  <c r="J70" i="5"/>
  <c r="I70" i="5"/>
  <c r="H70" i="5"/>
  <c r="G70" i="5"/>
  <c r="F70" i="5"/>
  <c r="E70" i="5"/>
  <c r="L70" i="5" s="1"/>
  <c r="O70" i="5" s="1"/>
  <c r="P70" i="5" s="1"/>
  <c r="U71" i="5"/>
  <c r="T71" i="5"/>
  <c r="S71" i="5"/>
  <c r="R71" i="5"/>
  <c r="Q71" i="5"/>
  <c r="M71" i="5"/>
  <c r="N71" i="5" s="1"/>
  <c r="K71" i="5"/>
  <c r="J71" i="5"/>
  <c r="I71" i="5"/>
  <c r="H71" i="5"/>
  <c r="G71" i="5"/>
  <c r="F71" i="5"/>
  <c r="E71" i="5"/>
  <c r="L71" i="5" s="1"/>
  <c r="O71" i="5" s="1"/>
  <c r="P71" i="5" s="1"/>
  <c r="U72" i="5"/>
  <c r="T72" i="5"/>
  <c r="S72" i="5"/>
  <c r="R72" i="5"/>
  <c r="Q72" i="5"/>
  <c r="M72" i="5"/>
  <c r="N72" i="5" s="1"/>
  <c r="K72" i="5"/>
  <c r="J72" i="5"/>
  <c r="I72" i="5"/>
  <c r="H72" i="5"/>
  <c r="G72" i="5"/>
  <c r="F72" i="5"/>
  <c r="E72" i="5"/>
  <c r="L72" i="5" s="1"/>
  <c r="O72" i="5" s="1"/>
  <c r="P72" i="5" s="1"/>
  <c r="U73" i="5"/>
  <c r="T73" i="5"/>
  <c r="S73" i="5"/>
  <c r="R73" i="5"/>
  <c r="Q73" i="5"/>
  <c r="M73" i="5"/>
  <c r="N73" i="5" s="1"/>
  <c r="K73" i="5"/>
  <c r="J73" i="5"/>
  <c r="I73" i="5"/>
  <c r="H73" i="5"/>
  <c r="G73" i="5"/>
  <c r="F73" i="5"/>
  <c r="E73" i="5"/>
  <c r="L73" i="5" s="1"/>
  <c r="O73" i="5" s="1"/>
  <c r="P73" i="5" s="1"/>
  <c r="U74" i="5"/>
  <c r="T74" i="5"/>
  <c r="S74" i="5"/>
  <c r="R74" i="5"/>
  <c r="Q74" i="5"/>
  <c r="M74" i="5"/>
  <c r="N74" i="5" s="1"/>
  <c r="K74" i="5"/>
  <c r="J74" i="5"/>
  <c r="I74" i="5"/>
  <c r="H74" i="5"/>
  <c r="G74" i="5"/>
  <c r="F74" i="5"/>
  <c r="E74" i="5"/>
  <c r="L74" i="5" s="1"/>
  <c r="O74" i="5" s="1"/>
  <c r="P74" i="5" s="1"/>
  <c r="U75" i="5"/>
  <c r="T75" i="5"/>
  <c r="S75" i="5"/>
  <c r="R75" i="5"/>
  <c r="Q75" i="5"/>
  <c r="M75" i="5"/>
  <c r="N75" i="5" s="1"/>
  <c r="K75" i="5"/>
  <c r="J75" i="5"/>
  <c r="I75" i="5"/>
  <c r="H75" i="5"/>
  <c r="G75" i="5"/>
  <c r="F75" i="5"/>
  <c r="E75" i="5"/>
  <c r="L75" i="5" s="1"/>
  <c r="O75" i="5" s="1"/>
  <c r="P75" i="5" s="1"/>
  <c r="U76" i="5"/>
  <c r="T76" i="5"/>
  <c r="S76" i="5"/>
  <c r="R76" i="5"/>
  <c r="Q76" i="5"/>
  <c r="M76" i="5"/>
  <c r="N76" i="5" s="1"/>
  <c r="K76" i="5"/>
  <c r="J76" i="5"/>
  <c r="I76" i="5"/>
  <c r="H76" i="5"/>
  <c r="G76" i="5"/>
  <c r="F76" i="5"/>
  <c r="E76" i="5"/>
  <c r="L76" i="5" s="1"/>
  <c r="O76" i="5" s="1"/>
  <c r="P76" i="5" s="1"/>
  <c r="U77" i="5"/>
  <c r="T77" i="5"/>
  <c r="S77" i="5"/>
  <c r="R77" i="5"/>
  <c r="Q77" i="5"/>
  <c r="M77" i="5"/>
  <c r="N77" i="5" s="1"/>
  <c r="K77" i="5"/>
  <c r="J77" i="5"/>
  <c r="I77" i="5"/>
  <c r="H77" i="5"/>
  <c r="G77" i="5"/>
  <c r="F77" i="5"/>
  <c r="E77" i="5"/>
  <c r="L77" i="5" s="1"/>
  <c r="O77" i="5" s="1"/>
  <c r="P77" i="5" s="1"/>
  <c r="U78" i="5"/>
  <c r="T78" i="5"/>
  <c r="S78" i="5"/>
  <c r="R78" i="5"/>
  <c r="Q78" i="5"/>
  <c r="M78" i="5"/>
  <c r="N78" i="5" s="1"/>
  <c r="K78" i="5"/>
  <c r="J78" i="5"/>
  <c r="I78" i="5"/>
  <c r="H78" i="5"/>
  <c r="G78" i="5"/>
  <c r="F78" i="5"/>
  <c r="E78" i="5"/>
  <c r="L78" i="5" s="1"/>
  <c r="O78" i="5" s="1"/>
  <c r="P78" i="5" s="1"/>
  <c r="U79" i="5"/>
  <c r="T79" i="5"/>
  <c r="S79" i="5"/>
  <c r="R79" i="5"/>
  <c r="Q79" i="5"/>
  <c r="M79" i="5"/>
  <c r="N79" i="5" s="1"/>
  <c r="K79" i="5"/>
  <c r="J79" i="5"/>
  <c r="I79" i="5"/>
  <c r="H79" i="5"/>
  <c r="G79" i="5"/>
  <c r="F79" i="5"/>
  <c r="E79" i="5"/>
  <c r="L79" i="5" s="1"/>
  <c r="O79" i="5" s="1"/>
  <c r="P79" i="5" s="1"/>
  <c r="U80" i="5"/>
  <c r="T80" i="5"/>
  <c r="S80" i="5"/>
  <c r="R80" i="5"/>
  <c r="Q80" i="5"/>
  <c r="M80" i="5"/>
  <c r="N80" i="5" s="1"/>
  <c r="K80" i="5"/>
  <c r="J80" i="5"/>
  <c r="I80" i="5"/>
  <c r="H80" i="5"/>
  <c r="G80" i="5"/>
  <c r="F80" i="5"/>
  <c r="E80" i="5"/>
  <c r="L80" i="5" s="1"/>
  <c r="O80" i="5" s="1"/>
  <c r="P80" i="5" s="1"/>
  <c r="U81" i="5"/>
  <c r="T81" i="5"/>
  <c r="S81" i="5"/>
  <c r="R81" i="5"/>
  <c r="Q81" i="5"/>
  <c r="M81" i="5"/>
  <c r="N81" i="5" s="1"/>
  <c r="K81" i="5"/>
  <c r="J81" i="5"/>
  <c r="I81" i="5"/>
  <c r="H81" i="5"/>
  <c r="G81" i="5"/>
  <c r="F81" i="5"/>
  <c r="E81" i="5"/>
  <c r="L81" i="5" s="1"/>
  <c r="O81" i="5" s="1"/>
  <c r="P81" i="5" s="1"/>
  <c r="U82" i="5"/>
  <c r="T82" i="5"/>
  <c r="S82" i="5"/>
  <c r="R82" i="5"/>
  <c r="Q82" i="5"/>
  <c r="M82" i="5"/>
  <c r="N82" i="5" s="1"/>
  <c r="K82" i="5"/>
  <c r="J82" i="5"/>
  <c r="I82" i="5"/>
  <c r="H82" i="5"/>
  <c r="G82" i="5"/>
  <c r="F82" i="5"/>
  <c r="E82" i="5"/>
  <c r="L82" i="5" s="1"/>
  <c r="O82" i="5" s="1"/>
  <c r="P82" i="5" s="1"/>
  <c r="U83" i="5"/>
  <c r="T83" i="5"/>
  <c r="S83" i="5"/>
  <c r="R83" i="5"/>
  <c r="Q83" i="5"/>
  <c r="M83" i="5"/>
  <c r="N83" i="5" s="1"/>
  <c r="K83" i="5"/>
  <c r="J83" i="5"/>
  <c r="I83" i="5"/>
  <c r="H83" i="5"/>
  <c r="G83" i="5"/>
  <c r="F83" i="5"/>
  <c r="E83" i="5"/>
  <c r="L83" i="5" s="1"/>
  <c r="O83" i="5" s="1"/>
  <c r="P83" i="5" s="1"/>
  <c r="U84" i="5"/>
  <c r="T84" i="5"/>
  <c r="S84" i="5"/>
  <c r="R84" i="5"/>
  <c r="Q84" i="5"/>
  <c r="M84" i="5"/>
  <c r="N84" i="5" s="1"/>
  <c r="K84" i="5"/>
  <c r="J84" i="5"/>
  <c r="I84" i="5"/>
  <c r="H84" i="5"/>
  <c r="G84" i="5"/>
  <c r="F84" i="5"/>
  <c r="E84" i="5"/>
  <c r="L84" i="5" s="1"/>
  <c r="O84" i="5" s="1"/>
  <c r="P84" i="5" s="1"/>
  <c r="U85" i="5"/>
  <c r="T85" i="5"/>
  <c r="S85" i="5"/>
  <c r="R85" i="5"/>
  <c r="Q85" i="5"/>
  <c r="M85" i="5"/>
  <c r="N85" i="5" s="1"/>
  <c r="K85" i="5"/>
  <c r="J85" i="5"/>
  <c r="I85" i="5"/>
  <c r="H85" i="5"/>
  <c r="G85" i="5"/>
  <c r="F85" i="5"/>
  <c r="E85" i="5"/>
  <c r="L85" i="5" s="1"/>
  <c r="O85" i="5" s="1"/>
  <c r="P85" i="5" s="1"/>
  <c r="U86" i="5"/>
  <c r="T86" i="5"/>
  <c r="S86" i="5"/>
  <c r="R86" i="5"/>
  <c r="Q86" i="5"/>
  <c r="M86" i="5"/>
  <c r="N86" i="5" s="1"/>
  <c r="K86" i="5"/>
  <c r="J86" i="5"/>
  <c r="I86" i="5"/>
  <c r="H86" i="5"/>
  <c r="G86" i="5"/>
  <c r="F86" i="5"/>
  <c r="E86" i="5"/>
  <c r="L86" i="5" s="1"/>
  <c r="O86" i="5" s="1"/>
  <c r="P86" i="5" s="1"/>
  <c r="U87" i="5"/>
  <c r="T87" i="5"/>
  <c r="S87" i="5"/>
  <c r="R87" i="5"/>
  <c r="Q87" i="5"/>
  <c r="M87" i="5"/>
  <c r="N87" i="5" s="1"/>
  <c r="K87" i="5"/>
  <c r="J87" i="5"/>
  <c r="I87" i="5"/>
  <c r="H87" i="5"/>
  <c r="G87" i="5"/>
  <c r="F87" i="5"/>
  <c r="E87" i="5"/>
  <c r="L87" i="5" s="1"/>
  <c r="O87" i="5" s="1"/>
  <c r="P87" i="5" s="1"/>
  <c r="U88" i="5"/>
  <c r="T88" i="5"/>
  <c r="S88" i="5"/>
  <c r="R88" i="5"/>
  <c r="Q88" i="5"/>
  <c r="M88" i="5"/>
  <c r="N88" i="5" s="1"/>
  <c r="K88" i="5"/>
  <c r="J88" i="5"/>
  <c r="I88" i="5"/>
  <c r="H88" i="5"/>
  <c r="G88" i="5"/>
  <c r="F88" i="5"/>
  <c r="E88" i="5"/>
  <c r="L88" i="5" s="1"/>
  <c r="O88" i="5" s="1"/>
  <c r="P88" i="5" s="1"/>
  <c r="U89" i="5"/>
  <c r="T89" i="5"/>
  <c r="S89" i="5"/>
  <c r="R89" i="5"/>
  <c r="Q89" i="5"/>
  <c r="M89" i="5"/>
  <c r="N89" i="5" s="1"/>
  <c r="K89" i="5"/>
  <c r="J89" i="5"/>
  <c r="I89" i="5"/>
  <c r="H89" i="5"/>
  <c r="G89" i="5"/>
  <c r="F89" i="5"/>
  <c r="E89" i="5"/>
  <c r="L89" i="5" s="1"/>
  <c r="O89" i="5" s="1"/>
  <c r="P89" i="5" s="1"/>
  <c r="U90" i="5"/>
  <c r="T90" i="5"/>
  <c r="S90" i="5"/>
  <c r="R90" i="5"/>
  <c r="Q90" i="5"/>
  <c r="M90" i="5"/>
  <c r="N90" i="5" s="1"/>
  <c r="K90" i="5"/>
  <c r="J90" i="5"/>
  <c r="I90" i="5"/>
  <c r="H90" i="5"/>
  <c r="G90" i="5"/>
  <c r="F90" i="5"/>
  <c r="E90" i="5"/>
  <c r="L90" i="5" s="1"/>
  <c r="O90" i="5" s="1"/>
  <c r="P90" i="5" s="1"/>
  <c r="U91" i="5"/>
  <c r="T91" i="5"/>
  <c r="S91" i="5"/>
  <c r="R91" i="5"/>
  <c r="Q91" i="5"/>
  <c r="M91" i="5"/>
  <c r="N91" i="5" s="1"/>
  <c r="K91" i="5"/>
  <c r="J91" i="5"/>
  <c r="I91" i="5"/>
  <c r="H91" i="5"/>
  <c r="G91" i="5"/>
  <c r="F91" i="5"/>
  <c r="E91" i="5"/>
  <c r="L91" i="5" s="1"/>
  <c r="O91" i="5" s="1"/>
  <c r="P91" i="5" s="1"/>
  <c r="U92" i="5"/>
  <c r="T92" i="5"/>
  <c r="S92" i="5"/>
  <c r="R92" i="5"/>
  <c r="Q92" i="5"/>
  <c r="M92" i="5"/>
  <c r="N92" i="5" s="1"/>
  <c r="K92" i="5"/>
  <c r="J92" i="5"/>
  <c r="I92" i="5"/>
  <c r="H92" i="5"/>
  <c r="G92" i="5"/>
  <c r="F92" i="5"/>
  <c r="E92" i="5"/>
  <c r="L92" i="5" s="1"/>
  <c r="O92" i="5" s="1"/>
  <c r="P92" i="5" s="1"/>
  <c r="U93" i="5"/>
  <c r="T93" i="5"/>
  <c r="S93" i="5"/>
  <c r="R93" i="5"/>
  <c r="Q93" i="5"/>
  <c r="M93" i="5"/>
  <c r="N93" i="5" s="1"/>
  <c r="K93" i="5"/>
  <c r="J93" i="5"/>
  <c r="I93" i="5"/>
  <c r="H93" i="5"/>
  <c r="G93" i="5"/>
  <c r="F93" i="5"/>
  <c r="E93" i="5"/>
  <c r="L93" i="5" s="1"/>
  <c r="O93" i="5" s="1"/>
  <c r="P93" i="5" s="1"/>
  <c r="U94" i="5"/>
  <c r="T94" i="5"/>
  <c r="S94" i="5"/>
  <c r="R94" i="5"/>
  <c r="Q94" i="5"/>
  <c r="M94" i="5"/>
  <c r="N94" i="5" s="1"/>
  <c r="K94" i="5"/>
  <c r="J94" i="5"/>
  <c r="I94" i="5"/>
  <c r="H94" i="5"/>
  <c r="G94" i="5"/>
  <c r="F94" i="5"/>
  <c r="E94" i="5"/>
  <c r="L94" i="5" s="1"/>
  <c r="O94" i="5" s="1"/>
  <c r="P94" i="5" s="1"/>
  <c r="U95" i="5"/>
  <c r="T95" i="5"/>
  <c r="S95" i="5"/>
  <c r="R95" i="5"/>
  <c r="Q95" i="5"/>
  <c r="M95" i="5"/>
  <c r="N95" i="5" s="1"/>
  <c r="K95" i="5"/>
  <c r="J95" i="5"/>
  <c r="I95" i="5"/>
  <c r="H95" i="5"/>
  <c r="G95" i="5"/>
  <c r="F95" i="5"/>
  <c r="E95" i="5"/>
  <c r="L95" i="5" s="1"/>
  <c r="O95" i="5" s="1"/>
  <c r="P95" i="5" s="1"/>
  <c r="U96" i="5"/>
  <c r="T96" i="5"/>
  <c r="S96" i="5"/>
  <c r="R96" i="5"/>
  <c r="Q96" i="5"/>
  <c r="M96" i="5"/>
  <c r="N96" i="5" s="1"/>
  <c r="K96" i="5"/>
  <c r="J96" i="5"/>
  <c r="I96" i="5"/>
  <c r="H96" i="5"/>
  <c r="G96" i="5"/>
  <c r="F96" i="5"/>
  <c r="E96" i="5"/>
  <c r="L96" i="5" s="1"/>
  <c r="O96" i="5" s="1"/>
  <c r="P96" i="5" s="1"/>
  <c r="U97" i="5"/>
  <c r="T97" i="5"/>
  <c r="S97" i="5"/>
  <c r="R97" i="5"/>
  <c r="Q97" i="5"/>
  <c r="M97" i="5"/>
  <c r="N97" i="5" s="1"/>
  <c r="K97" i="5"/>
  <c r="J97" i="5"/>
  <c r="I97" i="5"/>
  <c r="H97" i="5"/>
  <c r="G97" i="5"/>
  <c r="F97" i="5"/>
  <c r="E97" i="5"/>
  <c r="L97" i="5" s="1"/>
  <c r="O97" i="5" s="1"/>
  <c r="P97" i="5" s="1"/>
  <c r="U98" i="5"/>
  <c r="T98" i="5"/>
  <c r="S98" i="5"/>
  <c r="R98" i="5"/>
  <c r="Q98" i="5"/>
  <c r="M98" i="5"/>
  <c r="N98" i="5" s="1"/>
  <c r="K98" i="5"/>
  <c r="J98" i="5"/>
  <c r="I98" i="5"/>
  <c r="H98" i="5"/>
  <c r="G98" i="5"/>
  <c r="F98" i="5"/>
  <c r="E98" i="5"/>
  <c r="L98" i="5" s="1"/>
  <c r="O98" i="5" s="1"/>
  <c r="P98" i="5" s="1"/>
  <c r="U99" i="5"/>
  <c r="T99" i="5"/>
  <c r="S99" i="5"/>
  <c r="R99" i="5"/>
  <c r="Q99" i="5"/>
  <c r="M99" i="5"/>
  <c r="N99" i="5" s="1"/>
  <c r="K99" i="5"/>
  <c r="J99" i="5"/>
  <c r="I99" i="5"/>
  <c r="H99" i="5"/>
  <c r="G99" i="5"/>
  <c r="F99" i="5"/>
  <c r="E99" i="5"/>
  <c r="L99" i="5" s="1"/>
  <c r="O99" i="5" s="1"/>
  <c r="P99" i="5" s="1"/>
  <c r="U100" i="5"/>
  <c r="T100" i="5"/>
  <c r="S100" i="5"/>
  <c r="R100" i="5"/>
  <c r="Q100" i="5"/>
  <c r="M100" i="5"/>
  <c r="N100" i="5" s="1"/>
  <c r="K100" i="5"/>
  <c r="J100" i="5"/>
  <c r="I100" i="5"/>
  <c r="H100" i="5"/>
  <c r="G100" i="5"/>
  <c r="F100" i="5"/>
  <c r="E100" i="5"/>
  <c r="L100" i="5" s="1"/>
  <c r="O100" i="5" s="1"/>
  <c r="P100" i="5" s="1"/>
  <c r="U101" i="5"/>
  <c r="T101" i="5"/>
  <c r="S101" i="5"/>
  <c r="R101" i="5"/>
  <c r="Q101" i="5"/>
  <c r="M101" i="5"/>
  <c r="N101" i="5" s="1"/>
  <c r="K101" i="5"/>
  <c r="J101" i="5"/>
  <c r="I101" i="5"/>
  <c r="H101" i="5"/>
  <c r="G101" i="5"/>
  <c r="F101" i="5"/>
  <c r="E101" i="5"/>
  <c r="L101" i="5" s="1"/>
  <c r="O101" i="5" s="1"/>
  <c r="P101" i="5" s="1"/>
  <c r="U102" i="5"/>
  <c r="T102" i="5"/>
  <c r="S102" i="5"/>
  <c r="R102" i="5"/>
  <c r="Q102" i="5"/>
  <c r="M102" i="5"/>
  <c r="N102" i="5" s="1"/>
  <c r="K102" i="5"/>
  <c r="J102" i="5"/>
  <c r="I102" i="5"/>
  <c r="H102" i="5"/>
  <c r="G102" i="5"/>
  <c r="F102" i="5"/>
  <c r="E102" i="5"/>
  <c r="L102" i="5" s="1"/>
  <c r="O102" i="5" s="1"/>
  <c r="P102" i="5" s="1"/>
  <c r="U103" i="5"/>
  <c r="T103" i="5"/>
  <c r="S103" i="5"/>
  <c r="R103" i="5"/>
  <c r="Q103" i="5"/>
  <c r="M103" i="5"/>
  <c r="N103" i="5" s="1"/>
  <c r="K103" i="5"/>
  <c r="J103" i="5"/>
  <c r="I103" i="5"/>
  <c r="H103" i="5"/>
  <c r="G103" i="5"/>
  <c r="F103" i="5"/>
  <c r="E103" i="5"/>
  <c r="L103" i="5" s="1"/>
  <c r="O103" i="5" s="1"/>
  <c r="P103" i="5" s="1"/>
  <c r="U104" i="5"/>
  <c r="T104" i="5"/>
  <c r="S104" i="5"/>
  <c r="R104" i="5"/>
  <c r="Q104" i="5"/>
  <c r="M104" i="5"/>
  <c r="N104" i="5" s="1"/>
  <c r="K104" i="5"/>
  <c r="J104" i="5"/>
  <c r="I104" i="5"/>
  <c r="H104" i="5"/>
  <c r="G104" i="5"/>
  <c r="F104" i="5"/>
  <c r="E104" i="5"/>
  <c r="L104" i="5" s="1"/>
  <c r="O104" i="5" s="1"/>
  <c r="P104" i="5" s="1"/>
  <c r="U105" i="5"/>
  <c r="T105" i="5"/>
  <c r="S105" i="5"/>
  <c r="R105" i="5"/>
  <c r="Q105" i="5"/>
  <c r="M105" i="5"/>
  <c r="N105" i="5" s="1"/>
  <c r="K105" i="5"/>
  <c r="J105" i="5"/>
  <c r="I105" i="5"/>
  <c r="H105" i="5"/>
  <c r="G105" i="5"/>
  <c r="F105" i="5"/>
  <c r="E105" i="5"/>
  <c r="L105" i="5" s="1"/>
  <c r="O105" i="5" s="1"/>
  <c r="P105" i="5" s="1"/>
  <c r="U106" i="5"/>
  <c r="T106" i="5"/>
  <c r="S106" i="5"/>
  <c r="R106" i="5"/>
  <c r="Q106" i="5"/>
  <c r="M106" i="5"/>
  <c r="N106" i="5" s="1"/>
  <c r="K106" i="5"/>
  <c r="J106" i="5"/>
  <c r="I106" i="5"/>
  <c r="H106" i="5"/>
  <c r="G106" i="5"/>
  <c r="F106" i="5"/>
  <c r="E106" i="5"/>
  <c r="L106" i="5" s="1"/>
  <c r="O106" i="5" s="1"/>
  <c r="P106" i="5" s="1"/>
  <c r="U107" i="5"/>
  <c r="T107" i="5"/>
  <c r="S107" i="5"/>
  <c r="R107" i="5"/>
  <c r="Q107" i="5"/>
  <c r="M107" i="5"/>
  <c r="N107" i="5" s="1"/>
  <c r="K107" i="5"/>
  <c r="J107" i="5"/>
  <c r="I107" i="5"/>
  <c r="H107" i="5"/>
  <c r="G107" i="5"/>
  <c r="F107" i="5"/>
  <c r="E107" i="5"/>
  <c r="L107" i="5" s="1"/>
  <c r="O107" i="5" s="1"/>
  <c r="P107" i="5" s="1"/>
  <c r="U108" i="5"/>
  <c r="T108" i="5"/>
  <c r="S108" i="5"/>
  <c r="R108" i="5"/>
  <c r="Q108" i="5"/>
  <c r="M108" i="5"/>
  <c r="N108" i="5" s="1"/>
  <c r="K108" i="5"/>
  <c r="J108" i="5"/>
  <c r="I108" i="5"/>
  <c r="H108" i="5"/>
  <c r="G108" i="5"/>
  <c r="F108" i="5"/>
  <c r="E108" i="5"/>
  <c r="L108" i="5" s="1"/>
  <c r="O108" i="5" s="1"/>
  <c r="P108" i="5" s="1"/>
  <c r="U109" i="5"/>
  <c r="T109" i="5"/>
  <c r="S109" i="5"/>
  <c r="R109" i="5"/>
  <c r="Q109" i="5"/>
  <c r="M109" i="5"/>
  <c r="N109" i="5" s="1"/>
  <c r="K109" i="5"/>
  <c r="J109" i="5"/>
  <c r="I109" i="5"/>
  <c r="H109" i="5"/>
  <c r="G109" i="5"/>
  <c r="F109" i="5"/>
  <c r="E109" i="5"/>
  <c r="L109" i="5" s="1"/>
  <c r="O109" i="5" s="1"/>
  <c r="P109" i="5" s="1"/>
  <c r="U110" i="5"/>
  <c r="T110" i="5"/>
  <c r="S110" i="5"/>
  <c r="R110" i="5"/>
  <c r="Q110" i="5"/>
  <c r="M110" i="5"/>
  <c r="N110" i="5" s="1"/>
  <c r="K110" i="5"/>
  <c r="J110" i="5"/>
  <c r="I110" i="5"/>
  <c r="H110" i="5"/>
  <c r="G110" i="5"/>
  <c r="F110" i="5"/>
  <c r="E110" i="5"/>
  <c r="L110" i="5" s="1"/>
  <c r="O110" i="5" s="1"/>
  <c r="P110" i="5" s="1"/>
  <c r="U111" i="5"/>
  <c r="T111" i="5"/>
  <c r="S111" i="5"/>
  <c r="R111" i="5"/>
  <c r="Q111" i="5"/>
  <c r="M111" i="5"/>
  <c r="N111" i="5" s="1"/>
  <c r="K111" i="5"/>
  <c r="J111" i="5"/>
  <c r="I111" i="5"/>
  <c r="H111" i="5"/>
  <c r="G111" i="5"/>
  <c r="F111" i="5"/>
  <c r="E111" i="5"/>
  <c r="L111" i="5" s="1"/>
  <c r="O111" i="5" s="1"/>
  <c r="P111" i="5" s="1"/>
  <c r="U112" i="5"/>
  <c r="T112" i="5"/>
  <c r="S112" i="5"/>
  <c r="R112" i="5"/>
  <c r="Q112" i="5"/>
  <c r="M112" i="5"/>
  <c r="N112" i="5" s="1"/>
  <c r="K112" i="5"/>
  <c r="J112" i="5"/>
  <c r="I112" i="5"/>
  <c r="H112" i="5"/>
  <c r="G112" i="5"/>
  <c r="F112" i="5"/>
  <c r="E112" i="5"/>
  <c r="L112" i="5" s="1"/>
  <c r="O112" i="5" s="1"/>
  <c r="P112" i="5" s="1"/>
  <c r="U113" i="5"/>
  <c r="T113" i="5"/>
  <c r="S113" i="5"/>
  <c r="R113" i="5"/>
  <c r="Q113" i="5"/>
  <c r="M113" i="5"/>
  <c r="N113" i="5" s="1"/>
  <c r="K113" i="5"/>
  <c r="J113" i="5"/>
  <c r="I113" i="5"/>
  <c r="H113" i="5"/>
  <c r="G113" i="5"/>
  <c r="F113" i="5"/>
  <c r="E113" i="5"/>
  <c r="L113" i="5" s="1"/>
  <c r="O113" i="5" s="1"/>
  <c r="P113" i="5" s="1"/>
  <c r="U114" i="5"/>
  <c r="T114" i="5"/>
  <c r="S114" i="5"/>
  <c r="R114" i="5"/>
  <c r="Q114" i="5"/>
  <c r="M114" i="5"/>
  <c r="N114" i="5" s="1"/>
  <c r="K114" i="5"/>
  <c r="J114" i="5"/>
  <c r="I114" i="5"/>
  <c r="H114" i="5"/>
  <c r="G114" i="5"/>
  <c r="F114" i="5"/>
  <c r="E114" i="5"/>
  <c r="L114" i="5" s="1"/>
  <c r="O114" i="5" s="1"/>
  <c r="P114" i="5" s="1"/>
  <c r="U115" i="5"/>
  <c r="T115" i="5"/>
  <c r="S115" i="5"/>
  <c r="R115" i="5"/>
  <c r="Q115" i="5"/>
  <c r="M115" i="5"/>
  <c r="N115" i="5" s="1"/>
  <c r="K115" i="5"/>
  <c r="J115" i="5"/>
  <c r="I115" i="5"/>
  <c r="H115" i="5"/>
  <c r="G115" i="5"/>
  <c r="F115" i="5"/>
  <c r="E115" i="5"/>
  <c r="L115" i="5" s="1"/>
  <c r="O115" i="5" s="1"/>
  <c r="P115" i="5" s="1"/>
  <c r="U116" i="5"/>
  <c r="T116" i="5"/>
  <c r="S116" i="5"/>
  <c r="R116" i="5"/>
  <c r="Q116" i="5"/>
  <c r="M116" i="5"/>
  <c r="N116" i="5" s="1"/>
  <c r="K116" i="5"/>
  <c r="J116" i="5"/>
  <c r="I116" i="5"/>
  <c r="H116" i="5"/>
  <c r="G116" i="5"/>
  <c r="F116" i="5"/>
  <c r="E116" i="5"/>
  <c r="L116" i="5" s="1"/>
  <c r="O116" i="5" s="1"/>
  <c r="P116" i="5" s="1"/>
  <c r="U117" i="5"/>
  <c r="T117" i="5"/>
  <c r="S117" i="5"/>
  <c r="R117" i="5"/>
  <c r="Q117" i="5"/>
  <c r="M117" i="5"/>
  <c r="N117" i="5" s="1"/>
  <c r="K117" i="5"/>
  <c r="J117" i="5"/>
  <c r="I117" i="5"/>
  <c r="H117" i="5"/>
  <c r="G117" i="5"/>
  <c r="F117" i="5"/>
  <c r="E117" i="5"/>
  <c r="L117" i="5" s="1"/>
  <c r="O117" i="5" s="1"/>
  <c r="P117" i="5" s="1"/>
  <c r="U118" i="5"/>
  <c r="T118" i="5"/>
  <c r="S118" i="5"/>
  <c r="R118" i="5"/>
  <c r="Q118" i="5"/>
  <c r="M118" i="5"/>
  <c r="N118" i="5" s="1"/>
  <c r="K118" i="5"/>
  <c r="J118" i="5"/>
  <c r="I118" i="5"/>
  <c r="H118" i="5"/>
  <c r="G118" i="5"/>
  <c r="F118" i="5"/>
  <c r="E118" i="5"/>
  <c r="L118" i="5" s="1"/>
  <c r="O118" i="5" s="1"/>
  <c r="P118" i="5" s="1"/>
  <c r="U119" i="5"/>
  <c r="T119" i="5"/>
  <c r="S119" i="5"/>
  <c r="R119" i="5"/>
  <c r="Q119" i="5"/>
  <c r="M119" i="5"/>
  <c r="N119" i="5" s="1"/>
  <c r="K119" i="5"/>
  <c r="J119" i="5"/>
  <c r="I119" i="5"/>
  <c r="H119" i="5"/>
  <c r="G119" i="5"/>
  <c r="F119" i="5"/>
  <c r="E119" i="5"/>
  <c r="L119" i="5" s="1"/>
  <c r="O119" i="5" s="1"/>
  <c r="P119" i="5" s="1"/>
  <c r="U120" i="5"/>
  <c r="T120" i="5"/>
  <c r="S120" i="5"/>
  <c r="R120" i="5"/>
  <c r="Q120" i="5"/>
  <c r="M120" i="5"/>
  <c r="N120" i="5" s="1"/>
  <c r="K120" i="5"/>
  <c r="J120" i="5"/>
  <c r="I120" i="5"/>
  <c r="H120" i="5"/>
  <c r="G120" i="5"/>
  <c r="F120" i="5"/>
  <c r="E120" i="5"/>
  <c r="L120" i="5" s="1"/>
  <c r="O120" i="5" s="1"/>
  <c r="P120" i="5" s="1"/>
  <c r="U121" i="5"/>
  <c r="T121" i="5"/>
  <c r="S121" i="5"/>
  <c r="R121" i="5"/>
  <c r="Q121" i="5"/>
  <c r="M121" i="5"/>
  <c r="N121" i="5" s="1"/>
  <c r="K121" i="5"/>
  <c r="J121" i="5"/>
  <c r="I121" i="5"/>
  <c r="H121" i="5"/>
  <c r="G121" i="5"/>
  <c r="F121" i="5"/>
  <c r="E121" i="5"/>
  <c r="L121" i="5" s="1"/>
  <c r="O121" i="5" s="1"/>
  <c r="P121" i="5" s="1"/>
  <c r="U122" i="5"/>
  <c r="T122" i="5"/>
  <c r="S122" i="5"/>
  <c r="R122" i="5"/>
  <c r="Q122" i="5"/>
  <c r="M122" i="5"/>
  <c r="N122" i="5" s="1"/>
  <c r="K122" i="5"/>
  <c r="J122" i="5"/>
  <c r="I122" i="5"/>
  <c r="H122" i="5"/>
  <c r="G122" i="5"/>
  <c r="F122" i="5"/>
  <c r="E122" i="5"/>
  <c r="L122" i="5" s="1"/>
  <c r="O122" i="5" s="1"/>
  <c r="P122" i="5" s="1"/>
  <c r="U123" i="5"/>
  <c r="T123" i="5"/>
  <c r="S123" i="5"/>
  <c r="R123" i="5"/>
  <c r="Q123" i="5"/>
  <c r="M123" i="5"/>
  <c r="N123" i="5" s="1"/>
  <c r="K123" i="5"/>
  <c r="J123" i="5"/>
  <c r="I123" i="5"/>
  <c r="H123" i="5"/>
  <c r="G123" i="5"/>
  <c r="F123" i="5"/>
  <c r="E123" i="5"/>
  <c r="L123" i="5" s="1"/>
  <c r="O123" i="5" s="1"/>
  <c r="P123" i="5" s="1"/>
  <c r="U124" i="5"/>
  <c r="T124" i="5"/>
  <c r="S124" i="5"/>
  <c r="R124" i="5"/>
  <c r="Q124" i="5"/>
  <c r="M124" i="5"/>
  <c r="N124" i="5" s="1"/>
  <c r="K124" i="5"/>
  <c r="J124" i="5"/>
  <c r="I124" i="5"/>
  <c r="H124" i="5"/>
  <c r="G124" i="5"/>
  <c r="F124" i="5"/>
  <c r="E124" i="5"/>
  <c r="L124" i="5" s="1"/>
  <c r="O124" i="5" s="1"/>
  <c r="P124" i="5" s="1"/>
  <c r="U125" i="5"/>
  <c r="T125" i="5"/>
  <c r="S125" i="5"/>
  <c r="R125" i="5"/>
  <c r="Q125" i="5"/>
  <c r="M125" i="5"/>
  <c r="N125" i="5" s="1"/>
  <c r="K125" i="5"/>
  <c r="J125" i="5"/>
  <c r="I125" i="5"/>
  <c r="H125" i="5"/>
  <c r="G125" i="5"/>
  <c r="F125" i="5"/>
  <c r="E125" i="5"/>
  <c r="L125" i="5" s="1"/>
  <c r="O125" i="5" s="1"/>
  <c r="P125" i="5" s="1"/>
  <c r="U126" i="5"/>
  <c r="T126" i="5"/>
  <c r="S126" i="5"/>
  <c r="R126" i="5"/>
  <c r="Q126" i="5"/>
  <c r="M126" i="5"/>
  <c r="N126" i="5" s="1"/>
  <c r="K126" i="5"/>
  <c r="J126" i="5"/>
  <c r="I126" i="5"/>
  <c r="H126" i="5"/>
  <c r="G126" i="5"/>
  <c r="F126" i="5"/>
  <c r="E126" i="5"/>
  <c r="L126" i="5" s="1"/>
  <c r="O126" i="5" s="1"/>
  <c r="P126" i="5" s="1"/>
  <c r="U127" i="5"/>
  <c r="T127" i="5"/>
  <c r="S127" i="5"/>
  <c r="R127" i="5"/>
  <c r="Q127" i="5"/>
  <c r="M127" i="5"/>
  <c r="N127" i="5" s="1"/>
  <c r="K127" i="5"/>
  <c r="J127" i="5"/>
  <c r="I127" i="5"/>
  <c r="H127" i="5"/>
  <c r="G127" i="5"/>
  <c r="F127" i="5"/>
  <c r="E127" i="5"/>
  <c r="L127" i="5" s="1"/>
  <c r="O127" i="5" s="1"/>
  <c r="P127" i="5" s="1"/>
  <c r="U128" i="5"/>
  <c r="T128" i="5"/>
  <c r="S128" i="5"/>
  <c r="R128" i="5"/>
  <c r="Q128" i="5"/>
  <c r="M128" i="5"/>
  <c r="N128" i="5" s="1"/>
  <c r="K128" i="5"/>
  <c r="J128" i="5"/>
  <c r="I128" i="5"/>
  <c r="H128" i="5"/>
  <c r="G128" i="5"/>
  <c r="F128" i="5"/>
  <c r="E128" i="5"/>
  <c r="L128" i="5" s="1"/>
  <c r="O128" i="5" s="1"/>
  <c r="P128" i="5" s="1"/>
  <c r="U129" i="5"/>
  <c r="T129" i="5"/>
  <c r="S129" i="5"/>
  <c r="R129" i="5"/>
  <c r="Q129" i="5"/>
  <c r="M129" i="5"/>
  <c r="N129" i="5" s="1"/>
  <c r="K129" i="5"/>
  <c r="J129" i="5"/>
  <c r="I129" i="5"/>
  <c r="H129" i="5"/>
  <c r="G129" i="5"/>
  <c r="F129" i="5"/>
  <c r="E129" i="5"/>
  <c r="L129" i="5" s="1"/>
  <c r="O129" i="5" s="1"/>
  <c r="P129" i="5" s="1"/>
  <c r="U130" i="5"/>
  <c r="T130" i="5"/>
  <c r="S130" i="5"/>
  <c r="R130" i="5"/>
  <c r="Q130" i="5"/>
  <c r="M130" i="5"/>
  <c r="N130" i="5" s="1"/>
  <c r="K130" i="5"/>
  <c r="J130" i="5"/>
  <c r="I130" i="5"/>
  <c r="H130" i="5"/>
  <c r="G130" i="5"/>
  <c r="F130" i="5"/>
  <c r="E130" i="5"/>
  <c r="L130" i="5" s="1"/>
  <c r="O130" i="5" s="1"/>
  <c r="P130" i="5" s="1"/>
  <c r="U131" i="5"/>
  <c r="T131" i="5"/>
  <c r="S131" i="5"/>
  <c r="R131" i="5"/>
  <c r="Q131" i="5"/>
  <c r="M131" i="5"/>
  <c r="N131" i="5" s="1"/>
  <c r="K131" i="5"/>
  <c r="J131" i="5"/>
  <c r="I131" i="5"/>
  <c r="H131" i="5"/>
  <c r="G131" i="5"/>
  <c r="F131" i="5"/>
  <c r="E131" i="5"/>
  <c r="L131" i="5" s="1"/>
  <c r="O131" i="5" s="1"/>
  <c r="P131" i="5" s="1"/>
  <c r="U132" i="5"/>
  <c r="T132" i="5"/>
  <c r="S132" i="5"/>
  <c r="R132" i="5"/>
  <c r="Q132" i="5"/>
  <c r="M132" i="5"/>
  <c r="N132" i="5" s="1"/>
  <c r="K132" i="5"/>
  <c r="J132" i="5"/>
  <c r="I132" i="5"/>
  <c r="H132" i="5"/>
  <c r="G132" i="5"/>
  <c r="F132" i="5"/>
  <c r="E132" i="5"/>
  <c r="L132" i="5" s="1"/>
  <c r="O132" i="5" s="1"/>
  <c r="P132" i="5" s="1"/>
  <c r="U133" i="5"/>
  <c r="T133" i="5"/>
  <c r="S133" i="5"/>
  <c r="R133" i="5"/>
  <c r="Q133" i="5"/>
  <c r="M133" i="5"/>
  <c r="N133" i="5" s="1"/>
  <c r="K133" i="5"/>
  <c r="J133" i="5"/>
  <c r="I133" i="5"/>
  <c r="H133" i="5"/>
  <c r="G133" i="5"/>
  <c r="F133" i="5"/>
  <c r="E133" i="5"/>
  <c r="L133" i="5" s="1"/>
  <c r="O133" i="5" s="1"/>
  <c r="P133" i="5" s="1"/>
  <c r="U134" i="5"/>
  <c r="T134" i="5"/>
  <c r="S134" i="5"/>
  <c r="R134" i="5"/>
  <c r="Q134" i="5"/>
  <c r="M134" i="5"/>
  <c r="N134" i="5" s="1"/>
  <c r="K134" i="5"/>
  <c r="J134" i="5"/>
  <c r="I134" i="5"/>
  <c r="H134" i="5"/>
  <c r="G134" i="5"/>
  <c r="F134" i="5"/>
  <c r="E134" i="5"/>
  <c r="L134" i="5" s="1"/>
  <c r="O134" i="5" s="1"/>
  <c r="P134" i="5" s="1"/>
  <c r="U135" i="5"/>
  <c r="T135" i="5"/>
  <c r="S135" i="5"/>
  <c r="R135" i="5"/>
  <c r="Q135" i="5"/>
  <c r="M135" i="5"/>
  <c r="N135" i="5" s="1"/>
  <c r="K135" i="5"/>
  <c r="J135" i="5"/>
  <c r="I135" i="5"/>
  <c r="H135" i="5"/>
  <c r="G135" i="5"/>
  <c r="F135" i="5"/>
  <c r="E135" i="5"/>
  <c r="L135" i="5" s="1"/>
  <c r="O135" i="5" s="1"/>
  <c r="P135" i="5" s="1"/>
  <c r="U136" i="5"/>
  <c r="T136" i="5"/>
  <c r="S136" i="5"/>
  <c r="R136" i="5"/>
  <c r="Q136" i="5"/>
  <c r="M136" i="5"/>
  <c r="N136" i="5" s="1"/>
  <c r="K136" i="5"/>
  <c r="J136" i="5"/>
  <c r="I136" i="5"/>
  <c r="H136" i="5"/>
  <c r="G136" i="5"/>
  <c r="F136" i="5"/>
  <c r="E136" i="5"/>
  <c r="L136" i="5" s="1"/>
  <c r="O136" i="5" s="1"/>
  <c r="P136" i="5" s="1"/>
  <c r="U137" i="5"/>
  <c r="T137" i="5"/>
  <c r="S137" i="5"/>
  <c r="R137" i="5"/>
  <c r="Q137" i="5"/>
  <c r="M137" i="5"/>
  <c r="N137" i="5" s="1"/>
  <c r="K137" i="5"/>
  <c r="J137" i="5"/>
  <c r="I137" i="5"/>
  <c r="H137" i="5"/>
  <c r="G137" i="5"/>
  <c r="F137" i="5"/>
  <c r="E137" i="5"/>
  <c r="L137" i="5" s="1"/>
  <c r="O137" i="5" s="1"/>
  <c r="P137" i="5" s="1"/>
  <c r="U138" i="5"/>
  <c r="T138" i="5"/>
  <c r="S138" i="5"/>
  <c r="R138" i="5"/>
  <c r="Q138" i="5"/>
  <c r="M138" i="5"/>
  <c r="N138" i="5" s="1"/>
  <c r="K138" i="5"/>
  <c r="J138" i="5"/>
  <c r="I138" i="5"/>
  <c r="H138" i="5"/>
  <c r="G138" i="5"/>
  <c r="F138" i="5"/>
  <c r="E138" i="5"/>
  <c r="L138" i="5" s="1"/>
  <c r="O138" i="5" s="1"/>
  <c r="P138" i="5" s="1"/>
  <c r="U139" i="5"/>
  <c r="T139" i="5"/>
  <c r="S139" i="5"/>
  <c r="R139" i="5"/>
  <c r="Q139" i="5"/>
  <c r="M139" i="5"/>
  <c r="N139" i="5" s="1"/>
  <c r="K139" i="5"/>
  <c r="J139" i="5"/>
  <c r="I139" i="5"/>
  <c r="H139" i="5"/>
  <c r="G139" i="5"/>
  <c r="F139" i="5"/>
  <c r="E139" i="5"/>
  <c r="L139" i="5" s="1"/>
  <c r="O139" i="5" s="1"/>
  <c r="P139" i="5" s="1"/>
  <c r="U140" i="5"/>
  <c r="T140" i="5"/>
  <c r="S140" i="5"/>
  <c r="R140" i="5"/>
  <c r="Q140" i="5"/>
  <c r="M140" i="5"/>
  <c r="N140" i="5" s="1"/>
  <c r="K140" i="5"/>
  <c r="J140" i="5"/>
  <c r="I140" i="5"/>
  <c r="H140" i="5"/>
  <c r="G140" i="5"/>
  <c r="F140" i="5"/>
  <c r="E140" i="5"/>
  <c r="L140" i="5" s="1"/>
  <c r="O140" i="5" s="1"/>
  <c r="P140" i="5" s="1"/>
  <c r="U141" i="5"/>
  <c r="T141" i="5"/>
  <c r="S141" i="5"/>
  <c r="R141" i="5"/>
  <c r="Q141" i="5"/>
  <c r="M141" i="5"/>
  <c r="N141" i="5" s="1"/>
  <c r="K141" i="5"/>
  <c r="J141" i="5"/>
  <c r="I141" i="5"/>
  <c r="H141" i="5"/>
  <c r="G141" i="5"/>
  <c r="F141" i="5"/>
  <c r="E141" i="5"/>
  <c r="L141" i="5" s="1"/>
  <c r="O141" i="5" s="1"/>
  <c r="P141" i="5" s="1"/>
  <c r="U142" i="5"/>
  <c r="T142" i="5"/>
  <c r="S142" i="5"/>
  <c r="R142" i="5"/>
  <c r="Q142" i="5"/>
  <c r="M142" i="5"/>
  <c r="N142" i="5" s="1"/>
  <c r="K142" i="5"/>
  <c r="J142" i="5"/>
  <c r="I142" i="5"/>
  <c r="H142" i="5"/>
  <c r="G142" i="5"/>
  <c r="F142" i="5"/>
  <c r="E142" i="5"/>
  <c r="L142" i="5" s="1"/>
  <c r="O142" i="5" s="1"/>
  <c r="P142" i="5" s="1"/>
  <c r="U143" i="5"/>
  <c r="T143" i="5"/>
  <c r="S143" i="5"/>
  <c r="R143" i="5"/>
  <c r="Q143" i="5"/>
  <c r="M143" i="5"/>
  <c r="N143" i="5" s="1"/>
  <c r="K143" i="5"/>
  <c r="J143" i="5"/>
  <c r="I143" i="5"/>
  <c r="H143" i="5"/>
  <c r="G143" i="5"/>
  <c r="F143" i="5"/>
  <c r="E143" i="5"/>
  <c r="L143" i="5" s="1"/>
  <c r="O143" i="5" s="1"/>
  <c r="P143" i="5" s="1"/>
  <c r="U144" i="5"/>
  <c r="T144" i="5"/>
  <c r="S144" i="5"/>
  <c r="R144" i="5"/>
  <c r="Q144" i="5"/>
  <c r="M144" i="5"/>
  <c r="N144" i="5" s="1"/>
  <c r="K144" i="5"/>
  <c r="J144" i="5"/>
  <c r="I144" i="5"/>
  <c r="H144" i="5"/>
  <c r="G144" i="5"/>
  <c r="F144" i="5"/>
  <c r="E144" i="5"/>
  <c r="L144" i="5" s="1"/>
  <c r="O144" i="5" s="1"/>
  <c r="P144" i="5" s="1"/>
  <c r="U145" i="5"/>
  <c r="T145" i="5"/>
  <c r="S145" i="5"/>
  <c r="R145" i="5"/>
  <c r="Q145" i="5"/>
  <c r="M145" i="5"/>
  <c r="N145" i="5" s="1"/>
  <c r="K145" i="5"/>
  <c r="J145" i="5"/>
  <c r="I145" i="5"/>
  <c r="H145" i="5"/>
  <c r="G145" i="5"/>
  <c r="F145" i="5"/>
  <c r="E145" i="5"/>
  <c r="L145" i="5" s="1"/>
  <c r="O145" i="5" s="1"/>
  <c r="P145" i="5" s="1"/>
  <c r="U146" i="5"/>
  <c r="T146" i="5"/>
  <c r="S146" i="5"/>
  <c r="R146" i="5"/>
  <c r="Q146" i="5"/>
  <c r="M146" i="5"/>
  <c r="N146" i="5" s="1"/>
  <c r="K146" i="5"/>
  <c r="J146" i="5"/>
  <c r="I146" i="5"/>
  <c r="H146" i="5"/>
  <c r="G146" i="5"/>
  <c r="F146" i="5"/>
  <c r="E146" i="5"/>
  <c r="L146" i="5" s="1"/>
  <c r="O146" i="5" s="1"/>
  <c r="P146" i="5" s="1"/>
  <c r="U147" i="5"/>
  <c r="T147" i="5"/>
  <c r="S147" i="5"/>
  <c r="R147" i="5"/>
  <c r="Q147" i="5"/>
  <c r="M147" i="5"/>
  <c r="N147" i="5" s="1"/>
  <c r="K147" i="5"/>
  <c r="J147" i="5"/>
  <c r="I147" i="5"/>
  <c r="H147" i="5"/>
  <c r="G147" i="5"/>
  <c r="F147" i="5"/>
  <c r="E147" i="5"/>
  <c r="L147" i="5" s="1"/>
  <c r="O147" i="5" s="1"/>
  <c r="P147" i="5" s="1"/>
  <c r="U148" i="5"/>
  <c r="T148" i="5"/>
  <c r="S148" i="5"/>
  <c r="R148" i="5"/>
  <c r="Q148" i="5"/>
  <c r="M148" i="5"/>
  <c r="N148" i="5" s="1"/>
  <c r="K148" i="5"/>
  <c r="J148" i="5"/>
  <c r="I148" i="5"/>
  <c r="H148" i="5"/>
  <c r="G148" i="5"/>
  <c r="F148" i="5"/>
  <c r="E148" i="5"/>
  <c r="L148" i="5" s="1"/>
  <c r="O148" i="5" s="1"/>
  <c r="P148" i="5" s="1"/>
  <c r="U149" i="5"/>
  <c r="T149" i="5"/>
  <c r="S149" i="5"/>
  <c r="R149" i="5"/>
  <c r="Q149" i="5"/>
  <c r="M149" i="5"/>
  <c r="N149" i="5" s="1"/>
  <c r="K149" i="5"/>
  <c r="J149" i="5"/>
  <c r="I149" i="5"/>
  <c r="H149" i="5"/>
  <c r="G149" i="5"/>
  <c r="F149" i="5"/>
  <c r="E149" i="5"/>
  <c r="L149" i="5" s="1"/>
  <c r="O149" i="5" s="1"/>
  <c r="P149" i="5" s="1"/>
  <c r="U150" i="5"/>
  <c r="T150" i="5"/>
  <c r="S150" i="5"/>
  <c r="R150" i="5"/>
  <c r="Q150" i="5"/>
  <c r="M150" i="5"/>
  <c r="N150" i="5" s="1"/>
  <c r="K150" i="5"/>
  <c r="J150" i="5"/>
  <c r="I150" i="5"/>
  <c r="H150" i="5"/>
  <c r="G150" i="5"/>
  <c r="F150" i="5"/>
  <c r="E150" i="5"/>
  <c r="L150" i="5" s="1"/>
  <c r="O150" i="5" s="1"/>
  <c r="P150" i="5" s="1"/>
  <c r="U151" i="5"/>
  <c r="T151" i="5"/>
  <c r="S151" i="5"/>
  <c r="R151" i="5"/>
  <c r="Q151" i="5"/>
  <c r="M151" i="5"/>
  <c r="N151" i="5" s="1"/>
  <c r="K151" i="5"/>
  <c r="J151" i="5"/>
  <c r="I151" i="5"/>
  <c r="H151" i="5"/>
  <c r="G151" i="5"/>
  <c r="F151" i="5"/>
  <c r="E151" i="5"/>
  <c r="L151" i="5" s="1"/>
  <c r="O151" i="5" s="1"/>
  <c r="P151" i="5" s="1"/>
  <c r="U152" i="5"/>
  <c r="T152" i="5"/>
  <c r="S152" i="5"/>
  <c r="R152" i="5"/>
  <c r="Q152" i="5"/>
  <c r="M152" i="5"/>
  <c r="N152" i="5" s="1"/>
  <c r="K152" i="5"/>
  <c r="J152" i="5"/>
  <c r="I152" i="5"/>
  <c r="H152" i="5"/>
  <c r="G152" i="5"/>
  <c r="F152" i="5"/>
  <c r="E152" i="5"/>
  <c r="L152" i="5" s="1"/>
  <c r="O152" i="5" s="1"/>
  <c r="P152" i="5" s="1"/>
  <c r="U153" i="5"/>
  <c r="T153" i="5"/>
  <c r="S153" i="5"/>
  <c r="R153" i="5"/>
  <c r="Q153" i="5"/>
  <c r="M153" i="5"/>
  <c r="N153" i="5" s="1"/>
  <c r="K153" i="5"/>
  <c r="J153" i="5"/>
  <c r="I153" i="5"/>
  <c r="H153" i="5"/>
  <c r="G153" i="5"/>
  <c r="F153" i="5"/>
  <c r="E153" i="5"/>
  <c r="L153" i="5" s="1"/>
  <c r="O153" i="5" s="1"/>
  <c r="P153" i="5" s="1"/>
  <c r="U154" i="5"/>
  <c r="T154" i="5"/>
  <c r="S154" i="5"/>
  <c r="R154" i="5"/>
  <c r="Q154" i="5"/>
  <c r="M154" i="5"/>
  <c r="N154" i="5" s="1"/>
  <c r="K154" i="5"/>
  <c r="J154" i="5"/>
  <c r="I154" i="5"/>
  <c r="H154" i="5"/>
  <c r="G154" i="5"/>
  <c r="F154" i="5"/>
  <c r="E154" i="5"/>
  <c r="L154" i="5" s="1"/>
  <c r="O154" i="5" s="1"/>
  <c r="P154" i="5" s="1"/>
  <c r="U155" i="5"/>
  <c r="T155" i="5"/>
  <c r="S155" i="5"/>
  <c r="R155" i="5"/>
  <c r="Q155" i="5"/>
  <c r="M155" i="5"/>
  <c r="N155" i="5" s="1"/>
  <c r="K155" i="5"/>
  <c r="J155" i="5"/>
  <c r="I155" i="5"/>
  <c r="H155" i="5"/>
  <c r="G155" i="5"/>
  <c r="F155" i="5"/>
  <c r="E155" i="5"/>
  <c r="L155" i="5" s="1"/>
  <c r="O155" i="5" s="1"/>
  <c r="P155" i="5" s="1"/>
  <c r="U156" i="5"/>
  <c r="T156" i="5"/>
  <c r="S156" i="5"/>
  <c r="R156" i="5"/>
  <c r="Q156" i="5"/>
  <c r="M156" i="5"/>
  <c r="N156" i="5" s="1"/>
  <c r="K156" i="5"/>
  <c r="J156" i="5"/>
  <c r="I156" i="5"/>
  <c r="H156" i="5"/>
  <c r="G156" i="5"/>
  <c r="F156" i="5"/>
  <c r="E156" i="5"/>
  <c r="L156" i="5" s="1"/>
  <c r="O156" i="5" s="1"/>
  <c r="P156" i="5" s="1"/>
  <c r="U157" i="5"/>
  <c r="T157" i="5"/>
  <c r="S157" i="5"/>
  <c r="R157" i="5"/>
  <c r="Q157" i="5"/>
  <c r="M157" i="5"/>
  <c r="N157" i="5" s="1"/>
  <c r="K157" i="5"/>
  <c r="J157" i="5"/>
  <c r="I157" i="5"/>
  <c r="H157" i="5"/>
  <c r="G157" i="5"/>
  <c r="F157" i="5"/>
  <c r="E157" i="5"/>
  <c r="L157" i="5" s="1"/>
  <c r="O157" i="5" s="1"/>
  <c r="P157" i="5" s="1"/>
  <c r="U158" i="5"/>
  <c r="T158" i="5"/>
  <c r="S158" i="5"/>
  <c r="R158" i="5"/>
  <c r="Q158" i="5"/>
  <c r="M158" i="5"/>
  <c r="N158" i="5" s="1"/>
  <c r="K158" i="5"/>
  <c r="J158" i="5"/>
  <c r="I158" i="5"/>
  <c r="H158" i="5"/>
  <c r="G158" i="5"/>
  <c r="F158" i="5"/>
  <c r="E158" i="5"/>
  <c r="L158" i="5" s="1"/>
  <c r="O158" i="5" s="1"/>
  <c r="P158" i="5" s="1"/>
  <c r="U159" i="5"/>
  <c r="T159" i="5"/>
  <c r="S159" i="5"/>
  <c r="R159" i="5"/>
  <c r="Q159" i="5"/>
  <c r="M159" i="5"/>
  <c r="N159" i="5" s="1"/>
  <c r="K159" i="5"/>
  <c r="J159" i="5"/>
  <c r="I159" i="5"/>
  <c r="H159" i="5"/>
  <c r="G159" i="5"/>
  <c r="F159" i="5"/>
  <c r="E159" i="5"/>
  <c r="L159" i="5" s="1"/>
  <c r="O159" i="5" s="1"/>
  <c r="P159" i="5" s="1"/>
  <c r="U160" i="5"/>
  <c r="T160" i="5"/>
  <c r="S160" i="5"/>
  <c r="R160" i="5"/>
  <c r="Q160" i="5"/>
  <c r="M160" i="5"/>
  <c r="N160" i="5" s="1"/>
  <c r="K160" i="5"/>
  <c r="J160" i="5"/>
  <c r="I160" i="5"/>
  <c r="H160" i="5"/>
  <c r="G160" i="5"/>
  <c r="F160" i="5"/>
  <c r="E160" i="5"/>
  <c r="L160" i="5" s="1"/>
  <c r="O160" i="5" s="1"/>
  <c r="P160" i="5" s="1"/>
  <c r="U161" i="5"/>
  <c r="T161" i="5"/>
  <c r="S161" i="5"/>
  <c r="R161" i="5"/>
  <c r="Q161" i="5"/>
  <c r="M161" i="5"/>
  <c r="N161" i="5" s="1"/>
  <c r="K161" i="5"/>
  <c r="J161" i="5"/>
  <c r="I161" i="5"/>
  <c r="H161" i="5"/>
  <c r="G161" i="5"/>
  <c r="F161" i="5"/>
  <c r="E161" i="5"/>
  <c r="L161" i="5" s="1"/>
  <c r="O161" i="5" s="1"/>
  <c r="P161" i="5" s="1"/>
  <c r="U162" i="5"/>
  <c r="T162" i="5"/>
  <c r="S162" i="5"/>
  <c r="R162" i="5"/>
  <c r="Q162" i="5"/>
  <c r="M162" i="5"/>
  <c r="N162" i="5" s="1"/>
  <c r="K162" i="5"/>
  <c r="J162" i="5"/>
  <c r="I162" i="5"/>
  <c r="H162" i="5"/>
  <c r="G162" i="5"/>
  <c r="F162" i="5"/>
  <c r="E162" i="5"/>
  <c r="L162" i="5" s="1"/>
  <c r="O162" i="5" s="1"/>
  <c r="P162" i="5" s="1"/>
  <c r="U163" i="5"/>
  <c r="T163" i="5"/>
  <c r="S163" i="5"/>
  <c r="R163" i="5"/>
  <c r="Q163" i="5"/>
  <c r="M163" i="5"/>
  <c r="N163" i="5" s="1"/>
  <c r="K163" i="5"/>
  <c r="J163" i="5"/>
  <c r="I163" i="5"/>
  <c r="H163" i="5"/>
  <c r="G163" i="5"/>
  <c r="F163" i="5"/>
  <c r="E163" i="5"/>
  <c r="L163" i="5" s="1"/>
  <c r="O163" i="5" s="1"/>
  <c r="P163" i="5" s="1"/>
  <c r="U164" i="5"/>
  <c r="T164" i="5"/>
  <c r="S164" i="5"/>
  <c r="R164" i="5"/>
  <c r="Q164" i="5"/>
  <c r="M164" i="5"/>
  <c r="N164" i="5" s="1"/>
  <c r="K164" i="5"/>
  <c r="J164" i="5"/>
  <c r="I164" i="5"/>
  <c r="H164" i="5"/>
  <c r="G164" i="5"/>
  <c r="F164" i="5"/>
  <c r="E164" i="5"/>
  <c r="L164" i="5" s="1"/>
  <c r="O164" i="5" s="1"/>
  <c r="P164" i="5" s="1"/>
  <c r="U165" i="5"/>
  <c r="T165" i="5"/>
  <c r="S165" i="5"/>
  <c r="R165" i="5"/>
  <c r="Q165" i="5"/>
  <c r="M165" i="5"/>
  <c r="N165" i="5" s="1"/>
  <c r="K165" i="5"/>
  <c r="J165" i="5"/>
  <c r="I165" i="5"/>
  <c r="H165" i="5"/>
  <c r="G165" i="5"/>
  <c r="F165" i="5"/>
  <c r="E165" i="5"/>
  <c r="L165" i="5" s="1"/>
  <c r="O165" i="5" s="1"/>
  <c r="P165" i="5" s="1"/>
  <c r="U166" i="5"/>
  <c r="T166" i="5"/>
  <c r="S166" i="5"/>
  <c r="R166" i="5"/>
  <c r="Q166" i="5"/>
  <c r="M166" i="5"/>
  <c r="N166" i="5" s="1"/>
  <c r="K166" i="5"/>
  <c r="J166" i="5"/>
  <c r="I166" i="5"/>
  <c r="H166" i="5"/>
  <c r="G166" i="5"/>
  <c r="F166" i="5"/>
  <c r="E166" i="5"/>
  <c r="L166" i="5" s="1"/>
  <c r="O166" i="5" s="1"/>
  <c r="P166" i="5" s="1"/>
  <c r="U167" i="5"/>
  <c r="T167" i="5"/>
  <c r="S167" i="5"/>
  <c r="R167" i="5"/>
  <c r="Q167" i="5"/>
  <c r="M167" i="5"/>
  <c r="N167" i="5" s="1"/>
  <c r="K167" i="5"/>
  <c r="J167" i="5"/>
  <c r="I167" i="5"/>
  <c r="H167" i="5"/>
  <c r="G167" i="5"/>
  <c r="F167" i="5"/>
  <c r="E167" i="5"/>
  <c r="L167" i="5" s="1"/>
  <c r="O167" i="5" s="1"/>
  <c r="P167" i="5" s="1"/>
  <c r="U168" i="5"/>
  <c r="T168" i="5"/>
  <c r="S168" i="5"/>
  <c r="R168" i="5"/>
  <c r="Q168" i="5"/>
  <c r="M168" i="5"/>
  <c r="N168" i="5" s="1"/>
  <c r="K168" i="5"/>
  <c r="J168" i="5"/>
  <c r="I168" i="5"/>
  <c r="H168" i="5"/>
  <c r="G168" i="5"/>
  <c r="F168" i="5"/>
  <c r="E168" i="5"/>
  <c r="L168" i="5" s="1"/>
  <c r="O168" i="5" s="1"/>
  <c r="P168" i="5" s="1"/>
  <c r="U169" i="5"/>
  <c r="T169" i="5"/>
  <c r="S169" i="5"/>
  <c r="R169" i="5"/>
  <c r="Q169" i="5"/>
  <c r="M169" i="5"/>
  <c r="N169" i="5" s="1"/>
  <c r="K169" i="5"/>
  <c r="J169" i="5"/>
  <c r="I169" i="5"/>
  <c r="H169" i="5"/>
  <c r="G169" i="5"/>
  <c r="F169" i="5"/>
  <c r="E169" i="5"/>
  <c r="L169" i="5" s="1"/>
  <c r="O169" i="5" s="1"/>
  <c r="P169" i="5" s="1"/>
  <c r="U170" i="5"/>
  <c r="T170" i="5"/>
  <c r="S170" i="5"/>
  <c r="R170" i="5"/>
  <c r="Q170" i="5"/>
  <c r="M170" i="5"/>
  <c r="N170" i="5" s="1"/>
  <c r="K170" i="5"/>
  <c r="J170" i="5"/>
  <c r="I170" i="5"/>
  <c r="H170" i="5"/>
  <c r="G170" i="5"/>
  <c r="F170" i="5"/>
  <c r="E170" i="5"/>
  <c r="L170" i="5" s="1"/>
  <c r="O170" i="5" s="1"/>
  <c r="P170" i="5" s="1"/>
  <c r="U171" i="5"/>
  <c r="T171" i="5"/>
  <c r="S171" i="5"/>
  <c r="R171" i="5"/>
  <c r="Q171" i="5"/>
  <c r="M171" i="5"/>
  <c r="N171" i="5" s="1"/>
  <c r="K171" i="5"/>
  <c r="J171" i="5"/>
  <c r="I171" i="5"/>
  <c r="H171" i="5"/>
  <c r="G171" i="5"/>
  <c r="F171" i="5"/>
  <c r="E171" i="5"/>
  <c r="L171" i="5" s="1"/>
  <c r="O171" i="5" s="1"/>
  <c r="P171" i="5" s="1"/>
  <c r="U172" i="5"/>
  <c r="V172" i="5" s="1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U173" i="5"/>
  <c r="V173" i="5" s="1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U174" i="5"/>
  <c r="V174" i="5" s="1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U175" i="5"/>
  <c r="V175" i="5" s="1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U176" i="5"/>
  <c r="V176" i="5" s="1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U177" i="5"/>
  <c r="V177" i="5" s="1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U178" i="5"/>
  <c r="V178" i="5" s="1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U179" i="5"/>
  <c r="V179" i="5" s="1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U180" i="5"/>
  <c r="V180" i="5" s="1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U181" i="5"/>
  <c r="V181" i="5" s="1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U182" i="5"/>
  <c r="V182" i="5" s="1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U183" i="5"/>
  <c r="V183" i="5" s="1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U184" i="5"/>
  <c r="V184" i="5" s="1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U185" i="5"/>
  <c r="V185" i="5" s="1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U186" i="5"/>
  <c r="V186" i="5" s="1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U187" i="5"/>
  <c r="V187" i="5" s="1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U188" i="5"/>
  <c r="V188" i="5" s="1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U189" i="5"/>
  <c r="V189" i="5" s="1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U190" i="5"/>
  <c r="V190" i="5" s="1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U191" i="5"/>
  <c r="V191" i="5" s="1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U192" i="5"/>
  <c r="V192" i="5" s="1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U193" i="5"/>
  <c r="V193" i="5" s="1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U194" i="5"/>
  <c r="V194" i="5" s="1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U195" i="5"/>
  <c r="V195" i="5" s="1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U196" i="5"/>
  <c r="V196" i="5" s="1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U197" i="5"/>
  <c r="V197" i="5" s="1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U198" i="5"/>
  <c r="V198" i="5" s="1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U199" i="5"/>
  <c r="V199" i="5" s="1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U200" i="5"/>
  <c r="V200" i="5" s="1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U201" i="5"/>
  <c r="V201" i="5" s="1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U202" i="5"/>
  <c r="V202" i="5" s="1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U203" i="5"/>
  <c r="V203" i="5" s="1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U204" i="5"/>
  <c r="V204" i="5" s="1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U205" i="5"/>
  <c r="V205" i="5" s="1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U206" i="5"/>
  <c r="V206" i="5" s="1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Y206" i="5" l="1"/>
  <c r="X206" i="5"/>
  <c r="W206" i="5"/>
  <c r="Y205" i="5"/>
  <c r="X205" i="5"/>
  <c r="W205" i="5"/>
  <c r="Y204" i="5"/>
  <c r="X204" i="5"/>
  <c r="W204" i="5"/>
  <c r="Y203" i="5"/>
  <c r="X203" i="5"/>
  <c r="W203" i="5"/>
  <c r="Y202" i="5"/>
  <c r="X202" i="5"/>
  <c r="W202" i="5"/>
  <c r="Y201" i="5"/>
  <c r="X201" i="5"/>
  <c r="W201" i="5"/>
  <c r="Y200" i="5"/>
  <c r="X200" i="5"/>
  <c r="W200" i="5"/>
  <c r="Y199" i="5"/>
  <c r="X199" i="5"/>
  <c r="W199" i="5"/>
  <c r="Y198" i="5"/>
  <c r="X198" i="5"/>
  <c r="W198" i="5"/>
  <c r="Y197" i="5"/>
  <c r="X197" i="5"/>
  <c r="W197" i="5"/>
  <c r="Y196" i="5"/>
  <c r="X196" i="5"/>
  <c r="W196" i="5"/>
  <c r="Y195" i="5"/>
  <c r="X195" i="5"/>
  <c r="W195" i="5"/>
  <c r="Y194" i="5"/>
  <c r="X194" i="5"/>
  <c r="W194" i="5"/>
  <c r="Y193" i="5"/>
  <c r="X193" i="5"/>
  <c r="W193" i="5"/>
  <c r="Y192" i="5"/>
  <c r="X192" i="5"/>
  <c r="W192" i="5"/>
  <c r="Y191" i="5"/>
  <c r="X191" i="5"/>
  <c r="W191" i="5"/>
  <c r="Y190" i="5"/>
  <c r="X190" i="5"/>
  <c r="W190" i="5"/>
  <c r="Y189" i="5"/>
  <c r="X189" i="5"/>
  <c r="W189" i="5"/>
  <c r="Y188" i="5"/>
  <c r="X188" i="5"/>
  <c r="W188" i="5"/>
  <c r="Y187" i="5"/>
  <c r="X187" i="5"/>
  <c r="W187" i="5"/>
  <c r="Y186" i="5"/>
  <c r="X186" i="5"/>
  <c r="W186" i="5"/>
  <c r="Y185" i="5"/>
  <c r="X185" i="5"/>
  <c r="W185" i="5"/>
  <c r="Y184" i="5"/>
  <c r="X184" i="5"/>
  <c r="W184" i="5"/>
  <c r="Y183" i="5"/>
  <c r="X183" i="5"/>
  <c r="W183" i="5"/>
  <c r="Y182" i="5"/>
  <c r="X182" i="5"/>
  <c r="W182" i="5"/>
  <c r="Y181" i="5"/>
  <c r="X181" i="5"/>
  <c r="W181" i="5"/>
  <c r="Y180" i="5"/>
  <c r="X180" i="5"/>
  <c r="W180" i="5"/>
  <c r="Y179" i="5"/>
  <c r="X179" i="5"/>
  <c r="W179" i="5"/>
  <c r="Y178" i="5"/>
  <c r="X178" i="5"/>
  <c r="W178" i="5"/>
  <c r="Y177" i="5"/>
  <c r="X177" i="5"/>
  <c r="W177" i="5"/>
  <c r="Y176" i="5"/>
  <c r="X176" i="5"/>
  <c r="W176" i="5"/>
  <c r="Y175" i="5"/>
  <c r="X175" i="5"/>
  <c r="W175" i="5"/>
  <c r="Y174" i="5"/>
  <c r="X174" i="5"/>
  <c r="W174" i="5"/>
  <c r="Y173" i="5"/>
  <c r="X173" i="5"/>
  <c r="W173" i="5"/>
  <c r="Y172" i="5"/>
  <c r="X172" i="5"/>
  <c r="W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B32" i="7"/>
  <c r="L37" i="5"/>
  <c r="O37" i="5" s="1"/>
  <c r="P37" i="5" s="1"/>
  <c r="I16" i="7" s="1"/>
  <c r="C32" i="7"/>
  <c r="D32" i="7"/>
  <c r="E32" i="7"/>
  <c r="F32" i="7"/>
  <c r="G32" i="7"/>
  <c r="H32" i="7"/>
  <c r="V37" i="5"/>
  <c r="V36" i="5"/>
  <c r="V35" i="5"/>
  <c r="B28" i="7"/>
  <c r="L34" i="5"/>
  <c r="O34" i="5" s="1"/>
  <c r="P34" i="5" s="1"/>
  <c r="I12" i="7" s="1"/>
  <c r="C28" i="7"/>
  <c r="D28" i="7"/>
  <c r="E28" i="7"/>
  <c r="F28" i="7"/>
  <c r="G28" i="7"/>
  <c r="H28" i="7"/>
  <c r="V34" i="5"/>
  <c r="V33" i="5"/>
  <c r="V32" i="5"/>
  <c r="V31" i="5"/>
  <c r="V30" i="5"/>
  <c r="V29" i="5"/>
  <c r="B22" i="7"/>
  <c r="L28" i="5"/>
  <c r="O28" i="5" s="1"/>
  <c r="P28" i="5" s="1"/>
  <c r="I6" i="7" s="1"/>
  <c r="C22" i="7"/>
  <c r="D22" i="7"/>
  <c r="E22" i="7"/>
  <c r="F22" i="7"/>
  <c r="G22" i="7"/>
  <c r="H22" i="7"/>
  <c r="V28" i="5"/>
  <c r="V27" i="5"/>
  <c r="V26" i="5"/>
  <c r="B26" i="7"/>
  <c r="L25" i="5"/>
  <c r="O25" i="5" s="1"/>
  <c r="P25" i="5" s="1"/>
  <c r="I10" i="7" s="1"/>
  <c r="C26" i="7"/>
  <c r="D26" i="7"/>
  <c r="E26" i="7"/>
  <c r="F26" i="7"/>
  <c r="G26" i="7"/>
  <c r="H26" i="7"/>
  <c r="V25" i="5"/>
  <c r="L7" i="6"/>
  <c r="L24" i="5"/>
  <c r="O24" i="5" s="1"/>
  <c r="P24" i="5" s="1"/>
  <c r="J17" i="8" s="1"/>
  <c r="L8" i="6"/>
  <c r="L9" i="6"/>
  <c r="L10" i="6"/>
  <c r="L11" i="6"/>
  <c r="L12" i="6"/>
  <c r="L13" i="6"/>
  <c r="V24" i="5"/>
  <c r="V23" i="5"/>
  <c r="V22" i="5"/>
  <c r="V21" i="5"/>
  <c r="V20" i="5"/>
  <c r="B31" i="7"/>
  <c r="L19" i="5"/>
  <c r="O19" i="5" s="1"/>
  <c r="P19" i="5" s="1"/>
  <c r="I15" i="7" s="1"/>
  <c r="C31" i="7"/>
  <c r="D31" i="7"/>
  <c r="E31" i="7"/>
  <c r="F31" i="7"/>
  <c r="G31" i="7"/>
  <c r="H31" i="7"/>
  <c r="V19" i="5"/>
  <c r="V18" i="5"/>
  <c r="M7" i="6"/>
  <c r="B24" i="7"/>
  <c r="L17" i="5"/>
  <c r="O17" i="5" s="1"/>
  <c r="P17" i="5" s="1"/>
  <c r="M8" i="6"/>
  <c r="C24" i="7"/>
  <c r="M9" i="6"/>
  <c r="D24" i="7"/>
  <c r="M10" i="6"/>
  <c r="E24" i="7"/>
  <c r="M11" i="6"/>
  <c r="F24" i="7"/>
  <c r="M12" i="6"/>
  <c r="G24" i="7"/>
  <c r="M13" i="6"/>
  <c r="H24" i="7"/>
  <c r="V17" i="5"/>
  <c r="N7" i="6"/>
  <c r="B29" i="7"/>
  <c r="L16" i="5"/>
  <c r="O16" i="5" s="1"/>
  <c r="P16" i="5" s="1"/>
  <c r="N8" i="6"/>
  <c r="C29" i="7"/>
  <c r="N9" i="6"/>
  <c r="D29" i="7"/>
  <c r="N10" i="6"/>
  <c r="E29" i="7"/>
  <c r="N11" i="6"/>
  <c r="F29" i="7"/>
  <c r="N12" i="6"/>
  <c r="G29" i="7"/>
  <c r="N13" i="6"/>
  <c r="H29" i="7"/>
  <c r="V16" i="5"/>
  <c r="B30" i="7"/>
  <c r="L15" i="5"/>
  <c r="O15" i="5" s="1"/>
  <c r="P15" i="5" s="1"/>
  <c r="I14" i="7" s="1"/>
  <c r="C30" i="7"/>
  <c r="D30" i="7"/>
  <c r="E30" i="7"/>
  <c r="F30" i="7"/>
  <c r="G30" i="7"/>
  <c r="H30" i="7"/>
  <c r="V15" i="5"/>
  <c r="B33" i="7"/>
  <c r="L14" i="5"/>
  <c r="O14" i="5" s="1"/>
  <c r="P14" i="5" s="1"/>
  <c r="I17" i="7" s="1"/>
  <c r="C33" i="7"/>
  <c r="D33" i="7"/>
  <c r="E33" i="7"/>
  <c r="F33" i="7"/>
  <c r="G33" i="7"/>
  <c r="H33" i="7"/>
  <c r="V14" i="5"/>
  <c r="J7" i="6"/>
  <c r="B23" i="7"/>
  <c r="L13" i="5"/>
  <c r="O13" i="5" s="1"/>
  <c r="P13" i="5" s="1"/>
  <c r="J8" i="6"/>
  <c r="C23" i="7"/>
  <c r="J9" i="6"/>
  <c r="D23" i="7"/>
  <c r="J10" i="6"/>
  <c r="E23" i="7"/>
  <c r="J11" i="6"/>
  <c r="F23" i="7"/>
  <c r="J12" i="6"/>
  <c r="G23" i="7"/>
  <c r="J13" i="6"/>
  <c r="H23" i="7"/>
  <c r="V13" i="5"/>
  <c r="K7" i="6"/>
  <c r="B25" i="7"/>
  <c r="L12" i="5"/>
  <c r="O12" i="5" s="1"/>
  <c r="P12" i="5" s="1"/>
  <c r="K8" i="6"/>
  <c r="C25" i="7"/>
  <c r="K9" i="6"/>
  <c r="D25" i="7"/>
  <c r="K10" i="6"/>
  <c r="E25" i="7"/>
  <c r="K11" i="6"/>
  <c r="F25" i="7"/>
  <c r="K12" i="6"/>
  <c r="G25" i="7"/>
  <c r="K13" i="6"/>
  <c r="H25" i="7"/>
  <c r="V12" i="5"/>
  <c r="V11" i="5"/>
  <c r="V10" i="5"/>
  <c r="V9" i="5"/>
  <c r="V8" i="5"/>
  <c r="V7" i="5"/>
  <c r="B27" i="7"/>
  <c r="L6" i="5"/>
  <c r="O6" i="5" s="1"/>
  <c r="P6" i="5" s="1"/>
  <c r="C27" i="7"/>
  <c r="D27" i="7"/>
  <c r="E27" i="7"/>
  <c r="F27" i="7"/>
  <c r="G27" i="7"/>
  <c r="H27" i="7"/>
  <c r="V6" i="5"/>
  <c r="I7" i="6"/>
  <c r="F6" i="6"/>
  <c r="E6" i="6"/>
  <c r="C6" i="6"/>
  <c r="D6" i="6" s="1"/>
  <c r="L5" i="5"/>
  <c r="O5" i="5" s="1"/>
  <c r="P5" i="5" s="1"/>
  <c r="I8" i="6"/>
  <c r="F7" i="6"/>
  <c r="E7" i="6"/>
  <c r="C7" i="6"/>
  <c r="D7" i="6" s="1"/>
  <c r="I9" i="6"/>
  <c r="F8" i="6"/>
  <c r="E8" i="6"/>
  <c r="C8" i="6"/>
  <c r="D8" i="6" s="1"/>
  <c r="I10" i="6"/>
  <c r="F9" i="6"/>
  <c r="E9" i="6"/>
  <c r="C9" i="6"/>
  <c r="D9" i="6" s="1"/>
  <c r="I11" i="6"/>
  <c r="F10" i="6"/>
  <c r="E10" i="6"/>
  <c r="C10" i="6"/>
  <c r="D10" i="6" s="1"/>
  <c r="I12" i="6"/>
  <c r="F11" i="6"/>
  <c r="E11" i="6"/>
  <c r="C11" i="6"/>
  <c r="D11" i="6" s="1"/>
  <c r="I13" i="6"/>
  <c r="F12" i="6"/>
  <c r="E12" i="6"/>
  <c r="C12" i="6"/>
  <c r="D12" i="6" s="1"/>
  <c r="V5" i="5"/>
  <c r="Y5" i="5" l="1"/>
  <c r="X5" i="5"/>
  <c r="W5" i="5"/>
  <c r="J14" i="8"/>
  <c r="I11" i="7"/>
  <c r="Y6" i="5"/>
  <c r="X6" i="5"/>
  <c r="W6" i="5"/>
  <c r="Y7" i="5"/>
  <c r="X7" i="5"/>
  <c r="W7" i="5"/>
  <c r="Y8" i="5"/>
  <c r="X8" i="5"/>
  <c r="W8" i="5"/>
  <c r="Y9" i="5"/>
  <c r="X9" i="5"/>
  <c r="W9" i="5"/>
  <c r="Y10" i="5"/>
  <c r="X10" i="5"/>
  <c r="W10" i="5"/>
  <c r="Y11" i="5"/>
  <c r="X11" i="5"/>
  <c r="W11" i="5"/>
  <c r="Y12" i="5"/>
  <c r="X12" i="5"/>
  <c r="W12" i="5"/>
  <c r="J16" i="8"/>
  <c r="I9" i="7"/>
  <c r="Y13" i="5"/>
  <c r="X13" i="5"/>
  <c r="W13" i="5"/>
  <c r="J15" i="8"/>
  <c r="I7" i="7"/>
  <c r="Y14" i="5"/>
  <c r="X14" i="5"/>
  <c r="W14" i="5"/>
  <c r="Y15" i="5"/>
  <c r="X15" i="5"/>
  <c r="W15" i="5"/>
  <c r="Y16" i="5"/>
  <c r="X16" i="5"/>
  <c r="W16" i="5"/>
  <c r="J19" i="8"/>
  <c r="I13" i="7"/>
  <c r="Y17" i="5"/>
  <c r="X17" i="5"/>
  <c r="W17" i="5"/>
  <c r="J18" i="8"/>
  <c r="I8" i="7"/>
  <c r="Y18" i="5"/>
  <c r="X18" i="5"/>
  <c r="W18" i="5"/>
  <c r="Y19" i="5"/>
  <c r="X19" i="5"/>
  <c r="W19" i="5"/>
  <c r="Y20" i="5"/>
  <c r="X20" i="5"/>
  <c r="W20" i="5"/>
  <c r="Y21" i="5"/>
  <c r="X21" i="5"/>
  <c r="W21" i="5"/>
  <c r="Y22" i="5"/>
  <c r="X22" i="5"/>
  <c r="W22" i="5"/>
  <c r="Y23" i="5"/>
  <c r="X23" i="5"/>
  <c r="W23" i="5"/>
  <c r="Y24" i="5"/>
  <c r="X24" i="5"/>
  <c r="W24" i="5"/>
  <c r="Y25" i="5"/>
  <c r="X25" i="5"/>
  <c r="W25" i="5"/>
  <c r="Y26" i="5"/>
  <c r="X26" i="5"/>
  <c r="W26" i="5"/>
  <c r="Y27" i="5"/>
  <c r="X27" i="5"/>
  <c r="W27" i="5"/>
  <c r="Y28" i="5"/>
  <c r="X28" i="5"/>
  <c r="W28" i="5"/>
  <c r="I18" i="7"/>
  <c r="Y29" i="5"/>
  <c r="X29" i="5"/>
  <c r="W29" i="5"/>
  <c r="Y30" i="5"/>
  <c r="X30" i="5"/>
  <c r="W30" i="5"/>
  <c r="Y31" i="5"/>
  <c r="X31" i="5"/>
  <c r="W31" i="5"/>
  <c r="Y32" i="5"/>
  <c r="X32" i="5"/>
  <c r="W32" i="5"/>
  <c r="Y33" i="5"/>
  <c r="X33" i="5"/>
  <c r="W33" i="5"/>
  <c r="Y34" i="5"/>
  <c r="X34" i="5"/>
  <c r="W34" i="5"/>
  <c r="Y35" i="5"/>
  <c r="X35" i="5"/>
  <c r="W35" i="5"/>
  <c r="Y36" i="5"/>
  <c r="X36" i="5"/>
  <c r="W36" i="5"/>
  <c r="Y37" i="5"/>
  <c r="X37" i="5"/>
  <c r="W37" i="5"/>
  <c r="Y38" i="5"/>
  <c r="X38" i="5"/>
  <c r="W38" i="5"/>
  <c r="Y39" i="5"/>
  <c r="X39" i="5"/>
  <c r="W39" i="5"/>
  <c r="Y40" i="5"/>
  <c r="X40" i="5"/>
  <c r="W40" i="5"/>
  <c r="Y41" i="5"/>
  <c r="X41" i="5"/>
  <c r="W41" i="5"/>
  <c r="Y42" i="5"/>
  <c r="X42" i="5"/>
  <c r="W42" i="5"/>
  <c r="Y43" i="5"/>
  <c r="X43" i="5"/>
  <c r="W43" i="5"/>
  <c r="Y44" i="5"/>
  <c r="X44" i="5"/>
  <c r="W44" i="5"/>
  <c r="Y45" i="5"/>
  <c r="X45" i="5"/>
  <c r="W45" i="5"/>
  <c r="Y46" i="5"/>
  <c r="X46" i="5"/>
  <c r="W46" i="5"/>
  <c r="Y47" i="5"/>
  <c r="X47" i="5"/>
  <c r="W47" i="5"/>
  <c r="Y48" i="5"/>
  <c r="X48" i="5"/>
  <c r="W48" i="5"/>
  <c r="Y49" i="5"/>
  <c r="X49" i="5"/>
  <c r="W49" i="5"/>
  <c r="Y50" i="5"/>
  <c r="X50" i="5"/>
  <c r="W50" i="5"/>
  <c r="Y51" i="5"/>
  <c r="X51" i="5"/>
  <c r="W51" i="5"/>
  <c r="Y52" i="5"/>
  <c r="X52" i="5"/>
  <c r="W52" i="5"/>
  <c r="Y53" i="5"/>
  <c r="X53" i="5"/>
  <c r="W53" i="5"/>
  <c r="Y54" i="5"/>
  <c r="X54" i="5"/>
  <c r="W54" i="5"/>
  <c r="Y55" i="5"/>
  <c r="X55" i="5"/>
  <c r="W55" i="5"/>
  <c r="Y56" i="5"/>
  <c r="X56" i="5"/>
  <c r="W56" i="5"/>
  <c r="Y57" i="5"/>
  <c r="X57" i="5"/>
  <c r="W57" i="5"/>
  <c r="Y58" i="5"/>
  <c r="X58" i="5"/>
  <c r="W58" i="5"/>
  <c r="Y59" i="5"/>
  <c r="X59" i="5"/>
  <c r="W59" i="5"/>
  <c r="Y60" i="5"/>
  <c r="X60" i="5"/>
  <c r="W60" i="5"/>
  <c r="Y61" i="5"/>
  <c r="X61" i="5"/>
  <c r="W61" i="5"/>
  <c r="Y62" i="5"/>
  <c r="X62" i="5"/>
  <c r="W62" i="5"/>
  <c r="Y63" i="5"/>
  <c r="X63" i="5"/>
  <c r="W63" i="5"/>
  <c r="Y64" i="5"/>
  <c r="X64" i="5"/>
  <c r="W64" i="5"/>
  <c r="Y65" i="5"/>
  <c r="X65" i="5"/>
  <c r="W65" i="5"/>
  <c r="Y66" i="5"/>
  <c r="X66" i="5"/>
  <c r="W66" i="5"/>
  <c r="Y67" i="5"/>
  <c r="X67" i="5"/>
  <c r="W67" i="5"/>
  <c r="Y68" i="5"/>
  <c r="X68" i="5"/>
  <c r="W68" i="5"/>
  <c r="Y69" i="5"/>
  <c r="X69" i="5"/>
  <c r="W69" i="5"/>
  <c r="Y70" i="5"/>
  <c r="X70" i="5"/>
  <c r="W70" i="5"/>
  <c r="Y71" i="5"/>
  <c r="X71" i="5"/>
  <c r="W71" i="5"/>
  <c r="Y72" i="5"/>
  <c r="X72" i="5"/>
  <c r="W72" i="5"/>
  <c r="Y73" i="5"/>
  <c r="X73" i="5"/>
  <c r="W73" i="5"/>
  <c r="Y74" i="5"/>
  <c r="X74" i="5"/>
  <c r="W74" i="5"/>
  <c r="Y75" i="5"/>
  <c r="X75" i="5"/>
  <c r="W75" i="5"/>
  <c r="Y76" i="5"/>
  <c r="X76" i="5"/>
  <c r="W76" i="5"/>
  <c r="Y77" i="5"/>
  <c r="X77" i="5"/>
  <c r="W77" i="5"/>
  <c r="Y78" i="5"/>
  <c r="X78" i="5"/>
  <c r="W78" i="5"/>
  <c r="Y79" i="5"/>
  <c r="X79" i="5"/>
  <c r="W79" i="5"/>
  <c r="Y80" i="5"/>
  <c r="X80" i="5"/>
  <c r="W80" i="5"/>
  <c r="Y81" i="5"/>
  <c r="X81" i="5"/>
  <c r="W81" i="5"/>
  <c r="Y82" i="5"/>
  <c r="X82" i="5"/>
  <c r="W82" i="5"/>
  <c r="Y83" i="5"/>
  <c r="X83" i="5"/>
  <c r="W83" i="5"/>
  <c r="Y84" i="5"/>
  <c r="X84" i="5"/>
  <c r="W84" i="5"/>
  <c r="Y85" i="5"/>
  <c r="X85" i="5"/>
  <c r="W85" i="5"/>
  <c r="Y86" i="5"/>
  <c r="X86" i="5"/>
  <c r="W86" i="5"/>
  <c r="Y87" i="5"/>
  <c r="X87" i="5"/>
  <c r="W87" i="5"/>
  <c r="Y88" i="5"/>
  <c r="X88" i="5"/>
  <c r="W88" i="5"/>
  <c r="Y89" i="5"/>
  <c r="X89" i="5"/>
  <c r="W89" i="5"/>
  <c r="Y90" i="5"/>
  <c r="X90" i="5"/>
  <c r="W90" i="5"/>
  <c r="Y91" i="5"/>
  <c r="X91" i="5"/>
  <c r="W91" i="5"/>
  <c r="Y92" i="5"/>
  <c r="X92" i="5"/>
  <c r="W92" i="5"/>
  <c r="Y93" i="5"/>
  <c r="X93" i="5"/>
  <c r="W93" i="5"/>
  <c r="Y94" i="5"/>
  <c r="X94" i="5"/>
  <c r="W94" i="5"/>
  <c r="Y95" i="5"/>
  <c r="X95" i="5"/>
  <c r="W95" i="5"/>
  <c r="Y96" i="5"/>
  <c r="X96" i="5"/>
  <c r="W96" i="5"/>
  <c r="Y97" i="5"/>
  <c r="X97" i="5"/>
  <c r="W97" i="5"/>
  <c r="Y98" i="5"/>
  <c r="X98" i="5"/>
  <c r="W98" i="5"/>
  <c r="Y99" i="5"/>
  <c r="X99" i="5"/>
  <c r="W99" i="5"/>
  <c r="Y100" i="5"/>
  <c r="X100" i="5"/>
  <c r="W100" i="5"/>
  <c r="Y101" i="5"/>
  <c r="X101" i="5"/>
  <c r="W101" i="5"/>
  <c r="Y102" i="5"/>
  <c r="X102" i="5"/>
  <c r="W102" i="5"/>
  <c r="Y103" i="5"/>
  <c r="X103" i="5"/>
  <c r="W103" i="5"/>
  <c r="Y104" i="5"/>
  <c r="X104" i="5"/>
  <c r="W104" i="5"/>
  <c r="Y105" i="5"/>
  <c r="X105" i="5"/>
  <c r="W105" i="5"/>
  <c r="Y106" i="5"/>
  <c r="X106" i="5"/>
  <c r="W106" i="5"/>
  <c r="Y107" i="5"/>
  <c r="X107" i="5"/>
  <c r="W107" i="5"/>
  <c r="Y108" i="5"/>
  <c r="X108" i="5"/>
  <c r="W108" i="5"/>
  <c r="Y109" i="5"/>
  <c r="X109" i="5"/>
  <c r="W109" i="5"/>
  <c r="Y110" i="5"/>
  <c r="X110" i="5"/>
  <c r="W110" i="5"/>
  <c r="Y111" i="5"/>
  <c r="X111" i="5"/>
  <c r="W111" i="5"/>
  <c r="Y112" i="5"/>
  <c r="X112" i="5"/>
  <c r="W112" i="5"/>
  <c r="Y113" i="5"/>
  <c r="X113" i="5"/>
  <c r="W113" i="5"/>
  <c r="Y114" i="5"/>
  <c r="X114" i="5"/>
  <c r="W114" i="5"/>
  <c r="Y115" i="5"/>
  <c r="X115" i="5"/>
  <c r="W115" i="5"/>
  <c r="Y116" i="5"/>
  <c r="X116" i="5"/>
  <c r="W116" i="5"/>
  <c r="Y117" i="5"/>
  <c r="X117" i="5"/>
  <c r="W117" i="5"/>
  <c r="Y118" i="5"/>
  <c r="X118" i="5"/>
  <c r="W118" i="5"/>
  <c r="Y119" i="5"/>
  <c r="X119" i="5"/>
  <c r="W119" i="5"/>
  <c r="Y120" i="5"/>
  <c r="X120" i="5"/>
  <c r="W120" i="5"/>
  <c r="Y121" i="5"/>
  <c r="X121" i="5"/>
  <c r="W121" i="5"/>
  <c r="Y122" i="5"/>
  <c r="X122" i="5"/>
  <c r="W122" i="5"/>
  <c r="Y123" i="5"/>
  <c r="X123" i="5"/>
  <c r="W123" i="5"/>
  <c r="Y124" i="5"/>
  <c r="X124" i="5"/>
  <c r="W124" i="5"/>
  <c r="Y125" i="5"/>
  <c r="X125" i="5"/>
  <c r="W125" i="5"/>
  <c r="Y126" i="5"/>
  <c r="X126" i="5"/>
  <c r="W126" i="5"/>
  <c r="Y127" i="5"/>
  <c r="X127" i="5"/>
  <c r="W127" i="5"/>
  <c r="Y128" i="5"/>
  <c r="X128" i="5"/>
  <c r="W128" i="5"/>
  <c r="Y129" i="5"/>
  <c r="X129" i="5"/>
  <c r="W129" i="5"/>
  <c r="Y130" i="5"/>
  <c r="X130" i="5"/>
  <c r="W130" i="5"/>
  <c r="Y131" i="5"/>
  <c r="X131" i="5"/>
  <c r="W131" i="5"/>
  <c r="Y132" i="5"/>
  <c r="X132" i="5"/>
  <c r="W132" i="5"/>
  <c r="Y133" i="5"/>
  <c r="X133" i="5"/>
  <c r="W133" i="5"/>
  <c r="Y134" i="5"/>
  <c r="X134" i="5"/>
  <c r="W134" i="5"/>
  <c r="Y135" i="5"/>
  <c r="X135" i="5"/>
  <c r="W135" i="5"/>
  <c r="Y136" i="5"/>
  <c r="X136" i="5"/>
  <c r="W136" i="5"/>
  <c r="Y137" i="5"/>
  <c r="X137" i="5"/>
  <c r="W137" i="5"/>
  <c r="Y138" i="5"/>
  <c r="X138" i="5"/>
  <c r="W138" i="5"/>
  <c r="Y139" i="5"/>
  <c r="X139" i="5"/>
  <c r="W139" i="5"/>
  <c r="Y140" i="5"/>
  <c r="X140" i="5"/>
  <c r="W140" i="5"/>
  <c r="Y141" i="5"/>
  <c r="X141" i="5"/>
  <c r="W141" i="5"/>
  <c r="Y142" i="5"/>
  <c r="X142" i="5"/>
  <c r="W142" i="5"/>
  <c r="Y143" i="5"/>
  <c r="X143" i="5"/>
  <c r="W143" i="5"/>
  <c r="Y144" i="5"/>
  <c r="X144" i="5"/>
  <c r="W144" i="5"/>
  <c r="Y145" i="5"/>
  <c r="X145" i="5"/>
  <c r="W145" i="5"/>
  <c r="Y146" i="5"/>
  <c r="X146" i="5"/>
  <c r="W146" i="5"/>
  <c r="Y147" i="5"/>
  <c r="X147" i="5"/>
  <c r="W147" i="5"/>
  <c r="Y148" i="5"/>
  <c r="X148" i="5"/>
  <c r="W148" i="5"/>
  <c r="Y149" i="5"/>
  <c r="X149" i="5"/>
  <c r="W149" i="5"/>
  <c r="Y150" i="5"/>
  <c r="X150" i="5"/>
  <c r="W150" i="5"/>
  <c r="Y151" i="5"/>
  <c r="X151" i="5"/>
  <c r="W151" i="5"/>
  <c r="Y152" i="5"/>
  <c r="X152" i="5"/>
  <c r="W152" i="5"/>
  <c r="Y153" i="5"/>
  <c r="X153" i="5"/>
  <c r="W153" i="5"/>
  <c r="Y154" i="5"/>
  <c r="X154" i="5"/>
  <c r="W154" i="5"/>
  <c r="Y155" i="5"/>
  <c r="X155" i="5"/>
  <c r="W155" i="5"/>
  <c r="Y156" i="5"/>
  <c r="X156" i="5"/>
  <c r="W156" i="5"/>
  <c r="Y157" i="5"/>
  <c r="X157" i="5"/>
  <c r="W157" i="5"/>
  <c r="Y158" i="5"/>
  <c r="X158" i="5"/>
  <c r="W158" i="5"/>
  <c r="Y159" i="5"/>
  <c r="X159" i="5"/>
  <c r="W159" i="5"/>
  <c r="Y160" i="5"/>
  <c r="X160" i="5"/>
  <c r="W160" i="5"/>
  <c r="Y161" i="5"/>
  <c r="X161" i="5"/>
  <c r="W161" i="5"/>
  <c r="Y162" i="5"/>
  <c r="X162" i="5"/>
  <c r="W162" i="5"/>
  <c r="Y163" i="5"/>
  <c r="X163" i="5"/>
  <c r="W163" i="5"/>
  <c r="Y164" i="5"/>
  <c r="X164" i="5"/>
  <c r="W164" i="5"/>
  <c r="Y165" i="5"/>
  <c r="X165" i="5"/>
  <c r="W165" i="5"/>
  <c r="Y166" i="5"/>
  <c r="X166" i="5"/>
  <c r="W166" i="5"/>
  <c r="Y167" i="5"/>
  <c r="X167" i="5"/>
  <c r="W167" i="5"/>
  <c r="Y168" i="5"/>
  <c r="X168" i="5"/>
  <c r="W168" i="5"/>
  <c r="Y169" i="5"/>
  <c r="X169" i="5"/>
  <c r="W169" i="5"/>
  <c r="Y170" i="5"/>
  <c r="X170" i="5"/>
  <c r="W170" i="5"/>
  <c r="Y171" i="5"/>
  <c r="X171" i="5"/>
  <c r="W171" i="5"/>
  <c r="H16" i="7" l="1"/>
  <c r="E16" i="7"/>
  <c r="C16" i="7"/>
  <c r="D16" i="7" s="1"/>
  <c r="H12" i="7"/>
  <c r="E12" i="7"/>
  <c r="C12" i="7"/>
  <c r="D12" i="7" s="1"/>
  <c r="H6" i="7"/>
  <c r="E6" i="7"/>
  <c r="C6" i="7"/>
  <c r="D6" i="7" s="1"/>
  <c r="H10" i="7"/>
  <c r="E10" i="7"/>
  <c r="C10" i="7"/>
  <c r="D10" i="7" s="1"/>
  <c r="I17" i="8"/>
  <c r="F17" i="8"/>
  <c r="D17" i="8"/>
  <c r="E17" i="8" s="1"/>
  <c r="H15" i="7"/>
  <c r="E15" i="7"/>
  <c r="C15" i="7"/>
  <c r="D15" i="7" s="1"/>
  <c r="I18" i="8"/>
  <c r="F18" i="8"/>
  <c r="D18" i="8"/>
  <c r="E18" i="8" s="1"/>
  <c r="H8" i="7"/>
  <c r="E8" i="7"/>
  <c r="C8" i="7"/>
  <c r="D8" i="7" s="1"/>
  <c r="I19" i="8"/>
  <c r="F19" i="8"/>
  <c r="D19" i="8"/>
  <c r="E19" i="8" s="1"/>
  <c r="H13" i="7"/>
  <c r="E13" i="7"/>
  <c r="C13" i="7"/>
  <c r="D13" i="7" s="1"/>
  <c r="H14" i="7"/>
  <c r="E14" i="7"/>
  <c r="C14" i="7"/>
  <c r="D14" i="7" s="1"/>
  <c r="H17" i="7"/>
  <c r="E17" i="7"/>
  <c r="C17" i="7"/>
  <c r="D17" i="7" s="1"/>
  <c r="I15" i="8"/>
  <c r="F15" i="8"/>
  <c r="D15" i="8"/>
  <c r="E15" i="8" s="1"/>
  <c r="H7" i="7"/>
  <c r="E7" i="7"/>
  <c r="C7" i="7"/>
  <c r="D7" i="7" s="1"/>
  <c r="I16" i="8"/>
  <c r="F16" i="8"/>
  <c r="D16" i="8"/>
  <c r="E16" i="8" s="1"/>
  <c r="H9" i="7"/>
  <c r="E9" i="7"/>
  <c r="C9" i="7"/>
  <c r="D9" i="7" s="1"/>
  <c r="J20" i="8"/>
  <c r="C47" i="8"/>
  <c r="C46" i="8"/>
  <c r="C45" i="8"/>
  <c r="C44" i="8"/>
  <c r="C43" i="8"/>
  <c r="D43" i="8" s="1"/>
  <c r="D20" i="8"/>
  <c r="E20" i="8" s="1"/>
  <c r="G9" i="8"/>
  <c r="B9" i="8"/>
  <c r="L5" i="8"/>
  <c r="G5" i="8"/>
  <c r="B5" i="8"/>
  <c r="C18" i="7"/>
  <c r="D18" i="7" s="1"/>
  <c r="C17" i="2"/>
  <c r="I14" i="8"/>
  <c r="I20" i="8" s="1"/>
  <c r="F14" i="8"/>
  <c r="D14" i="8"/>
  <c r="E14" i="8" s="1"/>
  <c r="H11" i="7"/>
  <c r="E11" i="7"/>
  <c r="C11" i="7"/>
  <c r="D11" i="7" s="1"/>
  <c r="G11" i="7" l="1"/>
  <c r="F11" i="7"/>
  <c r="F20" i="8"/>
  <c r="H20" i="8" s="1"/>
  <c r="H14" i="8"/>
  <c r="G14" i="8"/>
  <c r="D44" i="8"/>
  <c r="D45" i="8"/>
  <c r="D46" i="8"/>
  <c r="D47" i="8"/>
  <c r="G9" i="7"/>
  <c r="F9" i="7"/>
  <c r="H16" i="8"/>
  <c r="G16" i="8"/>
  <c r="G7" i="7"/>
  <c r="F7" i="7"/>
  <c r="H15" i="8"/>
  <c r="G15" i="8"/>
  <c r="G17" i="7"/>
  <c r="F17" i="7"/>
  <c r="G14" i="7"/>
  <c r="F14" i="7"/>
  <c r="G13" i="7"/>
  <c r="F13" i="7"/>
  <c r="H19" i="8"/>
  <c r="G19" i="8"/>
  <c r="G8" i="7"/>
  <c r="F8" i="7"/>
  <c r="H18" i="8"/>
  <c r="G18" i="8"/>
  <c r="G15" i="7"/>
  <c r="F15" i="7"/>
  <c r="H17" i="8"/>
  <c r="G17" i="8"/>
  <c r="G10" i="7"/>
  <c r="F10" i="7"/>
  <c r="E18" i="7"/>
  <c r="G18" i="7" s="1"/>
  <c r="G6" i="7"/>
  <c r="F6" i="7"/>
  <c r="H18" i="7"/>
  <c r="G12" i="7"/>
  <c r="F12" i="7"/>
  <c r="G16" i="7"/>
  <c r="F16" i="7"/>
  <c r="F18" i="7" l="1"/>
  <c r="G20" i="8"/>
</calcChain>
</file>

<file path=xl/sharedStrings.xml><?xml version="1.0" encoding="utf-8"?>
<sst xmlns="http://schemas.openxmlformats.org/spreadsheetml/2006/main" count="1568" uniqueCount="357">
  <si>
    <t>POLICY DECISIONS</t>
  </si>
  <si>
    <t>Policy</t>
  </si>
  <si>
    <t>Selected Decision</t>
  </si>
  <si>
    <t>Allowed Values</t>
  </si>
  <si>
    <t>Formula Impact</t>
  </si>
  <si>
    <t>Owner</t>
  </si>
  <si>
    <t>Status</t>
  </si>
  <si>
    <t>Comments</t>
  </si>
  <si>
    <t>Malus method</t>
  </si>
  <si>
    <t>Proportional</t>
  </si>
  <si>
    <t>Proportional | Percentage points</t>
  </si>
  <si>
    <t>Final Achievement = Gross x (1-Malus), or Gross-Malus</t>
  </si>
  <si>
    <t>HR / Compensation</t>
  </si>
  <si>
    <t>Validated</t>
  </si>
  <si>
    <t>Extra PCS treatment</t>
  </si>
  <si>
    <t>Additive</t>
  </si>
  <si>
    <t>Additive | Replacement</t>
  </si>
  <si>
    <t>Additive sums standard and extra PCS; Replacement keeps the higher PCS award</t>
  </si>
  <si>
    <t>Operations / HR</t>
  </si>
  <si>
    <t>Target bonus rate basis</t>
  </si>
  <si>
    <t>Monthly</t>
  </si>
  <si>
    <t>Monthly | Annual</t>
  </si>
  <si>
    <t>Annual rates are divided by 12 before monthly payout calculation</t>
  </si>
  <si>
    <t>HR / Payroll</t>
  </si>
  <si>
    <t>Proration denominator</t>
  </si>
  <si>
    <t>Calendar days</t>
  </si>
  <si>
    <t>Calendar days | Working days | Planned days</t>
  </si>
  <si>
    <t>Determines how Scheduled Days and Eligible Days must be populated</t>
  </si>
  <si>
    <t>Absence treatment</t>
  </si>
  <si>
    <t>KPI only</t>
  </si>
  <si>
    <t>KPI only | Eligibility only | Both</t>
  </si>
  <si>
    <t>Prevents unintended double reduction unless Both is explicitly approved</t>
  </si>
  <si>
    <t>HR / Operations</t>
  </si>
  <si>
    <t>Achievement cap</t>
  </si>
  <si>
    <t>0% to 200%</t>
  </si>
  <si>
    <t>Caps Gross Achievement after KPI aggregation</t>
  </si>
  <si>
    <t>Rounding</t>
  </si>
  <si>
    <t>Centime</t>
  </si>
  <si>
    <t>Centime | Whole MAD</t>
  </si>
  <si>
    <t>Final Payout rounded to 2 decimals or 0 decimals</t>
  </si>
  <si>
    <t>Payroll</t>
  </si>
  <si>
    <t>To validate</t>
  </si>
  <si>
    <t>Employee eligibility</t>
  </si>
  <si>
    <t>Active eligible population</t>
  </si>
  <si>
    <t>Policy reference required</t>
  </si>
  <si>
    <t>Controls joiners, leavers, probation and exclusions</t>
  </si>
  <si>
    <t>HR</t>
  </si>
  <si>
    <t>CONTROL CHECKS</t>
  </si>
  <si>
    <t>Area</t>
  </si>
  <si>
    <t>Check</t>
  </si>
  <si>
    <t>Count / Value</t>
  </si>
  <si>
    <t>Expected</t>
  </si>
  <si>
    <t>Evidence</t>
  </si>
  <si>
    <t>Comment</t>
  </si>
  <si>
    <t>Monetary inputs</t>
  </si>
  <si>
    <t>Missing currency</t>
  </si>
  <si>
    <t>WFM / HR</t>
  </si>
  <si>
    <t>Currency different from MAD</t>
  </si>
  <si>
    <t>Missing salary/rate and override</t>
  </si>
  <si>
    <t>Proration</t>
  </si>
  <si>
    <t>Missing or zero Scheduled Days</t>
  </si>
  <si>
    <t>Eligible Days greater than Scheduled Days</t>
  </si>
  <si>
    <t>Dashboard readiness</t>
  </si>
  <si>
    <t>Period different from 2026-07</t>
  </si>
  <si>
    <t>LOB missing from KPI configuration</t>
  </si>
  <si>
    <t>Duplicate Agent ID + Period</t>
  </si>
  <si>
    <t>Policy decisions not validated</t>
  </si>
  <si>
    <t>Data status</t>
  </si>
  <si>
    <t>Synthetic demonstration records</t>
  </si>
  <si>
    <t>Roster mapping</t>
  </si>
  <si>
    <t>Agents without Team Lead mapping</t>
  </si>
  <si>
    <t>Information</t>
  </si>
  <si>
    <t>Total loaded records</t>
  </si>
  <si>
    <t>INFO</t>
  </si>
  <si>
    <t>Estimated final payout</t>
  </si>
  <si>
    <t>BONUS CONFIGURATION</t>
  </si>
  <si>
    <t>Population</t>
  </si>
  <si>
    <t>KPI</t>
  </si>
  <si>
    <t>Direction</t>
  </si>
  <si>
    <t>Tier 1 Bonus %</t>
  </si>
  <si>
    <t>Tier 1 Target</t>
  </si>
  <si>
    <t>Tier 2 Bonus %</t>
  </si>
  <si>
    <t>Tier 2 Target</t>
  </si>
  <si>
    <t>VOC Detractor Count</t>
  </si>
  <si>
    <t>Malus Impact</t>
  </si>
  <si>
    <t>Ford GER</t>
  </si>
  <si>
    <t>AHT</t>
  </si>
  <si>
    <t>L</t>
  </si>
  <si>
    <t>Productivity</t>
  </si>
  <si>
    <t>H</t>
  </si>
  <si>
    <t>PCS Score</t>
  </si>
  <si>
    <t>PCS % (Participation)</t>
  </si>
  <si>
    <t>QM</t>
  </si>
  <si>
    <t>Abs%</t>
  </si>
  <si>
    <t>Extra Bonus (PCS Score)</t>
  </si>
  <si>
    <t>Ford Dutch</t>
  </si>
  <si>
    <t>OEM FR</t>
  </si>
  <si>
    <t>RSA FR</t>
  </si>
  <si>
    <t>RSA NL</t>
  </si>
  <si>
    <t>RSA VL</t>
  </si>
  <si>
    <t>RAW PERFORMANCE DATA</t>
  </si>
  <si>
    <t>Agent ID</t>
  </si>
  <si>
    <t>Agent Name</t>
  </si>
  <si>
    <t>Period</t>
  </si>
  <si>
    <t>PCS % Participation</t>
  </si>
  <si>
    <t>Notes</t>
  </si>
  <si>
    <t>Currency</t>
  </si>
  <si>
    <t>Monthly Fixed Salary</t>
  </si>
  <si>
    <t>Target Bonus Rate</t>
  </si>
  <si>
    <t>Reference Bonus Override</t>
  </si>
  <si>
    <t>Eligible Days</t>
  </si>
  <si>
    <t>Scheduled Days</t>
  </si>
  <si>
    <t>Data Status</t>
  </si>
  <si>
    <t>Team Lead</t>
  </si>
  <si>
    <t>Ops Manager</t>
  </si>
  <si>
    <t>Felhane Mohamed Amine</t>
  </si>
  <si>
    <t>2026-07</t>
  </si>
  <si>
    <t>MAD</t>
  </si>
  <si>
    <t>ICMP</t>
  </si>
  <si>
    <t>Grouh Jaouad</t>
  </si>
  <si>
    <t>Anas OUAKKAD</t>
  </si>
  <si>
    <t>Zekhnini Mustapha</t>
  </si>
  <si>
    <t>Talhajit Abdellah</t>
  </si>
  <si>
    <t>AYMAZ Abdelhay</t>
  </si>
  <si>
    <t>MOUSSA Amjad</t>
  </si>
  <si>
    <t>DRISSI Sidi Youssef</t>
  </si>
  <si>
    <t>NABACH Lara</t>
  </si>
  <si>
    <t>Mohamed Amine MERSAK</t>
  </si>
  <si>
    <t>Farouk BOUAZZAOUI</t>
  </si>
  <si>
    <t>Mejhed Asmaa</t>
  </si>
  <si>
    <t>DERRAZI Ilyasse</t>
  </si>
  <si>
    <t>Achraf ENNAJAH</t>
  </si>
  <si>
    <t>Zineb MOUFID</t>
  </si>
  <si>
    <t>Ayoub EL ADRAOUI</t>
  </si>
  <si>
    <t>Kenza EL MOUMNI</t>
  </si>
  <si>
    <t>Mohamed Zuljami</t>
  </si>
  <si>
    <t>KAIKAI Faissal</t>
  </si>
  <si>
    <t>Ouadie REGRAGUI</t>
  </si>
  <si>
    <t>EL GHAZI Youssef</t>
  </si>
  <si>
    <t>Khalid BOJADA</t>
  </si>
  <si>
    <t>Zineb ZAAROURI</t>
  </si>
  <si>
    <t>Malak AZERKI</t>
  </si>
  <si>
    <t>Oulad Abdelaziz Youssef</t>
  </si>
  <si>
    <t>Youssef AZIZ</t>
  </si>
  <si>
    <t>Youssef AMNAD</t>
  </si>
  <si>
    <t>Youness ZBATI</t>
  </si>
  <si>
    <t>Youness OUAHBI</t>
  </si>
  <si>
    <t>HADRI Younes</t>
  </si>
  <si>
    <t>Glenn Antoon</t>
  </si>
  <si>
    <t>Younes EL FELLAH EL OUAZZANI</t>
  </si>
  <si>
    <t>Yazid LAGDEM</t>
  </si>
  <si>
    <t>Yassir Issarti</t>
  </si>
  <si>
    <t>AL TAMIMI Zeynab</t>
  </si>
  <si>
    <t>El Mekkaoui Yassir</t>
  </si>
  <si>
    <t>Yassine Athmane</t>
  </si>
  <si>
    <t>Jemkar Yasmine</t>
  </si>
  <si>
    <t>EL BAROUDI El Yassmine</t>
  </si>
  <si>
    <t>Van der Laan Tim</t>
  </si>
  <si>
    <t>Tasnim NAJI</t>
  </si>
  <si>
    <t>JEANNE NKIKIO RWIBUTSO</t>
  </si>
  <si>
    <t>Taoufik MANOUNI</t>
  </si>
  <si>
    <t>taissir Bakour</t>
  </si>
  <si>
    <t>Taha Aboulhaoul</t>
  </si>
  <si>
    <t>Mohamed-Amine SADKI</t>
  </si>
  <si>
    <t>Soufiane ROUH</t>
  </si>
  <si>
    <t>Shaib Hashemi</t>
  </si>
  <si>
    <t>SCOTT BAHRU DE COENE</t>
  </si>
  <si>
    <t>Ait El Bashir Salah Eddine</t>
  </si>
  <si>
    <t>SAMAR Said</t>
  </si>
  <si>
    <t>HAJHOUJ Said</t>
  </si>
  <si>
    <t>Chantoufi Said</t>
  </si>
  <si>
    <t>Rhauni Safwane</t>
  </si>
  <si>
    <t>EZZOHARI Saad</t>
  </si>
  <si>
    <t>Rim Fatih</t>
  </si>
  <si>
    <t>Redwane Ajouaoui</t>
  </si>
  <si>
    <t>Ghalbi Redouane</t>
  </si>
  <si>
    <t>OUASKIOT Rachida</t>
  </si>
  <si>
    <t>Rachid  Mourad</t>
  </si>
  <si>
    <t>EL HARRAK Rachid</t>
  </si>
  <si>
    <t>Sy Ousmane</t>
  </si>
  <si>
    <t>Oumaima LARIANI</t>
  </si>
  <si>
    <t>Fifadji Orphélia Yvelines</t>
  </si>
  <si>
    <t>NABAT Nouhaila</t>
  </si>
  <si>
    <t>Lamtibbou Nizar</t>
  </si>
  <si>
    <t>Nassim Abdelrzak STITOU</t>
  </si>
  <si>
    <t>EL ARKOUBI Nasseri</t>
  </si>
  <si>
    <t>Najib  Abdelhadi</t>
  </si>
  <si>
    <t>ERRAIT Najia</t>
  </si>
  <si>
    <t>Ennajari Naima</t>
  </si>
  <si>
    <t>Nahid TALLIH</t>
  </si>
  <si>
    <t>El Mornaki Mustapha</t>
  </si>
  <si>
    <t>Diallo Mustapha Salam</t>
  </si>
  <si>
    <t>Mouna  SAHIL</t>
  </si>
  <si>
    <t>Nissaoui Morad</t>
  </si>
  <si>
    <t>Monir Chouhaibi</t>
  </si>
  <si>
    <t>VERMEIRE Monique</t>
  </si>
  <si>
    <t>QNICHER Mohammed Ali</t>
  </si>
  <si>
    <t>Amine Bensid</t>
  </si>
  <si>
    <t>Mohamed ALHABIB AIT HAMID</t>
  </si>
  <si>
    <t>Mohamed ABOURHAZAOUAT</t>
  </si>
  <si>
    <t xml:space="preserve">Mohamed Mansour  El hassnaoui </t>
  </si>
  <si>
    <t>Mohamed Ali Dreif</t>
  </si>
  <si>
    <t>Mohamed adnane saidi</t>
  </si>
  <si>
    <t>M’hammed BELLOUARAK</t>
  </si>
  <si>
    <t>NASSER Meryem</t>
  </si>
  <si>
    <t>LAOOUINA Meryem</t>
  </si>
  <si>
    <t>Meryem GHAYOR</t>
  </si>
  <si>
    <t>MADHLOUM Mehdi</t>
  </si>
  <si>
    <t>Serigne Mouhamadou Mansour Sy Gueye</t>
  </si>
  <si>
    <t>EL MAGHROUDI Malak</t>
  </si>
  <si>
    <t>Vermeire Linda</t>
  </si>
  <si>
    <t>Dekker Leila</t>
  </si>
  <si>
    <t>Boeckx Lars</t>
  </si>
  <si>
    <t>Lahcen OUASSIT</t>
  </si>
  <si>
    <t xml:space="preserve">Khawla EL BOUAANANI </t>
  </si>
  <si>
    <t>Ajermite Khalil</t>
  </si>
  <si>
    <t>Ajaouaou Khalid</t>
  </si>
  <si>
    <t>MOKHTAR Kawtar</t>
  </si>
  <si>
    <t>Benmrieh Kawtar</t>
  </si>
  <si>
    <t>Saoud Karim</t>
  </si>
  <si>
    <t>BENABDALLAH Karim</t>
  </si>
  <si>
    <t>Beekman Kai</t>
  </si>
  <si>
    <t>Jacqueline SINT</t>
  </si>
  <si>
    <t>jalal  BARHMI</t>
  </si>
  <si>
    <t>Issam  MESKOURI</t>
  </si>
  <si>
    <t>Insafe OUAJAL</t>
  </si>
  <si>
    <t>Imane LAHOUCINE</t>
  </si>
  <si>
    <t>Imane Karoui</t>
  </si>
  <si>
    <t>BANANE Imane</t>
  </si>
  <si>
    <t>Moussaoui Ilias</t>
  </si>
  <si>
    <t>Idriss Wardi</t>
  </si>
  <si>
    <t>El Ayoubi Ichraf</t>
  </si>
  <si>
    <t>Houda  Rawis</t>
  </si>
  <si>
    <t>Houcine Benhaddo</t>
  </si>
  <si>
    <t xml:space="preserve">Haytham Mhafoudi </t>
  </si>
  <si>
    <t>KHATIR Hassan</t>
  </si>
  <si>
    <t>Hanane BADIR</t>
  </si>
  <si>
    <t>Hamza TALBY</t>
  </si>
  <si>
    <t>Hamza  OUABI</t>
  </si>
  <si>
    <t>Hamza Mellak</t>
  </si>
  <si>
    <t>Jadda Hamza</t>
  </si>
  <si>
    <t>Hamza Ghazi</t>
  </si>
  <si>
    <t>Hamza  BOUWAB</t>
  </si>
  <si>
    <t>Hamza BOUJIDI</t>
  </si>
  <si>
    <t>Hamza BOUAMAL</t>
  </si>
  <si>
    <t>BENSIF Hamza</t>
  </si>
  <si>
    <t>Hakim Mohamed Harhour</t>
  </si>
  <si>
    <t>Ghali Haddad</t>
  </si>
  <si>
    <t>Van Driesche Freya</t>
  </si>
  <si>
    <t>Fouad Talbi</t>
  </si>
  <si>
    <t>El Yakhloufi Fouad</t>
  </si>
  <si>
    <t xml:space="preserve">Firdaouss  EL Battay </t>
  </si>
  <si>
    <t>Fatima SOUALA</t>
  </si>
  <si>
    <t>EL OUASGHIRI Farid</t>
  </si>
  <si>
    <t>Channane Fadwa</t>
  </si>
  <si>
    <t>ULUDAG Erkan</t>
  </si>
  <si>
    <t>Meftaha Elfahry-Elfassi</t>
  </si>
  <si>
    <t>El Mehdi El Guiri</t>
  </si>
  <si>
    <t>Moslyh El Mahdi</t>
  </si>
  <si>
    <t>Dylan Joren</t>
  </si>
  <si>
    <t>Sbai Driss</t>
  </si>
  <si>
    <t>Driss Oujer</t>
  </si>
  <si>
    <t>AL GAMOUS Dounya</t>
  </si>
  <si>
    <t>Dembah Cheikh</t>
  </si>
  <si>
    <t>Chaimaa Benlaghlimi</t>
  </si>
  <si>
    <t>LOUKMAN CHAARA</t>
  </si>
  <si>
    <t>DAOUAYRY Bouchta</t>
  </si>
  <si>
    <t>TALEB Benyounes</t>
  </si>
  <si>
    <t>Senghor Baptistine</t>
  </si>
  <si>
    <t>Ayoub Failouss</t>
  </si>
  <si>
    <t>Boujloud Ayoub</t>
  </si>
  <si>
    <t>Aymen  HAFDALLAH</t>
  </si>
  <si>
    <t>Islah Aymane</t>
  </si>
  <si>
    <t>Kabbouh Ayman</t>
  </si>
  <si>
    <t>DICKMANNS Arno</t>
  </si>
  <si>
    <t>Koppens Arko</t>
  </si>
  <si>
    <t>YEKHLEFAnouar</t>
  </si>
  <si>
    <t>Jaouan Anouar</t>
  </si>
  <si>
    <t>El Jassifi Anas</t>
  </si>
  <si>
    <t>Belcaid Anas</t>
  </si>
  <si>
    <t>Anas Belbahlol</t>
  </si>
  <si>
    <t>Ez-Zouaghi Amira</t>
  </si>
  <si>
    <t>Wajid Amine</t>
  </si>
  <si>
    <t>Amine HAMDAOUI</t>
  </si>
  <si>
    <t>Cissokho Alioune</t>
  </si>
  <si>
    <t>Cetin Ali</t>
  </si>
  <si>
    <t>El Mansouri Ajaoud</t>
  </si>
  <si>
    <t>AHLAL Ainane</t>
  </si>
  <si>
    <t>ADIL Hachhouch</t>
  </si>
  <si>
    <t xml:space="preserve">Adil Chouhaibi </t>
  </si>
  <si>
    <t>SBAI Abderrahim</t>
  </si>
  <si>
    <t>Assague Abderrahim</t>
  </si>
  <si>
    <t>Farahi Abdelmalek</t>
  </si>
  <si>
    <t>Redouane Abdelhamid</t>
  </si>
  <si>
    <t>Khillane Abdelfattah</t>
  </si>
  <si>
    <t>Hajjab Abdelfatah</t>
  </si>
  <si>
    <t>BEN SALAH Abdelali</t>
  </si>
  <si>
    <t>Abdel Halim Pakhrou</t>
  </si>
  <si>
    <t>BONUS RESULTS</t>
  </si>
  <si>
    <t>LOB</t>
  </si>
  <si>
    <t>AHT Earned</t>
  </si>
  <si>
    <t>Productivity Earned</t>
  </si>
  <si>
    <t>PCS Earned</t>
  </si>
  <si>
    <t>Participation Earned</t>
  </si>
  <si>
    <t>QM Earned</t>
  </si>
  <si>
    <t>Abs Earned</t>
  </si>
  <si>
    <t>Extra PCS Earned</t>
  </si>
  <si>
    <t>Gross Achievement</t>
  </si>
  <si>
    <t>Final Achievement</t>
  </si>
  <si>
    <t>Reference Bonus Amount</t>
  </si>
  <si>
    <t>Proration Factor</t>
  </si>
  <si>
    <t>Prorated Bonus Base</t>
  </si>
  <si>
    <t>Gross Payout</t>
  </si>
  <si>
    <t>Malus Deduction</t>
  </si>
  <si>
    <t>Final Payout</t>
  </si>
  <si>
    <t>JULY 2026  |  KPI PERFORMANCE DRIVERS</t>
  </si>
  <si>
    <t>Agents with Data</t>
  </si>
  <si>
    <t>Agents Earning</t>
  </si>
  <si>
    <t>Attainment Rate</t>
  </si>
  <si>
    <t>Average Award Contribution</t>
  </si>
  <si>
    <t>Sum of Agent Award Points</t>
  </si>
  <si>
    <t>KPI ATTAINMENT RATE BY LOB</t>
  </si>
  <si>
    <t>PCS Participation</t>
  </si>
  <si>
    <t>Absence</t>
  </si>
  <si>
    <t>Extra PCS</t>
  </si>
  <si>
    <t>JULY 2026  |  TEAM LEAD PERFORMANCE</t>
  </si>
  <si>
    <t>Agents</t>
  </si>
  <si>
    <t>Paid Agents</t>
  </si>
  <si>
    <t>Payout Rate</t>
  </si>
  <si>
    <t>Final Payout (MAD)</t>
  </si>
  <si>
    <t>Share of Total</t>
  </si>
  <si>
    <t>Average Paid Payout</t>
  </si>
  <si>
    <t>Zero Payout</t>
  </si>
  <si>
    <t>Review</t>
  </si>
  <si>
    <t>TOTAL / ALL</t>
  </si>
  <si>
    <t>KPI ATTAINMENT RATE BY TEAM LEAD</t>
  </si>
  <si>
    <t>Participation</t>
  </si>
  <si>
    <t>JULY 2026  |  BONUS PAYOUT COCKPIT</t>
  </si>
  <si>
    <t>PERIOD  |  2026-07</t>
  </si>
  <si>
    <t>TOTAL FINAL PAYOUT</t>
  </si>
  <si>
    <t>PAID AGENTS</t>
  </si>
  <si>
    <t>AVERAGE PAID PAYOUT</t>
  </si>
  <si>
    <t>PAYOUT RATE</t>
  </si>
  <si>
    <t>HIGHEST PAYOUT</t>
  </si>
  <si>
    <t>REVIEW ITEMS</t>
  </si>
  <si>
    <t>LOB DECOMPOSITION  |  SCALE, COVERAGE AND PAYOUT EXPOSURE</t>
  </si>
  <si>
    <t>Paid</t>
  </si>
  <si>
    <t>MANAGEMENT VISUALS  |  PAYOUT MIX AND COVERAGE</t>
  </si>
  <si>
    <t>PAYOUT DISTRIBUTION  |  AGENT CONCENTRATION</t>
  </si>
  <si>
    <t>Payout Band</t>
  </si>
  <si>
    <t>Share</t>
  </si>
  <si>
    <t>No payout</t>
  </si>
  <si>
    <t>0 - 499 MAD</t>
  </si>
  <si>
    <t>500 - 999 MAD</t>
  </si>
  <si>
    <t>1,000 - 1,499 MAD</t>
  </si>
  <si>
    <t>1,500+ MAD</t>
  </si>
  <si>
    <t>TEAM LEAD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</si>
</sst>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0&quot; MAD&quot;"/>
    <numFmt numFmtId="166" formatCode="#,##0.00;[Red]\(#,##0.00\);\-"/>
    <numFmt numFmtId="167" formatCode="0.00&quot; pts&quot;"/>
  </numFmts>
  <fonts count="26">
    <font>
      <sz val="11"/>
      <color theme="1"/>
      <name val="Calibri"/>
      <family val="2"/>
      <charset val="1"/>
    </font>
    <font>
      <b/>
      <sz val="18"/>
      <color rgb="FFFFFFFF"/>
      <name val="Aptos Display"/>
      <family val="2"/>
      <charset val="1"/>
    </font>
    <font>
      <sz val="9"/>
      <color rgb="FFC9D6E2"/>
      <name val="Aptos"/>
      <family val="2"/>
      <charset val="1"/>
    </font>
    <font>
      <b/>
      <sz val="8"/>
      <color rgb="FFFFFFFF"/>
      <name val="Aptos"/>
      <family val="2"/>
      <charset val="1"/>
    </font>
    <font>
      <sz val="9"/>
      <color rgb="FF243B53"/>
      <name val="Aptos"/>
      <family val="2"/>
      <charset val="1"/>
    </font>
    <font>
      <sz val="10"/>
      <color rgb="FF0000FF"/>
      <name val="Calibri"/>
      <family val="2"/>
      <charset val="1"/>
    </font>
    <font>
      <sz val="10"/>
      <color rgb="FF1F2933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8"/>
      <color rgb="FFFFFFFF"/>
      <name val="Cambria"/>
      <charset val="1"/>
    </font>
    <font>
      <sz val="10"/>
      <color rgb="FFB23B3B"/>
      <name val="Calibri"/>
      <family val="2"/>
      <charset val="1"/>
    </font>
    <font>
      <b/>
      <sz val="20"/>
      <color rgb="FFFFFFFF"/>
      <name val="Aptos Display"/>
      <family val="2"/>
      <charset val="1"/>
    </font>
    <font>
      <sz val="9"/>
      <color rgb="FFC9D6E2"/>
      <name val="Cambria"/>
      <family val="1"/>
      <charset val="1"/>
    </font>
    <font>
      <b/>
      <sz val="8"/>
      <color rgb="FFFFFFFF"/>
      <name val="Cambria"/>
      <family val="1"/>
      <charset val="1"/>
    </font>
    <font>
      <b/>
      <sz val="11"/>
      <color rgb="FF102A43"/>
      <name val="Cambria"/>
      <family val="1"/>
      <charset val="1"/>
    </font>
    <font>
      <b/>
      <sz val="8"/>
      <color rgb="FF102A43"/>
      <name val="Cambria"/>
      <family val="1"/>
      <charset val="1"/>
    </font>
    <font>
      <b/>
      <sz val="20"/>
      <color rgb="FFFFFFFF"/>
      <name val="Aptos Display"/>
      <charset val="1"/>
    </font>
    <font>
      <sz val="9"/>
      <color rgb="FFC9D6E2"/>
      <name val="Cambria"/>
      <charset val="1"/>
    </font>
    <font>
      <b/>
      <sz val="9"/>
      <color rgb="FF102A43"/>
      <name val="Aptos"/>
      <charset val="1"/>
    </font>
    <font>
      <sz val="9"/>
      <color rgb="FF243B53"/>
      <name val="Aptos"/>
      <charset val="1"/>
    </font>
    <font>
      <b/>
      <sz val="11"/>
      <color rgb="FF102A43"/>
      <name val="Cambria"/>
      <charset val="1"/>
    </font>
    <font>
      <b/>
      <sz val="11"/>
      <color rgb="FFFFFFFF"/>
      <name val="Cambria"/>
      <charset val="1"/>
    </font>
    <font>
      <b/>
      <sz val="8"/>
      <color rgb="FF102A43"/>
      <name val="Cambria"/>
      <charset val="1"/>
    </font>
    <font>
      <b/>
      <sz val="9"/>
      <color rgb="FF00A6A6"/>
      <name val="Aptos"/>
      <family val="2"/>
      <charset val="1"/>
    </font>
    <font>
      <b/>
      <sz val="20"/>
      <color rgb="FF102A43"/>
      <name val="Aptos Display"/>
      <family val="2"/>
      <charset val="1"/>
    </font>
    <font>
      <b/>
      <sz val="8"/>
      <color rgb="FF66788A"/>
      <name val="Cambria"/>
      <family val="1"/>
      <charset val="1"/>
    </font>
    <font>
      <b/>
      <u/>
      <sz val="11"/>
      <color rgb="FFFFFFFF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102A43"/>
        <bgColor rgb="FF1F2933"/>
      </patternFill>
    </fill>
    <fill>
      <patternFill patternType="solid">
        <fgColor rgb="FF173F5F"/>
        <bgColor rgb="FF17365D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7365D"/>
        <bgColor rgb="FF173F5F"/>
      </patternFill>
    </fill>
    <fill>
      <patternFill patternType="solid">
        <fgColor rgb="FF00A6A6"/>
        <bgColor rgb="FF2E8B72"/>
      </patternFill>
    </fill>
    <fill>
      <patternFill patternType="solid">
        <fgColor rgb="FFEAF2F8"/>
        <bgColor rgb="FFF8FAFC"/>
      </patternFill>
    </fill>
    <fill>
      <patternFill patternType="solid">
        <fgColor rgb="FF2F75B5"/>
        <bgColor rgb="FF4F81BD"/>
      </patternFill>
    </fill>
    <fill>
      <patternFill patternType="solid">
        <fgColor rgb="FF2E8B72"/>
        <bgColor rgb="FF2F75B5"/>
      </patternFill>
    </fill>
    <fill>
      <patternFill patternType="solid">
        <fgColor rgb="FFE6A23C"/>
        <bgColor rgb="FFFF8080"/>
      </patternFill>
    </fill>
    <fill>
      <patternFill patternType="solid">
        <fgColor rgb="FFC94C4C"/>
        <bgColor rgb="FFC0504D"/>
      </patternFill>
    </fill>
  </fills>
  <borders count="7">
    <border>
      <left/>
      <right/>
      <top/>
      <bottom/>
      <diagonal/>
    </border>
    <border>
      <left/>
      <right/>
      <top style="medium">
        <color rgb="FF9AA5B1"/>
      </top>
      <bottom style="medium">
        <color rgb="FF9AA5B1"/>
      </bottom>
      <diagonal/>
    </border>
    <border>
      <left/>
      <right/>
      <top/>
      <bottom style="hair">
        <color rgb="FFD9E2EC"/>
      </bottom>
      <diagonal/>
    </border>
    <border>
      <left/>
      <right/>
      <top/>
      <bottom style="thin">
        <color rgb="FFD5DADD"/>
      </bottom>
      <diagonal/>
    </border>
    <border>
      <left/>
      <right/>
      <top style="medium">
        <color rgb="FF00A6A6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4" fillId="0" borderId="0" xfId="0" applyFont="1" applyAlignment="1">
      <alignment horizontal="center"/>
    </xf>
    <xf numFmtId="1" fontId="23" fillId="4" borderId="6" xfId="0" applyNumberFormat="1" applyFont="1" applyFill="1" applyBorder="1" applyAlignment="1">
      <alignment horizontal="center" vertical="center"/>
    </xf>
    <xf numFmtId="165" fontId="23" fillId="4" borderId="6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22" fillId="2" borderId="0" xfId="0" applyFont="1" applyFill="1" applyAlignment="1">
      <alignment horizontal="right"/>
    </xf>
    <xf numFmtId="0" fontId="7" fillId="7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0" fontId="5" fillId="0" borderId="3" xfId="0" applyFont="1" applyBorder="1" applyAlignment="1">
      <alignment vertical="top" wrapText="1"/>
    </xf>
    <xf numFmtId="0" fontId="4" fillId="5" borderId="2" xfId="0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0" fillId="4" borderId="2" xfId="0" applyFill="1" applyBorder="1"/>
    <xf numFmtId="165" fontId="4" fillId="5" borderId="2" xfId="0" applyNumberFormat="1" applyFont="1" applyFill="1" applyBorder="1" applyAlignment="1">
      <alignment vertical="center"/>
    </xf>
    <xf numFmtId="0" fontId="7" fillId="6" borderId="0" xfId="0" applyFont="1" applyFill="1"/>
    <xf numFmtId="164" fontId="4" fillId="4" borderId="2" xfId="0" applyNumberFormat="1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vertical="center"/>
    </xf>
    <xf numFmtId="1" fontId="4" fillId="5" borderId="2" xfId="0" applyNumberFormat="1" applyFont="1" applyFill="1" applyBorder="1" applyAlignment="1">
      <alignment vertical="center"/>
    </xf>
    <xf numFmtId="1" fontId="0" fillId="0" borderId="0" xfId="0" applyNumberFormat="1"/>
    <xf numFmtId="164" fontId="0" fillId="0" borderId="0" xfId="0" applyNumberFormat="1"/>
    <xf numFmtId="0" fontId="8" fillId="3" borderId="1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2" fontId="4" fillId="4" borderId="2" xfId="0" applyNumberFormat="1" applyFont="1" applyFill="1" applyBorder="1" applyAlignment="1">
      <alignment vertical="center"/>
    </xf>
    <xf numFmtId="164" fontId="5" fillId="0" borderId="3" xfId="0" applyNumberFormat="1" applyFont="1" applyBorder="1"/>
    <xf numFmtId="0" fontId="5" fillId="0" borderId="3" xfId="0" applyFont="1" applyBorder="1"/>
    <xf numFmtId="165" fontId="5" fillId="0" borderId="3" xfId="0" applyNumberFormat="1" applyFont="1" applyBorder="1"/>
    <xf numFmtId="165" fontId="4" fillId="4" borderId="2" xfId="0" applyNumberFormat="1" applyFont="1" applyFill="1" applyBorder="1" applyAlignment="1">
      <alignment vertical="center"/>
    </xf>
    <xf numFmtId="2" fontId="4" fillId="5" borderId="2" xfId="0" applyNumberFormat="1" applyFont="1" applyFill="1" applyBorder="1" applyAlignment="1">
      <alignment vertical="center"/>
    </xf>
    <xf numFmtId="2" fontId="5" fillId="0" borderId="3" xfId="0" applyNumberFormat="1" applyFont="1" applyBorder="1"/>
    <xf numFmtId="1" fontId="5" fillId="0" borderId="3" xfId="0" applyNumberFormat="1" applyFont="1" applyBorder="1"/>
    <xf numFmtId="0" fontId="9" fillId="0" borderId="3" xfId="0" applyFont="1" applyBorder="1"/>
    <xf numFmtId="166" fontId="4" fillId="4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vertical="center"/>
    </xf>
    <xf numFmtId="0" fontId="12" fillId="3" borderId="0" xfId="0" applyFont="1" applyFill="1" applyAlignment="1">
      <alignment horizontal="center" wrapText="1"/>
    </xf>
    <xf numFmtId="0" fontId="13" fillId="4" borderId="2" xfId="0" applyFont="1" applyFill="1" applyBorder="1"/>
    <xf numFmtId="164" fontId="0" fillId="4" borderId="2" xfId="0" applyNumberFormat="1" applyFill="1" applyBorder="1"/>
    <xf numFmtId="167" fontId="0" fillId="4" borderId="2" xfId="0" applyNumberFormat="1" applyFill="1" applyBorder="1"/>
    <xf numFmtId="0" fontId="13" fillId="5" borderId="2" xfId="0" applyFont="1" applyFill="1" applyBorder="1"/>
    <xf numFmtId="0" fontId="0" fillId="5" borderId="2" xfId="0" applyFill="1" applyBorder="1"/>
    <xf numFmtId="164" fontId="0" fillId="5" borderId="2" xfId="0" applyNumberFormat="1" applyFill="1" applyBorder="1"/>
    <xf numFmtId="167" fontId="0" fillId="5" borderId="2" xfId="0" applyNumberFormat="1" applyFill="1" applyBorder="1"/>
    <xf numFmtId="0" fontId="14" fillId="8" borderId="0" xfId="0" applyFont="1" applyFill="1"/>
    <xf numFmtId="164" fontId="0" fillId="0" borderId="0" xfId="0" applyNumberFormat="1" applyAlignment="1">
      <alignment horizontal="center"/>
    </xf>
    <xf numFmtId="0" fontId="17" fillId="4" borderId="2" xfId="0" applyFont="1" applyFill="1" applyBorder="1"/>
    <xf numFmtId="0" fontId="18" fillId="4" borderId="2" xfId="0" applyFont="1" applyFill="1" applyBorder="1"/>
    <xf numFmtId="164" fontId="18" fillId="4" borderId="2" xfId="0" applyNumberFormat="1" applyFont="1" applyFill="1" applyBorder="1"/>
    <xf numFmtId="4" fontId="18" fillId="4" borderId="2" xfId="0" applyNumberFormat="1" applyFont="1" applyFill="1" applyBorder="1"/>
    <xf numFmtId="0" fontId="17" fillId="5" borderId="2" xfId="0" applyFont="1" applyFill="1" applyBorder="1"/>
    <xf numFmtId="0" fontId="18" fillId="5" borderId="2" xfId="0" applyFont="1" applyFill="1" applyBorder="1"/>
    <xf numFmtId="164" fontId="18" fillId="5" borderId="2" xfId="0" applyNumberFormat="1" applyFont="1" applyFill="1" applyBorder="1"/>
    <xf numFmtId="4" fontId="18" fillId="5" borderId="2" xfId="0" applyNumberFormat="1" applyFont="1" applyFill="1" applyBorder="1"/>
    <xf numFmtId="0" fontId="19" fillId="8" borderId="4" xfId="0" applyFont="1" applyFill="1" applyBorder="1"/>
    <xf numFmtId="164" fontId="19" fillId="8" borderId="4" xfId="0" applyNumberFormat="1" applyFont="1" applyFill="1" applyBorder="1"/>
    <xf numFmtId="4" fontId="19" fillId="8" borderId="4" xfId="0" applyNumberFormat="1" applyFont="1" applyFill="1" applyBorder="1"/>
    <xf numFmtId="0" fontId="21" fillId="8" borderId="0" xfId="0" applyFont="1" applyFill="1"/>
    <xf numFmtId="4" fontId="0" fillId="4" borderId="2" xfId="0" applyNumberFormat="1" applyFill="1" applyBorder="1"/>
    <xf numFmtId="4" fontId="0" fillId="5" borderId="2" xfId="0" applyNumberFormat="1" applyFill="1" applyBorder="1"/>
    <xf numFmtId="0" fontId="13" fillId="8" borderId="4" xfId="0" applyFont="1" applyFill="1" applyBorder="1"/>
    <xf numFmtId="164" fontId="13" fillId="8" borderId="4" xfId="0" applyNumberFormat="1" applyFont="1" applyFill="1" applyBorder="1"/>
    <xf numFmtId="4" fontId="13" fillId="8" borderId="4" xfId="0" applyNumberFormat="1" applyFont="1" applyFill="1" applyBorder="1"/>
    <xf numFmtId="0" fontId="7" fillId="3" borderId="0" xfId="0" applyFont="1" applyFill="1"/>
    <xf numFmtId="0" fontId="25" fillId="7" borderId="0" xfId="0" applyFont="1" applyFill="1"/>
    <xf numFmtId="164" fontId="7" fillId="10" borderId="0" xfId="0" applyNumberFormat="1" applyFont="1" applyFill="1" applyAlignment="1">
      <alignment horizontal="center"/>
    </xf>
    <xf numFmtId="165" fontId="7" fillId="11" borderId="0" xfId="0" applyNumberFormat="1" applyFont="1" applyFill="1" applyAlignment="1">
      <alignment horizontal="center"/>
    </xf>
    <xf numFmtId="1" fontId="7" fillId="12" borderId="0" xfId="0" applyNumberFormat="1" applyFont="1" applyFill="1" applyAlignment="1">
      <alignment horizontal="center"/>
    </xf>
    <xf numFmtId="0" fontId="10" fillId="2" borderId="0" xfId="0" applyFont="1" applyFill="1" applyAlignment="1"/>
    <xf numFmtId="0" fontId="11" fillId="2" borderId="0" xfId="0" applyFont="1" applyFill="1" applyAlignment="1"/>
    <xf numFmtId="0" fontId="15" fillId="2" borderId="0" xfId="0" applyFont="1" applyFill="1" applyAlignment="1"/>
    <xf numFmtId="0" fontId="16" fillId="2" borderId="0" xfId="0" applyFont="1" applyFill="1" applyAlignment="1"/>
    <xf numFmtId="0" fontId="20" fillId="7" borderId="0" xfId="0" applyFont="1" applyFill="1" applyAlignment="1"/>
    <xf numFmtId="0" fontId="2" fillId="2" borderId="0" xfId="0" applyFont="1" applyFill="1" applyAlignment="1"/>
    <xf numFmtId="0" fontId="7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B3B3B3"/>
      <rgbColor rgb="FF66788A"/>
      <rgbColor rgb="FF9999FF"/>
      <rgbColor rgb="FFB23B3B"/>
      <rgbColor rgb="FFF8FAFC"/>
      <rgbColor rgb="FFEAF2F8"/>
      <rgbColor rgb="FF660066"/>
      <rgbColor rgb="FFFF8080"/>
      <rgbColor rgb="FF173F5F"/>
      <rgbColor rgb="FFC9D6E2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E2EC"/>
      <rgbColor rgb="FFD5DADD"/>
      <rgbColor rgb="FFFFFF99"/>
      <rgbColor rgb="FF99CCFF"/>
      <rgbColor rgb="FFFF99CC"/>
      <rgbColor rgb="FFCC99FF"/>
      <rgbColor rgb="FFD9D9D9"/>
      <rgbColor rgb="FF2F75B5"/>
      <rgbColor rgb="FF4BACC6"/>
      <rgbColor rgb="FF9BBB59"/>
      <rgbColor rgb="FFFFCC00"/>
      <rgbColor rgb="FFE6A23C"/>
      <rgbColor rgb="FFFF6600"/>
      <rgbColor rgb="FF8064A2"/>
      <rgbColor rgb="FF9AA5B1"/>
      <rgbColor rgb="FF17365D"/>
      <rgbColor rgb="FF2E8B72"/>
      <rgbColor rgb="FF0F3B42"/>
      <rgbColor rgb="FF102A43"/>
      <rgbColor rgb="FFC94C4C"/>
      <rgbColor rgb="FFC0504D"/>
      <rgbColor rgb="FF243B53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Sum of agent award points by KPI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KPI_Analysis!$F$5</c:f>
              <c:strCache>
                <c:ptCount val="1"/>
                <c:pt idx="0">
                  <c:v>Sum of Agent Award Points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KPI_Analysis!$A$6:$A$12</c:f>
              <c:strCache>
                <c:ptCount val="7"/>
                <c:pt idx="0">
                  <c:v>AHT</c:v>
                </c:pt>
                <c:pt idx="1">
                  <c:v>Productivity</c:v>
                </c:pt>
                <c:pt idx="2">
                  <c:v>PCS Score</c:v>
                </c:pt>
                <c:pt idx="3">
                  <c:v>PCS Participation</c:v>
                </c:pt>
                <c:pt idx="4">
                  <c:v>QM</c:v>
                </c:pt>
                <c:pt idx="5">
                  <c:v>Absence</c:v>
                </c:pt>
                <c:pt idx="6">
                  <c:v>Extra PCS</c:v>
                </c:pt>
              </c:strCache>
            </c:strRef>
          </c:cat>
          <c:val>
            <c:numRef>
              <c:f>KPI_Analysis!$F$6:$F$12</c:f>
              <c:numCache>
                <c:formatCode>0.00" pts"</c:formatCode>
                <c:ptCount val="7"/>
                <c:pt idx="0">
                  <c:v>11.100000000000016</c:v>
                </c:pt>
                <c:pt idx="1">
                  <c:v>12.450000000000019</c:v>
                </c:pt>
                <c:pt idx="2">
                  <c:v>13.249999999999993</c:v>
                </c:pt>
                <c:pt idx="3">
                  <c:v>0.30000000000000004</c:v>
                </c:pt>
                <c:pt idx="4">
                  <c:v>3.9999999999999996</c:v>
                </c:pt>
                <c:pt idx="5">
                  <c:v>16.200000000000024</c:v>
                </c:pt>
                <c:pt idx="6">
                  <c:v>14.500000000000009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8-488F-B038-0D9984643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86710"/>
        <c:axId val="52145523"/>
      </c:barChart>
      <c:catAx>
        <c:axId val="243867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145523"/>
        <c:crosses val="autoZero"/>
        <c:auto val="1"/>
        <c:lblAlgn val="ctr"/>
        <c:lblOffset val="100"/>
        <c:noMultiLvlLbl val="0"/>
      </c:catAx>
      <c:valAx>
        <c:axId val="521455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&quot; pts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3867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Final payout by Team Lead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Team_Lead_Analysis!E5</c:f>
              <c:strCache>
                <c:ptCount val="1"/>
                <c:pt idx="0">
                  <c:v>Final Payout (MAD)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Team_Lead_Analysis!$A$6:$A$17</c:f>
              <c:strCache>
                <c:ptCount val="12"/>
                <c:pt idx="0">
                  <c:v>AL TAMIMI Zeynab</c:v>
                </c:pt>
                <c:pt idx="1">
                  <c:v>DERRAZI Ilyasse</c:v>
                </c:pt>
                <c:pt idx="2">
                  <c:v>EL GHAZI Youssef</c:v>
                </c:pt>
                <c:pt idx="3">
                  <c:v>Farouk BOUAZZAOUI</c:v>
                </c:pt>
                <c:pt idx="4">
                  <c:v>Glenn Antoon</c:v>
                </c:pt>
                <c:pt idx="5">
                  <c:v>Grouh Jaouad</c:v>
                </c:pt>
                <c:pt idx="6">
                  <c:v>JEANNE NKIKIO RWIBUTSO</c:v>
                </c:pt>
                <c:pt idx="7">
                  <c:v>KAIKAI Faissal</c:v>
                </c:pt>
                <c:pt idx="8">
                  <c:v>Kenza EL MOUMNI</c:v>
                </c:pt>
                <c:pt idx="9">
                  <c:v>Malak AZERKI</c:v>
                </c:pt>
                <c:pt idx="10">
                  <c:v>Mohamed-Amine SADKI</c:v>
                </c:pt>
                <c:pt idx="11">
                  <c:v>Zineb MOUFID</c:v>
                </c:pt>
              </c:strCache>
            </c:strRef>
          </c:cat>
          <c:val>
            <c:numRef>
              <c:f>Team_Lead_Analysis!$E$6:$E$17</c:f>
              <c:numCache>
                <c:formatCode>#,##0.00</c:formatCode>
                <c:ptCount val="12"/>
                <c:pt idx="0">
                  <c:v>16500</c:v>
                </c:pt>
                <c:pt idx="1">
                  <c:v>12200</c:v>
                </c:pt>
                <c:pt idx="2">
                  <c:v>12400</c:v>
                </c:pt>
                <c:pt idx="3">
                  <c:v>11100</c:v>
                </c:pt>
                <c:pt idx="4">
                  <c:v>11700</c:v>
                </c:pt>
                <c:pt idx="5">
                  <c:v>2900</c:v>
                </c:pt>
                <c:pt idx="6">
                  <c:v>11000</c:v>
                </c:pt>
                <c:pt idx="7">
                  <c:v>0</c:v>
                </c:pt>
                <c:pt idx="8">
                  <c:v>16600</c:v>
                </c:pt>
                <c:pt idx="9">
                  <c:v>19800</c:v>
                </c:pt>
                <c:pt idx="10">
                  <c:v>12800</c:v>
                </c:pt>
                <c:pt idx="11">
                  <c:v>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D-4912-B01A-39E2A88B2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65108"/>
        <c:axId val="54717183"/>
      </c:barChart>
      <c:catAx>
        <c:axId val="241651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717183"/>
        <c:crosses val="autoZero"/>
        <c:auto val="1"/>
        <c:lblAlgn val="ctr"/>
        <c:lblOffset val="100"/>
        <c:noMultiLvlLbl val="0"/>
      </c:catAx>
      <c:valAx>
        <c:axId val="5471718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1651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Final payout by LOB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Dashboard!$F$13</c:f>
              <c:strCache>
                <c:ptCount val="1"/>
                <c:pt idx="0">
                  <c:v>Final Payout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Dashboard!$B$14:$B$19</c:f>
              <c:strCache>
                <c:ptCount val="6"/>
                <c:pt idx="0">
                  <c:v>Ford GER</c:v>
                </c:pt>
                <c:pt idx="1">
                  <c:v>Ford Dutch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Dashboard!$F$14:$F$19</c:f>
              <c:numCache>
                <c:formatCode>#,##0.00</c:formatCode>
                <c:ptCount val="6"/>
                <c:pt idx="0">
                  <c:v>2900</c:v>
                </c:pt>
                <c:pt idx="1">
                  <c:v>21700</c:v>
                </c:pt>
                <c:pt idx="2">
                  <c:v>62600</c:v>
                </c:pt>
                <c:pt idx="3">
                  <c:v>14300</c:v>
                </c:pt>
                <c:pt idx="4">
                  <c:v>30400</c:v>
                </c:pt>
                <c:pt idx="5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4-444B-9727-818A5EFDD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05289"/>
        <c:axId val="429151"/>
      </c:barChart>
      <c:catAx>
        <c:axId val="8980528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9151"/>
        <c:crosses val="autoZero"/>
        <c:auto val="1"/>
        <c:lblAlgn val="ctr"/>
        <c:lblOffset val="100"/>
        <c:noMultiLvlLbl val="0"/>
      </c:catAx>
      <c:valAx>
        <c:axId val="4291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8052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Paid agents versus total agents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Dashboard!$C$13</c:f>
              <c:strCache>
                <c:ptCount val="1"/>
                <c:pt idx="0">
                  <c:v>Agents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Dashboard!$B$14:$B$19</c:f>
              <c:strCache>
                <c:ptCount val="6"/>
                <c:pt idx="0">
                  <c:v>Ford GER</c:v>
                </c:pt>
                <c:pt idx="1">
                  <c:v>Ford Dutch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Dashboard!$C$14:$C$19</c:f>
              <c:numCache>
                <c:formatCode>General</c:formatCode>
                <c:ptCount val="6"/>
                <c:pt idx="0">
                  <c:v>7</c:v>
                </c:pt>
                <c:pt idx="1">
                  <c:v>24</c:v>
                </c:pt>
                <c:pt idx="2">
                  <c:v>59</c:v>
                </c:pt>
                <c:pt idx="3">
                  <c:v>18</c:v>
                </c:pt>
                <c:pt idx="4">
                  <c:v>45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B-4539-BED9-755F870C973A}"/>
            </c:ext>
          </c:extLst>
        </c:ser>
        <c:ser>
          <c:idx val="1"/>
          <c:order val="1"/>
          <c:tx>
            <c:strRef>
              <c:f>Dashboard!$D$13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Dashboard!$B$14:$B$19</c:f>
              <c:strCache>
                <c:ptCount val="6"/>
                <c:pt idx="0">
                  <c:v>Ford GER</c:v>
                </c:pt>
                <c:pt idx="1">
                  <c:v>Ford Dutch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Dashboard!$D$14:$D$19</c:f>
              <c:numCache>
                <c:formatCode>General</c:formatCode>
                <c:ptCount val="6"/>
                <c:pt idx="0">
                  <c:v>4</c:v>
                </c:pt>
                <c:pt idx="1">
                  <c:v>23</c:v>
                </c:pt>
                <c:pt idx="2">
                  <c:v>56</c:v>
                </c:pt>
                <c:pt idx="3">
                  <c:v>18</c:v>
                </c:pt>
                <c:pt idx="4">
                  <c:v>32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B-4539-BED9-755F870C9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22996"/>
        <c:axId val="96892360"/>
      </c:barChart>
      <c:catAx>
        <c:axId val="393229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6892360"/>
        <c:crosses val="autoZero"/>
        <c:auto val="1"/>
        <c:lblAlgn val="ctr"/>
        <c:lblOffset val="100"/>
        <c:noMultiLvlLbl val="0"/>
      </c:catAx>
      <c:valAx>
        <c:axId val="968923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3229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Agent payout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Dashboard!$C$42</c:f>
              <c:strCache>
                <c:ptCount val="1"/>
                <c:pt idx="0">
                  <c:v>Agents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562-426F-9B51-9EFEC2B4AC5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562-426F-9B51-9EFEC2B4AC5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562-426F-9B51-9EFEC2B4AC5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562-426F-9B51-9EFEC2B4AC5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562-426F-9B51-9EFEC2B4AC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562-426F-9B51-9EFEC2B4AC5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562-426F-9B51-9EFEC2B4AC5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562-426F-9B51-9EFEC2B4AC5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562-426F-9B51-9EFEC2B4AC5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562-426F-9B51-9EFEC2B4AC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Dashboard!$B$43:$B$47</c:f>
              <c:strCache>
                <c:ptCount val="5"/>
                <c:pt idx="0">
                  <c:v>No payout</c:v>
                </c:pt>
                <c:pt idx="1">
                  <c:v>0 - 499 MAD</c:v>
                </c:pt>
                <c:pt idx="2">
                  <c:v>500 - 999 MAD</c:v>
                </c:pt>
                <c:pt idx="3">
                  <c:v>1,000 - 1,499 MAD</c:v>
                </c:pt>
                <c:pt idx="4">
                  <c:v>1,500+ MAD</c:v>
                </c:pt>
              </c:strCache>
            </c:strRef>
          </c:cat>
          <c:val>
            <c:numRef>
              <c:f>Dashboard!$C$43:$C$47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51</c:v>
                </c:pt>
                <c:pt idx="3">
                  <c:v>42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62-426F-9B51-9EFEC2B4A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3</xdr:col>
      <xdr:colOff>731520</xdr:colOff>
      <xdr:row>30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33</xdr:row>
      <xdr:rowOff>180975</xdr:rowOff>
    </xdr:from>
    <xdr:to>
      <xdr:col>5</xdr:col>
      <xdr:colOff>123825</xdr:colOff>
      <xdr:row>50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6</xdr:col>
      <xdr:colOff>1058400</xdr:colOff>
      <xdr:row>37</xdr:row>
      <xdr:rowOff>227880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14</xdr:col>
      <xdr:colOff>631800</xdr:colOff>
      <xdr:row>37</xdr:row>
      <xdr:rowOff>245880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0</xdr:rowOff>
    </xdr:from>
    <xdr:to>
      <xdr:col>13</xdr:col>
      <xdr:colOff>205200</xdr:colOff>
      <xdr:row>56</xdr:row>
      <xdr:rowOff>212760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../../Bonus_Matrix_Team_Lea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12"/>
  <sheetViews>
    <sheetView showGridLines="0" zoomScale="90" zoomScaleNormal="90" workbookViewId="0">
      <pane ySplit="4" topLeftCell="A6" activePane="bottomLeft" state="frozen"/>
      <selection pane="bottomLeft" activeCell="B20" sqref="B20"/>
    </sheetView>
  </sheetViews>
  <sheetFormatPr defaultColWidth="8.7109375" defaultRowHeight="14.25"/>
  <cols>
    <col min="1" max="1" width="28" customWidth="1"/>
    <col min="2" max="2" width="25" customWidth="1"/>
    <col min="3" max="3" width="32" customWidth="1"/>
    <col min="4" max="4" width="58" customWidth="1"/>
    <col min="5" max="5" width="20" customWidth="1"/>
    <col min="6" max="6" width="15" customWidth="1"/>
    <col min="7" max="7" width="35" customWidth="1"/>
  </cols>
  <sheetData>
    <row r="1" spans="1:7" ht="30" customHeight="1">
      <c r="A1" s="9" t="s">
        <v>0</v>
      </c>
      <c r="B1" s="10"/>
      <c r="C1" s="10"/>
      <c r="D1" s="10"/>
      <c r="E1" s="10"/>
      <c r="F1" s="10"/>
      <c r="G1" s="10"/>
    </row>
    <row r="2" spans="1:7" ht="21" customHeight="1">
      <c r="A2" s="11"/>
      <c r="B2" s="10"/>
      <c r="C2" s="10"/>
      <c r="D2" s="10"/>
      <c r="E2" s="10"/>
      <c r="F2" s="10"/>
      <c r="G2" s="10"/>
    </row>
    <row r="4" spans="1:7" ht="33.75" customHeight="1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</row>
    <row r="5" spans="1:7" ht="36" customHeight="1">
      <c r="A5" s="13" t="s">
        <v>8</v>
      </c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4"/>
    </row>
    <row r="6" spans="1:7" ht="36" customHeight="1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13</v>
      </c>
      <c r="G6" s="14"/>
    </row>
    <row r="7" spans="1:7" ht="36" customHeight="1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13</v>
      </c>
      <c r="G7" s="14"/>
    </row>
    <row r="8" spans="1:7" ht="36" customHeight="1">
      <c r="A8" s="15" t="s">
        <v>24</v>
      </c>
      <c r="B8" s="15" t="s">
        <v>25</v>
      </c>
      <c r="C8" s="15" t="s">
        <v>26</v>
      </c>
      <c r="D8" s="15" t="s">
        <v>27</v>
      </c>
      <c r="E8" s="15" t="s">
        <v>23</v>
      </c>
      <c r="F8" s="15" t="s">
        <v>13</v>
      </c>
      <c r="G8" s="14"/>
    </row>
    <row r="9" spans="1:7" ht="36" customHeight="1">
      <c r="A9" s="13" t="s">
        <v>28</v>
      </c>
      <c r="B9" s="13" t="s">
        <v>29</v>
      </c>
      <c r="C9" s="13" t="s">
        <v>30</v>
      </c>
      <c r="D9" s="13" t="s">
        <v>31</v>
      </c>
      <c r="E9" s="13" t="s">
        <v>32</v>
      </c>
      <c r="F9" s="13" t="s">
        <v>13</v>
      </c>
      <c r="G9" s="14"/>
    </row>
    <row r="10" spans="1:7" ht="36" customHeight="1">
      <c r="A10" s="15" t="s">
        <v>33</v>
      </c>
      <c r="B10" s="16">
        <v>1.3</v>
      </c>
      <c r="C10" s="15" t="s">
        <v>34</v>
      </c>
      <c r="D10" s="15" t="s">
        <v>35</v>
      </c>
      <c r="E10" s="15" t="s">
        <v>12</v>
      </c>
      <c r="F10" s="15" t="s">
        <v>13</v>
      </c>
      <c r="G10" s="14"/>
    </row>
    <row r="11" spans="1:7" ht="36" customHeight="1">
      <c r="A11" s="13" t="s">
        <v>36</v>
      </c>
      <c r="B11" s="13" t="s">
        <v>37</v>
      </c>
      <c r="C11" s="13" t="s">
        <v>38</v>
      </c>
      <c r="D11" s="13" t="s">
        <v>39</v>
      </c>
      <c r="E11" s="13" t="s">
        <v>40</v>
      </c>
      <c r="F11" s="13" t="s">
        <v>41</v>
      </c>
      <c r="G11" s="14"/>
    </row>
    <row r="12" spans="1:7" ht="36" customHeight="1">
      <c r="A12" s="15" t="s">
        <v>42</v>
      </c>
      <c r="B12" s="15" t="s">
        <v>43</v>
      </c>
      <c r="C12" s="15" t="s">
        <v>44</v>
      </c>
      <c r="D12" s="15" t="s">
        <v>45</v>
      </c>
      <c r="E12" s="15" t="s">
        <v>46</v>
      </c>
      <c r="F12" s="15" t="s">
        <v>41</v>
      </c>
      <c r="G12" s="14"/>
    </row>
  </sheetData>
  <dataValidations count="7">
    <dataValidation type="list" sqref="B5" xr:uid="{00000000-0002-0000-0000-000000000000}">
      <formula1>"Proportional,Percentage points"</formula1>
      <formula2>0</formula2>
    </dataValidation>
    <dataValidation type="list" sqref="B6" xr:uid="{00000000-0002-0000-0000-000001000000}">
      <formula1>"Additive,Replacement"</formula1>
      <formula2>0</formula2>
    </dataValidation>
    <dataValidation type="list" sqref="B7" xr:uid="{00000000-0002-0000-0000-000002000000}">
      <formula1>"Monthly,Annual"</formula1>
      <formula2>0</formula2>
    </dataValidation>
    <dataValidation type="list" sqref="B8" xr:uid="{00000000-0002-0000-0000-000003000000}">
      <formula1>"Calendar days,Working days,Planned days"</formula1>
      <formula2>0</formula2>
    </dataValidation>
    <dataValidation type="list" sqref="B9" xr:uid="{00000000-0002-0000-0000-000004000000}">
      <formula1>"KPI only,Eligibility only,Both"</formula1>
      <formula2>0</formula2>
    </dataValidation>
    <dataValidation type="list" sqref="B11" xr:uid="{00000000-0002-0000-0000-000005000000}">
      <formula1>"Centime,Whole MAD"</formula1>
      <formula2>0</formula2>
    </dataValidation>
    <dataValidation type="list" sqref="F5:F12" xr:uid="{00000000-0002-0000-0000-000006000000}">
      <formula1>"To validate,Validated,Not applicable"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H17"/>
  <sheetViews>
    <sheetView showGridLines="0" zoomScale="90" zoomScaleNormal="90" workbookViewId="0">
      <pane ySplit="4" topLeftCell="A5" activePane="bottomLeft" state="frozen"/>
      <selection pane="bottomLeft" activeCell="A26" sqref="A26"/>
    </sheetView>
  </sheetViews>
  <sheetFormatPr defaultColWidth="8.7109375" defaultRowHeight="14.25"/>
  <cols>
    <col min="1" max="1" width="23" customWidth="1"/>
    <col min="2" max="2" width="42" customWidth="1"/>
    <col min="3" max="3" width="20" customWidth="1"/>
    <col min="4" max="4" width="13" customWidth="1"/>
    <col min="5" max="5" width="12" customWidth="1"/>
    <col min="6" max="6" width="17" customWidth="1"/>
    <col min="7" max="7" width="25" customWidth="1"/>
    <col min="8" max="8" width="34" customWidth="1"/>
  </cols>
  <sheetData>
    <row r="1" spans="1:8" ht="30" customHeight="1">
      <c r="A1" s="9" t="s">
        <v>47</v>
      </c>
      <c r="B1" s="10"/>
      <c r="C1" s="10"/>
      <c r="D1" s="10"/>
      <c r="E1" s="10"/>
      <c r="F1" s="10"/>
      <c r="G1" s="10"/>
      <c r="H1" s="10"/>
    </row>
    <row r="2" spans="1:8" ht="21" customHeight="1">
      <c r="A2" s="11"/>
      <c r="B2" s="10"/>
      <c r="C2" s="10"/>
      <c r="D2" s="10"/>
      <c r="E2" s="10"/>
      <c r="F2" s="10"/>
      <c r="G2" s="10"/>
      <c r="H2" s="10"/>
    </row>
    <row r="4" spans="1:8" ht="33.75" customHeight="1">
      <c r="A4" s="12" t="s">
        <v>48</v>
      </c>
      <c r="B4" s="12" t="s">
        <v>49</v>
      </c>
      <c r="C4" s="12" t="s">
        <v>50</v>
      </c>
      <c r="D4" s="12" t="s">
        <v>51</v>
      </c>
      <c r="E4" s="12" t="s">
        <v>6</v>
      </c>
      <c r="F4" s="12" t="s">
        <v>5</v>
      </c>
      <c r="G4" s="12" t="s">
        <v>52</v>
      </c>
      <c r="H4" s="12" t="s">
        <v>53</v>
      </c>
    </row>
    <row r="5" spans="1:8" ht="14.25" customHeight="1">
      <c r="A5" s="13" t="s">
        <v>54</v>
      </c>
      <c r="B5" s="13" t="s">
        <v>55</v>
      </c>
      <c r="C5" s="13">
        <f>COUNTIFS(Raw_Data!A5:A206,"&lt;&gt;",Raw_Data!M5:M206,"")</f>
        <v>0</v>
      </c>
      <c r="D5" s="13">
        <v>0</v>
      </c>
      <c r="E5" s="13" t="str">
        <f>IF(D5="INFO","INFO",IF(C5=D5,"OK","REVIEW"))</f>
        <v>OK</v>
      </c>
      <c r="F5" s="13" t="s">
        <v>56</v>
      </c>
      <c r="G5" s="17"/>
      <c r="H5" s="17"/>
    </row>
    <row r="6" spans="1:8" ht="14.25" customHeight="1">
      <c r="A6" s="15" t="s">
        <v>54</v>
      </c>
      <c r="B6" s="15" t="s">
        <v>57</v>
      </c>
      <c r="C6" s="15">
        <f>COUNTIFS(Raw_Data!A5:A206,"&lt;&gt;",Raw_Data!M5:M206,"&lt;&gt;MAD")</f>
        <v>0</v>
      </c>
      <c r="D6" s="15">
        <v>0</v>
      </c>
      <c r="E6" s="15" t="str">
        <f>IF(D6="INFO","INFO",IF(C6=D6,"OK","REVIEW"))</f>
        <v>OK</v>
      </c>
      <c r="F6" s="15" t="s">
        <v>56</v>
      </c>
      <c r="G6" s="17"/>
      <c r="H6" s="17"/>
    </row>
    <row r="7" spans="1:8" ht="14.25" customHeight="1">
      <c r="A7" s="13" t="s">
        <v>54</v>
      </c>
      <c r="B7" s="13" t="s">
        <v>58</v>
      </c>
      <c r="C7" s="13">
        <f>SUMPRODUCT(--(Raw_Data!A5:A206&lt;&gt;""),--(Raw_Data!P5:P206=""),--((Raw_Data!N5:N206="")+(Raw_Data!O5:O206="")&gt;0))</f>
        <v>0</v>
      </c>
      <c r="D7" s="13">
        <v>0</v>
      </c>
      <c r="E7" s="13" t="str">
        <f>IF(D7="INFO","INFO",IF(C7=D7,"OK","REVIEW"))</f>
        <v>OK</v>
      </c>
      <c r="F7" s="13" t="s">
        <v>56</v>
      </c>
      <c r="G7" s="17"/>
      <c r="H7" s="17"/>
    </row>
    <row r="8" spans="1:8" ht="14.25" customHeight="1">
      <c r="A8" s="15" t="s">
        <v>59</v>
      </c>
      <c r="B8" s="15" t="s">
        <v>60</v>
      </c>
      <c r="C8" s="15">
        <f>SUMPRODUCT(--(Raw_Data!A5:A206&lt;&gt;""),--((Raw_Data!R5:R206="")+(Raw_Data!R5:R206&lt;=0)&gt;0))</f>
        <v>0</v>
      </c>
      <c r="D8" s="15">
        <v>0</v>
      </c>
      <c r="E8" s="15" t="str">
        <f>IF(D8="INFO","INFO",IF(C8=D8,"OK","REVIEW"))</f>
        <v>OK</v>
      </c>
      <c r="F8" s="15" t="s">
        <v>56</v>
      </c>
      <c r="G8" s="17"/>
      <c r="H8" s="17"/>
    </row>
    <row r="9" spans="1:8" ht="14.25" customHeight="1">
      <c r="A9" s="13" t="s">
        <v>59</v>
      </c>
      <c r="B9" s="13" t="s">
        <v>61</v>
      </c>
      <c r="C9" s="13">
        <f>SUMPRODUCT(--(Raw_Data!A5:A206&lt;&gt;""),--(Raw_Data!Q5:Q206&gt;Raw_Data!R5:R206))</f>
        <v>0</v>
      </c>
      <c r="D9" s="13">
        <v>0</v>
      </c>
      <c r="E9" s="13" t="str">
        <f>IF(D9="INFO","INFO",IF(C9=D9,"OK","REVIEW"))</f>
        <v>OK</v>
      </c>
      <c r="F9" s="13" t="s">
        <v>56</v>
      </c>
      <c r="G9" s="17"/>
      <c r="H9" s="17"/>
    </row>
    <row r="10" spans="1:8" ht="14.25" customHeight="1">
      <c r="A10" s="15" t="s">
        <v>62</v>
      </c>
      <c r="B10" s="15" t="s">
        <v>63</v>
      </c>
      <c r="C10" s="15">
        <f>COUNTIFS(Raw_Data!A5:A206,"&lt;&gt;",Raw_Data!D5:D206,"&lt;&gt;2026-07")</f>
        <v>0</v>
      </c>
      <c r="D10" s="15">
        <v>0</v>
      </c>
      <c r="E10" s="15" t="str">
        <f>IF(D10="INFO","INFO",IF(C10=D10,"OK","REVIEW"))</f>
        <v>OK</v>
      </c>
      <c r="F10" s="15" t="s">
        <v>56</v>
      </c>
      <c r="G10" s="17"/>
      <c r="H10" s="17"/>
    </row>
    <row r="11" spans="1:8" ht="14.25" customHeight="1">
      <c r="A11" s="13" t="s">
        <v>62</v>
      </c>
      <c r="B11" s="13" t="s">
        <v>64</v>
      </c>
      <c r="C11" s="13">
        <f>SUMPRODUCT(--(Raw_Data!$A$5:$A$206&lt;&gt;""),--(COUNTIF(KPI_Config!$A$5:$A$46,Raw_Data!$C$5:$C$206)=0))</f>
        <v>0</v>
      </c>
      <c r="D11" s="13">
        <v>0</v>
      </c>
      <c r="E11" s="13" t="str">
        <f>IF(D11="INFO","INFO",IF(C11=D11,"OK","REVIEW"))</f>
        <v>OK</v>
      </c>
      <c r="F11" s="13" t="s">
        <v>56</v>
      </c>
      <c r="G11" s="17"/>
      <c r="H11" s="17"/>
    </row>
    <row r="12" spans="1:8" ht="14.25" customHeight="1">
      <c r="A12" s="15" t="s">
        <v>62</v>
      </c>
      <c r="B12" s="15" t="s">
        <v>65</v>
      </c>
      <c r="C12" s="15">
        <f>SUMPRODUCT((Raw_Data!A5:A206&lt;&gt;"")*(COUNTIFS(Raw_Data!A5:A206,Raw_Data!A5:A206,Raw_Data!D5:D206,Raw_Data!D5:D206)&gt;1))/2</f>
        <v>0</v>
      </c>
      <c r="D12" s="15">
        <v>0</v>
      </c>
      <c r="E12" s="15" t="str">
        <f>IF(D12="INFO","INFO",IF(C12=D12,"OK","REVIEW"))</f>
        <v>OK</v>
      </c>
      <c r="F12" s="15" t="s">
        <v>56</v>
      </c>
      <c r="G12" s="17"/>
      <c r="H12" s="17"/>
    </row>
    <row r="13" spans="1:8" ht="14.25" customHeight="1">
      <c r="A13" s="13" t="s">
        <v>1</v>
      </c>
      <c r="B13" s="13" t="s">
        <v>66</v>
      </c>
      <c r="C13" s="13">
        <f>COUNTIF(Policy_Decisions!F5:F12,"&lt;&gt;Validated")</f>
        <v>2</v>
      </c>
      <c r="D13" s="13">
        <v>0</v>
      </c>
      <c r="E13" s="13" t="str">
        <f>IF(D13="INFO","INFO",IF(C13=D13,"OK","REVIEW"))</f>
        <v>REVIEW</v>
      </c>
      <c r="F13" s="13" t="s">
        <v>56</v>
      </c>
      <c r="G13" s="17"/>
      <c r="H13" s="17"/>
    </row>
    <row r="14" spans="1:8" ht="14.25" customHeight="1">
      <c r="A14" s="15" t="s">
        <v>67</v>
      </c>
      <c r="B14" s="15" t="s">
        <v>68</v>
      </c>
      <c r="C14" s="15">
        <f>COUNTIF(Raw_Data!S5:S206,"SYNTHETIC")</f>
        <v>0</v>
      </c>
      <c r="D14" s="15">
        <v>0</v>
      </c>
      <c r="E14" s="15" t="str">
        <f>IF(D14="INFO","INFO",IF(C14=D14,"OK","REVIEW"))</f>
        <v>OK</v>
      </c>
      <c r="F14" s="15" t="s">
        <v>56</v>
      </c>
      <c r="G14" s="17"/>
      <c r="H14" s="17"/>
    </row>
    <row r="15" spans="1:8" ht="14.25" customHeight="1">
      <c r="A15" s="18" t="s">
        <v>69</v>
      </c>
      <c r="B15" s="18" t="s">
        <v>70</v>
      </c>
      <c r="C15" s="18">
        <f>COUNTIFS(Raw_Data!$A$5:$A$206,"&lt;&gt;",Raw_Data!$T$5:$T$206,"Unmapped")</f>
        <v>0</v>
      </c>
      <c r="D15" s="18">
        <v>0</v>
      </c>
      <c r="E15" s="18" t="str">
        <f>IF(C15=D15,"OK","REVIEW")</f>
        <v>OK</v>
      </c>
      <c r="F15" s="18" t="s">
        <v>56</v>
      </c>
      <c r="G15" s="18"/>
      <c r="H15" s="18"/>
    </row>
    <row r="16" spans="1:8" ht="14.25" customHeight="1">
      <c r="A16" s="13" t="s">
        <v>71</v>
      </c>
      <c r="B16" s="13" t="s">
        <v>72</v>
      </c>
      <c r="C16" s="13">
        <f>COUNTA(Raw_Data!A5:A206)</f>
        <v>167</v>
      </c>
      <c r="D16" s="13" t="s">
        <v>73</v>
      </c>
      <c r="E16" s="13" t="str">
        <f>IF(D15="INFO","INFO",IF(C15=D15,"OK","REVIEW"))</f>
        <v>OK</v>
      </c>
      <c r="F16" s="13" t="s">
        <v>56</v>
      </c>
      <c r="G16" s="17"/>
      <c r="H16" s="17"/>
    </row>
    <row r="17" spans="1:8" ht="14.25" customHeight="1">
      <c r="A17" s="15" t="s">
        <v>71</v>
      </c>
      <c r="B17" s="15" t="s">
        <v>74</v>
      </c>
      <c r="C17" s="19">
        <f>SUM(Results!Y5:Y206)</f>
        <v>143600</v>
      </c>
      <c r="D17" s="15" t="s">
        <v>73</v>
      </c>
      <c r="E17" s="15" t="str">
        <f>IF(D16="INFO","INFO",IF(C16=D16,"OK","REVIEW"))</f>
        <v>INFO</v>
      </c>
      <c r="F17" s="15" t="s">
        <v>56</v>
      </c>
      <c r="G17" s="17"/>
      <c r="H17" s="17"/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3B42"/>
    <pageSetUpPr fitToPage="1"/>
  </sheetPr>
  <dimension ref="A1:J46"/>
  <sheetViews>
    <sheetView showGridLines="0" zoomScale="90" zoomScaleNormal="90" workbookViewId="0">
      <pane ySplit="4" topLeftCell="A5" activePane="bottomLeft" state="frozen"/>
      <selection pane="bottomLeft" activeCell="I5" sqref="I5"/>
    </sheetView>
  </sheetViews>
  <sheetFormatPr defaultColWidth="8.7109375" defaultRowHeight="14.25"/>
  <cols>
    <col min="1" max="1" width="15" customWidth="1"/>
    <col min="2" max="2" width="28" customWidth="1"/>
    <col min="3" max="3" width="11" customWidth="1"/>
    <col min="4" max="4" width="17" customWidth="1"/>
    <col min="5" max="5" width="16" customWidth="1"/>
    <col min="6" max="6" width="17" customWidth="1"/>
    <col min="7" max="7" width="16" customWidth="1"/>
    <col min="8" max="8" width="3" customWidth="1"/>
    <col min="9" max="9" width="22" customWidth="1"/>
    <col min="10" max="10" width="15" customWidth="1"/>
  </cols>
  <sheetData>
    <row r="1" spans="1:10" ht="30" customHeight="1">
      <c r="A1" s="9" t="s">
        <v>75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1" customHeight="1">
      <c r="A2" s="11"/>
      <c r="B2" s="10"/>
      <c r="C2" s="10"/>
      <c r="D2" s="10"/>
      <c r="E2" s="10"/>
      <c r="F2" s="10"/>
      <c r="G2" s="10"/>
      <c r="H2" s="10"/>
      <c r="I2" s="10"/>
      <c r="J2" s="10"/>
    </row>
    <row r="4" spans="1:10" ht="33.75" customHeight="1">
      <c r="A4" s="12" t="s">
        <v>76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  <c r="G4" s="12" t="s">
        <v>82</v>
      </c>
      <c r="H4" s="20"/>
      <c r="I4" s="12" t="s">
        <v>83</v>
      </c>
      <c r="J4" s="12" t="s">
        <v>84</v>
      </c>
    </row>
    <row r="5" spans="1:10" ht="14.25" customHeight="1">
      <c r="A5" s="13" t="s">
        <v>85</v>
      </c>
      <c r="B5" s="13" t="s">
        <v>86</v>
      </c>
      <c r="C5" s="13" t="s">
        <v>87</v>
      </c>
      <c r="D5" s="21">
        <v>0.15</v>
      </c>
      <c r="E5" s="13">
        <v>450</v>
      </c>
      <c r="F5" s="21">
        <v>0</v>
      </c>
      <c r="G5" s="13">
        <v>0</v>
      </c>
      <c r="I5" s="22">
        <v>0</v>
      </c>
      <c r="J5" s="21">
        <v>0</v>
      </c>
    </row>
    <row r="6" spans="1:10" ht="14.25" customHeight="1">
      <c r="A6" s="15" t="s">
        <v>85</v>
      </c>
      <c r="B6" s="15" t="s">
        <v>88</v>
      </c>
      <c r="C6" s="15" t="s">
        <v>89</v>
      </c>
      <c r="D6" s="16">
        <v>0.15</v>
      </c>
      <c r="E6" s="15">
        <v>7</v>
      </c>
      <c r="F6" s="16">
        <v>0</v>
      </c>
      <c r="G6" s="15">
        <v>0</v>
      </c>
      <c r="I6" s="23">
        <v>1</v>
      </c>
      <c r="J6" s="16">
        <v>0.1</v>
      </c>
    </row>
    <row r="7" spans="1:10" ht="14.25" customHeight="1">
      <c r="A7" s="13" t="s">
        <v>85</v>
      </c>
      <c r="B7" s="13" t="s">
        <v>90</v>
      </c>
      <c r="C7" s="13" t="s">
        <v>89</v>
      </c>
      <c r="D7" s="21">
        <v>0.2</v>
      </c>
      <c r="E7" s="13">
        <v>4.3</v>
      </c>
      <c r="F7" s="21">
        <v>0.15</v>
      </c>
      <c r="G7" s="13">
        <v>4.0999999999999996</v>
      </c>
      <c r="I7" s="22">
        <v>2</v>
      </c>
      <c r="J7" s="21">
        <v>0.2</v>
      </c>
    </row>
    <row r="8" spans="1:10" ht="14.25" customHeight="1">
      <c r="A8" s="15" t="s">
        <v>85</v>
      </c>
      <c r="B8" s="15" t="s">
        <v>91</v>
      </c>
      <c r="C8" s="15" t="s">
        <v>89</v>
      </c>
      <c r="D8" s="16">
        <v>0.15</v>
      </c>
      <c r="E8" s="16">
        <v>0.5</v>
      </c>
      <c r="F8" s="16">
        <v>0.1</v>
      </c>
      <c r="G8" s="16">
        <v>0.4</v>
      </c>
      <c r="I8" s="23">
        <v>3</v>
      </c>
      <c r="J8" s="16">
        <v>0.5</v>
      </c>
    </row>
    <row r="9" spans="1:10" ht="14.25" customHeight="1">
      <c r="A9" s="13" t="s">
        <v>85</v>
      </c>
      <c r="B9" s="13" t="s">
        <v>92</v>
      </c>
      <c r="C9" s="13" t="s">
        <v>89</v>
      </c>
      <c r="D9" s="21">
        <v>0.2</v>
      </c>
      <c r="E9" s="21">
        <v>0.9</v>
      </c>
      <c r="F9" s="21">
        <v>0.15</v>
      </c>
      <c r="G9" s="21">
        <v>0.8</v>
      </c>
      <c r="I9" s="22">
        <v>4</v>
      </c>
      <c r="J9" s="21">
        <v>0.75</v>
      </c>
    </row>
    <row r="10" spans="1:10" ht="14.25" customHeight="1">
      <c r="A10" s="15" t="s">
        <v>85</v>
      </c>
      <c r="B10" s="15" t="s">
        <v>93</v>
      </c>
      <c r="C10" s="15" t="s">
        <v>87</v>
      </c>
      <c r="D10" s="16">
        <v>0.15</v>
      </c>
      <c r="E10" s="16">
        <v>0.05</v>
      </c>
      <c r="F10" s="16">
        <v>0</v>
      </c>
      <c r="G10" s="16">
        <v>0</v>
      </c>
      <c r="I10" s="23">
        <v>5</v>
      </c>
      <c r="J10" s="16">
        <v>1</v>
      </c>
    </row>
    <row r="11" spans="1:10" ht="14.25" customHeight="1">
      <c r="A11" s="13" t="s">
        <v>85</v>
      </c>
      <c r="B11" s="13" t="s">
        <v>94</v>
      </c>
      <c r="C11" s="13" t="s">
        <v>89</v>
      </c>
      <c r="D11" s="21">
        <v>0.3</v>
      </c>
      <c r="E11" s="13">
        <v>4.5</v>
      </c>
      <c r="F11" s="21">
        <v>0.2</v>
      </c>
      <c r="G11" s="13">
        <v>4.3</v>
      </c>
      <c r="I11" s="24"/>
      <c r="J11" s="25"/>
    </row>
    <row r="12" spans="1:10" ht="14.25" customHeight="1">
      <c r="A12" s="15" t="s">
        <v>95</v>
      </c>
      <c r="B12" s="15" t="s">
        <v>86</v>
      </c>
      <c r="C12" s="15" t="s">
        <v>87</v>
      </c>
      <c r="D12" s="16">
        <v>0.15</v>
      </c>
      <c r="E12" s="15">
        <v>450</v>
      </c>
      <c r="F12" s="16">
        <v>0</v>
      </c>
      <c r="G12" s="15">
        <v>0</v>
      </c>
      <c r="I12" s="23">
        <v>0</v>
      </c>
      <c r="J12" s="16">
        <v>0</v>
      </c>
    </row>
    <row r="13" spans="1:10" ht="14.25" customHeight="1">
      <c r="A13" s="13" t="s">
        <v>95</v>
      </c>
      <c r="B13" s="13" t="s">
        <v>88</v>
      </c>
      <c r="C13" s="13" t="s">
        <v>89</v>
      </c>
      <c r="D13" s="21">
        <v>0.15</v>
      </c>
      <c r="E13" s="13">
        <v>7</v>
      </c>
      <c r="F13" s="21">
        <v>0</v>
      </c>
      <c r="G13" s="13">
        <v>0</v>
      </c>
      <c r="I13" s="22">
        <v>1</v>
      </c>
      <c r="J13" s="21">
        <v>0.1</v>
      </c>
    </row>
    <row r="14" spans="1:10" ht="14.25" customHeight="1">
      <c r="A14" s="15" t="s">
        <v>95</v>
      </c>
      <c r="B14" s="15" t="s">
        <v>90</v>
      </c>
      <c r="C14" s="15" t="s">
        <v>89</v>
      </c>
      <c r="D14" s="16">
        <v>0.2</v>
      </c>
      <c r="E14" s="15">
        <v>4.3</v>
      </c>
      <c r="F14" s="16">
        <v>0.15</v>
      </c>
      <c r="G14" s="15">
        <v>4.0999999999999996</v>
      </c>
      <c r="I14" s="23">
        <v>2</v>
      </c>
      <c r="J14" s="16">
        <v>0.2</v>
      </c>
    </row>
    <row r="15" spans="1:10" ht="14.25" customHeight="1">
      <c r="A15" s="13" t="s">
        <v>95</v>
      </c>
      <c r="B15" s="13" t="s">
        <v>91</v>
      </c>
      <c r="C15" s="13" t="s">
        <v>89</v>
      </c>
      <c r="D15" s="21">
        <v>0.15</v>
      </c>
      <c r="E15" s="21">
        <v>0.5</v>
      </c>
      <c r="F15" s="21">
        <v>0.1</v>
      </c>
      <c r="G15" s="21">
        <v>0.4</v>
      </c>
      <c r="I15" s="22">
        <v>3</v>
      </c>
      <c r="J15" s="21">
        <v>0.5</v>
      </c>
    </row>
    <row r="16" spans="1:10" ht="14.25" customHeight="1">
      <c r="A16" s="15" t="s">
        <v>95</v>
      </c>
      <c r="B16" s="15" t="s">
        <v>92</v>
      </c>
      <c r="C16" s="15" t="s">
        <v>89</v>
      </c>
      <c r="D16" s="16">
        <v>0.2</v>
      </c>
      <c r="E16" s="16">
        <v>0.9</v>
      </c>
      <c r="F16" s="16">
        <v>0.15</v>
      </c>
      <c r="G16" s="16">
        <v>0.8</v>
      </c>
      <c r="I16" s="23">
        <v>4</v>
      </c>
      <c r="J16" s="16">
        <v>0.75</v>
      </c>
    </row>
    <row r="17" spans="1:10" ht="14.25" customHeight="1">
      <c r="A17" s="13" t="s">
        <v>95</v>
      </c>
      <c r="B17" s="13" t="s">
        <v>93</v>
      </c>
      <c r="C17" s="13" t="s">
        <v>87</v>
      </c>
      <c r="D17" s="21">
        <v>0.15</v>
      </c>
      <c r="E17" s="21">
        <v>0.05</v>
      </c>
      <c r="F17" s="21">
        <v>0</v>
      </c>
      <c r="G17" s="21">
        <v>0</v>
      </c>
      <c r="I17" s="22">
        <v>5</v>
      </c>
      <c r="J17" s="21">
        <v>1</v>
      </c>
    </row>
    <row r="18" spans="1:10" ht="14.25" customHeight="1">
      <c r="A18" s="15" t="s">
        <v>95</v>
      </c>
      <c r="B18" s="15" t="s">
        <v>94</v>
      </c>
      <c r="C18" s="15" t="s">
        <v>89</v>
      </c>
      <c r="D18" s="16">
        <v>0.3</v>
      </c>
      <c r="E18" s="15">
        <v>4.5</v>
      </c>
      <c r="F18" s="16">
        <v>0.2</v>
      </c>
      <c r="G18" s="15">
        <v>4.3</v>
      </c>
      <c r="I18" s="24"/>
      <c r="J18" s="25"/>
    </row>
    <row r="19" spans="1:10" ht="14.25" customHeight="1">
      <c r="A19" s="13" t="s">
        <v>96</v>
      </c>
      <c r="B19" s="13" t="s">
        <v>86</v>
      </c>
      <c r="C19" s="13" t="s">
        <v>87</v>
      </c>
      <c r="D19" s="21">
        <v>0.15</v>
      </c>
      <c r="E19" s="13">
        <v>450</v>
      </c>
      <c r="F19" s="21">
        <v>0</v>
      </c>
      <c r="G19" s="13">
        <v>0</v>
      </c>
      <c r="I19" s="22">
        <v>0</v>
      </c>
      <c r="J19" s="21">
        <v>0</v>
      </c>
    </row>
    <row r="20" spans="1:10" ht="14.25" customHeight="1">
      <c r="A20" s="15" t="s">
        <v>96</v>
      </c>
      <c r="B20" s="15" t="s">
        <v>88</v>
      </c>
      <c r="C20" s="15" t="s">
        <v>89</v>
      </c>
      <c r="D20" s="16">
        <v>0.15</v>
      </c>
      <c r="E20" s="15">
        <v>7</v>
      </c>
      <c r="F20" s="16">
        <v>0</v>
      </c>
      <c r="G20" s="15">
        <v>0</v>
      </c>
      <c r="I20" s="23">
        <v>1</v>
      </c>
      <c r="J20" s="16">
        <v>0.1</v>
      </c>
    </row>
    <row r="21" spans="1:10" ht="14.25" customHeight="1">
      <c r="A21" s="13" t="s">
        <v>96</v>
      </c>
      <c r="B21" s="13" t="s">
        <v>90</v>
      </c>
      <c r="C21" s="13" t="s">
        <v>89</v>
      </c>
      <c r="D21" s="21">
        <v>0.2</v>
      </c>
      <c r="E21" s="13">
        <v>4.3</v>
      </c>
      <c r="F21" s="21">
        <v>0.15</v>
      </c>
      <c r="G21" s="13">
        <v>4.0999999999999996</v>
      </c>
      <c r="I21" s="22">
        <v>2</v>
      </c>
      <c r="J21" s="21">
        <v>0.2</v>
      </c>
    </row>
    <row r="22" spans="1:10" ht="14.25" customHeight="1">
      <c r="A22" s="15" t="s">
        <v>96</v>
      </c>
      <c r="B22" s="15" t="s">
        <v>91</v>
      </c>
      <c r="C22" s="15" t="s">
        <v>89</v>
      </c>
      <c r="D22" s="16">
        <v>0.15</v>
      </c>
      <c r="E22" s="16">
        <v>0.5</v>
      </c>
      <c r="F22" s="16">
        <v>0.1</v>
      </c>
      <c r="G22" s="16">
        <v>0.4</v>
      </c>
      <c r="I22" s="23">
        <v>3</v>
      </c>
      <c r="J22" s="16">
        <v>0.5</v>
      </c>
    </row>
    <row r="23" spans="1:10" ht="14.25" customHeight="1">
      <c r="A23" s="13" t="s">
        <v>96</v>
      </c>
      <c r="B23" s="13" t="s">
        <v>92</v>
      </c>
      <c r="C23" s="13" t="s">
        <v>89</v>
      </c>
      <c r="D23" s="21">
        <v>0.2</v>
      </c>
      <c r="E23" s="21">
        <v>0.9</v>
      </c>
      <c r="F23" s="21">
        <v>0.15</v>
      </c>
      <c r="G23" s="21">
        <v>0.8</v>
      </c>
      <c r="I23" s="22">
        <v>4</v>
      </c>
      <c r="J23" s="21">
        <v>0.75</v>
      </c>
    </row>
    <row r="24" spans="1:10" ht="14.25" customHeight="1">
      <c r="A24" s="15" t="s">
        <v>96</v>
      </c>
      <c r="B24" s="15" t="s">
        <v>93</v>
      </c>
      <c r="C24" s="15" t="s">
        <v>87</v>
      </c>
      <c r="D24" s="16">
        <v>0.15</v>
      </c>
      <c r="E24" s="16">
        <v>0.05</v>
      </c>
      <c r="F24" s="16">
        <v>0</v>
      </c>
      <c r="G24" s="16">
        <v>0</v>
      </c>
      <c r="I24" s="23">
        <v>5</v>
      </c>
      <c r="J24" s="16">
        <v>1</v>
      </c>
    </row>
    <row r="25" spans="1:10" ht="14.25" customHeight="1">
      <c r="A25" s="13" t="s">
        <v>96</v>
      </c>
      <c r="B25" s="13" t="s">
        <v>94</v>
      </c>
      <c r="C25" s="13" t="s">
        <v>89</v>
      </c>
      <c r="D25" s="21">
        <v>0.3</v>
      </c>
      <c r="E25" s="13">
        <v>4.5</v>
      </c>
      <c r="F25" s="21">
        <v>0.2</v>
      </c>
      <c r="G25" s="13">
        <v>4.3</v>
      </c>
      <c r="I25" s="24"/>
      <c r="J25" s="25"/>
    </row>
    <row r="26" spans="1:10" ht="14.25" customHeight="1">
      <c r="A26" s="15" t="s">
        <v>97</v>
      </c>
      <c r="B26" s="15" t="s">
        <v>86</v>
      </c>
      <c r="C26" s="15" t="s">
        <v>87</v>
      </c>
      <c r="D26" s="16">
        <v>0.15</v>
      </c>
      <c r="E26" s="15">
        <v>450</v>
      </c>
      <c r="F26" s="16">
        <v>0</v>
      </c>
      <c r="G26" s="15">
        <v>0</v>
      </c>
      <c r="I26" s="23">
        <v>0</v>
      </c>
      <c r="J26" s="16">
        <v>0</v>
      </c>
    </row>
    <row r="27" spans="1:10" ht="14.25" customHeight="1">
      <c r="A27" s="13" t="s">
        <v>97</v>
      </c>
      <c r="B27" s="13" t="s">
        <v>88</v>
      </c>
      <c r="C27" s="13" t="s">
        <v>89</v>
      </c>
      <c r="D27" s="21">
        <v>0.15</v>
      </c>
      <c r="E27" s="13">
        <v>7</v>
      </c>
      <c r="F27" s="21">
        <v>0</v>
      </c>
      <c r="G27" s="13">
        <v>0</v>
      </c>
      <c r="I27" s="22">
        <v>1</v>
      </c>
      <c r="J27" s="21">
        <v>0.1</v>
      </c>
    </row>
    <row r="28" spans="1:10" ht="14.25" customHeight="1">
      <c r="A28" s="15" t="s">
        <v>97</v>
      </c>
      <c r="B28" s="15" t="s">
        <v>90</v>
      </c>
      <c r="C28" s="15" t="s">
        <v>89</v>
      </c>
      <c r="D28" s="16">
        <v>0.2</v>
      </c>
      <c r="E28" s="15">
        <v>4.3</v>
      </c>
      <c r="F28" s="16">
        <v>0.15</v>
      </c>
      <c r="G28" s="15">
        <v>4.0999999999999996</v>
      </c>
      <c r="I28" s="23">
        <v>2</v>
      </c>
      <c r="J28" s="16">
        <v>0.2</v>
      </c>
    </row>
    <row r="29" spans="1:10" ht="14.25" customHeight="1">
      <c r="A29" s="13" t="s">
        <v>97</v>
      </c>
      <c r="B29" s="13" t="s">
        <v>91</v>
      </c>
      <c r="C29" s="13" t="s">
        <v>89</v>
      </c>
      <c r="D29" s="21">
        <v>0.15</v>
      </c>
      <c r="E29" s="21">
        <v>0.5</v>
      </c>
      <c r="F29" s="21">
        <v>0.1</v>
      </c>
      <c r="G29" s="21">
        <v>0.4</v>
      </c>
      <c r="I29" s="22">
        <v>3</v>
      </c>
      <c r="J29" s="21">
        <v>0.5</v>
      </c>
    </row>
    <row r="30" spans="1:10" ht="14.25" customHeight="1">
      <c r="A30" s="15" t="s">
        <v>97</v>
      </c>
      <c r="B30" s="15" t="s">
        <v>92</v>
      </c>
      <c r="C30" s="15" t="s">
        <v>89</v>
      </c>
      <c r="D30" s="16">
        <v>0.2</v>
      </c>
      <c r="E30" s="16">
        <v>0.9</v>
      </c>
      <c r="F30" s="16">
        <v>0.15</v>
      </c>
      <c r="G30" s="16">
        <v>0.8</v>
      </c>
      <c r="I30" s="23">
        <v>4</v>
      </c>
      <c r="J30" s="16">
        <v>0.75</v>
      </c>
    </row>
    <row r="31" spans="1:10" ht="14.25" customHeight="1">
      <c r="A31" s="13" t="s">
        <v>97</v>
      </c>
      <c r="B31" s="13" t="s">
        <v>93</v>
      </c>
      <c r="C31" s="13" t="s">
        <v>87</v>
      </c>
      <c r="D31" s="21">
        <v>0.15</v>
      </c>
      <c r="E31" s="21">
        <v>0.05</v>
      </c>
      <c r="F31" s="21">
        <v>0</v>
      </c>
      <c r="G31" s="21">
        <v>0</v>
      </c>
      <c r="I31" s="22">
        <v>5</v>
      </c>
      <c r="J31" s="21">
        <v>1</v>
      </c>
    </row>
    <row r="32" spans="1:10" ht="14.25" customHeight="1">
      <c r="A32" s="15" t="s">
        <v>97</v>
      </c>
      <c r="B32" s="15" t="s">
        <v>94</v>
      </c>
      <c r="C32" s="15" t="s">
        <v>89</v>
      </c>
      <c r="D32" s="16">
        <v>0.3</v>
      </c>
      <c r="E32" s="15">
        <v>4.5</v>
      </c>
      <c r="F32" s="16">
        <v>0.2</v>
      </c>
      <c r="G32" s="15">
        <v>4.3</v>
      </c>
      <c r="I32" s="24"/>
      <c r="J32" s="25"/>
    </row>
    <row r="33" spans="1:10" ht="14.25" customHeight="1">
      <c r="A33" s="13" t="s">
        <v>98</v>
      </c>
      <c r="B33" s="13" t="s">
        <v>86</v>
      </c>
      <c r="C33" s="13" t="s">
        <v>87</v>
      </c>
      <c r="D33" s="21">
        <v>0.15</v>
      </c>
      <c r="E33" s="13">
        <v>450</v>
      </c>
      <c r="F33" s="21">
        <v>0</v>
      </c>
      <c r="G33" s="13">
        <v>0</v>
      </c>
      <c r="I33" s="22">
        <v>0</v>
      </c>
      <c r="J33" s="21">
        <v>0</v>
      </c>
    </row>
    <row r="34" spans="1:10" ht="14.25" customHeight="1">
      <c r="A34" s="15" t="s">
        <v>98</v>
      </c>
      <c r="B34" s="15" t="s">
        <v>88</v>
      </c>
      <c r="C34" s="15" t="s">
        <v>89</v>
      </c>
      <c r="D34" s="16">
        <v>0.15</v>
      </c>
      <c r="E34" s="15">
        <v>7</v>
      </c>
      <c r="F34" s="16">
        <v>0</v>
      </c>
      <c r="G34" s="15">
        <v>0</v>
      </c>
      <c r="I34" s="23">
        <v>1</v>
      </c>
      <c r="J34" s="16">
        <v>0.1</v>
      </c>
    </row>
    <row r="35" spans="1:10" ht="14.25" customHeight="1">
      <c r="A35" s="13" t="s">
        <v>98</v>
      </c>
      <c r="B35" s="13" t="s">
        <v>90</v>
      </c>
      <c r="C35" s="13" t="s">
        <v>89</v>
      </c>
      <c r="D35" s="21">
        <v>0.2</v>
      </c>
      <c r="E35" s="13">
        <v>4.3</v>
      </c>
      <c r="F35" s="21">
        <v>0.15</v>
      </c>
      <c r="G35" s="13">
        <v>4.0999999999999996</v>
      </c>
      <c r="I35" s="22">
        <v>2</v>
      </c>
      <c r="J35" s="21">
        <v>0.2</v>
      </c>
    </row>
    <row r="36" spans="1:10" ht="14.25" customHeight="1">
      <c r="A36" s="15" t="s">
        <v>98</v>
      </c>
      <c r="B36" s="15" t="s">
        <v>91</v>
      </c>
      <c r="C36" s="15" t="s">
        <v>89</v>
      </c>
      <c r="D36" s="16">
        <v>0.15</v>
      </c>
      <c r="E36" s="16">
        <v>0.5</v>
      </c>
      <c r="F36" s="16">
        <v>0.1</v>
      </c>
      <c r="G36" s="16">
        <v>0.4</v>
      </c>
      <c r="I36" s="23">
        <v>3</v>
      </c>
      <c r="J36" s="16">
        <v>0.5</v>
      </c>
    </row>
    <row r="37" spans="1:10" ht="14.25" customHeight="1">
      <c r="A37" s="13" t="s">
        <v>98</v>
      </c>
      <c r="B37" s="13" t="s">
        <v>92</v>
      </c>
      <c r="C37" s="13" t="s">
        <v>89</v>
      </c>
      <c r="D37" s="21">
        <v>0.2</v>
      </c>
      <c r="E37" s="21">
        <v>0.9</v>
      </c>
      <c r="F37" s="21">
        <v>0.15</v>
      </c>
      <c r="G37" s="21">
        <v>0.8</v>
      </c>
      <c r="I37" s="22">
        <v>4</v>
      </c>
      <c r="J37" s="21">
        <v>0.75</v>
      </c>
    </row>
    <row r="38" spans="1:10" ht="14.25" customHeight="1">
      <c r="A38" s="15" t="s">
        <v>98</v>
      </c>
      <c r="B38" s="15" t="s">
        <v>93</v>
      </c>
      <c r="C38" s="15" t="s">
        <v>87</v>
      </c>
      <c r="D38" s="16">
        <v>0.15</v>
      </c>
      <c r="E38" s="16">
        <v>0.05</v>
      </c>
      <c r="F38" s="16">
        <v>0</v>
      </c>
      <c r="G38" s="16">
        <v>0</v>
      </c>
      <c r="I38" s="23">
        <v>5</v>
      </c>
      <c r="J38" s="16">
        <v>1</v>
      </c>
    </row>
    <row r="39" spans="1:10" ht="14.25" customHeight="1">
      <c r="A39" s="13" t="s">
        <v>98</v>
      </c>
      <c r="B39" s="13" t="s">
        <v>94</v>
      </c>
      <c r="C39" s="13" t="s">
        <v>89</v>
      </c>
      <c r="D39" s="21">
        <v>0.3</v>
      </c>
      <c r="E39" s="13">
        <v>4.5</v>
      </c>
      <c r="F39" s="21">
        <v>0.2</v>
      </c>
      <c r="G39" s="13">
        <v>4.3</v>
      </c>
      <c r="I39" s="24"/>
      <c r="J39" s="25"/>
    </row>
    <row r="40" spans="1:10" ht="14.25" customHeight="1">
      <c r="A40" s="15" t="s">
        <v>99</v>
      </c>
      <c r="B40" s="15" t="s">
        <v>86</v>
      </c>
      <c r="C40" s="15" t="s">
        <v>87</v>
      </c>
      <c r="D40" s="16">
        <v>0.15</v>
      </c>
      <c r="E40" s="15">
        <v>450</v>
      </c>
      <c r="F40" s="16">
        <v>0</v>
      </c>
      <c r="G40" s="15">
        <v>0</v>
      </c>
      <c r="I40" s="23">
        <v>0</v>
      </c>
      <c r="J40" s="16">
        <v>0</v>
      </c>
    </row>
    <row r="41" spans="1:10" ht="14.25" customHeight="1">
      <c r="A41" s="13" t="s">
        <v>99</v>
      </c>
      <c r="B41" s="13" t="s">
        <v>88</v>
      </c>
      <c r="C41" s="13" t="s">
        <v>89</v>
      </c>
      <c r="D41" s="21">
        <v>0.15</v>
      </c>
      <c r="E41" s="13">
        <v>7</v>
      </c>
      <c r="F41" s="21">
        <v>0</v>
      </c>
      <c r="G41" s="13">
        <v>0</v>
      </c>
      <c r="I41" s="22">
        <v>1</v>
      </c>
      <c r="J41" s="21">
        <v>0.1</v>
      </c>
    </row>
    <row r="42" spans="1:10" ht="14.25" customHeight="1">
      <c r="A42" s="15" t="s">
        <v>99</v>
      </c>
      <c r="B42" s="15" t="s">
        <v>90</v>
      </c>
      <c r="C42" s="15" t="s">
        <v>89</v>
      </c>
      <c r="D42" s="16">
        <v>0.2</v>
      </c>
      <c r="E42" s="15">
        <v>4.3</v>
      </c>
      <c r="F42" s="16">
        <v>0.15</v>
      </c>
      <c r="G42" s="15">
        <v>4.0999999999999996</v>
      </c>
      <c r="I42" s="23">
        <v>2</v>
      </c>
      <c r="J42" s="16">
        <v>0.2</v>
      </c>
    </row>
    <row r="43" spans="1:10" ht="14.25" customHeight="1">
      <c r="A43" s="13" t="s">
        <v>99</v>
      </c>
      <c r="B43" s="13" t="s">
        <v>91</v>
      </c>
      <c r="C43" s="13" t="s">
        <v>89</v>
      </c>
      <c r="D43" s="21">
        <v>0.15</v>
      </c>
      <c r="E43" s="21">
        <v>0.5</v>
      </c>
      <c r="F43" s="21">
        <v>0.1</v>
      </c>
      <c r="G43" s="21">
        <v>0.4</v>
      </c>
      <c r="I43" s="22">
        <v>3</v>
      </c>
      <c r="J43" s="21">
        <v>0.5</v>
      </c>
    </row>
    <row r="44" spans="1:10" ht="14.25" customHeight="1">
      <c r="A44" s="15" t="s">
        <v>99</v>
      </c>
      <c r="B44" s="15" t="s">
        <v>92</v>
      </c>
      <c r="C44" s="15" t="s">
        <v>89</v>
      </c>
      <c r="D44" s="16">
        <v>0.2</v>
      </c>
      <c r="E44" s="16">
        <v>0.9</v>
      </c>
      <c r="F44" s="16">
        <v>0.15</v>
      </c>
      <c r="G44" s="16">
        <v>0.8</v>
      </c>
      <c r="I44" s="23">
        <v>4</v>
      </c>
      <c r="J44" s="16">
        <v>0.75</v>
      </c>
    </row>
    <row r="45" spans="1:10" ht="14.25" customHeight="1">
      <c r="A45" s="13" t="s">
        <v>99</v>
      </c>
      <c r="B45" s="13" t="s">
        <v>93</v>
      </c>
      <c r="C45" s="13" t="s">
        <v>87</v>
      </c>
      <c r="D45" s="21">
        <v>0.15</v>
      </c>
      <c r="E45" s="21">
        <v>0.05</v>
      </c>
      <c r="F45" s="21">
        <v>0</v>
      </c>
      <c r="G45" s="21">
        <v>0</v>
      </c>
      <c r="I45" s="22">
        <v>5</v>
      </c>
      <c r="J45" s="21">
        <v>1</v>
      </c>
    </row>
    <row r="46" spans="1:10" ht="14.25" customHeight="1">
      <c r="A46" s="15" t="s">
        <v>99</v>
      </c>
      <c r="B46" s="15" t="s">
        <v>94</v>
      </c>
      <c r="C46" s="15" t="s">
        <v>89</v>
      </c>
      <c r="D46" s="16">
        <v>0.3</v>
      </c>
      <c r="E46" s="15">
        <v>4.5</v>
      </c>
      <c r="F46" s="16">
        <v>0.2</v>
      </c>
      <c r="G46" s="15">
        <v>4.3</v>
      </c>
      <c r="I46" s="24"/>
      <c r="J46" s="25"/>
    </row>
  </sheetData>
  <autoFilter ref="A4:J46" xr:uid="{00000000-0009-0000-0000-000002000000}"/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3B42"/>
    <pageSetUpPr fitToPage="1"/>
  </sheetPr>
  <dimension ref="A1:AI206"/>
  <sheetViews>
    <sheetView showGridLines="0" zoomScale="90" zoomScaleNormal="90" workbookViewId="0">
      <pane ySplit="4" topLeftCell="A15" activePane="bottomLeft" state="frozen"/>
      <selection pane="bottomLeft" activeCell="T20" sqref="T20"/>
    </sheetView>
  </sheetViews>
  <sheetFormatPr defaultColWidth="8.7109375" defaultRowHeight="14.25"/>
  <cols>
    <col min="1" max="1" width="15" customWidth="1"/>
    <col min="2" max="2" width="23" customWidth="1"/>
    <col min="3" max="3" width="11.7109375" customWidth="1"/>
    <col min="4" max="4" width="12" customWidth="1"/>
    <col min="5" max="5" width="11" customWidth="1"/>
    <col min="6" max="6" width="13" customWidth="1"/>
    <col min="7" max="7" width="11" customWidth="1"/>
    <col min="8" max="8" width="19" customWidth="1"/>
    <col min="9" max="10" width="10" customWidth="1"/>
    <col min="11" max="11" width="20" customWidth="1"/>
    <col min="12" max="12" width="28" customWidth="1"/>
    <col min="13" max="13" width="10" customWidth="1"/>
    <col min="14" max="14" width="20" hidden="1" customWidth="1"/>
    <col min="15" max="15" width="17" hidden="1" customWidth="1"/>
    <col min="16" max="16" width="23" customWidth="1"/>
    <col min="17" max="17" width="14" customWidth="1"/>
    <col min="18" max="18" width="15" customWidth="1"/>
    <col min="19" max="19" width="16" customWidth="1"/>
    <col min="20" max="20" width="25" customWidth="1"/>
    <col min="21" max="21" width="20" customWidth="1"/>
  </cols>
  <sheetData>
    <row r="1" spans="1:35" ht="30" customHeight="1">
      <c r="A1" s="9" t="s">
        <v>100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21" customHeight="1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4" spans="1:35" ht="33.75" customHeight="1">
      <c r="A4" s="26" t="s">
        <v>101</v>
      </c>
      <c r="B4" s="26" t="s">
        <v>102</v>
      </c>
      <c r="C4" s="26" t="s">
        <v>76</v>
      </c>
      <c r="D4" s="26" t="s">
        <v>103</v>
      </c>
      <c r="E4" s="26" t="s">
        <v>86</v>
      </c>
      <c r="F4" s="26" t="s">
        <v>88</v>
      </c>
      <c r="G4" s="26" t="s">
        <v>90</v>
      </c>
      <c r="H4" s="26" t="s">
        <v>104</v>
      </c>
      <c r="I4" s="26" t="s">
        <v>92</v>
      </c>
      <c r="J4" s="26" t="s">
        <v>93</v>
      </c>
      <c r="K4" s="26" t="s">
        <v>83</v>
      </c>
      <c r="L4" s="26" t="s">
        <v>105</v>
      </c>
      <c r="M4" s="26" t="s">
        <v>106</v>
      </c>
      <c r="N4" s="26" t="s">
        <v>107</v>
      </c>
      <c r="O4" s="26" t="s">
        <v>108</v>
      </c>
      <c r="P4" s="26" t="s">
        <v>109</v>
      </c>
      <c r="Q4" s="26" t="s">
        <v>110</v>
      </c>
      <c r="R4" s="26" t="s">
        <v>111</v>
      </c>
      <c r="S4" s="26" t="s">
        <v>112</v>
      </c>
      <c r="T4" s="27" t="s">
        <v>113</v>
      </c>
      <c r="U4" s="27" t="s">
        <v>114</v>
      </c>
    </row>
    <row r="5" spans="1:35" ht="14.25" customHeight="1">
      <c r="A5" s="13">
        <v>204341</v>
      </c>
      <c r="B5" s="13" t="s">
        <v>115</v>
      </c>
      <c r="C5" s="13" t="s">
        <v>85</v>
      </c>
      <c r="D5" s="13" t="s">
        <v>116</v>
      </c>
      <c r="E5" s="28">
        <v>451.41525423728802</v>
      </c>
      <c r="F5" s="28">
        <v>7.31034223815871</v>
      </c>
      <c r="G5" s="13">
        <v>2.1538461538461502</v>
      </c>
      <c r="H5" s="21">
        <v>9.1872791519434602E-2</v>
      </c>
      <c r="I5" s="29"/>
      <c r="J5" s="29"/>
      <c r="K5" s="22">
        <v>0</v>
      </c>
      <c r="L5" s="30"/>
      <c r="M5" s="13" t="s">
        <v>117</v>
      </c>
      <c r="N5" s="31"/>
      <c r="O5" s="29"/>
      <c r="P5" s="32">
        <v>2000</v>
      </c>
      <c r="Q5" s="13">
        <v>31</v>
      </c>
      <c r="R5" s="13">
        <v>31</v>
      </c>
      <c r="S5" s="13" t="s">
        <v>118</v>
      </c>
      <c r="T5" t="s">
        <v>119</v>
      </c>
      <c r="U5" t="s">
        <v>120</v>
      </c>
    </row>
    <row r="6" spans="1:35" ht="14.25" customHeight="1">
      <c r="A6" s="15">
        <v>204342</v>
      </c>
      <c r="B6" s="15" t="s">
        <v>121</v>
      </c>
      <c r="C6" s="15" t="s">
        <v>85</v>
      </c>
      <c r="D6" s="15" t="s">
        <v>116</v>
      </c>
      <c r="E6" s="33">
        <v>664.04076738609103</v>
      </c>
      <c r="F6" s="33">
        <v>4.9695744027735103</v>
      </c>
      <c r="G6" s="15">
        <v>4.71428571428571</v>
      </c>
      <c r="H6" s="16">
        <v>9.0128755364806898E-2</v>
      </c>
      <c r="I6" s="29"/>
      <c r="J6" s="29"/>
      <c r="K6" s="23">
        <v>0</v>
      </c>
      <c r="L6" s="30"/>
      <c r="M6" s="15" t="s">
        <v>117</v>
      </c>
      <c r="N6" s="31"/>
      <c r="O6" s="29"/>
      <c r="P6" s="19">
        <v>2000</v>
      </c>
      <c r="Q6" s="15">
        <v>31</v>
      </c>
      <c r="R6" s="15">
        <v>31</v>
      </c>
      <c r="S6" s="15" t="s">
        <v>118</v>
      </c>
      <c r="T6" t="s">
        <v>119</v>
      </c>
      <c r="U6" t="s">
        <v>120</v>
      </c>
    </row>
    <row r="7" spans="1:35" ht="14.25" customHeight="1">
      <c r="A7" s="13">
        <v>204343</v>
      </c>
      <c r="B7" s="13" t="s">
        <v>122</v>
      </c>
      <c r="C7" s="13" t="s">
        <v>85</v>
      </c>
      <c r="D7" s="13" t="s">
        <v>116</v>
      </c>
      <c r="E7" s="28">
        <v>589.97173913043503</v>
      </c>
      <c r="F7" s="28">
        <v>5.5934882658343996</v>
      </c>
      <c r="G7" s="13">
        <v>1</v>
      </c>
      <c r="H7" s="21">
        <v>0.109375</v>
      </c>
      <c r="I7" s="29"/>
      <c r="J7" s="29"/>
      <c r="K7" s="22">
        <v>0</v>
      </c>
      <c r="L7" s="30"/>
      <c r="M7" s="13" t="s">
        <v>117</v>
      </c>
      <c r="N7" s="31"/>
      <c r="O7" s="29"/>
      <c r="P7" s="32">
        <v>2000</v>
      </c>
      <c r="Q7" s="13">
        <v>31</v>
      </c>
      <c r="R7" s="13">
        <v>31</v>
      </c>
      <c r="S7" s="13" t="s">
        <v>118</v>
      </c>
      <c r="T7" t="s">
        <v>119</v>
      </c>
      <c r="U7" t="s">
        <v>120</v>
      </c>
    </row>
    <row r="8" spans="1:35" ht="14.25" customHeight="1">
      <c r="A8" s="15">
        <v>204344</v>
      </c>
      <c r="B8" s="15" t="s">
        <v>123</v>
      </c>
      <c r="C8" s="15" t="s">
        <v>85</v>
      </c>
      <c r="D8" s="15" t="s">
        <v>116</v>
      </c>
      <c r="E8" s="33">
        <v>717.10249999999996</v>
      </c>
      <c r="F8" s="33">
        <v>4.6018525942944004</v>
      </c>
      <c r="G8" s="15">
        <v>4.7</v>
      </c>
      <c r="H8" s="16">
        <v>0.123893805309735</v>
      </c>
      <c r="I8" s="29"/>
      <c r="J8" s="29"/>
      <c r="K8" s="23">
        <v>0</v>
      </c>
      <c r="L8" s="30"/>
      <c r="M8" s="15" t="s">
        <v>117</v>
      </c>
      <c r="N8" s="31"/>
      <c r="O8" s="29"/>
      <c r="P8" s="19">
        <v>2000</v>
      </c>
      <c r="Q8" s="15">
        <v>31</v>
      </c>
      <c r="R8" s="15">
        <v>31</v>
      </c>
      <c r="S8" s="15" t="s">
        <v>118</v>
      </c>
      <c r="T8" t="s">
        <v>119</v>
      </c>
      <c r="U8" t="s">
        <v>120</v>
      </c>
    </row>
    <row r="9" spans="1:35" ht="14.25" customHeight="1">
      <c r="A9" s="13">
        <v>204345</v>
      </c>
      <c r="B9" s="13" t="s">
        <v>124</v>
      </c>
      <c r="C9" s="13" t="s">
        <v>85</v>
      </c>
      <c r="D9" s="13" t="s">
        <v>116</v>
      </c>
      <c r="E9" s="28">
        <v>784.95633187772899</v>
      </c>
      <c r="F9" s="28">
        <v>4.20405552001335</v>
      </c>
      <c r="G9" s="13">
        <v>4</v>
      </c>
      <c r="H9" s="21">
        <v>2.9850746268656699E-2</v>
      </c>
      <c r="I9" s="29"/>
      <c r="J9" s="29"/>
      <c r="K9" s="22">
        <v>0</v>
      </c>
      <c r="L9" s="30"/>
      <c r="M9" s="13" t="s">
        <v>117</v>
      </c>
      <c r="N9" s="31"/>
      <c r="O9" s="29"/>
      <c r="P9" s="32">
        <v>2000</v>
      </c>
      <c r="Q9" s="13">
        <v>31</v>
      </c>
      <c r="R9" s="13">
        <v>31</v>
      </c>
      <c r="S9" s="13" t="s">
        <v>118</v>
      </c>
      <c r="T9" t="s">
        <v>119</v>
      </c>
      <c r="U9" t="s">
        <v>120</v>
      </c>
    </row>
    <row r="10" spans="1:35" ht="14.25" customHeight="1">
      <c r="A10" s="15">
        <v>204602</v>
      </c>
      <c r="B10" s="15" t="s">
        <v>125</v>
      </c>
      <c r="C10" s="15" t="s">
        <v>85</v>
      </c>
      <c r="D10" s="15" t="s">
        <v>116</v>
      </c>
      <c r="E10" s="33">
        <v>707.70197044334998</v>
      </c>
      <c r="F10" s="33">
        <v>4.6629798104598601</v>
      </c>
      <c r="G10" s="15">
        <v>3.8461538461538498</v>
      </c>
      <c r="H10" s="16">
        <v>8.29875518672199E-2</v>
      </c>
      <c r="I10" s="29"/>
      <c r="J10" s="29"/>
      <c r="K10" s="23">
        <v>0</v>
      </c>
      <c r="L10" s="30"/>
      <c r="M10" s="15" t="s">
        <v>117</v>
      </c>
      <c r="N10" s="31"/>
      <c r="O10" s="29"/>
      <c r="P10" s="19">
        <v>2000</v>
      </c>
      <c r="Q10" s="15">
        <v>31</v>
      </c>
      <c r="R10" s="15">
        <v>31</v>
      </c>
      <c r="S10" s="15" t="s">
        <v>118</v>
      </c>
      <c r="T10" t="s">
        <v>119</v>
      </c>
      <c r="U10" t="s">
        <v>120</v>
      </c>
    </row>
    <row r="11" spans="1:35" ht="14.25" customHeight="1">
      <c r="A11" s="13">
        <v>204349</v>
      </c>
      <c r="B11" s="13" t="s">
        <v>126</v>
      </c>
      <c r="C11" s="13" t="s">
        <v>85</v>
      </c>
      <c r="D11" s="13" t="s">
        <v>116</v>
      </c>
      <c r="E11" s="28">
        <v>459.94247787610601</v>
      </c>
      <c r="F11" s="28">
        <v>7.1748102398337599</v>
      </c>
      <c r="G11" s="13">
        <v>4.2222222222222197</v>
      </c>
      <c r="H11" s="21">
        <v>0.10655737704918</v>
      </c>
      <c r="I11" s="29"/>
      <c r="J11" s="29"/>
      <c r="K11" s="22">
        <v>0</v>
      </c>
      <c r="L11" s="30"/>
      <c r="M11" s="13" t="s">
        <v>117</v>
      </c>
      <c r="N11" s="31"/>
      <c r="O11" s="29"/>
      <c r="P11" s="32">
        <v>2000</v>
      </c>
      <c r="Q11" s="13">
        <v>31</v>
      </c>
      <c r="R11" s="13">
        <v>31</v>
      </c>
      <c r="S11" s="13" t="s">
        <v>118</v>
      </c>
      <c r="T11" t="s">
        <v>119</v>
      </c>
      <c r="U11" t="s">
        <v>120</v>
      </c>
    </row>
    <row r="12" spans="1:35" ht="14.25" customHeight="1">
      <c r="A12" s="15">
        <v>228205</v>
      </c>
      <c r="B12" s="15" t="s">
        <v>127</v>
      </c>
      <c r="C12" s="15" t="s">
        <v>96</v>
      </c>
      <c r="D12" s="15" t="s">
        <v>116</v>
      </c>
      <c r="E12" s="33">
        <v>437.322580645161</v>
      </c>
      <c r="F12" s="33">
        <v>7.5459172383270703</v>
      </c>
      <c r="G12" s="15">
        <v>4.9310344827586201</v>
      </c>
      <c r="H12" s="16">
        <v>0.39303482587064698</v>
      </c>
      <c r="I12" s="16">
        <v>0.63600000000000001</v>
      </c>
      <c r="J12" s="29"/>
      <c r="K12" s="23">
        <v>0</v>
      </c>
      <c r="L12" s="30"/>
      <c r="M12" s="15" t="s">
        <v>117</v>
      </c>
      <c r="N12" s="31"/>
      <c r="O12" s="29"/>
      <c r="P12" s="19">
        <v>2000</v>
      </c>
      <c r="Q12" s="15">
        <v>31</v>
      </c>
      <c r="R12" s="15">
        <v>31</v>
      </c>
      <c r="S12" s="15" t="s">
        <v>118</v>
      </c>
      <c r="T12" t="s">
        <v>128</v>
      </c>
      <c r="U12" t="s">
        <v>120</v>
      </c>
    </row>
    <row r="13" spans="1:35" ht="14.25" customHeight="1">
      <c r="A13" s="13">
        <v>204018</v>
      </c>
      <c r="B13" s="13" t="s">
        <v>129</v>
      </c>
      <c r="C13" s="13" t="s">
        <v>95</v>
      </c>
      <c r="D13" s="13" t="s">
        <v>116</v>
      </c>
      <c r="E13" s="34"/>
      <c r="F13" s="34"/>
      <c r="G13" s="13">
        <v>4.1111111111111098</v>
      </c>
      <c r="H13" s="21">
        <v>5.6672760511882997E-2</v>
      </c>
      <c r="I13" s="21">
        <v>0</v>
      </c>
      <c r="J13" s="29"/>
      <c r="K13" s="22">
        <v>0</v>
      </c>
      <c r="L13" s="30"/>
      <c r="M13" s="13" t="s">
        <v>117</v>
      </c>
      <c r="N13" s="31"/>
      <c r="O13" s="29"/>
      <c r="P13" s="32">
        <v>2000</v>
      </c>
      <c r="Q13" s="13">
        <v>31</v>
      </c>
      <c r="R13" s="13">
        <v>31</v>
      </c>
      <c r="S13" s="13" t="s">
        <v>118</v>
      </c>
      <c r="T13" t="s">
        <v>130</v>
      </c>
      <c r="U13" t="s">
        <v>120</v>
      </c>
    </row>
    <row r="14" spans="1:35" ht="14.25" customHeight="1">
      <c r="A14" s="15">
        <v>250749</v>
      </c>
      <c r="B14" s="15" t="s">
        <v>131</v>
      </c>
      <c r="C14" s="15" t="s">
        <v>96</v>
      </c>
      <c r="D14" s="15" t="s">
        <v>116</v>
      </c>
      <c r="E14" s="34"/>
      <c r="F14" s="34"/>
      <c r="G14" s="30"/>
      <c r="H14" s="29"/>
      <c r="I14" s="29"/>
      <c r="J14" s="29"/>
      <c r="K14" s="23">
        <v>0</v>
      </c>
      <c r="L14" s="30"/>
      <c r="M14" s="15" t="s">
        <v>117</v>
      </c>
      <c r="N14" s="31"/>
      <c r="O14" s="29"/>
      <c r="P14" s="19">
        <v>2000</v>
      </c>
      <c r="Q14" s="15">
        <v>31</v>
      </c>
      <c r="R14" s="15">
        <v>31</v>
      </c>
      <c r="S14" s="15" t="s">
        <v>118</v>
      </c>
      <c r="T14" t="s">
        <v>132</v>
      </c>
      <c r="U14" t="s">
        <v>120</v>
      </c>
    </row>
    <row r="15" spans="1:35" ht="14.25" customHeight="1">
      <c r="A15" s="13">
        <v>250750</v>
      </c>
      <c r="B15" s="13" t="s">
        <v>133</v>
      </c>
      <c r="C15" s="13" t="s">
        <v>96</v>
      </c>
      <c r="D15" s="13" t="s">
        <v>116</v>
      </c>
      <c r="E15" s="34"/>
      <c r="F15" s="34"/>
      <c r="G15" s="30"/>
      <c r="H15" s="29"/>
      <c r="I15" s="29"/>
      <c r="J15" s="29"/>
      <c r="K15" s="22">
        <v>0</v>
      </c>
      <c r="L15" s="30"/>
      <c r="M15" s="13" t="s">
        <v>117</v>
      </c>
      <c r="N15" s="31"/>
      <c r="O15" s="29"/>
      <c r="P15" s="32">
        <v>2000</v>
      </c>
      <c r="Q15" s="13">
        <v>31</v>
      </c>
      <c r="R15" s="13">
        <v>31</v>
      </c>
      <c r="S15" s="13" t="s">
        <v>118</v>
      </c>
      <c r="T15" t="s">
        <v>134</v>
      </c>
      <c r="U15" t="s">
        <v>120</v>
      </c>
    </row>
    <row r="16" spans="1:35" ht="14.25" customHeight="1">
      <c r="A16" s="15">
        <v>266361</v>
      </c>
      <c r="B16" s="15" t="s">
        <v>135</v>
      </c>
      <c r="C16" s="15" t="s">
        <v>99</v>
      </c>
      <c r="D16" s="15" t="s">
        <v>116</v>
      </c>
      <c r="E16" s="34"/>
      <c r="F16" s="34"/>
      <c r="G16" s="30"/>
      <c r="H16" s="29"/>
      <c r="I16" s="29"/>
      <c r="J16" s="29"/>
      <c r="K16" s="23">
        <v>0</v>
      </c>
      <c r="L16" s="30"/>
      <c r="M16" s="15" t="s">
        <v>117</v>
      </c>
      <c r="N16" s="31"/>
      <c r="O16" s="29"/>
      <c r="P16" s="19">
        <v>2000</v>
      </c>
      <c r="Q16" s="15">
        <v>31</v>
      </c>
      <c r="R16" s="15">
        <v>31</v>
      </c>
      <c r="S16" s="15" t="s">
        <v>118</v>
      </c>
      <c r="T16" t="s">
        <v>136</v>
      </c>
      <c r="U16" t="s">
        <v>120</v>
      </c>
    </row>
    <row r="17" spans="1:21" ht="14.25" customHeight="1">
      <c r="A17" s="13">
        <v>204037</v>
      </c>
      <c r="B17" s="13" t="s">
        <v>137</v>
      </c>
      <c r="C17" s="13" t="s">
        <v>98</v>
      </c>
      <c r="D17" s="13" t="s">
        <v>116</v>
      </c>
      <c r="E17" s="28">
        <v>497.66292134831502</v>
      </c>
      <c r="F17" s="28">
        <v>6.6309943104849598</v>
      </c>
      <c r="G17" s="13">
        <v>3</v>
      </c>
      <c r="H17" s="21">
        <v>3.6184210526315798E-2</v>
      </c>
      <c r="I17" s="21">
        <v>0.88</v>
      </c>
      <c r="J17" s="21">
        <v>0.14000000000000001</v>
      </c>
      <c r="K17" s="22">
        <v>0</v>
      </c>
      <c r="L17" s="30"/>
      <c r="M17" s="13" t="s">
        <v>117</v>
      </c>
      <c r="N17" s="31"/>
      <c r="O17" s="29"/>
      <c r="P17" s="32">
        <v>2000</v>
      </c>
      <c r="Q17" s="13">
        <v>31</v>
      </c>
      <c r="R17" s="13">
        <v>31</v>
      </c>
      <c r="S17" s="13" t="s">
        <v>118</v>
      </c>
      <c r="T17" t="s">
        <v>138</v>
      </c>
      <c r="U17" t="s">
        <v>120</v>
      </c>
    </row>
    <row r="18" spans="1:21" ht="14.25" customHeight="1">
      <c r="A18" s="15">
        <v>232195</v>
      </c>
      <c r="B18" s="15" t="s">
        <v>139</v>
      </c>
      <c r="C18" s="15" t="s">
        <v>98</v>
      </c>
      <c r="D18" s="15" t="s">
        <v>116</v>
      </c>
      <c r="E18" s="33">
        <v>431.09379968203501</v>
      </c>
      <c r="F18" s="33">
        <v>7.65494656252074</v>
      </c>
      <c r="G18" s="15">
        <v>4.1707317073170698</v>
      </c>
      <c r="H18" s="16">
        <v>0.107421875</v>
      </c>
      <c r="I18" s="16">
        <v>0.45</v>
      </c>
      <c r="J18" s="16">
        <v>0.12</v>
      </c>
      <c r="K18" s="23">
        <v>0</v>
      </c>
      <c r="L18" s="30"/>
      <c r="M18" s="15" t="s">
        <v>117</v>
      </c>
      <c r="N18" s="31"/>
      <c r="O18" s="29"/>
      <c r="P18" s="19">
        <v>2000</v>
      </c>
      <c r="Q18" s="15">
        <v>31</v>
      </c>
      <c r="R18" s="15">
        <v>31</v>
      </c>
      <c r="S18" s="15" t="s">
        <v>118</v>
      </c>
      <c r="T18" t="s">
        <v>138</v>
      </c>
      <c r="U18" t="s">
        <v>120</v>
      </c>
    </row>
    <row r="19" spans="1:21" ht="14.25" customHeight="1">
      <c r="A19" s="13">
        <v>228217</v>
      </c>
      <c r="B19" s="13" t="s">
        <v>140</v>
      </c>
      <c r="C19" s="13" t="s">
        <v>96</v>
      </c>
      <c r="D19" s="13" t="s">
        <v>116</v>
      </c>
      <c r="E19" s="28">
        <v>457.88505747126499</v>
      </c>
      <c r="F19" s="28">
        <v>7.20704890049202</v>
      </c>
      <c r="G19" s="13">
        <v>5</v>
      </c>
      <c r="H19" s="21">
        <v>0.19166666666666701</v>
      </c>
      <c r="I19" s="21">
        <v>0.84899999999999998</v>
      </c>
      <c r="J19" s="21">
        <v>0</v>
      </c>
      <c r="K19" s="22">
        <v>0</v>
      </c>
      <c r="L19" s="30"/>
      <c r="M19" s="13" t="s">
        <v>117</v>
      </c>
      <c r="N19" s="31"/>
      <c r="O19" s="29"/>
      <c r="P19" s="32">
        <v>2000</v>
      </c>
      <c r="Q19" s="13">
        <v>31</v>
      </c>
      <c r="R19" s="13">
        <v>31</v>
      </c>
      <c r="S19" s="13" t="s">
        <v>118</v>
      </c>
      <c r="T19" t="s">
        <v>141</v>
      </c>
      <c r="U19" t="s">
        <v>120</v>
      </c>
    </row>
    <row r="20" spans="1:21" ht="14.25" customHeight="1">
      <c r="A20" s="15">
        <v>204033</v>
      </c>
      <c r="B20" s="15" t="s">
        <v>142</v>
      </c>
      <c r="C20" s="15" t="s">
        <v>95</v>
      </c>
      <c r="D20" s="15" t="s">
        <v>116</v>
      </c>
      <c r="E20" s="33">
        <v>331.95904436860098</v>
      </c>
      <c r="F20" s="33">
        <v>9.9409853594341193</v>
      </c>
      <c r="G20" s="15">
        <v>3.52941176470588</v>
      </c>
      <c r="H20" s="16">
        <v>5.9925093632958802E-2</v>
      </c>
      <c r="I20" s="16">
        <v>0.2</v>
      </c>
      <c r="J20" s="16">
        <v>0.2</v>
      </c>
      <c r="K20" s="23">
        <v>0</v>
      </c>
      <c r="L20" s="30"/>
      <c r="M20" s="15" t="s">
        <v>117</v>
      </c>
      <c r="N20" s="31"/>
      <c r="O20" s="29"/>
      <c r="P20" s="19">
        <v>2000</v>
      </c>
      <c r="Q20" s="15">
        <v>31</v>
      </c>
      <c r="R20" s="15">
        <v>31</v>
      </c>
      <c r="S20" s="15" t="s">
        <v>118</v>
      </c>
      <c r="T20" t="s">
        <v>138</v>
      </c>
      <c r="U20" t="s">
        <v>120</v>
      </c>
    </row>
    <row r="21" spans="1:21" ht="14.25" customHeight="1">
      <c r="A21" s="13">
        <v>228202</v>
      </c>
      <c r="B21" s="13" t="s">
        <v>143</v>
      </c>
      <c r="C21" s="13" t="s">
        <v>96</v>
      </c>
      <c r="D21" s="13" t="s">
        <v>116</v>
      </c>
      <c r="E21" s="28">
        <v>619.22153846153799</v>
      </c>
      <c r="F21" s="28">
        <v>5.3292719891476699</v>
      </c>
      <c r="G21" s="13">
        <v>4.62745098039216</v>
      </c>
      <c r="H21" s="21">
        <v>0.37016574585635398</v>
      </c>
      <c r="I21" s="21">
        <v>0.56416666666666704</v>
      </c>
      <c r="J21" s="21">
        <v>0</v>
      </c>
      <c r="K21" s="22">
        <v>0</v>
      </c>
      <c r="L21" s="30"/>
      <c r="M21" s="13" t="s">
        <v>117</v>
      </c>
      <c r="N21" s="31"/>
      <c r="O21" s="29"/>
      <c r="P21" s="32">
        <v>2000</v>
      </c>
      <c r="Q21" s="13">
        <v>31</v>
      </c>
      <c r="R21" s="13">
        <v>31</v>
      </c>
      <c r="S21" s="13" t="s">
        <v>118</v>
      </c>
      <c r="T21" t="s">
        <v>134</v>
      </c>
      <c r="U21" t="s">
        <v>120</v>
      </c>
    </row>
    <row r="22" spans="1:21" ht="14.25" customHeight="1">
      <c r="A22" s="15">
        <v>228201</v>
      </c>
      <c r="B22" s="15" t="s">
        <v>144</v>
      </c>
      <c r="C22" s="15" t="s">
        <v>96</v>
      </c>
      <c r="D22" s="15" t="s">
        <v>116</v>
      </c>
      <c r="E22" s="33">
        <v>459.585714285714</v>
      </c>
      <c r="F22" s="33">
        <v>7.1803798452022001</v>
      </c>
      <c r="G22" s="15">
        <v>4.9705882352941204</v>
      </c>
      <c r="H22" s="16">
        <v>0.28965517241379302</v>
      </c>
      <c r="I22" s="16">
        <v>0.65666666666666695</v>
      </c>
      <c r="J22" s="16">
        <v>0</v>
      </c>
      <c r="K22" s="23">
        <v>0</v>
      </c>
      <c r="L22" s="30"/>
      <c r="M22" s="15" t="s">
        <v>117</v>
      </c>
      <c r="N22" s="31"/>
      <c r="O22" s="29"/>
      <c r="P22" s="19">
        <v>2000</v>
      </c>
      <c r="Q22" s="15">
        <v>31</v>
      </c>
      <c r="R22" s="15">
        <v>31</v>
      </c>
      <c r="S22" s="15" t="s">
        <v>118</v>
      </c>
      <c r="T22" t="s">
        <v>141</v>
      </c>
      <c r="U22" t="s">
        <v>120</v>
      </c>
    </row>
    <row r="23" spans="1:21" ht="14.25" customHeight="1">
      <c r="A23" s="13">
        <v>250753</v>
      </c>
      <c r="B23" s="13" t="s">
        <v>145</v>
      </c>
      <c r="C23" s="13" t="s">
        <v>96</v>
      </c>
      <c r="D23" s="13" t="s">
        <v>116</v>
      </c>
      <c r="E23" s="34"/>
      <c r="F23" s="34"/>
      <c r="G23" s="30"/>
      <c r="H23" s="29"/>
      <c r="I23" s="29"/>
      <c r="J23" s="21">
        <v>0</v>
      </c>
      <c r="K23" s="22">
        <v>0</v>
      </c>
      <c r="L23" s="30"/>
      <c r="M23" s="13" t="s">
        <v>117</v>
      </c>
      <c r="N23" s="31"/>
      <c r="O23" s="29"/>
      <c r="P23" s="32">
        <v>2000</v>
      </c>
      <c r="Q23" s="13">
        <v>31</v>
      </c>
      <c r="R23" s="13">
        <v>31</v>
      </c>
      <c r="S23" s="13" t="s">
        <v>118</v>
      </c>
      <c r="T23" t="s">
        <v>134</v>
      </c>
      <c r="U23" t="s">
        <v>120</v>
      </c>
    </row>
    <row r="24" spans="1:21" ht="14.25" customHeight="1">
      <c r="A24" s="15">
        <v>249778</v>
      </c>
      <c r="B24" s="15" t="s">
        <v>146</v>
      </c>
      <c r="C24" s="15" t="s">
        <v>97</v>
      </c>
      <c r="D24" s="15" t="s">
        <v>116</v>
      </c>
      <c r="E24" s="34"/>
      <c r="F24" s="34"/>
      <c r="G24" s="30"/>
      <c r="H24" s="29"/>
      <c r="I24" s="29"/>
      <c r="J24" s="16">
        <v>0</v>
      </c>
      <c r="K24" s="23">
        <v>0</v>
      </c>
      <c r="L24" s="30"/>
      <c r="M24" s="15" t="s">
        <v>117</v>
      </c>
      <c r="N24" s="31"/>
      <c r="O24" s="29"/>
      <c r="P24" s="19">
        <v>2000</v>
      </c>
      <c r="Q24" s="15">
        <v>31</v>
      </c>
      <c r="R24" s="15">
        <v>31</v>
      </c>
      <c r="S24" s="15" t="s">
        <v>118</v>
      </c>
      <c r="T24" t="s">
        <v>128</v>
      </c>
      <c r="U24" t="s">
        <v>120</v>
      </c>
    </row>
    <row r="25" spans="1:21" ht="14.25" customHeight="1">
      <c r="A25" s="13">
        <v>96496</v>
      </c>
      <c r="B25" s="13" t="s">
        <v>147</v>
      </c>
      <c r="C25" s="13" t="s">
        <v>99</v>
      </c>
      <c r="D25" s="13" t="s">
        <v>116</v>
      </c>
      <c r="E25" s="28">
        <v>323.502702702703</v>
      </c>
      <c r="F25" s="28">
        <v>10.200842133404601</v>
      </c>
      <c r="G25" s="13">
        <v>3.3333333333333299</v>
      </c>
      <c r="H25" s="21">
        <v>7.5812274368231E-2</v>
      </c>
      <c r="I25" s="21">
        <v>0.96333333333333304</v>
      </c>
      <c r="J25" s="21">
        <v>0</v>
      </c>
      <c r="K25" s="22">
        <v>0</v>
      </c>
      <c r="L25" s="30"/>
      <c r="M25" s="13" t="s">
        <v>117</v>
      </c>
      <c r="N25" s="31"/>
      <c r="O25" s="29"/>
      <c r="P25" s="32">
        <v>2000</v>
      </c>
      <c r="Q25" s="13">
        <v>31</v>
      </c>
      <c r="R25" s="13">
        <v>31</v>
      </c>
      <c r="S25" s="13" t="s">
        <v>118</v>
      </c>
      <c r="T25" t="s">
        <v>148</v>
      </c>
      <c r="U25" t="s">
        <v>120</v>
      </c>
    </row>
    <row r="26" spans="1:21" ht="14.25" customHeight="1">
      <c r="A26" s="15">
        <v>228215</v>
      </c>
      <c r="B26" s="15" t="s">
        <v>149</v>
      </c>
      <c r="C26" s="15" t="s">
        <v>96</v>
      </c>
      <c r="D26" s="15" t="s">
        <v>116</v>
      </c>
      <c r="E26" s="33">
        <v>450.93290734824302</v>
      </c>
      <c r="F26" s="33">
        <v>7.3181618511853301</v>
      </c>
      <c r="G26" s="15">
        <v>4.5882352941176503</v>
      </c>
      <c r="H26" s="16">
        <v>0.200980392156863</v>
      </c>
      <c r="I26" s="16">
        <v>0.66461538461538505</v>
      </c>
      <c r="J26" s="16">
        <v>0</v>
      </c>
      <c r="K26" s="23">
        <v>0</v>
      </c>
      <c r="L26" s="30"/>
      <c r="M26" s="15" t="s">
        <v>117</v>
      </c>
      <c r="N26" s="31"/>
      <c r="O26" s="29"/>
      <c r="P26" s="19">
        <v>2000</v>
      </c>
      <c r="Q26" s="15">
        <v>31</v>
      </c>
      <c r="R26" s="15">
        <v>31</v>
      </c>
      <c r="S26" s="15" t="s">
        <v>118</v>
      </c>
      <c r="T26" t="s">
        <v>132</v>
      </c>
      <c r="U26" t="s">
        <v>120</v>
      </c>
    </row>
    <row r="27" spans="1:21" ht="14.25" customHeight="1">
      <c r="A27" s="13">
        <v>228211</v>
      </c>
      <c r="B27" s="13" t="s">
        <v>150</v>
      </c>
      <c r="C27" s="13" t="s">
        <v>96</v>
      </c>
      <c r="D27" s="13" t="s">
        <v>116</v>
      </c>
      <c r="E27" s="28">
        <v>630.17832167832205</v>
      </c>
      <c r="F27" s="28">
        <v>5.2366130132995998</v>
      </c>
      <c r="G27" s="13">
        <v>4.8918918918918903</v>
      </c>
      <c r="H27" s="21">
        <v>0.29310344827586199</v>
      </c>
      <c r="I27" s="21">
        <v>0.76</v>
      </c>
      <c r="J27" s="21">
        <v>0</v>
      </c>
      <c r="K27" s="22">
        <v>0</v>
      </c>
      <c r="L27" s="30"/>
      <c r="M27" s="13" t="s">
        <v>117</v>
      </c>
      <c r="N27" s="31"/>
      <c r="O27" s="29"/>
      <c r="P27" s="32">
        <v>2000</v>
      </c>
      <c r="Q27" s="13">
        <v>31</v>
      </c>
      <c r="R27" s="13">
        <v>31</v>
      </c>
      <c r="S27" s="13" t="s">
        <v>118</v>
      </c>
      <c r="T27" t="s">
        <v>134</v>
      </c>
      <c r="U27" t="s">
        <v>120</v>
      </c>
    </row>
    <row r="28" spans="1:21" ht="14.25" customHeight="1">
      <c r="A28" s="15">
        <v>232196</v>
      </c>
      <c r="B28" s="15" t="s">
        <v>151</v>
      </c>
      <c r="C28" s="15" t="s">
        <v>98</v>
      </c>
      <c r="D28" s="15" t="s">
        <v>116</v>
      </c>
      <c r="E28" s="33">
        <v>645.55616942909796</v>
      </c>
      <c r="F28" s="33">
        <v>5.1118712147362402</v>
      </c>
      <c r="G28" s="15">
        <v>4.21428571428571</v>
      </c>
      <c r="H28" s="16">
        <v>8.9775561097256901E-2</v>
      </c>
      <c r="I28" s="16">
        <v>0.17599999999999999</v>
      </c>
      <c r="J28" s="16">
        <v>0</v>
      </c>
      <c r="K28" s="23">
        <v>0</v>
      </c>
      <c r="L28" s="30"/>
      <c r="M28" s="15" t="s">
        <v>117</v>
      </c>
      <c r="N28" s="31"/>
      <c r="O28" s="29"/>
      <c r="P28" s="19">
        <v>2000</v>
      </c>
      <c r="Q28" s="15">
        <v>31</v>
      </c>
      <c r="R28" s="15">
        <v>31</v>
      </c>
      <c r="S28" s="15" t="s">
        <v>118</v>
      </c>
      <c r="T28" t="s">
        <v>152</v>
      </c>
      <c r="U28" t="s">
        <v>120</v>
      </c>
    </row>
    <row r="29" spans="1:21" ht="14.25" customHeight="1">
      <c r="A29" s="13">
        <v>203614</v>
      </c>
      <c r="B29" s="13" t="s">
        <v>153</v>
      </c>
      <c r="C29" s="13" t="s">
        <v>96</v>
      </c>
      <c r="D29" s="13" t="s">
        <v>116</v>
      </c>
      <c r="E29" s="28">
        <v>477.53503184713401</v>
      </c>
      <c r="F29" s="28">
        <v>6.9104877755992202</v>
      </c>
      <c r="G29" s="13">
        <v>4.5925925925925899</v>
      </c>
      <c r="H29" s="21">
        <v>0.205741626794258</v>
      </c>
      <c r="I29" s="21">
        <v>0.627142857142857</v>
      </c>
      <c r="J29" s="21">
        <v>0</v>
      </c>
      <c r="K29" s="22">
        <v>0</v>
      </c>
      <c r="L29" s="30"/>
      <c r="M29" s="13" t="s">
        <v>117</v>
      </c>
      <c r="N29" s="31"/>
      <c r="O29" s="29"/>
      <c r="P29" s="32">
        <v>2000</v>
      </c>
      <c r="Q29" s="13">
        <v>31</v>
      </c>
      <c r="R29" s="13">
        <v>31</v>
      </c>
      <c r="S29" s="13" t="s">
        <v>118</v>
      </c>
      <c r="T29" t="s">
        <v>132</v>
      </c>
      <c r="U29" t="s">
        <v>120</v>
      </c>
    </row>
    <row r="30" spans="1:21" ht="14.25" customHeight="1">
      <c r="A30" s="15">
        <v>244554</v>
      </c>
      <c r="B30" s="15" t="s">
        <v>154</v>
      </c>
      <c r="C30" s="15" t="s">
        <v>98</v>
      </c>
      <c r="D30" s="15" t="s">
        <v>116</v>
      </c>
      <c r="E30" s="34"/>
      <c r="F30" s="34"/>
      <c r="G30" s="30"/>
      <c r="H30" s="29"/>
      <c r="I30" s="29"/>
      <c r="J30" s="29"/>
      <c r="K30" s="23">
        <v>0</v>
      </c>
      <c r="L30" s="30"/>
      <c r="M30" s="15" t="s">
        <v>117</v>
      </c>
      <c r="N30" s="31"/>
      <c r="O30" s="29"/>
      <c r="P30" s="19">
        <v>2000</v>
      </c>
      <c r="Q30" s="15">
        <v>31</v>
      </c>
      <c r="R30" s="15">
        <v>31</v>
      </c>
      <c r="S30" s="15" t="s">
        <v>118</v>
      </c>
      <c r="T30" t="s">
        <v>136</v>
      </c>
      <c r="U30" t="s">
        <v>120</v>
      </c>
    </row>
    <row r="31" spans="1:21" ht="14.25" customHeight="1">
      <c r="A31" s="13">
        <v>203646</v>
      </c>
      <c r="B31" s="13" t="s">
        <v>155</v>
      </c>
      <c r="C31" s="13" t="s">
        <v>96</v>
      </c>
      <c r="D31" s="13" t="s">
        <v>116</v>
      </c>
      <c r="E31" s="28">
        <v>365.870967741936</v>
      </c>
      <c r="F31" s="28">
        <v>9.01957326750132</v>
      </c>
      <c r="G31" s="13">
        <v>4.5405405405405403</v>
      </c>
      <c r="H31" s="21">
        <v>0.20425531914893599</v>
      </c>
      <c r="I31" s="21">
        <v>0.67923076923076897</v>
      </c>
      <c r="J31" s="21">
        <v>0</v>
      </c>
      <c r="K31" s="22">
        <v>0</v>
      </c>
      <c r="L31" s="30"/>
      <c r="M31" s="13" t="s">
        <v>117</v>
      </c>
      <c r="N31" s="31"/>
      <c r="O31" s="29"/>
      <c r="P31" s="32">
        <v>2000</v>
      </c>
      <c r="Q31" s="13">
        <v>31</v>
      </c>
      <c r="R31" s="13">
        <v>31</v>
      </c>
      <c r="S31" s="13" t="s">
        <v>118</v>
      </c>
      <c r="T31" t="s">
        <v>134</v>
      </c>
      <c r="U31" t="s">
        <v>120</v>
      </c>
    </row>
    <row r="32" spans="1:21" ht="14.25" customHeight="1">
      <c r="A32" s="15">
        <v>96486</v>
      </c>
      <c r="B32" s="15" t="s">
        <v>156</v>
      </c>
      <c r="C32" s="15" t="s">
        <v>98</v>
      </c>
      <c r="D32" s="15" t="s">
        <v>116</v>
      </c>
      <c r="E32" s="33">
        <v>246.35317460317501</v>
      </c>
      <c r="F32" s="33">
        <v>13.395402780238699</v>
      </c>
      <c r="G32" s="15">
        <v>3.375</v>
      </c>
      <c r="H32" s="16">
        <v>6.7039106145251395E-2</v>
      </c>
      <c r="I32" s="16">
        <v>0.20749999999999999</v>
      </c>
      <c r="J32" s="16">
        <v>0</v>
      </c>
      <c r="K32" s="23">
        <v>0</v>
      </c>
      <c r="L32" s="30"/>
      <c r="M32" s="15" t="s">
        <v>117</v>
      </c>
      <c r="N32" s="31"/>
      <c r="O32" s="29"/>
      <c r="P32" s="19">
        <v>2000</v>
      </c>
      <c r="Q32" s="15">
        <v>31</v>
      </c>
      <c r="R32" s="15">
        <v>31</v>
      </c>
      <c r="S32" s="15" t="s">
        <v>118</v>
      </c>
      <c r="T32" t="s">
        <v>152</v>
      </c>
      <c r="U32" t="s">
        <v>120</v>
      </c>
    </row>
    <row r="33" spans="1:35" ht="14.25" customHeight="1">
      <c r="A33" s="13">
        <v>204024</v>
      </c>
      <c r="B33" s="13" t="s">
        <v>157</v>
      </c>
      <c r="C33" s="13" t="s">
        <v>95</v>
      </c>
      <c r="D33" s="13" t="s">
        <v>116</v>
      </c>
      <c r="E33" s="28">
        <v>374.85809018567699</v>
      </c>
      <c r="F33" s="28">
        <v>8.8033314110025707</v>
      </c>
      <c r="G33" s="13">
        <v>4.1568627450980404</v>
      </c>
      <c r="H33" s="21">
        <v>0.11347517730496499</v>
      </c>
      <c r="I33" s="21">
        <v>0</v>
      </c>
      <c r="J33" s="21">
        <v>0.15</v>
      </c>
      <c r="K33" s="22">
        <v>0</v>
      </c>
      <c r="L33" s="30"/>
      <c r="M33" s="13" t="s">
        <v>117</v>
      </c>
      <c r="N33" s="31"/>
      <c r="O33" s="29"/>
      <c r="P33" s="32">
        <v>2000</v>
      </c>
      <c r="Q33" s="13">
        <v>31</v>
      </c>
      <c r="R33" s="13">
        <v>31</v>
      </c>
      <c r="S33" s="13" t="s">
        <v>118</v>
      </c>
      <c r="T33" t="s">
        <v>138</v>
      </c>
      <c r="U33" t="s">
        <v>120</v>
      </c>
    </row>
    <row r="34" spans="1:35" ht="14.25" customHeight="1">
      <c r="A34" s="15">
        <v>224102</v>
      </c>
      <c r="B34" s="15" t="s">
        <v>158</v>
      </c>
      <c r="C34" s="15" t="s">
        <v>98</v>
      </c>
      <c r="D34" s="15" t="s">
        <v>116</v>
      </c>
      <c r="E34" s="33">
        <v>574</v>
      </c>
      <c r="F34" s="33">
        <v>5.7491289198606301</v>
      </c>
      <c r="G34" s="15">
        <v>4</v>
      </c>
      <c r="H34" s="16">
        <v>6.2135922330097099E-2</v>
      </c>
      <c r="I34" s="16">
        <v>0.586666666666667</v>
      </c>
      <c r="J34" s="16">
        <v>0.09</v>
      </c>
      <c r="K34" s="23">
        <v>0</v>
      </c>
      <c r="L34" s="30"/>
      <c r="M34" s="15" t="s">
        <v>117</v>
      </c>
      <c r="N34" s="31"/>
      <c r="O34" s="29"/>
      <c r="P34" s="19">
        <v>2000</v>
      </c>
      <c r="Q34" s="15">
        <v>31</v>
      </c>
      <c r="R34" s="15">
        <v>31</v>
      </c>
      <c r="S34" s="15" t="s">
        <v>118</v>
      </c>
      <c r="T34" t="s">
        <v>159</v>
      </c>
      <c r="U34" t="s">
        <v>120</v>
      </c>
    </row>
    <row r="35" spans="1:35" ht="14.25" customHeight="1">
      <c r="A35" s="13">
        <v>228213</v>
      </c>
      <c r="B35" s="13" t="s">
        <v>160</v>
      </c>
      <c r="C35" s="13" t="s">
        <v>96</v>
      </c>
      <c r="D35" s="13" t="s">
        <v>116</v>
      </c>
      <c r="E35" s="28">
        <v>415.82135922330099</v>
      </c>
      <c r="F35" s="28">
        <v>7.9361002671049903</v>
      </c>
      <c r="G35" s="13">
        <v>4.7083333333333304</v>
      </c>
      <c r="H35" s="21">
        <v>0.408637873754153</v>
      </c>
      <c r="I35" s="21">
        <v>0.730833333333333</v>
      </c>
      <c r="J35" s="21">
        <v>0</v>
      </c>
      <c r="K35" s="22">
        <v>0</v>
      </c>
      <c r="L35" s="30"/>
      <c r="M35" s="13" t="s">
        <v>117</v>
      </c>
      <c r="N35" s="31"/>
      <c r="O35" s="29"/>
      <c r="P35" s="32">
        <v>2000</v>
      </c>
      <c r="Q35" s="13">
        <v>31</v>
      </c>
      <c r="R35" s="13">
        <v>31</v>
      </c>
      <c r="S35" s="13" t="s">
        <v>118</v>
      </c>
      <c r="T35" t="s">
        <v>132</v>
      </c>
      <c r="U35" t="s">
        <v>120</v>
      </c>
    </row>
    <row r="36" spans="1:35" ht="14.25" customHeight="1">
      <c r="A36" s="15">
        <v>244550</v>
      </c>
      <c r="B36" s="15" t="s">
        <v>161</v>
      </c>
      <c r="C36" s="15" t="s">
        <v>98</v>
      </c>
      <c r="D36" s="15" t="s">
        <v>116</v>
      </c>
      <c r="E36" s="34"/>
      <c r="F36" s="34"/>
      <c r="G36" s="30"/>
      <c r="H36" s="29"/>
      <c r="I36" s="29"/>
      <c r="J36" s="29"/>
      <c r="K36" s="23">
        <v>0</v>
      </c>
      <c r="L36" s="30"/>
      <c r="M36" s="15" t="s">
        <v>117</v>
      </c>
      <c r="N36" s="31"/>
      <c r="O36" s="29"/>
      <c r="P36" s="19">
        <v>2000</v>
      </c>
      <c r="Q36" s="15">
        <v>31</v>
      </c>
      <c r="R36" s="15">
        <v>31</v>
      </c>
      <c r="S36" s="15" t="s">
        <v>118</v>
      </c>
      <c r="T36" t="s">
        <v>136</v>
      </c>
      <c r="U36" t="s">
        <v>120</v>
      </c>
    </row>
    <row r="37" spans="1:35" ht="14.25" customHeight="1">
      <c r="A37" s="13">
        <v>207437</v>
      </c>
      <c r="B37" s="13" t="s">
        <v>162</v>
      </c>
      <c r="C37" s="13" t="s">
        <v>97</v>
      </c>
      <c r="D37" s="13" t="s">
        <v>116</v>
      </c>
      <c r="E37" s="28">
        <v>303.85646687697198</v>
      </c>
      <c r="F37" s="28">
        <v>10.860390874406299</v>
      </c>
      <c r="G37" s="13">
        <v>2.9090909090909101</v>
      </c>
      <c r="H37" s="21">
        <v>6.1630218687872801E-2</v>
      </c>
      <c r="I37" s="21">
        <v>0.79571428571428604</v>
      </c>
      <c r="J37" s="21">
        <v>0</v>
      </c>
      <c r="K37" s="22">
        <v>0</v>
      </c>
      <c r="L37" s="30"/>
      <c r="M37" s="13" t="s">
        <v>117</v>
      </c>
      <c r="N37" s="31"/>
      <c r="O37" s="29"/>
      <c r="P37" s="32">
        <v>2000</v>
      </c>
      <c r="Q37" s="13">
        <v>31</v>
      </c>
      <c r="R37" s="13">
        <v>31</v>
      </c>
      <c r="S37" s="13" t="s">
        <v>118</v>
      </c>
      <c r="T37" t="s">
        <v>163</v>
      </c>
      <c r="U37" t="s">
        <v>120</v>
      </c>
    </row>
    <row r="38" spans="1:35" ht="14.25" customHeight="1">
      <c r="A38" s="15">
        <v>240747</v>
      </c>
      <c r="B38" s="15" t="s">
        <v>164</v>
      </c>
      <c r="C38" s="15" t="s">
        <v>98</v>
      </c>
      <c r="D38" s="15" t="s">
        <v>116</v>
      </c>
      <c r="E38" s="34"/>
      <c r="F38" s="34"/>
      <c r="G38" s="15">
        <v>1</v>
      </c>
      <c r="H38" s="16">
        <v>0.05</v>
      </c>
      <c r="I38" s="29"/>
      <c r="J38" s="29"/>
      <c r="K38" s="23">
        <v>0</v>
      </c>
      <c r="L38" s="30"/>
      <c r="M38" s="15" t="s">
        <v>117</v>
      </c>
      <c r="N38" s="31"/>
      <c r="O38" s="29"/>
      <c r="P38" s="19">
        <v>2000</v>
      </c>
      <c r="Q38" s="15">
        <v>31</v>
      </c>
      <c r="R38" s="15">
        <v>31</v>
      </c>
      <c r="S38" s="15" t="s">
        <v>118</v>
      </c>
      <c r="T38" t="s">
        <v>138</v>
      </c>
      <c r="U38" t="s">
        <v>120</v>
      </c>
    </row>
    <row r="39" spans="1:35" ht="14.25" customHeight="1">
      <c r="A39" s="13">
        <v>221751</v>
      </c>
      <c r="B39" s="13" t="s">
        <v>165</v>
      </c>
      <c r="C39" s="13" t="s">
        <v>98</v>
      </c>
      <c r="D39" s="13" t="s">
        <v>116</v>
      </c>
      <c r="E39" s="28">
        <v>375.34</v>
      </c>
      <c r="F39" s="28">
        <v>8.7920285607715698</v>
      </c>
      <c r="G39" s="13">
        <v>3.4</v>
      </c>
      <c r="H39" s="21">
        <v>5.3299492385786802E-2</v>
      </c>
      <c r="I39" s="21">
        <v>0</v>
      </c>
      <c r="J39" s="21">
        <v>0.3</v>
      </c>
      <c r="K39" s="22">
        <v>0</v>
      </c>
      <c r="L39" s="30"/>
      <c r="M39" s="13" t="s">
        <v>117</v>
      </c>
      <c r="N39" s="31"/>
      <c r="O39" s="29"/>
      <c r="P39" s="32">
        <v>2000</v>
      </c>
      <c r="Q39" s="13">
        <v>31</v>
      </c>
      <c r="R39" s="13">
        <v>31</v>
      </c>
      <c r="S39" s="13" t="s">
        <v>118</v>
      </c>
      <c r="T39" t="s">
        <v>159</v>
      </c>
      <c r="U39" t="s">
        <v>120</v>
      </c>
    </row>
    <row r="40" spans="1:35" ht="14.25" customHeight="1">
      <c r="A40" s="15">
        <v>232190</v>
      </c>
      <c r="B40" s="15" t="s">
        <v>166</v>
      </c>
      <c r="C40" s="15" t="s">
        <v>99</v>
      </c>
      <c r="D40" s="15" t="s">
        <v>116</v>
      </c>
      <c r="E40" s="33">
        <v>523.15679442508701</v>
      </c>
      <c r="F40" s="33">
        <v>6.30786034926005</v>
      </c>
      <c r="G40" s="15">
        <v>2.71428571428571</v>
      </c>
      <c r="H40" s="16">
        <v>5.7522123893805302E-2</v>
      </c>
      <c r="I40" s="16">
        <v>0.625</v>
      </c>
      <c r="J40" s="16">
        <v>0</v>
      </c>
      <c r="K40" s="23">
        <v>0</v>
      </c>
      <c r="L40" s="30"/>
      <c r="M40" s="15" t="s">
        <v>117</v>
      </c>
      <c r="N40" s="31"/>
      <c r="O40" s="29"/>
      <c r="P40" s="19">
        <v>2000</v>
      </c>
      <c r="Q40" s="15">
        <v>31</v>
      </c>
      <c r="R40" s="15">
        <v>31</v>
      </c>
      <c r="S40" s="15" t="s">
        <v>118</v>
      </c>
      <c r="T40" t="s">
        <v>148</v>
      </c>
      <c r="U40" t="s">
        <v>120</v>
      </c>
    </row>
    <row r="41" spans="1:35" ht="14.25" customHeight="1">
      <c r="A41" s="13">
        <v>204045</v>
      </c>
      <c r="B41" s="13" t="s">
        <v>167</v>
      </c>
      <c r="C41" s="13" t="s">
        <v>95</v>
      </c>
      <c r="D41" s="13" t="s">
        <v>116</v>
      </c>
      <c r="E41" s="28">
        <v>358.181518151815</v>
      </c>
      <c r="F41" s="28">
        <v>9.21320568695924</v>
      </c>
      <c r="G41" s="13">
        <v>4.2278481012658196</v>
      </c>
      <c r="H41" s="21">
        <v>0.18081180811808101</v>
      </c>
      <c r="I41" s="21">
        <v>0.66666666666666696</v>
      </c>
      <c r="J41" s="21">
        <v>0.01</v>
      </c>
      <c r="K41" s="22">
        <v>0</v>
      </c>
      <c r="L41" s="30"/>
      <c r="M41" s="13" t="s">
        <v>117</v>
      </c>
      <c r="N41" s="31"/>
      <c r="O41" s="29"/>
      <c r="P41" s="32">
        <v>2000</v>
      </c>
      <c r="Q41" s="13">
        <v>31</v>
      </c>
      <c r="R41" s="13">
        <v>31</v>
      </c>
      <c r="S41" s="13" t="s">
        <v>118</v>
      </c>
      <c r="T41" t="s">
        <v>130</v>
      </c>
      <c r="U41" t="s">
        <v>120</v>
      </c>
    </row>
    <row r="42" spans="1:35" ht="14.25" customHeight="1">
      <c r="A42" s="15">
        <v>96457</v>
      </c>
      <c r="B42" s="15" t="s">
        <v>168</v>
      </c>
      <c r="C42" s="15" t="s">
        <v>98</v>
      </c>
      <c r="D42" s="15" t="s">
        <v>116</v>
      </c>
      <c r="E42" s="33">
        <v>446.86827033218799</v>
      </c>
      <c r="F42" s="33">
        <v>7.3847265941412301</v>
      </c>
      <c r="G42" s="15">
        <v>3.6078431372548998</v>
      </c>
      <c r="H42" s="16">
        <v>0.12006861063464799</v>
      </c>
      <c r="I42" s="16">
        <v>0.293333333333333</v>
      </c>
      <c r="J42" s="16">
        <v>0.13</v>
      </c>
      <c r="K42" s="23">
        <v>0</v>
      </c>
      <c r="L42" s="30"/>
      <c r="M42" s="15" t="s">
        <v>117</v>
      </c>
      <c r="N42" s="31"/>
      <c r="O42" s="29"/>
      <c r="P42" s="19">
        <v>2000</v>
      </c>
      <c r="Q42" s="15">
        <v>31</v>
      </c>
      <c r="R42" s="15">
        <v>31</v>
      </c>
      <c r="S42" s="15" t="s">
        <v>118</v>
      </c>
      <c r="T42" t="s">
        <v>159</v>
      </c>
      <c r="U42" t="s">
        <v>120</v>
      </c>
    </row>
    <row r="43" spans="1:35" ht="14.25" customHeight="1">
      <c r="A43" s="13">
        <v>96526</v>
      </c>
      <c r="B43" s="13" t="s">
        <v>169</v>
      </c>
      <c r="C43" s="13" t="s">
        <v>98</v>
      </c>
      <c r="D43" s="13" t="s">
        <v>116</v>
      </c>
      <c r="E43" s="28">
        <v>305.96697247706402</v>
      </c>
      <c r="F43" s="28">
        <v>10.785477835348299</v>
      </c>
      <c r="G43" s="13">
        <v>2.75</v>
      </c>
      <c r="H43" s="21">
        <v>7.9365079365079402E-2</v>
      </c>
      <c r="I43" s="21">
        <v>0.6</v>
      </c>
      <c r="J43" s="21">
        <v>0.28000000000000003</v>
      </c>
      <c r="K43" s="22">
        <v>0</v>
      </c>
      <c r="L43" s="30"/>
      <c r="M43" s="13" t="s">
        <v>117</v>
      </c>
      <c r="N43" s="31"/>
      <c r="O43" s="29"/>
      <c r="P43" s="32">
        <v>2000</v>
      </c>
      <c r="Q43" s="13">
        <v>31</v>
      </c>
      <c r="R43" s="13">
        <v>31</v>
      </c>
      <c r="S43" s="13" t="s">
        <v>118</v>
      </c>
      <c r="T43" t="s">
        <v>152</v>
      </c>
      <c r="U43" t="s">
        <v>120</v>
      </c>
    </row>
    <row r="44" spans="1:35" ht="14.25" customHeight="1">
      <c r="A44" s="15">
        <v>204049</v>
      </c>
      <c r="B44" s="15" t="s">
        <v>170</v>
      </c>
      <c r="C44" s="15" t="s">
        <v>95</v>
      </c>
      <c r="D44" s="15" t="s">
        <v>116</v>
      </c>
      <c r="E44" s="33">
        <v>460.69302949061699</v>
      </c>
      <c r="F44" s="33">
        <v>7.1631211864628703</v>
      </c>
      <c r="G44" s="15">
        <v>4.38194444444445</v>
      </c>
      <c r="H44" s="16">
        <v>0.23766816143497799</v>
      </c>
      <c r="I44" s="16">
        <v>0.15833333333333299</v>
      </c>
      <c r="J44" s="16">
        <v>0.06</v>
      </c>
      <c r="K44" s="23">
        <v>0</v>
      </c>
      <c r="L44" s="30"/>
      <c r="M44" s="15" t="s">
        <v>117</v>
      </c>
      <c r="N44" s="31"/>
      <c r="O44" s="29"/>
      <c r="P44" s="19">
        <v>2000</v>
      </c>
      <c r="Q44" s="15">
        <v>31</v>
      </c>
      <c r="R44" s="15">
        <v>31</v>
      </c>
      <c r="S44" s="15" t="s">
        <v>118</v>
      </c>
      <c r="T44" t="s">
        <v>138</v>
      </c>
      <c r="U44" t="s">
        <v>120</v>
      </c>
    </row>
    <row r="45" spans="1:35" ht="14.25" customHeight="1">
      <c r="A45" s="13">
        <v>204047</v>
      </c>
      <c r="B45" s="13" t="s">
        <v>171</v>
      </c>
      <c r="C45" s="13" t="s">
        <v>95</v>
      </c>
      <c r="D45" s="13" t="s">
        <v>116</v>
      </c>
      <c r="E45" s="28">
        <v>341.56610169491501</v>
      </c>
      <c r="F45" s="28">
        <v>9.6613802822492598</v>
      </c>
      <c r="G45" s="13">
        <v>3.4375</v>
      </c>
      <c r="H45" s="21">
        <v>4.3392504930966497E-2</v>
      </c>
      <c r="I45" s="21">
        <v>0</v>
      </c>
      <c r="J45" s="21">
        <v>0</v>
      </c>
      <c r="K45" s="22">
        <v>0</v>
      </c>
      <c r="L45" s="30"/>
      <c r="M45" s="13" t="s">
        <v>117</v>
      </c>
      <c r="N45" s="31"/>
      <c r="O45" s="29"/>
      <c r="P45" s="32">
        <v>2000</v>
      </c>
      <c r="Q45" s="13">
        <v>31</v>
      </c>
      <c r="R45" s="13">
        <v>31</v>
      </c>
      <c r="S45" s="13" t="s">
        <v>118</v>
      </c>
      <c r="T45" s="30" t="s">
        <v>130</v>
      </c>
      <c r="U45" s="30" t="s">
        <v>120</v>
      </c>
      <c r="V45" s="30"/>
      <c r="W45" s="30"/>
      <c r="X45" s="34"/>
      <c r="Y45" s="34"/>
      <c r="Z45" s="30"/>
      <c r="AA45" s="29"/>
      <c r="AB45" s="29"/>
      <c r="AC45" s="29"/>
      <c r="AD45" s="35"/>
      <c r="AE45" s="30"/>
      <c r="AF45" s="30"/>
      <c r="AG45" s="31"/>
      <c r="AH45" s="29"/>
      <c r="AI45" s="31"/>
    </row>
    <row r="46" spans="1:35" ht="14.25" customHeight="1">
      <c r="A46" s="15">
        <v>96516</v>
      </c>
      <c r="B46" s="15" t="s">
        <v>172</v>
      </c>
      <c r="C46" s="15" t="s">
        <v>98</v>
      </c>
      <c r="D46" s="15" t="s">
        <v>116</v>
      </c>
      <c r="E46" s="33">
        <v>305.45570570570601</v>
      </c>
      <c r="F46" s="33">
        <v>10.8035303919954</v>
      </c>
      <c r="G46" s="15">
        <v>3.7258064516128999</v>
      </c>
      <c r="H46" s="16">
        <v>9.0999999999999998E-2</v>
      </c>
      <c r="I46" s="16">
        <v>0</v>
      </c>
      <c r="J46" s="16">
        <v>0</v>
      </c>
      <c r="K46" s="23">
        <v>0</v>
      </c>
      <c r="L46" s="30"/>
      <c r="M46" s="15" t="s">
        <v>117</v>
      </c>
      <c r="N46" s="31"/>
      <c r="O46" s="29"/>
      <c r="P46" s="19">
        <v>2000</v>
      </c>
      <c r="Q46" s="15">
        <v>31</v>
      </c>
      <c r="R46" s="15">
        <v>31</v>
      </c>
      <c r="S46" s="15" t="s">
        <v>118</v>
      </c>
      <c r="T46" s="30" t="s">
        <v>152</v>
      </c>
      <c r="U46" s="30" t="s">
        <v>120</v>
      </c>
      <c r="V46" s="30"/>
      <c r="W46" s="30"/>
      <c r="X46" s="34"/>
      <c r="Y46" s="34"/>
      <c r="Z46" s="30"/>
      <c r="AA46" s="29"/>
      <c r="AB46" s="29"/>
      <c r="AC46" s="29"/>
      <c r="AD46" s="35"/>
      <c r="AE46" s="30"/>
      <c r="AF46" s="30"/>
      <c r="AG46" s="31"/>
      <c r="AH46" s="29"/>
      <c r="AI46" s="31"/>
    </row>
    <row r="47" spans="1:35" ht="14.25" customHeight="1">
      <c r="A47" s="13">
        <v>244553</v>
      </c>
      <c r="B47" s="13" t="s">
        <v>173</v>
      </c>
      <c r="C47" s="13" t="s">
        <v>98</v>
      </c>
      <c r="D47" s="13" t="s">
        <v>116</v>
      </c>
      <c r="E47" s="34"/>
      <c r="F47" s="34"/>
      <c r="G47" s="30"/>
      <c r="H47" s="29"/>
      <c r="I47" s="29"/>
      <c r="J47" s="29"/>
      <c r="K47" s="22">
        <v>0</v>
      </c>
      <c r="L47" s="30"/>
      <c r="M47" s="13" t="s">
        <v>117</v>
      </c>
      <c r="N47" s="31"/>
      <c r="O47" s="29"/>
      <c r="P47" s="32">
        <v>2000</v>
      </c>
      <c r="Q47" s="13">
        <v>31</v>
      </c>
      <c r="R47" s="13">
        <v>31</v>
      </c>
      <c r="S47" s="13" t="s">
        <v>118</v>
      </c>
      <c r="T47" t="s">
        <v>136</v>
      </c>
      <c r="U47" t="s">
        <v>120</v>
      </c>
    </row>
    <row r="48" spans="1:35" ht="14.25" customHeight="1">
      <c r="A48" s="15">
        <v>232188</v>
      </c>
      <c r="B48" s="15" t="s">
        <v>174</v>
      </c>
      <c r="C48" s="15" t="s">
        <v>99</v>
      </c>
      <c r="D48" s="15" t="s">
        <v>116</v>
      </c>
      <c r="E48" s="33">
        <v>310.33634311512401</v>
      </c>
      <c r="F48" s="33">
        <v>10.6336240443995</v>
      </c>
      <c r="G48" s="15">
        <v>4.5625</v>
      </c>
      <c r="H48" s="16">
        <v>5.8011049723756897E-2</v>
      </c>
      <c r="I48" s="16">
        <v>0.89</v>
      </c>
      <c r="J48" s="16">
        <v>0</v>
      </c>
      <c r="K48" s="23">
        <v>0</v>
      </c>
      <c r="L48" s="30"/>
      <c r="M48" s="15" t="s">
        <v>117</v>
      </c>
      <c r="N48" s="31"/>
      <c r="O48" s="29"/>
      <c r="P48" s="19">
        <v>2000</v>
      </c>
      <c r="Q48" s="15">
        <v>31</v>
      </c>
      <c r="R48" s="15">
        <v>31</v>
      </c>
      <c r="S48" s="15" t="s">
        <v>118</v>
      </c>
      <c r="T48" t="s">
        <v>148</v>
      </c>
      <c r="U48" t="s">
        <v>120</v>
      </c>
    </row>
    <row r="49" spans="1:21" ht="14.25" customHeight="1">
      <c r="A49" s="13">
        <v>205224</v>
      </c>
      <c r="B49" s="13" t="s">
        <v>175</v>
      </c>
      <c r="C49" s="13" t="s">
        <v>95</v>
      </c>
      <c r="D49" s="13" t="s">
        <v>116</v>
      </c>
      <c r="E49" s="28">
        <v>410.71875</v>
      </c>
      <c r="F49" s="28">
        <v>8.0346952750513605</v>
      </c>
      <c r="G49" s="13">
        <v>4.1363636363636402</v>
      </c>
      <c r="H49" s="21">
        <v>7.6732673267326704E-2</v>
      </c>
      <c r="I49" s="21">
        <v>0</v>
      </c>
      <c r="J49" s="21">
        <v>0.28999999999999998</v>
      </c>
      <c r="K49" s="22">
        <v>0</v>
      </c>
      <c r="L49" s="30"/>
      <c r="M49" s="13" t="s">
        <v>117</v>
      </c>
      <c r="N49" s="31"/>
      <c r="O49" s="29"/>
      <c r="P49" s="32">
        <v>2000</v>
      </c>
      <c r="Q49" s="13">
        <v>31</v>
      </c>
      <c r="R49" s="13">
        <v>31</v>
      </c>
      <c r="S49" s="13" t="s">
        <v>118</v>
      </c>
      <c r="T49" t="s">
        <v>138</v>
      </c>
      <c r="U49" t="s">
        <v>120</v>
      </c>
    </row>
    <row r="50" spans="1:21" ht="14.25" customHeight="1">
      <c r="A50" s="15">
        <v>96462</v>
      </c>
      <c r="B50" s="15" t="s">
        <v>176</v>
      </c>
      <c r="C50" s="15" t="s">
        <v>98</v>
      </c>
      <c r="D50" s="15" t="s">
        <v>116</v>
      </c>
      <c r="E50" s="33">
        <v>381.71457286432201</v>
      </c>
      <c r="F50" s="33">
        <v>8.6452030773605397</v>
      </c>
      <c r="G50" s="15">
        <v>3.8333333333333299</v>
      </c>
      <c r="H50" s="16">
        <v>6.9148936170212796E-2</v>
      </c>
      <c r="I50" s="16">
        <v>0.88</v>
      </c>
      <c r="J50" s="16">
        <v>0</v>
      </c>
      <c r="K50" s="23">
        <v>0</v>
      </c>
      <c r="L50" s="30"/>
      <c r="M50" s="15" t="s">
        <v>117</v>
      </c>
      <c r="N50" s="31"/>
      <c r="O50" s="29"/>
      <c r="P50" s="19">
        <v>2000</v>
      </c>
      <c r="Q50" s="15">
        <v>31</v>
      </c>
      <c r="R50" s="15">
        <v>31</v>
      </c>
      <c r="S50" s="15" t="s">
        <v>118</v>
      </c>
      <c r="T50" t="s">
        <v>159</v>
      </c>
      <c r="U50" t="s">
        <v>120</v>
      </c>
    </row>
    <row r="51" spans="1:21" ht="14.25" customHeight="1">
      <c r="A51" s="13">
        <v>134404</v>
      </c>
      <c r="B51" s="13" t="s">
        <v>177</v>
      </c>
      <c r="C51" s="13" t="s">
        <v>98</v>
      </c>
      <c r="D51" s="13" t="s">
        <v>116</v>
      </c>
      <c r="E51" s="34"/>
      <c r="F51" s="34"/>
      <c r="G51" s="30"/>
      <c r="H51" s="29"/>
      <c r="I51" s="29"/>
      <c r="J51" s="29"/>
      <c r="K51" s="22">
        <v>0</v>
      </c>
      <c r="L51" s="30"/>
      <c r="M51" s="13" t="s">
        <v>117</v>
      </c>
      <c r="N51" s="31"/>
      <c r="O51" s="29"/>
      <c r="P51" s="32">
        <v>2000</v>
      </c>
      <c r="Q51" s="13">
        <v>31</v>
      </c>
      <c r="R51" s="13">
        <v>31</v>
      </c>
      <c r="S51" s="13" t="s">
        <v>118</v>
      </c>
      <c r="T51" t="s">
        <v>148</v>
      </c>
      <c r="U51" t="s">
        <v>120</v>
      </c>
    </row>
    <row r="52" spans="1:21" ht="14.25" customHeight="1">
      <c r="A52" s="15">
        <v>96523</v>
      </c>
      <c r="B52" s="15" t="s">
        <v>178</v>
      </c>
      <c r="C52" s="15" t="s">
        <v>98</v>
      </c>
      <c r="D52" s="15" t="s">
        <v>116</v>
      </c>
      <c r="E52" s="33">
        <v>326.950877192983</v>
      </c>
      <c r="F52" s="33">
        <v>10.093259355448</v>
      </c>
      <c r="G52" s="15">
        <v>3.4193548387096802</v>
      </c>
      <c r="H52" s="16">
        <v>6.3354037267080804E-2</v>
      </c>
      <c r="I52" s="16">
        <v>7.4999999999999997E-2</v>
      </c>
      <c r="J52" s="16">
        <v>0.1</v>
      </c>
      <c r="K52" s="23">
        <v>0</v>
      </c>
      <c r="L52" s="30"/>
      <c r="M52" s="15" t="s">
        <v>117</v>
      </c>
      <c r="N52" s="31"/>
      <c r="O52" s="29"/>
      <c r="P52" s="19">
        <v>2000</v>
      </c>
      <c r="Q52" s="15">
        <v>31</v>
      </c>
      <c r="R52" s="15">
        <v>31</v>
      </c>
      <c r="S52" s="15" t="s">
        <v>118</v>
      </c>
      <c r="T52" t="s">
        <v>152</v>
      </c>
      <c r="U52" t="s">
        <v>120</v>
      </c>
    </row>
    <row r="53" spans="1:21" ht="14.25" customHeight="1">
      <c r="A53" s="13">
        <v>203627</v>
      </c>
      <c r="B53" s="13" t="s">
        <v>179</v>
      </c>
      <c r="C53" s="13" t="s">
        <v>96</v>
      </c>
      <c r="D53" s="13" t="s">
        <v>116</v>
      </c>
      <c r="E53" s="28">
        <v>578.25555555555604</v>
      </c>
      <c r="F53" s="28">
        <v>5.7068193609130899</v>
      </c>
      <c r="G53" s="13">
        <v>4.9629629629629601</v>
      </c>
      <c r="H53" s="21">
        <v>0.32407407407407401</v>
      </c>
      <c r="I53" s="21">
        <v>0.58769230769230796</v>
      </c>
      <c r="J53" s="21">
        <v>0</v>
      </c>
      <c r="K53" s="22">
        <v>0</v>
      </c>
      <c r="L53" s="30"/>
      <c r="M53" s="13" t="s">
        <v>117</v>
      </c>
      <c r="N53" s="31"/>
      <c r="O53" s="29"/>
      <c r="P53" s="32">
        <v>2000</v>
      </c>
      <c r="Q53" s="13">
        <v>31</v>
      </c>
      <c r="R53" s="13">
        <v>31</v>
      </c>
      <c r="S53" s="13" t="s">
        <v>118</v>
      </c>
      <c r="T53" t="s">
        <v>134</v>
      </c>
      <c r="U53" t="s">
        <v>120</v>
      </c>
    </row>
    <row r="54" spans="1:21" ht="14.25" customHeight="1">
      <c r="A54" s="15">
        <v>249777</v>
      </c>
      <c r="B54" s="15" t="s">
        <v>180</v>
      </c>
      <c r="C54" s="15" t="s">
        <v>97</v>
      </c>
      <c r="D54" s="15" t="s">
        <v>116</v>
      </c>
      <c r="E54" s="34"/>
      <c r="F54" s="34"/>
      <c r="G54" s="30"/>
      <c r="H54" s="29"/>
      <c r="I54" s="29"/>
      <c r="J54" s="16">
        <v>0</v>
      </c>
      <c r="K54" s="23">
        <v>0</v>
      </c>
      <c r="L54" s="30"/>
      <c r="M54" s="15" t="s">
        <v>117</v>
      </c>
      <c r="N54" s="31"/>
      <c r="O54" s="29"/>
      <c r="P54" s="19">
        <v>2000</v>
      </c>
      <c r="Q54" s="15">
        <v>31</v>
      </c>
      <c r="R54" s="15">
        <v>31</v>
      </c>
      <c r="S54" s="15" t="s">
        <v>118</v>
      </c>
      <c r="T54" t="s">
        <v>128</v>
      </c>
      <c r="U54" t="s">
        <v>120</v>
      </c>
    </row>
    <row r="55" spans="1:21" ht="14.25" customHeight="1">
      <c r="A55" s="13">
        <v>207051</v>
      </c>
      <c r="B55" s="13" t="s">
        <v>181</v>
      </c>
      <c r="C55" s="13" t="s">
        <v>96</v>
      </c>
      <c r="D55" s="13" t="s">
        <v>116</v>
      </c>
      <c r="E55" s="28">
        <v>520.44295302013404</v>
      </c>
      <c r="F55" s="28">
        <v>6.3407525855621198</v>
      </c>
      <c r="G55" s="13">
        <v>4.9411764705882399</v>
      </c>
      <c r="H55" s="21">
        <v>0.109848484848485</v>
      </c>
      <c r="I55" s="21">
        <v>0.68142857142857105</v>
      </c>
      <c r="J55" s="21">
        <v>0</v>
      </c>
      <c r="K55" s="22">
        <v>0</v>
      </c>
      <c r="L55" s="30"/>
      <c r="M55" s="13" t="s">
        <v>117</v>
      </c>
      <c r="N55" s="31"/>
      <c r="O55" s="29"/>
      <c r="P55" s="32">
        <v>2000</v>
      </c>
      <c r="Q55" s="13">
        <v>31</v>
      </c>
      <c r="R55" s="13">
        <v>31</v>
      </c>
      <c r="S55" s="13" t="s">
        <v>118</v>
      </c>
      <c r="T55" t="s">
        <v>132</v>
      </c>
      <c r="U55" t="s">
        <v>120</v>
      </c>
    </row>
    <row r="56" spans="1:21" ht="14.25" customHeight="1">
      <c r="A56" s="15">
        <v>144565</v>
      </c>
      <c r="B56" s="15" t="s">
        <v>182</v>
      </c>
      <c r="C56" s="15" t="s">
        <v>97</v>
      </c>
      <c r="D56" s="15" t="s">
        <v>116</v>
      </c>
      <c r="E56" s="33">
        <v>334.34836065573802</v>
      </c>
      <c r="F56" s="33">
        <v>9.8699452078302397</v>
      </c>
      <c r="G56" s="15">
        <v>3.6206896551724101</v>
      </c>
      <c r="H56" s="16">
        <v>0.106442577030812</v>
      </c>
      <c r="I56" s="16">
        <v>0.9</v>
      </c>
      <c r="J56" s="16">
        <v>0</v>
      </c>
      <c r="K56" s="23">
        <v>0</v>
      </c>
      <c r="L56" s="30"/>
      <c r="M56" s="15" t="s">
        <v>117</v>
      </c>
      <c r="N56" s="31"/>
      <c r="O56" s="29"/>
      <c r="P56" s="19">
        <v>2000</v>
      </c>
      <c r="Q56" s="15">
        <v>31</v>
      </c>
      <c r="R56" s="15">
        <v>31</v>
      </c>
      <c r="S56" s="15" t="s">
        <v>118</v>
      </c>
      <c r="T56" t="s">
        <v>163</v>
      </c>
      <c r="U56" t="s">
        <v>120</v>
      </c>
    </row>
    <row r="57" spans="1:21" ht="14.25" customHeight="1">
      <c r="A57" s="13">
        <v>203080</v>
      </c>
      <c r="B57" s="13" t="s">
        <v>183</v>
      </c>
      <c r="C57" s="13" t="s">
        <v>97</v>
      </c>
      <c r="D57" s="13" t="s">
        <v>116</v>
      </c>
      <c r="E57" s="28">
        <v>257.51675485008798</v>
      </c>
      <c r="F57" s="28">
        <v>12.814700161630601</v>
      </c>
      <c r="G57" s="13">
        <v>2.2727272727272698</v>
      </c>
      <c r="H57" s="21">
        <v>6.7441860465116299E-2</v>
      </c>
      <c r="I57" s="21">
        <v>0.55333333333333301</v>
      </c>
      <c r="J57" s="21">
        <v>0.13</v>
      </c>
      <c r="K57" s="22">
        <v>0</v>
      </c>
      <c r="L57" s="30"/>
      <c r="M57" s="13" t="s">
        <v>117</v>
      </c>
      <c r="N57" s="31"/>
      <c r="O57" s="29"/>
      <c r="P57" s="32">
        <v>2000</v>
      </c>
      <c r="Q57" s="13">
        <v>31</v>
      </c>
      <c r="R57" s="13">
        <v>31</v>
      </c>
      <c r="S57" s="13" t="s">
        <v>118</v>
      </c>
      <c r="T57" t="s">
        <v>163</v>
      </c>
      <c r="U57" t="s">
        <v>120</v>
      </c>
    </row>
    <row r="58" spans="1:21" ht="14.25" customHeight="1">
      <c r="A58" s="15">
        <v>223882</v>
      </c>
      <c r="B58" s="15" t="s">
        <v>184</v>
      </c>
      <c r="C58" s="15" t="s">
        <v>99</v>
      </c>
      <c r="D58" s="15" t="s">
        <v>116</v>
      </c>
      <c r="E58" s="33">
        <v>331.76398601398603</v>
      </c>
      <c r="F58" s="33">
        <v>9.9468300934293801</v>
      </c>
      <c r="G58" s="15">
        <v>3.2777777777777799</v>
      </c>
      <c r="H58" s="16">
        <v>5.9471365638766503E-2</v>
      </c>
      <c r="I58" s="16">
        <v>0.41499999999999998</v>
      </c>
      <c r="J58" s="16">
        <v>0.19</v>
      </c>
      <c r="K58" s="23">
        <v>0</v>
      </c>
      <c r="L58" s="30"/>
      <c r="M58" s="15" t="s">
        <v>117</v>
      </c>
      <c r="N58" s="31"/>
      <c r="O58" s="29"/>
      <c r="P58" s="19">
        <v>2000</v>
      </c>
      <c r="Q58" s="15">
        <v>31</v>
      </c>
      <c r="R58" s="15">
        <v>31</v>
      </c>
      <c r="S58" s="15" t="s">
        <v>118</v>
      </c>
      <c r="T58" t="s">
        <v>148</v>
      </c>
      <c r="U58" t="s">
        <v>120</v>
      </c>
    </row>
    <row r="59" spans="1:21" ht="14.25" customHeight="1">
      <c r="A59" s="13">
        <v>123229</v>
      </c>
      <c r="B59" s="13" t="s">
        <v>185</v>
      </c>
      <c r="C59" s="13" t="s">
        <v>98</v>
      </c>
      <c r="D59" s="13" t="s">
        <v>116</v>
      </c>
      <c r="E59" s="28">
        <v>381.44547563805099</v>
      </c>
      <c r="F59" s="28">
        <v>8.6513019835404492</v>
      </c>
      <c r="G59" s="13">
        <v>4.4285714285714297</v>
      </c>
      <c r="H59" s="21">
        <v>4.8275862068965503E-2</v>
      </c>
      <c r="I59" s="21">
        <v>0.95</v>
      </c>
      <c r="J59" s="21">
        <v>0</v>
      </c>
      <c r="K59" s="22">
        <v>0</v>
      </c>
      <c r="L59" s="30"/>
      <c r="M59" s="13" t="s">
        <v>117</v>
      </c>
      <c r="N59" s="31"/>
      <c r="O59" s="29"/>
      <c r="P59" s="32">
        <v>2000</v>
      </c>
      <c r="Q59" s="13">
        <v>31</v>
      </c>
      <c r="R59" s="13">
        <v>31</v>
      </c>
      <c r="S59" s="13" t="s">
        <v>118</v>
      </c>
      <c r="T59" t="s">
        <v>152</v>
      </c>
      <c r="U59" t="s">
        <v>120</v>
      </c>
    </row>
    <row r="60" spans="1:21" ht="14.25" customHeight="1">
      <c r="A60" s="15">
        <v>228668</v>
      </c>
      <c r="B60" s="15" t="s">
        <v>186</v>
      </c>
      <c r="C60" s="15" t="s">
        <v>96</v>
      </c>
      <c r="D60" s="15" t="s">
        <v>116</v>
      </c>
      <c r="E60" s="33">
        <v>719.05537459283403</v>
      </c>
      <c r="F60" s="33">
        <v>4.5893544733861802</v>
      </c>
      <c r="G60" s="15">
        <v>4.4285714285714297</v>
      </c>
      <c r="H60" s="16">
        <v>0.18918918918918901</v>
      </c>
      <c r="I60" s="16">
        <v>0.62749999999999995</v>
      </c>
      <c r="J60" s="16">
        <v>0</v>
      </c>
      <c r="K60" s="23">
        <v>0</v>
      </c>
      <c r="L60" s="30"/>
      <c r="M60" s="15" t="s">
        <v>117</v>
      </c>
      <c r="N60" s="31"/>
      <c r="O60" s="29"/>
      <c r="P60" s="19">
        <v>2000</v>
      </c>
      <c r="Q60" s="15">
        <v>31</v>
      </c>
      <c r="R60" s="15">
        <v>31</v>
      </c>
      <c r="S60" s="15" t="s">
        <v>118</v>
      </c>
      <c r="T60" t="s">
        <v>132</v>
      </c>
      <c r="U60" t="s">
        <v>120</v>
      </c>
    </row>
    <row r="61" spans="1:21" ht="14.25" customHeight="1">
      <c r="A61" s="13">
        <v>96164</v>
      </c>
      <c r="B61" s="13" t="s">
        <v>187</v>
      </c>
      <c r="C61" s="13" t="s">
        <v>99</v>
      </c>
      <c r="D61" s="13" t="s">
        <v>116</v>
      </c>
      <c r="E61" s="28">
        <v>501.39577836411598</v>
      </c>
      <c r="F61" s="28">
        <v>6.5816270148240497</v>
      </c>
      <c r="G61" s="13">
        <v>4.2666666666666702</v>
      </c>
      <c r="H61" s="21">
        <v>6.41891891891892E-2</v>
      </c>
      <c r="I61" s="21">
        <v>0.66</v>
      </c>
      <c r="J61" s="21">
        <v>0</v>
      </c>
      <c r="K61" s="22">
        <v>0</v>
      </c>
      <c r="L61" s="30"/>
      <c r="M61" s="13" t="s">
        <v>117</v>
      </c>
      <c r="N61" s="31"/>
      <c r="O61" s="29"/>
      <c r="P61" s="32">
        <v>2000</v>
      </c>
      <c r="Q61" s="13">
        <v>31</v>
      </c>
      <c r="R61" s="13">
        <v>31</v>
      </c>
      <c r="S61" s="13" t="s">
        <v>118</v>
      </c>
      <c r="T61" t="s">
        <v>148</v>
      </c>
      <c r="U61" t="s">
        <v>120</v>
      </c>
    </row>
    <row r="62" spans="1:21" ht="14.25" customHeight="1">
      <c r="A62" s="15">
        <v>203606</v>
      </c>
      <c r="B62" s="15" t="s">
        <v>188</v>
      </c>
      <c r="C62" s="15" t="s">
        <v>96</v>
      </c>
      <c r="D62" s="15" t="s">
        <v>116</v>
      </c>
      <c r="E62" s="33">
        <v>390.03353658536599</v>
      </c>
      <c r="F62" s="33">
        <v>8.4608109058789491</v>
      </c>
      <c r="G62" s="15">
        <v>4.6666666666666696</v>
      </c>
      <c r="H62" s="16">
        <v>0.178010471204189</v>
      </c>
      <c r="I62" s="16">
        <v>0.67928571428571405</v>
      </c>
      <c r="J62" s="16">
        <v>0</v>
      </c>
      <c r="K62" s="23">
        <v>0</v>
      </c>
      <c r="L62" s="30"/>
      <c r="M62" s="15" t="s">
        <v>117</v>
      </c>
      <c r="N62" s="31"/>
      <c r="O62" s="29"/>
      <c r="P62" s="19">
        <v>2000</v>
      </c>
      <c r="Q62" s="15">
        <v>31</v>
      </c>
      <c r="R62" s="15">
        <v>31</v>
      </c>
      <c r="S62" s="15" t="s">
        <v>118</v>
      </c>
      <c r="T62" t="s">
        <v>141</v>
      </c>
      <c r="U62" t="s">
        <v>120</v>
      </c>
    </row>
    <row r="63" spans="1:21" ht="14.25" customHeight="1">
      <c r="A63" s="13">
        <v>224096</v>
      </c>
      <c r="B63" s="13" t="s">
        <v>189</v>
      </c>
      <c r="C63" s="13" t="s">
        <v>98</v>
      </c>
      <c r="D63" s="13" t="s">
        <v>116</v>
      </c>
      <c r="E63" s="28">
        <v>240.129330254042</v>
      </c>
      <c r="F63" s="28">
        <v>13.7425944448719</v>
      </c>
      <c r="G63" s="13">
        <v>2.73563218390805</v>
      </c>
      <c r="H63" s="21">
        <v>0.120126448893572</v>
      </c>
      <c r="I63" s="21">
        <v>0</v>
      </c>
      <c r="J63" s="21">
        <v>0.04</v>
      </c>
      <c r="K63" s="22">
        <v>0</v>
      </c>
      <c r="L63" s="30"/>
      <c r="M63" s="13" t="s">
        <v>117</v>
      </c>
      <c r="N63" s="31"/>
      <c r="O63" s="29"/>
      <c r="P63" s="32">
        <v>2000</v>
      </c>
      <c r="Q63" s="13">
        <v>31</v>
      </c>
      <c r="R63" s="13">
        <v>31</v>
      </c>
      <c r="S63" s="13" t="s">
        <v>118</v>
      </c>
      <c r="T63" t="s">
        <v>159</v>
      </c>
      <c r="U63" t="s">
        <v>120</v>
      </c>
    </row>
    <row r="64" spans="1:21" ht="14.25" customHeight="1">
      <c r="A64" s="15">
        <v>203591</v>
      </c>
      <c r="B64" s="15" t="s">
        <v>190</v>
      </c>
      <c r="C64" s="15" t="s">
        <v>96</v>
      </c>
      <c r="D64" s="15" t="s">
        <v>116</v>
      </c>
      <c r="E64" s="33">
        <v>492.87096774193498</v>
      </c>
      <c r="F64" s="33">
        <v>6.69546436285097</v>
      </c>
      <c r="G64" s="15">
        <v>3.6</v>
      </c>
      <c r="H64" s="16">
        <v>0.16923076923076899</v>
      </c>
      <c r="I64" s="16">
        <v>0.28499999999999998</v>
      </c>
      <c r="J64" s="16">
        <v>0</v>
      </c>
      <c r="K64" s="23">
        <v>0</v>
      </c>
      <c r="L64" s="30"/>
      <c r="M64" s="15" t="s">
        <v>117</v>
      </c>
      <c r="N64" s="31"/>
      <c r="O64" s="29"/>
      <c r="P64" s="19">
        <v>2000</v>
      </c>
      <c r="Q64" s="15">
        <v>31</v>
      </c>
      <c r="R64" s="15">
        <v>31</v>
      </c>
      <c r="S64" s="15" t="s">
        <v>118</v>
      </c>
      <c r="T64" t="s">
        <v>128</v>
      </c>
      <c r="U64" t="s">
        <v>120</v>
      </c>
    </row>
    <row r="65" spans="1:21" ht="14.25" customHeight="1">
      <c r="A65" s="13">
        <v>203575</v>
      </c>
      <c r="B65" s="13" t="s">
        <v>191</v>
      </c>
      <c r="C65" s="13" t="s">
        <v>96</v>
      </c>
      <c r="D65" s="13" t="s">
        <v>116</v>
      </c>
      <c r="E65" s="28">
        <v>541.30120481927702</v>
      </c>
      <c r="F65" s="28">
        <v>6.0964209401709404</v>
      </c>
      <c r="G65" s="13">
        <v>3</v>
      </c>
      <c r="H65" s="21">
        <v>0.108843537414966</v>
      </c>
      <c r="I65" s="21">
        <v>0.85866666666666702</v>
      </c>
      <c r="J65" s="21">
        <v>0</v>
      </c>
      <c r="K65" s="22">
        <v>0</v>
      </c>
      <c r="L65" s="30"/>
      <c r="M65" s="13" t="s">
        <v>117</v>
      </c>
      <c r="N65" s="31"/>
      <c r="O65" s="29"/>
      <c r="P65" s="32">
        <v>2000</v>
      </c>
      <c r="Q65" s="13">
        <v>31</v>
      </c>
      <c r="R65" s="13">
        <v>31</v>
      </c>
      <c r="S65" s="13" t="s">
        <v>118</v>
      </c>
      <c r="T65" t="s">
        <v>134</v>
      </c>
      <c r="U65" t="s">
        <v>120</v>
      </c>
    </row>
    <row r="66" spans="1:21" ht="14.25" customHeight="1">
      <c r="A66" s="15">
        <v>250747</v>
      </c>
      <c r="B66" s="15" t="s">
        <v>192</v>
      </c>
      <c r="C66" s="15" t="s">
        <v>96</v>
      </c>
      <c r="D66" s="15" t="s">
        <v>116</v>
      </c>
      <c r="E66" s="34"/>
      <c r="F66" s="34"/>
      <c r="G66" s="30"/>
      <c r="H66" s="29"/>
      <c r="I66" s="29"/>
      <c r="J66" s="16">
        <v>0</v>
      </c>
      <c r="K66" s="23">
        <v>0</v>
      </c>
      <c r="L66" s="30"/>
      <c r="M66" s="15" t="s">
        <v>117</v>
      </c>
      <c r="N66" s="31"/>
      <c r="O66" s="29"/>
      <c r="P66" s="19">
        <v>2000</v>
      </c>
      <c r="Q66" s="15">
        <v>31</v>
      </c>
      <c r="R66" s="15">
        <v>31</v>
      </c>
      <c r="S66" s="15" t="s">
        <v>118</v>
      </c>
      <c r="T66" t="s">
        <v>141</v>
      </c>
      <c r="U66" t="s">
        <v>120</v>
      </c>
    </row>
    <row r="67" spans="1:21" ht="14.25" customHeight="1">
      <c r="A67" s="13">
        <v>203607</v>
      </c>
      <c r="B67" s="13" t="s">
        <v>193</v>
      </c>
      <c r="C67" s="13" t="s">
        <v>96</v>
      </c>
      <c r="D67" s="13" t="s">
        <v>116</v>
      </c>
      <c r="E67" s="28">
        <v>455.857142857143</v>
      </c>
      <c r="F67" s="28">
        <v>7.2391099968661896</v>
      </c>
      <c r="G67" s="13">
        <v>5</v>
      </c>
      <c r="H67" s="21">
        <v>0.146341463414634</v>
      </c>
      <c r="I67" s="21">
        <v>0.68545454545454498</v>
      </c>
      <c r="J67" s="21">
        <v>0</v>
      </c>
      <c r="K67" s="22">
        <v>0</v>
      </c>
      <c r="L67" s="30"/>
      <c r="M67" s="13" t="s">
        <v>117</v>
      </c>
      <c r="N67" s="31"/>
      <c r="O67" s="29"/>
      <c r="P67" s="32">
        <v>2000</v>
      </c>
      <c r="Q67" s="13">
        <v>31</v>
      </c>
      <c r="R67" s="13">
        <v>31</v>
      </c>
      <c r="S67" s="13" t="s">
        <v>118</v>
      </c>
      <c r="T67" t="s">
        <v>141</v>
      </c>
      <c r="U67" t="s">
        <v>120</v>
      </c>
    </row>
    <row r="68" spans="1:21" ht="14.25" customHeight="1">
      <c r="A68" s="15">
        <v>224101</v>
      </c>
      <c r="B68" s="15" t="s">
        <v>194</v>
      </c>
      <c r="C68" s="15" t="s">
        <v>98</v>
      </c>
      <c r="D68" s="15" t="s">
        <v>116</v>
      </c>
      <c r="E68" s="33">
        <v>304.54715302491098</v>
      </c>
      <c r="F68" s="33">
        <v>10.8357604634382</v>
      </c>
      <c r="G68" s="15">
        <v>3.8780487804878101</v>
      </c>
      <c r="H68" s="16">
        <v>7.9847908745247206E-2</v>
      </c>
      <c r="I68" s="16">
        <v>0.6</v>
      </c>
      <c r="J68" s="16">
        <v>0.12</v>
      </c>
      <c r="K68" s="23">
        <v>0</v>
      </c>
      <c r="L68" s="30"/>
      <c r="M68" s="15" t="s">
        <v>117</v>
      </c>
      <c r="N68" s="31"/>
      <c r="O68" s="29"/>
      <c r="P68" s="19">
        <v>2000</v>
      </c>
      <c r="Q68" s="15">
        <v>31</v>
      </c>
      <c r="R68" s="15">
        <v>31</v>
      </c>
      <c r="S68" s="15" t="s">
        <v>118</v>
      </c>
      <c r="T68" t="s">
        <v>159</v>
      </c>
      <c r="U68" t="s">
        <v>120</v>
      </c>
    </row>
    <row r="69" spans="1:21" ht="14.25" customHeight="1">
      <c r="A69" s="13">
        <v>96499</v>
      </c>
      <c r="B69" s="13" t="s">
        <v>195</v>
      </c>
      <c r="C69" s="13" t="s">
        <v>98</v>
      </c>
      <c r="D69" s="13" t="s">
        <v>116</v>
      </c>
      <c r="E69" s="28">
        <v>252.70567986230699</v>
      </c>
      <c r="F69" s="28">
        <v>13.058669681655299</v>
      </c>
      <c r="G69" s="13">
        <v>4</v>
      </c>
      <c r="H69" s="21">
        <v>6.5476190476190493E-2</v>
      </c>
      <c r="I69" s="21">
        <v>0.88</v>
      </c>
      <c r="J69" s="21">
        <v>0</v>
      </c>
      <c r="K69" s="22">
        <v>0</v>
      </c>
      <c r="L69" s="30"/>
      <c r="M69" s="13" t="s">
        <v>117</v>
      </c>
      <c r="N69" s="31"/>
      <c r="O69" s="29"/>
      <c r="P69" s="32">
        <v>2000</v>
      </c>
      <c r="Q69" s="13">
        <v>31</v>
      </c>
      <c r="R69" s="13">
        <v>31</v>
      </c>
      <c r="S69" s="13" t="s">
        <v>118</v>
      </c>
      <c r="T69" t="s">
        <v>152</v>
      </c>
      <c r="U69" t="s">
        <v>120</v>
      </c>
    </row>
    <row r="70" spans="1:21" ht="14.25" customHeight="1">
      <c r="A70" s="15">
        <v>96452</v>
      </c>
      <c r="B70" s="15" t="s">
        <v>196</v>
      </c>
      <c r="C70" s="15" t="s">
        <v>98</v>
      </c>
      <c r="D70" s="15" t="s">
        <v>116</v>
      </c>
      <c r="E70" s="33">
        <v>245.49681122448999</v>
      </c>
      <c r="F70" s="33">
        <v>13.442129791993001</v>
      </c>
      <c r="G70" s="15">
        <v>3.84</v>
      </c>
      <c r="H70" s="16">
        <v>9.3690248565965598E-2</v>
      </c>
      <c r="I70" s="16">
        <v>0.41499999999999998</v>
      </c>
      <c r="J70" s="16">
        <v>0</v>
      </c>
      <c r="K70" s="23">
        <v>0</v>
      </c>
      <c r="L70" s="30"/>
      <c r="M70" s="15" t="s">
        <v>117</v>
      </c>
      <c r="N70" s="31"/>
      <c r="O70" s="29"/>
      <c r="P70" s="19">
        <v>2000</v>
      </c>
      <c r="Q70" s="15">
        <v>31</v>
      </c>
      <c r="R70" s="15">
        <v>31</v>
      </c>
      <c r="S70" s="15" t="s">
        <v>118</v>
      </c>
      <c r="T70" t="s">
        <v>159</v>
      </c>
      <c r="U70" t="s">
        <v>120</v>
      </c>
    </row>
    <row r="71" spans="1:21" ht="14.25" customHeight="1">
      <c r="A71" s="13">
        <v>244549</v>
      </c>
      <c r="B71" s="13" t="s">
        <v>197</v>
      </c>
      <c r="C71" s="13" t="s">
        <v>98</v>
      </c>
      <c r="D71" s="13" t="s">
        <v>116</v>
      </c>
      <c r="E71" s="34"/>
      <c r="F71" s="34"/>
      <c r="G71" s="30"/>
      <c r="H71" s="29"/>
      <c r="I71" s="29"/>
      <c r="J71" s="29"/>
      <c r="K71" s="22">
        <v>0</v>
      </c>
      <c r="L71" s="30"/>
      <c r="M71" s="13" t="s">
        <v>117</v>
      </c>
      <c r="N71" s="31"/>
      <c r="O71" s="29"/>
      <c r="P71" s="32">
        <v>2000</v>
      </c>
      <c r="Q71" s="13">
        <v>31</v>
      </c>
      <c r="R71" s="13">
        <v>31</v>
      </c>
      <c r="S71" s="13" t="s">
        <v>118</v>
      </c>
      <c r="T71" t="s">
        <v>136</v>
      </c>
      <c r="U71" t="s">
        <v>120</v>
      </c>
    </row>
    <row r="72" spans="1:21" ht="14.25" customHeight="1">
      <c r="A72" s="15">
        <v>262905</v>
      </c>
      <c r="B72" s="15" t="s">
        <v>198</v>
      </c>
      <c r="C72" s="15" t="s">
        <v>96</v>
      </c>
      <c r="D72" s="15" t="s">
        <v>116</v>
      </c>
      <c r="E72" s="34"/>
      <c r="F72" s="34"/>
      <c r="G72" s="30"/>
      <c r="H72" s="29"/>
      <c r="I72" s="29"/>
      <c r="J72" s="16">
        <v>0</v>
      </c>
      <c r="K72" s="23">
        <v>0</v>
      </c>
      <c r="L72" s="30"/>
      <c r="M72" s="15" t="s">
        <v>117</v>
      </c>
      <c r="N72" s="31"/>
      <c r="O72" s="29"/>
      <c r="P72" s="19">
        <v>2000</v>
      </c>
      <c r="Q72" s="15">
        <v>31</v>
      </c>
      <c r="R72" s="15">
        <v>31</v>
      </c>
      <c r="S72" s="15" t="s">
        <v>118</v>
      </c>
      <c r="T72" t="s">
        <v>141</v>
      </c>
      <c r="U72" t="s">
        <v>120</v>
      </c>
    </row>
    <row r="73" spans="1:21" ht="14.25" customHeight="1">
      <c r="A73" s="13">
        <v>228200</v>
      </c>
      <c r="B73" s="13" t="s">
        <v>199</v>
      </c>
      <c r="C73" s="13" t="s">
        <v>96</v>
      </c>
      <c r="D73" s="13" t="s">
        <v>116</v>
      </c>
      <c r="E73" s="28">
        <v>583.46153846153902</v>
      </c>
      <c r="F73" s="28">
        <v>5.6558998022412696</v>
      </c>
      <c r="G73" s="13">
        <v>4.5</v>
      </c>
      <c r="H73" s="21">
        <v>0.157142857142857</v>
      </c>
      <c r="I73" s="21">
        <v>0.33500000000000002</v>
      </c>
      <c r="J73" s="21">
        <v>0</v>
      </c>
      <c r="K73" s="22">
        <v>0</v>
      </c>
      <c r="L73" s="30"/>
      <c r="M73" s="13" t="s">
        <v>117</v>
      </c>
      <c r="N73" s="31"/>
      <c r="O73" s="29"/>
      <c r="P73" s="32">
        <v>2000</v>
      </c>
      <c r="Q73" s="13">
        <v>31</v>
      </c>
      <c r="R73" s="13">
        <v>31</v>
      </c>
      <c r="S73" s="13" t="s">
        <v>118</v>
      </c>
      <c r="T73" t="s">
        <v>132</v>
      </c>
      <c r="U73" t="s">
        <v>120</v>
      </c>
    </row>
    <row r="74" spans="1:21" ht="14.25" customHeight="1">
      <c r="A74" s="15">
        <v>244552</v>
      </c>
      <c r="B74" s="15" t="s">
        <v>200</v>
      </c>
      <c r="C74" s="15" t="s">
        <v>98</v>
      </c>
      <c r="D74" s="15" t="s">
        <v>116</v>
      </c>
      <c r="E74" s="34"/>
      <c r="F74" s="34"/>
      <c r="G74" s="30"/>
      <c r="H74" s="29"/>
      <c r="I74" s="29"/>
      <c r="J74" s="29"/>
      <c r="K74" s="23">
        <v>0</v>
      </c>
      <c r="L74" s="30"/>
      <c r="M74" s="15" t="s">
        <v>117</v>
      </c>
      <c r="N74" s="31"/>
      <c r="O74" s="29"/>
      <c r="P74" s="19">
        <v>2000</v>
      </c>
      <c r="Q74" s="15">
        <v>31</v>
      </c>
      <c r="R74" s="15">
        <v>31</v>
      </c>
      <c r="S74" s="15" t="s">
        <v>118</v>
      </c>
      <c r="T74" t="s">
        <v>136</v>
      </c>
      <c r="U74" t="s">
        <v>120</v>
      </c>
    </row>
    <row r="75" spans="1:21" ht="14.25" customHeight="1">
      <c r="A75" s="13">
        <v>228672</v>
      </c>
      <c r="B75" s="13" t="s">
        <v>201</v>
      </c>
      <c r="C75" s="13" t="s">
        <v>96</v>
      </c>
      <c r="D75" s="13" t="s">
        <v>116</v>
      </c>
      <c r="E75" s="28">
        <v>373.26132404181197</v>
      </c>
      <c r="F75" s="28">
        <v>8.8409909825812605</v>
      </c>
      <c r="G75" s="13">
        <v>4.3333333333333304</v>
      </c>
      <c r="H75" s="21">
        <v>8.9928057553956803E-2</v>
      </c>
      <c r="I75" s="21">
        <v>0.38750000000000001</v>
      </c>
      <c r="J75" s="21">
        <v>0</v>
      </c>
      <c r="K75" s="22">
        <v>0</v>
      </c>
      <c r="L75" s="30"/>
      <c r="M75" s="13" t="s">
        <v>117</v>
      </c>
      <c r="N75" s="31"/>
      <c r="O75" s="29"/>
      <c r="P75" s="32">
        <v>2000</v>
      </c>
      <c r="Q75" s="13">
        <v>31</v>
      </c>
      <c r="R75" s="13">
        <v>31</v>
      </c>
      <c r="S75" s="13" t="s">
        <v>118</v>
      </c>
      <c r="T75" t="s">
        <v>132</v>
      </c>
      <c r="U75" t="s">
        <v>120</v>
      </c>
    </row>
    <row r="76" spans="1:21" ht="14.25" customHeight="1">
      <c r="A76" s="15">
        <v>232191</v>
      </c>
      <c r="B76" s="15" t="s">
        <v>202</v>
      </c>
      <c r="C76" s="15" t="s">
        <v>97</v>
      </c>
      <c r="D76" s="15" t="s">
        <v>116</v>
      </c>
      <c r="E76" s="33">
        <v>550.79456193353496</v>
      </c>
      <c r="F76" s="33">
        <v>5.99134455579141</v>
      </c>
      <c r="G76" s="15">
        <v>2.5</v>
      </c>
      <c r="H76" s="16">
        <v>1.6736401673640201E-2</v>
      </c>
      <c r="I76" s="16">
        <v>0.66200000000000003</v>
      </c>
      <c r="J76" s="16">
        <v>0</v>
      </c>
      <c r="K76" s="23">
        <v>0</v>
      </c>
      <c r="L76" s="30"/>
      <c r="M76" s="15" t="s">
        <v>117</v>
      </c>
      <c r="N76" s="31"/>
      <c r="O76" s="29"/>
      <c r="P76" s="19">
        <v>2000</v>
      </c>
      <c r="Q76" s="15">
        <v>31</v>
      </c>
      <c r="R76" s="15">
        <v>31</v>
      </c>
      <c r="S76" s="15" t="s">
        <v>118</v>
      </c>
      <c r="T76" t="s">
        <v>163</v>
      </c>
      <c r="U76" t="s">
        <v>120</v>
      </c>
    </row>
    <row r="77" spans="1:21" ht="14.25" customHeight="1">
      <c r="A77" s="13">
        <v>228663</v>
      </c>
      <c r="B77" s="13" t="s">
        <v>203</v>
      </c>
      <c r="C77" s="13" t="s">
        <v>96</v>
      </c>
      <c r="D77" s="13" t="s">
        <v>116</v>
      </c>
      <c r="E77" s="28">
        <v>424.13385826771702</v>
      </c>
      <c r="F77" s="28">
        <v>7.7805625174046202</v>
      </c>
      <c r="G77" s="13">
        <v>4.1923076923076898</v>
      </c>
      <c r="H77" s="21">
        <v>0.344444444444444</v>
      </c>
      <c r="I77" s="21">
        <v>0.65600000000000003</v>
      </c>
      <c r="J77" s="21">
        <v>0</v>
      </c>
      <c r="K77" s="22">
        <v>0</v>
      </c>
      <c r="L77" s="30"/>
      <c r="M77" s="13" t="s">
        <v>117</v>
      </c>
      <c r="N77" s="31"/>
      <c r="O77" s="29"/>
      <c r="P77" s="32">
        <v>2000</v>
      </c>
      <c r="Q77" s="13">
        <v>31</v>
      </c>
      <c r="R77" s="13">
        <v>31</v>
      </c>
      <c r="S77" s="13" t="s">
        <v>118</v>
      </c>
      <c r="T77" t="s">
        <v>134</v>
      </c>
      <c r="U77" t="s">
        <v>120</v>
      </c>
    </row>
    <row r="78" spans="1:21" ht="14.25" customHeight="1">
      <c r="A78" s="15">
        <v>96527</v>
      </c>
      <c r="B78" s="15" t="s">
        <v>204</v>
      </c>
      <c r="C78" s="15" t="s">
        <v>97</v>
      </c>
      <c r="D78" s="15" t="s">
        <v>116</v>
      </c>
      <c r="E78" s="33">
        <v>207.88188976378001</v>
      </c>
      <c r="F78" s="33">
        <v>15.8743986970191</v>
      </c>
      <c r="G78" s="15">
        <v>2</v>
      </c>
      <c r="H78" s="16">
        <v>4.67289719626168E-2</v>
      </c>
      <c r="I78" s="16">
        <v>0.92249999999999999</v>
      </c>
      <c r="J78" s="16">
        <v>0</v>
      </c>
      <c r="K78" s="23">
        <v>0</v>
      </c>
      <c r="L78" s="30"/>
      <c r="M78" s="15" t="s">
        <v>117</v>
      </c>
      <c r="N78" s="31"/>
      <c r="O78" s="29"/>
      <c r="P78" s="19">
        <v>2000</v>
      </c>
      <c r="Q78" s="15">
        <v>31</v>
      </c>
      <c r="R78" s="15">
        <v>31</v>
      </c>
      <c r="S78" s="15" t="s">
        <v>118</v>
      </c>
      <c r="T78" t="s">
        <v>163</v>
      </c>
      <c r="U78" t="s">
        <v>120</v>
      </c>
    </row>
    <row r="79" spans="1:21" ht="14.25" customHeight="1">
      <c r="A79" s="13">
        <v>96472</v>
      </c>
      <c r="B79" s="13" t="s">
        <v>205</v>
      </c>
      <c r="C79" s="13" t="s">
        <v>97</v>
      </c>
      <c r="D79" s="13" t="s">
        <v>116</v>
      </c>
      <c r="E79" s="28">
        <v>219.47766323024101</v>
      </c>
      <c r="F79" s="28">
        <v>15.0356986284211</v>
      </c>
      <c r="G79" s="13">
        <v>2.8</v>
      </c>
      <c r="H79" s="21">
        <v>7.4561403508771898E-2</v>
      </c>
      <c r="I79" s="21">
        <v>0.94499999999999995</v>
      </c>
      <c r="J79" s="21">
        <v>0.13</v>
      </c>
      <c r="K79" s="22">
        <v>0</v>
      </c>
      <c r="L79" s="30"/>
      <c r="M79" s="13" t="s">
        <v>117</v>
      </c>
      <c r="N79" s="31"/>
      <c r="O79" s="29"/>
      <c r="P79" s="32">
        <v>2000</v>
      </c>
      <c r="Q79" s="13">
        <v>31</v>
      </c>
      <c r="R79" s="13">
        <v>31</v>
      </c>
      <c r="S79" s="13" t="s">
        <v>118</v>
      </c>
      <c r="T79" t="s">
        <v>163</v>
      </c>
      <c r="U79" t="s">
        <v>120</v>
      </c>
    </row>
    <row r="80" spans="1:21" ht="14.25" customHeight="1">
      <c r="A80" s="15">
        <v>250743</v>
      </c>
      <c r="B80" s="15" t="s">
        <v>206</v>
      </c>
      <c r="C80" s="15" t="s">
        <v>96</v>
      </c>
      <c r="D80" s="15" t="s">
        <v>116</v>
      </c>
      <c r="E80" s="34"/>
      <c r="F80" s="34"/>
      <c r="G80" s="30"/>
      <c r="H80" s="29"/>
      <c r="I80" s="29"/>
      <c r="J80" s="16">
        <v>0</v>
      </c>
      <c r="K80" s="23">
        <v>0</v>
      </c>
      <c r="L80" s="30"/>
      <c r="M80" s="15" t="s">
        <v>117</v>
      </c>
      <c r="N80" s="31"/>
      <c r="O80" s="29"/>
      <c r="P80" s="19">
        <v>2000</v>
      </c>
      <c r="Q80" s="15">
        <v>31</v>
      </c>
      <c r="R80" s="15">
        <v>31</v>
      </c>
      <c r="S80" s="15" t="s">
        <v>118</v>
      </c>
      <c r="T80" t="s">
        <v>141</v>
      </c>
      <c r="U80" t="s">
        <v>120</v>
      </c>
    </row>
    <row r="81" spans="1:21" ht="14.25" customHeight="1">
      <c r="A81" s="13">
        <v>96468</v>
      </c>
      <c r="B81" s="13" t="s">
        <v>207</v>
      </c>
      <c r="C81" s="13" t="s">
        <v>98</v>
      </c>
      <c r="D81" s="13" t="s">
        <v>116</v>
      </c>
      <c r="E81" s="28">
        <v>225.098591549296</v>
      </c>
      <c r="F81" s="28">
        <v>14.6602427731198</v>
      </c>
      <c r="G81" s="13">
        <v>0</v>
      </c>
      <c r="H81" s="21">
        <v>0</v>
      </c>
      <c r="I81" s="29"/>
      <c r="J81" s="21">
        <v>0.13</v>
      </c>
      <c r="K81" s="22">
        <v>0</v>
      </c>
      <c r="L81" s="30"/>
      <c r="M81" s="13" t="s">
        <v>117</v>
      </c>
      <c r="N81" s="31"/>
      <c r="O81" s="29"/>
      <c r="P81" s="32">
        <v>2000</v>
      </c>
      <c r="Q81" s="13">
        <v>31</v>
      </c>
      <c r="R81" s="13">
        <v>31</v>
      </c>
      <c r="S81" s="13" t="s">
        <v>118</v>
      </c>
      <c r="T81" t="s">
        <v>159</v>
      </c>
      <c r="U81" t="s">
        <v>120</v>
      </c>
    </row>
    <row r="82" spans="1:21" ht="14.25" customHeight="1">
      <c r="A82" s="15">
        <v>203629</v>
      </c>
      <c r="B82" s="15" t="s">
        <v>208</v>
      </c>
      <c r="C82" s="15" t="s">
        <v>96</v>
      </c>
      <c r="D82" s="15" t="s">
        <v>116</v>
      </c>
      <c r="E82" s="33">
        <v>593.20325203252003</v>
      </c>
      <c r="F82" s="33">
        <v>5.5630173784331998</v>
      </c>
      <c r="G82" s="15">
        <v>5</v>
      </c>
      <c r="H82" s="16">
        <v>0.21794871794871801</v>
      </c>
      <c r="I82" s="16">
        <v>0.80411764705882305</v>
      </c>
      <c r="J82" s="16">
        <v>0</v>
      </c>
      <c r="K82" s="23">
        <v>0</v>
      </c>
      <c r="L82" s="30"/>
      <c r="M82" s="15" t="s">
        <v>117</v>
      </c>
      <c r="N82" s="31"/>
      <c r="O82" s="29"/>
      <c r="P82" s="19">
        <v>2000</v>
      </c>
      <c r="Q82" s="15">
        <v>31</v>
      </c>
      <c r="R82" s="15">
        <v>31</v>
      </c>
      <c r="S82" s="15" t="s">
        <v>118</v>
      </c>
      <c r="T82" t="s">
        <v>141</v>
      </c>
      <c r="U82" t="s">
        <v>120</v>
      </c>
    </row>
    <row r="83" spans="1:21" ht="14.25" customHeight="1">
      <c r="A83" s="13">
        <v>134407</v>
      </c>
      <c r="B83" s="13" t="s">
        <v>209</v>
      </c>
      <c r="C83" s="13" t="s">
        <v>98</v>
      </c>
      <c r="D83" s="13" t="s">
        <v>116</v>
      </c>
      <c r="E83" s="28">
        <v>289.680327868853</v>
      </c>
      <c r="F83" s="28">
        <v>11.391867802269299</v>
      </c>
      <c r="G83" s="13">
        <v>2.2105263157894699</v>
      </c>
      <c r="H83" s="21">
        <v>6.6502463054187194E-2</v>
      </c>
      <c r="I83" s="21">
        <v>0.7</v>
      </c>
      <c r="J83" s="21">
        <v>0</v>
      </c>
      <c r="K83" s="22">
        <v>0</v>
      </c>
      <c r="L83" s="30"/>
      <c r="M83" s="13" t="s">
        <v>117</v>
      </c>
      <c r="N83" s="31"/>
      <c r="O83" s="29"/>
      <c r="P83" s="32">
        <v>2000</v>
      </c>
      <c r="Q83" s="13">
        <v>31</v>
      </c>
      <c r="R83" s="13">
        <v>31</v>
      </c>
      <c r="S83" s="13" t="s">
        <v>118</v>
      </c>
      <c r="T83" t="s">
        <v>152</v>
      </c>
      <c r="U83" t="s">
        <v>120</v>
      </c>
    </row>
    <row r="84" spans="1:21" ht="14.25" customHeight="1">
      <c r="A84" s="15">
        <v>204016</v>
      </c>
      <c r="B84" s="15" t="s">
        <v>210</v>
      </c>
      <c r="C84" s="15" t="s">
        <v>95</v>
      </c>
      <c r="D84" s="15" t="s">
        <v>116</v>
      </c>
      <c r="E84" s="33">
        <v>388.41635687732401</v>
      </c>
      <c r="F84" s="33">
        <v>8.4960376708395504</v>
      </c>
      <c r="G84" s="15">
        <v>2.6363636363636398</v>
      </c>
      <c r="H84" s="16">
        <v>5.6000000000000001E-2</v>
      </c>
      <c r="I84" s="16">
        <v>0</v>
      </c>
      <c r="J84" s="16">
        <v>0</v>
      </c>
      <c r="K84" s="23">
        <v>0</v>
      </c>
      <c r="L84" s="30"/>
      <c r="M84" s="15" t="s">
        <v>117</v>
      </c>
      <c r="N84" s="31"/>
      <c r="O84" s="29"/>
      <c r="P84" s="19">
        <v>2000</v>
      </c>
      <c r="Q84" s="15">
        <v>31</v>
      </c>
      <c r="R84" s="15">
        <v>31</v>
      </c>
      <c r="S84" s="15" t="s">
        <v>118</v>
      </c>
      <c r="T84" t="s">
        <v>130</v>
      </c>
      <c r="U84" t="s">
        <v>120</v>
      </c>
    </row>
    <row r="85" spans="1:21" ht="14.25" customHeight="1">
      <c r="A85" s="13">
        <v>204015</v>
      </c>
      <c r="B85" s="13" t="s">
        <v>211</v>
      </c>
      <c r="C85" s="13" t="s">
        <v>95</v>
      </c>
      <c r="D85" s="13" t="s">
        <v>116</v>
      </c>
      <c r="E85" s="28">
        <v>355.833333333334</v>
      </c>
      <c r="F85" s="28">
        <v>9.2740046838407402</v>
      </c>
      <c r="G85" s="13">
        <v>0</v>
      </c>
      <c r="H85" s="21">
        <v>1.0416666666666701E-2</v>
      </c>
      <c r="I85" s="29"/>
      <c r="J85" s="21">
        <v>0</v>
      </c>
      <c r="K85" s="22">
        <v>0</v>
      </c>
      <c r="L85" s="30"/>
      <c r="M85" s="13" t="s">
        <v>117</v>
      </c>
      <c r="N85" s="31"/>
      <c r="O85" s="29"/>
      <c r="P85" s="32">
        <v>2000</v>
      </c>
      <c r="Q85" s="13">
        <v>31</v>
      </c>
      <c r="R85" s="13">
        <v>31</v>
      </c>
      <c r="S85" s="13" t="s">
        <v>118</v>
      </c>
      <c r="T85" t="s">
        <v>130</v>
      </c>
      <c r="U85" t="s">
        <v>120</v>
      </c>
    </row>
    <row r="86" spans="1:21" ht="14.25" customHeight="1">
      <c r="A86" s="15">
        <v>203638</v>
      </c>
      <c r="B86" s="15" t="s">
        <v>212</v>
      </c>
      <c r="C86" s="15" t="s">
        <v>95</v>
      </c>
      <c r="D86" s="15" t="s">
        <v>116</v>
      </c>
      <c r="E86" s="33">
        <v>243.717013888889</v>
      </c>
      <c r="F86" s="33">
        <v>13.5402939144186</v>
      </c>
      <c r="G86" s="15">
        <v>3.39130434782609</v>
      </c>
      <c r="H86" s="16">
        <v>7.0588235294117702E-2</v>
      </c>
      <c r="I86" s="16">
        <v>0</v>
      </c>
      <c r="J86" s="16">
        <v>0.01</v>
      </c>
      <c r="K86" s="23">
        <v>0</v>
      </c>
      <c r="L86" s="30"/>
      <c r="M86" s="15" t="s">
        <v>117</v>
      </c>
      <c r="N86" s="31"/>
      <c r="O86" s="29"/>
      <c r="P86" s="19">
        <v>2000</v>
      </c>
      <c r="Q86" s="15">
        <v>31</v>
      </c>
      <c r="R86" s="15">
        <v>31</v>
      </c>
      <c r="S86" s="15" t="s">
        <v>118</v>
      </c>
      <c r="T86" t="s">
        <v>130</v>
      </c>
      <c r="U86" t="s">
        <v>120</v>
      </c>
    </row>
    <row r="87" spans="1:21" ht="14.25" customHeight="1">
      <c r="A87" s="13">
        <v>250738</v>
      </c>
      <c r="B87" s="13" t="s">
        <v>213</v>
      </c>
      <c r="C87" s="13" t="s">
        <v>96</v>
      </c>
      <c r="D87" s="13" t="s">
        <v>116</v>
      </c>
      <c r="E87" s="34"/>
      <c r="F87" s="34"/>
      <c r="G87" s="30"/>
      <c r="H87" s="29"/>
      <c r="I87" s="29"/>
      <c r="J87" s="21">
        <v>0</v>
      </c>
      <c r="K87" s="22">
        <v>0</v>
      </c>
      <c r="L87" s="30"/>
      <c r="M87" s="13" t="s">
        <v>117</v>
      </c>
      <c r="N87" s="31"/>
      <c r="O87" s="29"/>
      <c r="P87" s="32">
        <v>2000</v>
      </c>
      <c r="Q87" s="13">
        <v>31</v>
      </c>
      <c r="R87" s="13">
        <v>31</v>
      </c>
      <c r="S87" s="13" t="s">
        <v>118</v>
      </c>
      <c r="T87" t="s">
        <v>134</v>
      </c>
      <c r="U87" t="s">
        <v>120</v>
      </c>
    </row>
    <row r="88" spans="1:21" ht="14.25" customHeight="1">
      <c r="A88" s="15">
        <v>249776</v>
      </c>
      <c r="B88" s="15" t="s">
        <v>214</v>
      </c>
      <c r="C88" s="15" t="s">
        <v>97</v>
      </c>
      <c r="D88" s="15" t="s">
        <v>116</v>
      </c>
      <c r="E88" s="34"/>
      <c r="F88" s="34"/>
      <c r="G88" s="30"/>
      <c r="H88" s="29"/>
      <c r="I88" s="29"/>
      <c r="J88" s="16">
        <v>0</v>
      </c>
      <c r="K88" s="23">
        <v>0</v>
      </c>
      <c r="L88" s="30"/>
      <c r="M88" s="15" t="s">
        <v>117</v>
      </c>
      <c r="N88" s="31"/>
      <c r="O88" s="29"/>
      <c r="P88" s="19">
        <v>2000</v>
      </c>
      <c r="Q88" s="15">
        <v>31</v>
      </c>
      <c r="R88" s="15">
        <v>31</v>
      </c>
      <c r="S88" s="15" t="s">
        <v>118</v>
      </c>
      <c r="T88" t="s">
        <v>128</v>
      </c>
      <c r="U88" t="s">
        <v>120</v>
      </c>
    </row>
    <row r="89" spans="1:21" ht="14.25" customHeight="1">
      <c r="A89" s="13">
        <v>199529</v>
      </c>
      <c r="B89" s="13" t="s">
        <v>215</v>
      </c>
      <c r="C89" s="13" t="s">
        <v>98</v>
      </c>
      <c r="D89" s="13" t="s">
        <v>116</v>
      </c>
      <c r="E89" s="28">
        <v>377.259661835749</v>
      </c>
      <c r="F89" s="28">
        <v>8.7472908816759496</v>
      </c>
      <c r="G89" s="13">
        <v>4.2666666666666702</v>
      </c>
      <c r="H89" s="21">
        <v>4.7016274864376102E-2</v>
      </c>
      <c r="I89" s="21">
        <v>0.61</v>
      </c>
      <c r="J89" s="21">
        <v>0.15</v>
      </c>
      <c r="K89" s="22">
        <v>0</v>
      </c>
      <c r="L89" s="30"/>
      <c r="M89" s="13" t="s">
        <v>117</v>
      </c>
      <c r="N89" s="31"/>
      <c r="O89" s="29"/>
      <c r="P89" s="32">
        <v>2000</v>
      </c>
      <c r="Q89" s="13">
        <v>31</v>
      </c>
      <c r="R89" s="13">
        <v>31</v>
      </c>
      <c r="S89" s="13" t="s">
        <v>118</v>
      </c>
      <c r="T89" t="s">
        <v>152</v>
      </c>
      <c r="U89" t="s">
        <v>120</v>
      </c>
    </row>
    <row r="90" spans="1:21" ht="14.25" customHeight="1">
      <c r="A90" s="15">
        <v>204052</v>
      </c>
      <c r="B90" s="15" t="s">
        <v>216</v>
      </c>
      <c r="C90" s="15" t="s">
        <v>95</v>
      </c>
      <c r="D90" s="15" t="s">
        <v>116</v>
      </c>
      <c r="E90" s="33">
        <v>562.63906581741003</v>
      </c>
      <c r="F90" s="33">
        <v>5.8652166201891998</v>
      </c>
      <c r="G90" s="15">
        <v>4.4054054054054097</v>
      </c>
      <c r="H90" s="16">
        <v>0.22660098522167499</v>
      </c>
      <c r="I90" s="16">
        <v>0</v>
      </c>
      <c r="J90" s="16">
        <v>0.32</v>
      </c>
      <c r="K90" s="23">
        <v>0</v>
      </c>
      <c r="L90" s="30"/>
      <c r="M90" s="15" t="s">
        <v>117</v>
      </c>
      <c r="N90" s="31"/>
      <c r="O90" s="29"/>
      <c r="P90" s="19">
        <v>2000</v>
      </c>
      <c r="Q90" s="15">
        <v>31</v>
      </c>
      <c r="R90" s="15">
        <v>31</v>
      </c>
      <c r="S90" s="15" t="s">
        <v>118</v>
      </c>
      <c r="T90" t="s">
        <v>138</v>
      </c>
      <c r="U90" t="s">
        <v>120</v>
      </c>
    </row>
    <row r="91" spans="1:21" ht="14.25" customHeight="1">
      <c r="A91" s="13">
        <v>96458</v>
      </c>
      <c r="B91" s="13" t="s">
        <v>217</v>
      </c>
      <c r="C91" s="13" t="s">
        <v>97</v>
      </c>
      <c r="D91" s="13" t="s">
        <v>116</v>
      </c>
      <c r="E91" s="28">
        <v>252.86746987951801</v>
      </c>
      <c r="F91" s="28">
        <v>13.0503144654088</v>
      </c>
      <c r="G91" s="13">
        <v>5</v>
      </c>
      <c r="H91" s="21">
        <v>4.91803278688525E-2</v>
      </c>
      <c r="I91" s="21">
        <v>0.95</v>
      </c>
      <c r="J91" s="21">
        <v>0.86</v>
      </c>
      <c r="K91" s="22">
        <v>0</v>
      </c>
      <c r="L91" s="30"/>
      <c r="M91" s="13" t="s">
        <v>117</v>
      </c>
      <c r="N91" s="31"/>
      <c r="O91" s="29"/>
      <c r="P91" s="32">
        <v>2000</v>
      </c>
      <c r="Q91" s="13">
        <v>31</v>
      </c>
      <c r="R91" s="13">
        <v>31</v>
      </c>
      <c r="S91" s="13" t="s">
        <v>118</v>
      </c>
      <c r="T91" t="s">
        <v>163</v>
      </c>
      <c r="U91" t="s">
        <v>120</v>
      </c>
    </row>
    <row r="92" spans="1:21" ht="14.25" customHeight="1">
      <c r="A92" s="15">
        <v>203618</v>
      </c>
      <c r="B92" s="15" t="s">
        <v>218</v>
      </c>
      <c r="C92" s="15" t="s">
        <v>96</v>
      </c>
      <c r="D92" s="15" t="s">
        <v>116</v>
      </c>
      <c r="E92" s="33">
        <v>358.76447876447901</v>
      </c>
      <c r="F92" s="33">
        <v>9.1982350408953906</v>
      </c>
      <c r="G92" s="15">
        <v>3.25</v>
      </c>
      <c r="H92" s="16">
        <v>0.145985401459854</v>
      </c>
      <c r="I92" s="16">
        <v>0.49142857142857099</v>
      </c>
      <c r="J92" s="16">
        <v>0.09</v>
      </c>
      <c r="K92" s="23">
        <v>0</v>
      </c>
      <c r="L92" s="30"/>
      <c r="M92" s="15" t="s">
        <v>117</v>
      </c>
      <c r="N92" s="31"/>
      <c r="O92" s="29"/>
      <c r="P92" s="19">
        <v>2000</v>
      </c>
      <c r="Q92" s="15">
        <v>31</v>
      </c>
      <c r="R92" s="15">
        <v>31</v>
      </c>
      <c r="S92" s="15" t="s">
        <v>118</v>
      </c>
      <c r="T92" t="s">
        <v>134</v>
      </c>
      <c r="U92" t="s">
        <v>120</v>
      </c>
    </row>
    <row r="93" spans="1:21" ht="14.25" customHeight="1">
      <c r="A93" s="13">
        <v>204030</v>
      </c>
      <c r="B93" s="13" t="s">
        <v>219</v>
      </c>
      <c r="C93" s="13" t="s">
        <v>95</v>
      </c>
      <c r="D93" s="13" t="s">
        <v>116</v>
      </c>
      <c r="E93" s="28">
        <v>504.513513513514</v>
      </c>
      <c r="F93" s="28">
        <v>6.54095462581025</v>
      </c>
      <c r="G93" s="13">
        <v>5</v>
      </c>
      <c r="H93" s="21">
        <v>0.4</v>
      </c>
      <c r="I93" s="21">
        <v>0.48749999999999999</v>
      </c>
      <c r="J93" s="21">
        <v>0.01</v>
      </c>
      <c r="K93" s="22">
        <v>0</v>
      </c>
      <c r="L93" s="30"/>
      <c r="M93" s="13" t="s">
        <v>117</v>
      </c>
      <c r="N93" s="31"/>
      <c r="O93" s="29"/>
      <c r="P93" s="32">
        <v>2000</v>
      </c>
      <c r="Q93" s="13">
        <v>31</v>
      </c>
      <c r="R93" s="13">
        <v>31</v>
      </c>
      <c r="S93" s="13" t="s">
        <v>118</v>
      </c>
      <c r="T93" t="s">
        <v>138</v>
      </c>
      <c r="U93" t="s">
        <v>120</v>
      </c>
    </row>
    <row r="94" spans="1:21" ht="14.25" customHeight="1">
      <c r="A94" s="15">
        <v>96493</v>
      </c>
      <c r="B94" s="15" t="s">
        <v>220</v>
      </c>
      <c r="C94" s="15" t="s">
        <v>99</v>
      </c>
      <c r="D94" s="15" t="s">
        <v>116</v>
      </c>
      <c r="E94" s="33">
        <v>270.128440366973</v>
      </c>
      <c r="F94" s="33">
        <v>12.2164108137481</v>
      </c>
      <c r="G94" s="15">
        <v>2.7777777777777799</v>
      </c>
      <c r="H94" s="16">
        <v>5.0505050505050497E-2</v>
      </c>
      <c r="I94" s="16">
        <v>0.45500000000000002</v>
      </c>
      <c r="J94" s="16">
        <v>0.14000000000000001</v>
      </c>
      <c r="K94" s="23">
        <v>0</v>
      </c>
      <c r="L94" s="30"/>
      <c r="M94" s="15" t="s">
        <v>117</v>
      </c>
      <c r="N94" s="31"/>
      <c r="O94" s="29"/>
      <c r="P94" s="19">
        <v>2000</v>
      </c>
      <c r="Q94" s="15">
        <v>31</v>
      </c>
      <c r="R94" s="15">
        <v>31</v>
      </c>
      <c r="S94" s="15" t="s">
        <v>118</v>
      </c>
      <c r="T94" t="s">
        <v>148</v>
      </c>
      <c r="U94" t="s">
        <v>120</v>
      </c>
    </row>
    <row r="95" spans="1:21" ht="14.25" customHeight="1">
      <c r="A95" s="13">
        <v>202682</v>
      </c>
      <c r="B95" s="13" t="s">
        <v>221</v>
      </c>
      <c r="C95" s="13" t="s">
        <v>95</v>
      </c>
      <c r="D95" s="13" t="s">
        <v>116</v>
      </c>
      <c r="E95" s="28">
        <v>504.318518518519</v>
      </c>
      <c r="F95" s="28">
        <v>6.5434836890266297</v>
      </c>
      <c r="G95" s="13">
        <v>2.5</v>
      </c>
      <c r="H95" s="21">
        <v>8.7378640776699004E-2</v>
      </c>
      <c r="I95" s="21">
        <v>0</v>
      </c>
      <c r="J95" s="21">
        <v>0.26</v>
      </c>
      <c r="K95" s="22">
        <v>0</v>
      </c>
      <c r="L95" s="30"/>
      <c r="M95" s="13" t="s">
        <v>117</v>
      </c>
      <c r="N95" s="31"/>
      <c r="O95" s="29"/>
      <c r="P95" s="32">
        <v>2000</v>
      </c>
      <c r="Q95" s="13">
        <v>31</v>
      </c>
      <c r="R95" s="13">
        <v>31</v>
      </c>
      <c r="S95" s="13" t="s">
        <v>118</v>
      </c>
      <c r="T95" t="s">
        <v>130</v>
      </c>
      <c r="U95" t="s">
        <v>120</v>
      </c>
    </row>
    <row r="96" spans="1:21" ht="14.25" customHeight="1">
      <c r="A96" s="15">
        <v>224299</v>
      </c>
      <c r="B96" s="15" t="s">
        <v>222</v>
      </c>
      <c r="C96" s="15" t="s">
        <v>98</v>
      </c>
      <c r="D96" s="15" t="s">
        <v>116</v>
      </c>
      <c r="E96" s="33">
        <v>435.29689608637</v>
      </c>
      <c r="F96" s="33">
        <v>7.5810326920990203</v>
      </c>
      <c r="G96" s="15">
        <v>4.4782608695652204</v>
      </c>
      <c r="H96" s="16">
        <v>7.5144508670520194E-2</v>
      </c>
      <c r="I96" s="16">
        <v>0.29666666666666702</v>
      </c>
      <c r="J96" s="16">
        <v>0.33</v>
      </c>
      <c r="K96" s="23">
        <v>0</v>
      </c>
      <c r="L96" s="30"/>
      <c r="M96" s="15" t="s">
        <v>117</v>
      </c>
      <c r="N96" s="31"/>
      <c r="O96" s="29"/>
      <c r="P96" s="19">
        <v>2000</v>
      </c>
      <c r="Q96" s="15">
        <v>31</v>
      </c>
      <c r="R96" s="15">
        <v>31</v>
      </c>
      <c r="S96" s="15" t="s">
        <v>118</v>
      </c>
      <c r="T96" t="s">
        <v>159</v>
      </c>
      <c r="U96" t="s">
        <v>120</v>
      </c>
    </row>
    <row r="97" spans="1:21" ht="14.25" customHeight="1">
      <c r="A97" s="13">
        <v>244551</v>
      </c>
      <c r="B97" s="13" t="s">
        <v>223</v>
      </c>
      <c r="C97" s="13" t="s">
        <v>98</v>
      </c>
      <c r="D97" s="13" t="s">
        <v>116</v>
      </c>
      <c r="E97" s="34"/>
      <c r="F97" s="34"/>
      <c r="G97" s="30"/>
      <c r="H97" s="29"/>
      <c r="I97" s="29"/>
      <c r="J97" s="29"/>
      <c r="K97" s="22">
        <v>0</v>
      </c>
      <c r="L97" s="30"/>
      <c r="M97" s="13" t="s">
        <v>117</v>
      </c>
      <c r="N97" s="31"/>
      <c r="O97" s="29"/>
      <c r="P97" s="32">
        <v>2000</v>
      </c>
      <c r="Q97" s="13">
        <v>31</v>
      </c>
      <c r="R97" s="13">
        <v>31</v>
      </c>
      <c r="S97" s="13" t="s">
        <v>118</v>
      </c>
      <c r="T97" t="s">
        <v>136</v>
      </c>
      <c r="U97" t="s">
        <v>120</v>
      </c>
    </row>
    <row r="98" spans="1:21" ht="14.25" customHeight="1">
      <c r="A98" s="15">
        <v>249780</v>
      </c>
      <c r="B98" s="15" t="s">
        <v>224</v>
      </c>
      <c r="C98" s="15" t="s">
        <v>97</v>
      </c>
      <c r="D98" s="15" t="s">
        <v>116</v>
      </c>
      <c r="E98" s="34"/>
      <c r="F98" s="34"/>
      <c r="G98" s="30"/>
      <c r="H98" s="29"/>
      <c r="I98" s="29"/>
      <c r="J98" s="16">
        <v>0</v>
      </c>
      <c r="K98" s="23">
        <v>0</v>
      </c>
      <c r="L98" s="30"/>
      <c r="M98" s="15" t="s">
        <v>117</v>
      </c>
      <c r="N98" s="31"/>
      <c r="O98" s="29"/>
      <c r="P98" s="19">
        <v>2000</v>
      </c>
      <c r="Q98" s="15">
        <v>31</v>
      </c>
      <c r="R98" s="15">
        <v>31</v>
      </c>
      <c r="S98" s="15" t="s">
        <v>118</v>
      </c>
      <c r="T98" t="s">
        <v>128</v>
      </c>
      <c r="U98" t="s">
        <v>120</v>
      </c>
    </row>
    <row r="99" spans="1:21" ht="14.25" customHeight="1">
      <c r="A99" s="13">
        <v>228216</v>
      </c>
      <c r="B99" s="13" t="s">
        <v>225</v>
      </c>
      <c r="C99" s="13" t="s">
        <v>96</v>
      </c>
      <c r="D99" s="13" t="s">
        <v>116</v>
      </c>
      <c r="E99" s="28">
        <v>485.061855670103</v>
      </c>
      <c r="F99" s="28">
        <v>6.8032560413168701</v>
      </c>
      <c r="G99" s="13">
        <v>3.71428571428571</v>
      </c>
      <c r="H99" s="21">
        <v>0.14705882352941199</v>
      </c>
      <c r="I99" s="21">
        <v>0.63833333333333298</v>
      </c>
      <c r="J99" s="21">
        <v>0</v>
      </c>
      <c r="K99" s="22">
        <v>0</v>
      </c>
      <c r="L99" s="30"/>
      <c r="M99" s="13" t="s">
        <v>117</v>
      </c>
      <c r="N99" s="31"/>
      <c r="O99" s="29"/>
      <c r="P99" s="32">
        <v>2000</v>
      </c>
      <c r="Q99" s="13">
        <v>31</v>
      </c>
      <c r="R99" s="13">
        <v>31</v>
      </c>
      <c r="S99" s="13" t="s">
        <v>118</v>
      </c>
      <c r="T99" t="s">
        <v>141</v>
      </c>
      <c r="U99" t="s">
        <v>120</v>
      </c>
    </row>
    <row r="100" spans="1:21" ht="14.25" customHeight="1">
      <c r="A100" s="15">
        <v>228207</v>
      </c>
      <c r="B100" s="15" t="s">
        <v>226</v>
      </c>
      <c r="C100" s="15" t="s">
        <v>96</v>
      </c>
      <c r="D100" s="15" t="s">
        <v>116</v>
      </c>
      <c r="E100" s="33">
        <v>515.17341040462395</v>
      </c>
      <c r="F100" s="33">
        <v>6.4056100981767203</v>
      </c>
      <c r="G100" s="15">
        <v>4.8571428571428603</v>
      </c>
      <c r="H100" s="16">
        <v>0.39823008849557501</v>
      </c>
      <c r="I100" s="16">
        <v>0.82083333333333297</v>
      </c>
      <c r="J100" s="16">
        <v>0</v>
      </c>
      <c r="K100" s="23">
        <v>0</v>
      </c>
      <c r="L100" s="30"/>
      <c r="M100" s="15" t="s">
        <v>117</v>
      </c>
      <c r="N100" s="31"/>
      <c r="O100" s="29"/>
      <c r="P100" s="19">
        <v>2000</v>
      </c>
      <c r="Q100" s="15">
        <v>31</v>
      </c>
      <c r="R100" s="15">
        <v>31</v>
      </c>
      <c r="S100" s="15" t="s">
        <v>118</v>
      </c>
      <c r="T100" t="s">
        <v>141</v>
      </c>
      <c r="U100" t="s">
        <v>120</v>
      </c>
    </row>
    <row r="101" spans="1:21" ht="14.25" customHeight="1">
      <c r="A101" s="13">
        <v>228673</v>
      </c>
      <c r="B101" s="13" t="s">
        <v>227</v>
      </c>
      <c r="C101" s="13" t="s">
        <v>96</v>
      </c>
      <c r="D101" s="13" t="s">
        <v>116</v>
      </c>
      <c r="E101" s="28">
        <v>626.58223684210498</v>
      </c>
      <c r="F101" s="28">
        <v>5.2666670166578298</v>
      </c>
      <c r="G101" s="13">
        <v>4.7272727272727302</v>
      </c>
      <c r="H101" s="21">
        <v>0.141304347826087</v>
      </c>
      <c r="I101" s="21">
        <v>0.513636363636364</v>
      </c>
      <c r="J101" s="21">
        <v>0</v>
      </c>
      <c r="K101" s="22">
        <v>0</v>
      </c>
      <c r="L101" s="30"/>
      <c r="M101" s="13" t="s">
        <v>117</v>
      </c>
      <c r="N101" s="31"/>
      <c r="O101" s="29"/>
      <c r="P101" s="32">
        <v>2000</v>
      </c>
      <c r="Q101" s="13">
        <v>31</v>
      </c>
      <c r="R101" s="13">
        <v>31</v>
      </c>
      <c r="S101" s="13" t="s">
        <v>118</v>
      </c>
      <c r="T101" t="s">
        <v>132</v>
      </c>
      <c r="U101" t="s">
        <v>120</v>
      </c>
    </row>
    <row r="102" spans="1:21" ht="14.25" customHeight="1">
      <c r="A102" s="15">
        <v>96485</v>
      </c>
      <c r="B102" s="15" t="s">
        <v>228</v>
      </c>
      <c r="C102" s="15" t="s">
        <v>97</v>
      </c>
      <c r="D102" s="15" t="s">
        <v>116</v>
      </c>
      <c r="E102" s="34"/>
      <c r="F102" s="34"/>
      <c r="G102" s="15">
        <v>0</v>
      </c>
      <c r="H102" s="16">
        <v>0</v>
      </c>
      <c r="I102" s="29"/>
      <c r="J102" s="16">
        <v>0</v>
      </c>
      <c r="K102" s="23">
        <v>0</v>
      </c>
      <c r="L102" s="30"/>
      <c r="M102" s="15" t="s">
        <v>117</v>
      </c>
      <c r="N102" s="31"/>
      <c r="O102" s="29"/>
      <c r="P102" s="19">
        <v>2000</v>
      </c>
      <c r="Q102" s="15">
        <v>31</v>
      </c>
      <c r="R102" s="15">
        <v>31</v>
      </c>
      <c r="S102" s="15" t="s">
        <v>118</v>
      </c>
      <c r="T102" t="s">
        <v>163</v>
      </c>
      <c r="U102" t="s">
        <v>120</v>
      </c>
    </row>
    <row r="103" spans="1:21" ht="14.25" customHeight="1">
      <c r="A103" s="13">
        <v>250259</v>
      </c>
      <c r="B103" s="13" t="s">
        <v>229</v>
      </c>
      <c r="C103" s="13" t="s">
        <v>99</v>
      </c>
      <c r="D103" s="13" t="s">
        <v>116</v>
      </c>
      <c r="E103" s="34"/>
      <c r="F103" s="34"/>
      <c r="G103" s="30"/>
      <c r="H103" s="29"/>
      <c r="I103" s="29"/>
      <c r="J103" s="29"/>
      <c r="K103" s="22">
        <v>0</v>
      </c>
      <c r="L103" s="30"/>
      <c r="M103" s="13" t="s">
        <v>117</v>
      </c>
      <c r="N103" s="31"/>
      <c r="O103" s="29"/>
      <c r="P103" s="32">
        <v>2000</v>
      </c>
      <c r="Q103" s="13">
        <v>31</v>
      </c>
      <c r="R103" s="13">
        <v>31</v>
      </c>
      <c r="S103" s="13" t="s">
        <v>118</v>
      </c>
      <c r="T103" t="s">
        <v>136</v>
      </c>
      <c r="U103" t="s">
        <v>120</v>
      </c>
    </row>
    <row r="104" spans="1:21" ht="14.25" customHeight="1">
      <c r="A104" s="15">
        <v>230824</v>
      </c>
      <c r="B104" s="15" t="s">
        <v>230</v>
      </c>
      <c r="C104" s="15" t="s">
        <v>96</v>
      </c>
      <c r="D104" s="15" t="s">
        <v>116</v>
      </c>
      <c r="E104" s="33">
        <v>562.76648351648396</v>
      </c>
      <c r="F104" s="33">
        <v>5.86388865836454</v>
      </c>
      <c r="G104" s="15">
        <v>4.765625</v>
      </c>
      <c r="H104" s="16">
        <v>0.42934782608695699</v>
      </c>
      <c r="I104" s="16">
        <v>0.56769230769230805</v>
      </c>
      <c r="J104" s="16">
        <v>0</v>
      </c>
      <c r="K104" s="23">
        <v>0</v>
      </c>
      <c r="L104" s="30"/>
      <c r="M104" s="15" t="s">
        <v>117</v>
      </c>
      <c r="N104" s="31"/>
      <c r="O104" s="29"/>
      <c r="P104" s="19">
        <v>2000</v>
      </c>
      <c r="Q104" s="15">
        <v>31</v>
      </c>
      <c r="R104" s="15">
        <v>31</v>
      </c>
      <c r="S104" s="15" t="s">
        <v>118</v>
      </c>
      <c r="T104" t="s">
        <v>132</v>
      </c>
      <c r="U104" t="s">
        <v>120</v>
      </c>
    </row>
    <row r="105" spans="1:21" ht="14.25" customHeight="1">
      <c r="A105" s="13">
        <v>203589</v>
      </c>
      <c r="B105" s="13" t="s">
        <v>231</v>
      </c>
      <c r="C105" s="13" t="s">
        <v>95</v>
      </c>
      <c r="D105" s="13" t="s">
        <v>116</v>
      </c>
      <c r="E105" s="28">
        <v>421.18181818181802</v>
      </c>
      <c r="F105" s="28">
        <v>7.83509605007555</v>
      </c>
      <c r="G105" s="13">
        <v>0</v>
      </c>
      <c r="H105" s="21">
        <v>0</v>
      </c>
      <c r="I105" s="21">
        <v>0</v>
      </c>
      <c r="J105" s="21">
        <v>0.05</v>
      </c>
      <c r="K105" s="22">
        <v>0</v>
      </c>
      <c r="L105" s="30"/>
      <c r="M105" s="13" t="s">
        <v>117</v>
      </c>
      <c r="N105" s="31"/>
      <c r="O105" s="29"/>
      <c r="P105" s="32">
        <v>2000</v>
      </c>
      <c r="Q105" s="13">
        <v>31</v>
      </c>
      <c r="R105" s="13">
        <v>31</v>
      </c>
      <c r="S105" s="13" t="s">
        <v>118</v>
      </c>
      <c r="T105" t="s">
        <v>138</v>
      </c>
      <c r="U105" t="s">
        <v>120</v>
      </c>
    </row>
    <row r="106" spans="1:21" ht="14.25" customHeight="1">
      <c r="A106" s="15">
        <v>228675</v>
      </c>
      <c r="B106" s="15" t="s">
        <v>232</v>
      </c>
      <c r="C106" s="15" t="s">
        <v>96</v>
      </c>
      <c r="D106" s="15" t="s">
        <v>116</v>
      </c>
      <c r="E106" s="33">
        <v>795.81132075471703</v>
      </c>
      <c r="F106" s="33">
        <v>4.1467115557873804</v>
      </c>
      <c r="G106" s="15">
        <v>4.8571428571428603</v>
      </c>
      <c r="H106" s="16">
        <v>0.126582278481013</v>
      </c>
      <c r="I106" s="16">
        <v>0.68909090909090898</v>
      </c>
      <c r="J106" s="16">
        <v>0</v>
      </c>
      <c r="K106" s="23">
        <v>0</v>
      </c>
      <c r="L106" s="30"/>
      <c r="M106" s="15" t="s">
        <v>117</v>
      </c>
      <c r="N106" s="31"/>
      <c r="O106" s="29"/>
      <c r="P106" s="19">
        <v>2000</v>
      </c>
      <c r="Q106" s="15">
        <v>31</v>
      </c>
      <c r="R106" s="15">
        <v>31</v>
      </c>
      <c r="S106" s="15" t="s">
        <v>118</v>
      </c>
      <c r="T106" t="s">
        <v>132</v>
      </c>
      <c r="U106" t="s">
        <v>120</v>
      </c>
    </row>
    <row r="107" spans="1:21" ht="14.25" customHeight="1">
      <c r="A107" s="13">
        <v>232194</v>
      </c>
      <c r="B107" s="13" t="s">
        <v>233</v>
      </c>
      <c r="C107" s="13" t="s">
        <v>98</v>
      </c>
      <c r="D107" s="13" t="s">
        <v>116</v>
      </c>
      <c r="E107" s="28">
        <v>441.28005115089502</v>
      </c>
      <c r="F107" s="28">
        <v>7.4782442383092604</v>
      </c>
      <c r="G107" s="13">
        <v>4.2</v>
      </c>
      <c r="H107" s="21">
        <v>7.4450084602368904E-2</v>
      </c>
      <c r="I107" s="21">
        <v>0.45</v>
      </c>
      <c r="J107" s="21">
        <v>0</v>
      </c>
      <c r="K107" s="22">
        <v>0</v>
      </c>
      <c r="L107" s="30"/>
      <c r="M107" s="13" t="s">
        <v>117</v>
      </c>
      <c r="N107" s="31"/>
      <c r="O107" s="29"/>
      <c r="P107" s="32">
        <v>2000</v>
      </c>
      <c r="Q107" s="13">
        <v>31</v>
      </c>
      <c r="R107" s="13">
        <v>31</v>
      </c>
      <c r="S107" s="13" t="s">
        <v>118</v>
      </c>
      <c r="T107" t="s">
        <v>152</v>
      </c>
      <c r="U107" t="s">
        <v>120</v>
      </c>
    </row>
    <row r="108" spans="1:21" ht="14.25" customHeight="1">
      <c r="A108" s="15">
        <v>232187</v>
      </c>
      <c r="B108" s="15" t="s">
        <v>234</v>
      </c>
      <c r="C108" s="15" t="s">
        <v>99</v>
      </c>
      <c r="D108" s="15" t="s">
        <v>116</v>
      </c>
      <c r="E108" s="33">
        <v>515.95774647887401</v>
      </c>
      <c r="F108" s="33">
        <v>6.3958725739087701</v>
      </c>
      <c r="G108" s="15">
        <v>3.75</v>
      </c>
      <c r="H108" s="16">
        <v>0.15238095238095201</v>
      </c>
      <c r="I108" s="16">
        <v>0.276666666666667</v>
      </c>
      <c r="J108" s="16">
        <v>7.0000000000000007E-2</v>
      </c>
      <c r="K108" s="23">
        <v>0</v>
      </c>
      <c r="L108" s="30"/>
      <c r="M108" s="15" t="s">
        <v>117</v>
      </c>
      <c r="N108" s="31"/>
      <c r="O108" s="29"/>
      <c r="P108" s="19">
        <v>2000</v>
      </c>
      <c r="Q108" s="15">
        <v>31</v>
      </c>
      <c r="R108" s="15">
        <v>31</v>
      </c>
      <c r="S108" s="15" t="s">
        <v>118</v>
      </c>
      <c r="T108" t="s">
        <v>148</v>
      </c>
      <c r="U108" t="s">
        <v>120</v>
      </c>
    </row>
    <row r="109" spans="1:21" ht="14.25" customHeight="1">
      <c r="A109" s="13">
        <v>96484</v>
      </c>
      <c r="B109" s="13" t="s">
        <v>235</v>
      </c>
      <c r="C109" s="13" t="s">
        <v>98</v>
      </c>
      <c r="D109" s="13" t="s">
        <v>116</v>
      </c>
      <c r="E109" s="28">
        <v>0</v>
      </c>
      <c r="F109" s="28">
        <v>0</v>
      </c>
      <c r="G109" s="30"/>
      <c r="H109" s="29"/>
      <c r="I109" s="29"/>
      <c r="J109" s="21">
        <v>0.95</v>
      </c>
      <c r="K109" s="22">
        <v>0</v>
      </c>
      <c r="L109" s="30"/>
      <c r="M109" s="13" t="s">
        <v>117</v>
      </c>
      <c r="N109" s="31"/>
      <c r="O109" s="29"/>
      <c r="P109" s="32">
        <v>2000</v>
      </c>
      <c r="Q109" s="13">
        <v>31</v>
      </c>
      <c r="R109" s="13">
        <v>31</v>
      </c>
      <c r="S109" s="13" t="s">
        <v>118</v>
      </c>
      <c r="T109" t="s">
        <v>159</v>
      </c>
      <c r="U109" t="s">
        <v>120</v>
      </c>
    </row>
    <row r="110" spans="1:21" ht="14.25" customHeight="1">
      <c r="A110" s="15">
        <v>228214</v>
      </c>
      <c r="B110" s="15" t="s">
        <v>236</v>
      </c>
      <c r="C110" s="15" t="s">
        <v>96</v>
      </c>
      <c r="D110" s="15" t="s">
        <v>116</v>
      </c>
      <c r="E110" s="33">
        <v>579.91752577319596</v>
      </c>
      <c r="F110" s="33">
        <v>5.6904643390457199</v>
      </c>
      <c r="G110" s="15">
        <v>4.3846153846153904</v>
      </c>
      <c r="H110" s="16">
        <v>0.3</v>
      </c>
      <c r="I110" s="16">
        <v>0.68454545454545501</v>
      </c>
      <c r="J110" s="16">
        <v>0</v>
      </c>
      <c r="K110" s="23">
        <v>0</v>
      </c>
      <c r="L110" s="30"/>
      <c r="M110" s="15" t="s">
        <v>117</v>
      </c>
      <c r="N110" s="31"/>
      <c r="O110" s="29"/>
      <c r="P110" s="19">
        <v>2000</v>
      </c>
      <c r="Q110" s="15">
        <v>31</v>
      </c>
      <c r="R110" s="15">
        <v>31</v>
      </c>
      <c r="S110" s="15" t="s">
        <v>118</v>
      </c>
      <c r="T110" t="s">
        <v>141</v>
      </c>
      <c r="U110" t="s">
        <v>120</v>
      </c>
    </row>
    <row r="111" spans="1:21" ht="14.25" customHeight="1">
      <c r="A111" s="13">
        <v>228209</v>
      </c>
      <c r="B111" s="13" t="s">
        <v>237</v>
      </c>
      <c r="C111" s="13" t="s">
        <v>96</v>
      </c>
      <c r="D111" s="13" t="s">
        <v>116</v>
      </c>
      <c r="E111" s="28">
        <v>727.96774193548401</v>
      </c>
      <c r="F111" s="28">
        <v>4.5331679000310201</v>
      </c>
      <c r="G111" s="13">
        <v>4.7777777777777803</v>
      </c>
      <c r="H111" s="21">
        <v>0.21</v>
      </c>
      <c r="I111" s="21">
        <v>0.91749999999999998</v>
      </c>
      <c r="J111" s="21">
        <v>0</v>
      </c>
      <c r="K111" s="22">
        <v>0</v>
      </c>
      <c r="L111" s="30"/>
      <c r="M111" s="13" t="s">
        <v>117</v>
      </c>
      <c r="N111" s="31"/>
      <c r="O111" s="29"/>
      <c r="P111" s="32">
        <v>2000</v>
      </c>
      <c r="Q111" s="13">
        <v>31</v>
      </c>
      <c r="R111" s="13">
        <v>31</v>
      </c>
      <c r="S111" s="13" t="s">
        <v>118</v>
      </c>
      <c r="T111" t="s">
        <v>128</v>
      </c>
      <c r="U111" t="s">
        <v>120</v>
      </c>
    </row>
    <row r="112" spans="1:21" ht="14.25" customHeight="1">
      <c r="A112" s="15">
        <v>250745</v>
      </c>
      <c r="B112" s="15" t="s">
        <v>238</v>
      </c>
      <c r="C112" s="15" t="s">
        <v>96</v>
      </c>
      <c r="D112" s="15" t="s">
        <v>116</v>
      </c>
      <c r="E112" s="34"/>
      <c r="F112" s="34"/>
      <c r="G112" s="30"/>
      <c r="H112" s="29"/>
      <c r="I112" s="29"/>
      <c r="J112" s="16">
        <v>0</v>
      </c>
      <c r="K112" s="23">
        <v>0</v>
      </c>
      <c r="L112" s="30"/>
      <c r="M112" s="15" t="s">
        <v>117</v>
      </c>
      <c r="N112" s="31"/>
      <c r="O112" s="29"/>
      <c r="P112" s="19">
        <v>2000</v>
      </c>
      <c r="Q112" s="15">
        <v>31</v>
      </c>
      <c r="R112" s="15">
        <v>31</v>
      </c>
      <c r="S112" s="15" t="s">
        <v>118</v>
      </c>
      <c r="T112" t="s">
        <v>134</v>
      </c>
      <c r="U112" t="s">
        <v>120</v>
      </c>
    </row>
    <row r="113" spans="1:21" ht="14.25" customHeight="1">
      <c r="A113" s="13">
        <v>228666</v>
      </c>
      <c r="B113" s="13" t="s">
        <v>239</v>
      </c>
      <c r="C113" s="13" t="s">
        <v>96</v>
      </c>
      <c r="D113" s="13" t="s">
        <v>116</v>
      </c>
      <c r="E113" s="28">
        <v>608.41923076923104</v>
      </c>
      <c r="F113" s="28">
        <v>5.4238916738837704</v>
      </c>
      <c r="G113" s="13">
        <v>4.8260869565217401</v>
      </c>
      <c r="H113" s="21">
        <v>0.207317073170732</v>
      </c>
      <c r="I113" s="21">
        <v>0.765384615384615</v>
      </c>
      <c r="J113" s="21">
        <v>0</v>
      </c>
      <c r="K113" s="22">
        <v>0</v>
      </c>
      <c r="L113" s="30"/>
      <c r="M113" s="13" t="s">
        <v>117</v>
      </c>
      <c r="N113" s="31"/>
      <c r="O113" s="29"/>
      <c r="P113" s="32">
        <v>2000</v>
      </c>
      <c r="Q113" s="13">
        <v>31</v>
      </c>
      <c r="R113" s="13">
        <v>31</v>
      </c>
      <c r="S113" s="13" t="s">
        <v>118</v>
      </c>
      <c r="T113" t="s">
        <v>141</v>
      </c>
      <c r="U113" t="s">
        <v>120</v>
      </c>
    </row>
    <row r="114" spans="1:21" ht="14.25" customHeight="1">
      <c r="A114" s="15">
        <v>205266</v>
      </c>
      <c r="B114" s="15" t="s">
        <v>240</v>
      </c>
      <c r="C114" s="15" t="s">
        <v>96</v>
      </c>
      <c r="D114" s="15" t="s">
        <v>116</v>
      </c>
      <c r="E114" s="34"/>
      <c r="F114" s="34"/>
      <c r="G114" s="30"/>
      <c r="H114" s="29"/>
      <c r="I114" s="29"/>
      <c r="J114" s="16">
        <v>0.96</v>
      </c>
      <c r="K114" s="23">
        <v>0</v>
      </c>
      <c r="L114" s="30"/>
      <c r="M114" s="15" t="s">
        <v>117</v>
      </c>
      <c r="N114" s="31"/>
      <c r="O114" s="29"/>
      <c r="P114" s="19">
        <v>2000</v>
      </c>
      <c r="Q114" s="15">
        <v>31</v>
      </c>
      <c r="R114" s="15">
        <v>31</v>
      </c>
      <c r="S114" s="15" t="s">
        <v>118</v>
      </c>
      <c r="T114" t="s">
        <v>132</v>
      </c>
      <c r="U114" t="s">
        <v>120</v>
      </c>
    </row>
    <row r="115" spans="1:21" ht="14.25" customHeight="1">
      <c r="A115" s="13">
        <v>244556</v>
      </c>
      <c r="B115" s="13" t="s">
        <v>241</v>
      </c>
      <c r="C115" s="13" t="s">
        <v>98</v>
      </c>
      <c r="D115" s="13" t="s">
        <v>116</v>
      </c>
      <c r="E115" s="34"/>
      <c r="F115" s="34"/>
      <c r="G115" s="13">
        <v>0</v>
      </c>
      <c r="H115" s="21">
        <v>0</v>
      </c>
      <c r="I115" s="29"/>
      <c r="J115" s="29"/>
      <c r="K115" s="22">
        <v>0</v>
      </c>
      <c r="L115" s="30"/>
      <c r="M115" s="13" t="s">
        <v>117</v>
      </c>
      <c r="N115" s="31"/>
      <c r="O115" s="29"/>
      <c r="P115" s="32">
        <v>2000</v>
      </c>
      <c r="Q115" s="13">
        <v>31</v>
      </c>
      <c r="R115" s="13">
        <v>31</v>
      </c>
      <c r="S115" s="13" t="s">
        <v>118</v>
      </c>
      <c r="T115" t="s">
        <v>148</v>
      </c>
      <c r="U115" t="s">
        <v>120</v>
      </c>
    </row>
    <row r="116" spans="1:21" ht="14.25" customHeight="1">
      <c r="A116" s="15">
        <v>250748</v>
      </c>
      <c r="B116" s="15" t="s">
        <v>242</v>
      </c>
      <c r="C116" s="15" t="s">
        <v>96</v>
      </c>
      <c r="D116" s="15" t="s">
        <v>116</v>
      </c>
      <c r="E116" s="34"/>
      <c r="F116" s="34"/>
      <c r="G116" s="30"/>
      <c r="H116" s="29"/>
      <c r="I116" s="29"/>
      <c r="J116" s="16">
        <v>0</v>
      </c>
      <c r="K116" s="23">
        <v>0</v>
      </c>
      <c r="L116" s="30"/>
      <c r="M116" s="15" t="s">
        <v>117</v>
      </c>
      <c r="N116" s="31"/>
      <c r="O116" s="29"/>
      <c r="P116" s="19">
        <v>2000</v>
      </c>
      <c r="Q116" s="15">
        <v>31</v>
      </c>
      <c r="R116" s="15">
        <v>31</v>
      </c>
      <c r="S116" s="15" t="s">
        <v>118</v>
      </c>
      <c r="T116" t="s">
        <v>134</v>
      </c>
      <c r="U116" t="s">
        <v>120</v>
      </c>
    </row>
    <row r="117" spans="1:21" ht="14.25" customHeight="1">
      <c r="A117" s="13">
        <v>249779</v>
      </c>
      <c r="B117" s="13" t="s">
        <v>243</v>
      </c>
      <c r="C117" s="13" t="s">
        <v>97</v>
      </c>
      <c r="D117" s="13" t="s">
        <v>116</v>
      </c>
      <c r="E117" s="34"/>
      <c r="F117" s="34"/>
      <c r="G117" s="30"/>
      <c r="H117" s="29"/>
      <c r="I117" s="29"/>
      <c r="J117" s="21">
        <v>0</v>
      </c>
      <c r="K117" s="22">
        <v>0</v>
      </c>
      <c r="L117" s="30"/>
      <c r="M117" s="13" t="s">
        <v>117</v>
      </c>
      <c r="N117" s="31"/>
      <c r="O117" s="29"/>
      <c r="P117" s="32">
        <v>2000</v>
      </c>
      <c r="Q117" s="13">
        <v>31</v>
      </c>
      <c r="R117" s="13">
        <v>31</v>
      </c>
      <c r="S117" s="13" t="s">
        <v>118</v>
      </c>
      <c r="T117" t="s">
        <v>128</v>
      </c>
      <c r="U117" t="s">
        <v>120</v>
      </c>
    </row>
    <row r="118" spans="1:21" ht="14.25" customHeight="1">
      <c r="A118" s="15">
        <v>250741</v>
      </c>
      <c r="B118" s="15" t="s">
        <v>244</v>
      </c>
      <c r="C118" s="15" t="s">
        <v>96</v>
      </c>
      <c r="D118" s="15" t="s">
        <v>116</v>
      </c>
      <c r="E118" s="34"/>
      <c r="F118" s="34"/>
      <c r="G118" s="30"/>
      <c r="H118" s="29"/>
      <c r="I118" s="29"/>
      <c r="J118" s="16">
        <v>0</v>
      </c>
      <c r="K118" s="23">
        <v>0</v>
      </c>
      <c r="L118" s="30"/>
      <c r="M118" s="15" t="s">
        <v>117</v>
      </c>
      <c r="N118" s="31"/>
      <c r="O118" s="29"/>
      <c r="P118" s="19">
        <v>2000</v>
      </c>
      <c r="Q118" s="15">
        <v>31</v>
      </c>
      <c r="R118" s="15">
        <v>31</v>
      </c>
      <c r="S118" s="15" t="s">
        <v>118</v>
      </c>
      <c r="T118" t="s">
        <v>141</v>
      </c>
      <c r="U118" t="s">
        <v>120</v>
      </c>
    </row>
    <row r="119" spans="1:21" ht="14.25" customHeight="1">
      <c r="A119" s="13">
        <v>144564</v>
      </c>
      <c r="B119" s="13" t="s">
        <v>245</v>
      </c>
      <c r="C119" s="13" t="s">
        <v>97</v>
      </c>
      <c r="D119" s="13" t="s">
        <v>116</v>
      </c>
      <c r="E119" s="28">
        <v>311.42257217847799</v>
      </c>
      <c r="F119" s="28">
        <v>10.5965344031285</v>
      </c>
      <c r="G119" s="13">
        <v>3.25925925925926</v>
      </c>
      <c r="H119" s="21">
        <v>0.101587301587302</v>
      </c>
      <c r="I119" s="21">
        <v>0.89500000000000002</v>
      </c>
      <c r="J119" s="21">
        <v>0.06</v>
      </c>
      <c r="K119" s="22">
        <v>0</v>
      </c>
      <c r="L119" s="30"/>
      <c r="M119" s="13" t="s">
        <v>117</v>
      </c>
      <c r="N119" s="31"/>
      <c r="O119" s="29"/>
      <c r="P119" s="32">
        <v>2000</v>
      </c>
      <c r="Q119" s="13">
        <v>31</v>
      </c>
      <c r="R119" s="13">
        <v>31</v>
      </c>
      <c r="S119" s="13" t="s">
        <v>118</v>
      </c>
      <c r="T119" t="s">
        <v>163</v>
      </c>
      <c r="U119" t="s">
        <v>120</v>
      </c>
    </row>
    <row r="120" spans="1:21" ht="14.25" customHeight="1">
      <c r="A120" s="15">
        <v>224099</v>
      </c>
      <c r="B120" s="15" t="s">
        <v>246</v>
      </c>
      <c r="C120" s="15" t="s">
        <v>98</v>
      </c>
      <c r="D120" s="15" t="s">
        <v>116</v>
      </c>
      <c r="E120" s="33">
        <v>273.48694942903802</v>
      </c>
      <c r="F120" s="33">
        <v>12.066389298975499</v>
      </c>
      <c r="G120" s="15">
        <v>2.2909090909090901</v>
      </c>
      <c r="H120" s="16">
        <v>8.9285714285714302E-2</v>
      </c>
      <c r="I120" s="16">
        <v>0</v>
      </c>
      <c r="J120" s="16">
        <v>0.05</v>
      </c>
      <c r="K120" s="23">
        <v>0</v>
      </c>
      <c r="L120" s="30"/>
      <c r="M120" s="15" t="s">
        <v>117</v>
      </c>
      <c r="N120" s="31"/>
      <c r="O120" s="29"/>
      <c r="P120" s="19">
        <v>2000</v>
      </c>
      <c r="Q120" s="15">
        <v>31</v>
      </c>
      <c r="R120" s="15">
        <v>31</v>
      </c>
      <c r="S120" s="15" t="s">
        <v>118</v>
      </c>
      <c r="T120" t="s">
        <v>159</v>
      </c>
      <c r="U120" t="s">
        <v>120</v>
      </c>
    </row>
    <row r="121" spans="1:21" ht="14.25" customHeight="1">
      <c r="A121" s="13">
        <v>203079</v>
      </c>
      <c r="B121" s="13" t="s">
        <v>247</v>
      </c>
      <c r="C121" s="13" t="s">
        <v>97</v>
      </c>
      <c r="D121" s="13" t="s">
        <v>116</v>
      </c>
      <c r="E121" s="28">
        <v>446.30957230142599</v>
      </c>
      <c r="F121" s="28">
        <v>7.3939709224324401</v>
      </c>
      <c r="G121" s="13">
        <v>3.21428571428571</v>
      </c>
      <c r="H121" s="21">
        <v>0.100529100529101</v>
      </c>
      <c r="I121" s="21">
        <v>0.87250000000000005</v>
      </c>
      <c r="J121" s="21">
        <v>0</v>
      </c>
      <c r="K121" s="22">
        <v>0</v>
      </c>
      <c r="L121" s="30"/>
      <c r="M121" s="13" t="s">
        <v>117</v>
      </c>
      <c r="N121" s="31"/>
      <c r="O121" s="29"/>
      <c r="P121" s="32">
        <v>2000</v>
      </c>
      <c r="Q121" s="13">
        <v>31</v>
      </c>
      <c r="R121" s="13">
        <v>31</v>
      </c>
      <c r="S121" s="13" t="s">
        <v>118</v>
      </c>
      <c r="T121" t="s">
        <v>163</v>
      </c>
      <c r="U121" t="s">
        <v>120</v>
      </c>
    </row>
    <row r="122" spans="1:21" ht="14.25" customHeight="1">
      <c r="A122" s="15">
        <v>204048</v>
      </c>
      <c r="B122" s="15" t="s">
        <v>248</v>
      </c>
      <c r="C122" s="15" t="s">
        <v>95</v>
      </c>
      <c r="D122" s="15" t="s">
        <v>116</v>
      </c>
      <c r="E122" s="33">
        <v>541.81541218637994</v>
      </c>
      <c r="F122" s="33">
        <v>6.09063516056798</v>
      </c>
      <c r="G122" s="15">
        <v>4.5945945945946001</v>
      </c>
      <c r="H122" s="16">
        <v>0.107070707070707</v>
      </c>
      <c r="I122" s="16">
        <v>0.2</v>
      </c>
      <c r="J122" s="16">
        <v>0</v>
      </c>
      <c r="K122" s="23">
        <v>0</v>
      </c>
      <c r="L122" s="30"/>
      <c r="M122" s="15" t="s">
        <v>117</v>
      </c>
      <c r="N122" s="31"/>
      <c r="O122" s="29"/>
      <c r="P122" s="19">
        <v>2000</v>
      </c>
      <c r="Q122" s="15">
        <v>31</v>
      </c>
      <c r="R122" s="15">
        <v>31</v>
      </c>
      <c r="S122" s="15" t="s">
        <v>118</v>
      </c>
      <c r="T122" t="s">
        <v>138</v>
      </c>
      <c r="U122" t="s">
        <v>120</v>
      </c>
    </row>
    <row r="123" spans="1:21" ht="14.25" customHeight="1">
      <c r="A123" s="13">
        <v>248342</v>
      </c>
      <c r="B123" s="13" t="s">
        <v>249</v>
      </c>
      <c r="C123" s="13" t="s">
        <v>98</v>
      </c>
      <c r="D123" s="13" t="s">
        <v>116</v>
      </c>
      <c r="E123" s="34"/>
      <c r="F123" s="34"/>
      <c r="G123" s="30"/>
      <c r="H123" s="29"/>
      <c r="I123" s="29"/>
      <c r="J123" s="29"/>
      <c r="K123" s="22">
        <v>0</v>
      </c>
      <c r="L123" s="30"/>
      <c r="M123" s="13" t="s">
        <v>117</v>
      </c>
      <c r="N123" s="31"/>
      <c r="O123" s="29"/>
      <c r="P123" s="32">
        <v>2000</v>
      </c>
      <c r="Q123" s="13">
        <v>31</v>
      </c>
      <c r="R123" s="13">
        <v>31</v>
      </c>
      <c r="S123" s="13" t="s">
        <v>118</v>
      </c>
      <c r="T123" t="s">
        <v>136</v>
      </c>
      <c r="U123" t="s">
        <v>120</v>
      </c>
    </row>
    <row r="124" spans="1:21" ht="14.25" customHeight="1">
      <c r="A124" s="15">
        <v>204043</v>
      </c>
      <c r="B124" s="15" t="s">
        <v>250</v>
      </c>
      <c r="C124" s="15" t="s">
        <v>95</v>
      </c>
      <c r="D124" s="15" t="s">
        <v>116</v>
      </c>
      <c r="E124" s="33">
        <v>459.24285714285702</v>
      </c>
      <c r="F124" s="33">
        <v>7.1857405045571898</v>
      </c>
      <c r="G124" s="15">
        <v>4.2222222222222197</v>
      </c>
      <c r="H124" s="16">
        <v>0.19672131147541</v>
      </c>
      <c r="I124" s="16">
        <v>0.33333333333333298</v>
      </c>
      <c r="J124" s="16">
        <v>0.34</v>
      </c>
      <c r="K124" s="23">
        <v>0</v>
      </c>
      <c r="L124" s="30"/>
      <c r="M124" s="15" t="s">
        <v>117</v>
      </c>
      <c r="N124" s="31"/>
      <c r="O124" s="29"/>
      <c r="P124" s="19">
        <v>2000</v>
      </c>
      <c r="Q124" s="15">
        <v>31</v>
      </c>
      <c r="R124" s="15">
        <v>31</v>
      </c>
      <c r="S124" s="15" t="s">
        <v>118</v>
      </c>
      <c r="T124" t="s">
        <v>130</v>
      </c>
      <c r="U124" t="s">
        <v>120</v>
      </c>
    </row>
    <row r="125" spans="1:21" ht="14.25" customHeight="1">
      <c r="A125" s="13">
        <v>232197</v>
      </c>
      <c r="B125" s="13" t="s">
        <v>251</v>
      </c>
      <c r="C125" s="13" t="s">
        <v>98</v>
      </c>
      <c r="D125" s="13" t="s">
        <v>116</v>
      </c>
      <c r="E125" s="28">
        <v>407.06515151515202</v>
      </c>
      <c r="F125" s="28">
        <v>8.1068103907125195</v>
      </c>
      <c r="G125" s="13">
        <v>3.5806451612903198</v>
      </c>
      <c r="H125" s="21">
        <v>8.3155650319829397E-2</v>
      </c>
      <c r="I125" s="21">
        <v>0.38500000000000001</v>
      </c>
      <c r="J125" s="21">
        <v>0.15</v>
      </c>
      <c r="K125" s="22">
        <v>0</v>
      </c>
      <c r="L125" s="30"/>
      <c r="M125" s="13" t="s">
        <v>117</v>
      </c>
      <c r="N125" s="31"/>
      <c r="O125" s="29"/>
      <c r="P125" s="32">
        <v>2000</v>
      </c>
      <c r="Q125" s="13">
        <v>31</v>
      </c>
      <c r="R125" s="13">
        <v>31</v>
      </c>
      <c r="S125" s="13" t="s">
        <v>118</v>
      </c>
      <c r="T125" t="s">
        <v>159</v>
      </c>
      <c r="U125" t="s">
        <v>120</v>
      </c>
    </row>
    <row r="126" spans="1:21" ht="14.25" customHeight="1">
      <c r="A126" s="15">
        <v>228210</v>
      </c>
      <c r="B126" s="15" t="s">
        <v>252</v>
      </c>
      <c r="C126" s="15" t="s">
        <v>96</v>
      </c>
      <c r="D126" s="15" t="s">
        <v>116</v>
      </c>
      <c r="E126" s="33">
        <v>498.02709359605899</v>
      </c>
      <c r="F126" s="33">
        <v>6.6261455298987597</v>
      </c>
      <c r="G126" s="15">
        <v>4.6538461538461497</v>
      </c>
      <c r="H126" s="16">
        <v>0.18957345971563999</v>
      </c>
      <c r="I126" s="16">
        <v>0.45166666666666699</v>
      </c>
      <c r="J126" s="16">
        <v>0</v>
      </c>
      <c r="K126" s="23">
        <v>0</v>
      </c>
      <c r="L126" s="30"/>
      <c r="M126" s="15" t="s">
        <v>117</v>
      </c>
      <c r="N126" s="31"/>
      <c r="O126" s="29"/>
      <c r="P126" s="19">
        <v>2000</v>
      </c>
      <c r="Q126" s="15">
        <v>31</v>
      </c>
      <c r="R126" s="15">
        <v>31</v>
      </c>
      <c r="S126" s="15" t="s">
        <v>118</v>
      </c>
      <c r="T126" t="s">
        <v>128</v>
      </c>
      <c r="U126" t="s">
        <v>120</v>
      </c>
    </row>
    <row r="127" spans="1:21" ht="14.25" customHeight="1">
      <c r="A127" s="13">
        <v>96465</v>
      </c>
      <c r="B127" s="13" t="s">
        <v>253</v>
      </c>
      <c r="C127" s="13" t="s">
        <v>98</v>
      </c>
      <c r="D127" s="13" t="s">
        <v>116</v>
      </c>
      <c r="E127" s="28">
        <v>331.21582733813</v>
      </c>
      <c r="F127" s="28">
        <v>9.9632919915723601</v>
      </c>
      <c r="G127" s="13">
        <v>4.3488372093023298</v>
      </c>
      <c r="H127" s="21">
        <v>0.103270223752152</v>
      </c>
      <c r="I127" s="21">
        <v>0.276666666666667</v>
      </c>
      <c r="J127" s="21">
        <v>0.05</v>
      </c>
      <c r="K127" s="22">
        <v>0</v>
      </c>
      <c r="L127" s="30"/>
      <c r="M127" s="13" t="s">
        <v>117</v>
      </c>
      <c r="N127" s="31"/>
      <c r="O127" s="29"/>
      <c r="P127" s="32">
        <v>2000</v>
      </c>
      <c r="Q127" s="13">
        <v>31</v>
      </c>
      <c r="R127" s="13">
        <v>31</v>
      </c>
      <c r="S127" s="13" t="s">
        <v>118</v>
      </c>
      <c r="T127" t="s">
        <v>152</v>
      </c>
      <c r="U127" t="s">
        <v>120</v>
      </c>
    </row>
    <row r="128" spans="1:21" ht="14.25" customHeight="1">
      <c r="A128" s="15">
        <v>203620</v>
      </c>
      <c r="B128" s="15" t="s">
        <v>254</v>
      </c>
      <c r="C128" s="15" t="s">
        <v>96</v>
      </c>
      <c r="D128" s="15" t="s">
        <v>116</v>
      </c>
      <c r="E128" s="33">
        <v>325.54729729729701</v>
      </c>
      <c r="F128" s="33">
        <v>10.1367759075154</v>
      </c>
      <c r="G128" s="15">
        <v>3.7058823529411802</v>
      </c>
      <c r="H128" s="16">
        <v>0.115646258503401</v>
      </c>
      <c r="I128" s="16">
        <v>0.69545454545454499</v>
      </c>
      <c r="J128" s="16">
        <v>0</v>
      </c>
      <c r="K128" s="23">
        <v>0</v>
      </c>
      <c r="L128" s="30"/>
      <c r="M128" s="15" t="s">
        <v>117</v>
      </c>
      <c r="N128" s="31"/>
      <c r="O128" s="29"/>
      <c r="P128" s="19">
        <v>2000</v>
      </c>
      <c r="Q128" s="15">
        <v>31</v>
      </c>
      <c r="R128" s="15">
        <v>31</v>
      </c>
      <c r="S128" s="15" t="s">
        <v>118</v>
      </c>
      <c r="T128" t="s">
        <v>134</v>
      </c>
      <c r="U128" t="s">
        <v>120</v>
      </c>
    </row>
    <row r="129" spans="1:21" ht="14.25" customHeight="1">
      <c r="A129" s="13">
        <v>96476</v>
      </c>
      <c r="B129" s="13" t="s">
        <v>255</v>
      </c>
      <c r="C129" s="13" t="s">
        <v>98</v>
      </c>
      <c r="D129" s="13" t="s">
        <v>116</v>
      </c>
      <c r="E129" s="28">
        <v>187.04885057471299</v>
      </c>
      <c r="F129" s="28">
        <v>17.6424500330297</v>
      </c>
      <c r="G129" s="13">
        <v>0</v>
      </c>
      <c r="H129" s="21">
        <v>0</v>
      </c>
      <c r="I129" s="29"/>
      <c r="J129" s="21">
        <v>0</v>
      </c>
      <c r="K129" s="22">
        <v>0</v>
      </c>
      <c r="L129" s="30"/>
      <c r="M129" s="13" t="s">
        <v>117</v>
      </c>
      <c r="N129" s="31"/>
      <c r="O129" s="29"/>
      <c r="P129" s="32">
        <v>2000</v>
      </c>
      <c r="Q129" s="13">
        <v>31</v>
      </c>
      <c r="R129" s="13">
        <v>31</v>
      </c>
      <c r="S129" s="13" t="s">
        <v>118</v>
      </c>
      <c r="T129" t="s">
        <v>159</v>
      </c>
      <c r="U129" t="s">
        <v>120</v>
      </c>
    </row>
    <row r="130" spans="1:21" ht="14.25" customHeight="1">
      <c r="A130" s="15">
        <v>223879</v>
      </c>
      <c r="B130" s="15" t="s">
        <v>256</v>
      </c>
      <c r="C130" s="15" t="s">
        <v>97</v>
      </c>
      <c r="D130" s="15" t="s">
        <v>116</v>
      </c>
      <c r="E130" s="33">
        <v>445.019230769231</v>
      </c>
      <c r="F130" s="33">
        <v>7.4154098785705003</v>
      </c>
      <c r="G130" s="15">
        <v>3.8</v>
      </c>
      <c r="H130" s="16">
        <v>8.3333333333333301E-2</v>
      </c>
      <c r="I130" s="16">
        <v>0.63500000000000001</v>
      </c>
      <c r="J130" s="16">
        <v>0</v>
      </c>
      <c r="K130" s="23">
        <v>0</v>
      </c>
      <c r="L130" s="30"/>
      <c r="M130" s="15" t="s">
        <v>117</v>
      </c>
      <c r="N130" s="31"/>
      <c r="O130" s="29"/>
      <c r="P130" s="19">
        <v>2000</v>
      </c>
      <c r="Q130" s="15">
        <v>31</v>
      </c>
      <c r="R130" s="15">
        <v>31</v>
      </c>
      <c r="S130" s="15" t="s">
        <v>118</v>
      </c>
      <c r="T130" t="s">
        <v>163</v>
      </c>
      <c r="U130" t="s">
        <v>120</v>
      </c>
    </row>
    <row r="131" spans="1:21" ht="14.25" customHeight="1">
      <c r="A131" s="13">
        <v>206139</v>
      </c>
      <c r="B131" s="13" t="s">
        <v>257</v>
      </c>
      <c r="C131" s="13" t="s">
        <v>96</v>
      </c>
      <c r="D131" s="13" t="s">
        <v>116</v>
      </c>
      <c r="E131" s="34"/>
      <c r="F131" s="34"/>
      <c r="G131" s="13">
        <v>4.6818181818181799</v>
      </c>
      <c r="H131" s="21">
        <v>0.14622641509434001</v>
      </c>
      <c r="I131" s="21">
        <v>0.85499999999999998</v>
      </c>
      <c r="J131" s="21">
        <v>0</v>
      </c>
      <c r="K131" s="22">
        <v>0</v>
      </c>
      <c r="L131" s="30"/>
      <c r="M131" s="13" t="s">
        <v>117</v>
      </c>
      <c r="N131" s="31"/>
      <c r="O131" s="29"/>
      <c r="P131" s="32">
        <v>2000</v>
      </c>
      <c r="Q131" s="13">
        <v>31</v>
      </c>
      <c r="R131" s="13">
        <v>31</v>
      </c>
      <c r="S131" s="13" t="s">
        <v>118</v>
      </c>
      <c r="T131" t="s">
        <v>134</v>
      </c>
      <c r="U131" t="s">
        <v>120</v>
      </c>
    </row>
    <row r="132" spans="1:21" ht="14.25" customHeight="1">
      <c r="A132" s="15">
        <v>204042</v>
      </c>
      <c r="B132" s="15" t="s">
        <v>258</v>
      </c>
      <c r="C132" s="15" t="s">
        <v>95</v>
      </c>
      <c r="D132" s="15" t="s">
        <v>116</v>
      </c>
      <c r="E132" s="33">
        <v>360.654929577465</v>
      </c>
      <c r="F132" s="33">
        <v>9.1500205026067594</v>
      </c>
      <c r="G132" s="15">
        <v>4.5</v>
      </c>
      <c r="H132" s="16">
        <v>4.3795620437956199E-2</v>
      </c>
      <c r="I132" s="16">
        <v>0</v>
      </c>
      <c r="J132" s="16">
        <v>0</v>
      </c>
      <c r="K132" s="23">
        <v>0</v>
      </c>
      <c r="L132" s="30"/>
      <c r="M132" s="15" t="s">
        <v>117</v>
      </c>
      <c r="N132" s="31"/>
      <c r="O132" s="29"/>
      <c r="P132" s="19">
        <v>2000</v>
      </c>
      <c r="Q132" s="15">
        <v>31</v>
      </c>
      <c r="R132" s="15">
        <v>31</v>
      </c>
      <c r="S132" s="15" t="s">
        <v>118</v>
      </c>
      <c r="T132" t="s">
        <v>130</v>
      </c>
      <c r="U132" t="s">
        <v>120</v>
      </c>
    </row>
    <row r="133" spans="1:21" ht="14.25" customHeight="1">
      <c r="A133" s="13">
        <v>221519</v>
      </c>
      <c r="B133" s="13" t="s">
        <v>259</v>
      </c>
      <c r="C133" s="13" t="s">
        <v>98</v>
      </c>
      <c r="D133" s="13" t="s">
        <v>116</v>
      </c>
      <c r="E133" s="28">
        <v>353.98556876061201</v>
      </c>
      <c r="F133" s="28">
        <v>9.3224139378169895</v>
      </c>
      <c r="G133" s="13">
        <v>4.2926829268292703</v>
      </c>
      <c r="H133" s="21">
        <v>6.3170441001191902E-2</v>
      </c>
      <c r="I133" s="21">
        <v>0.22</v>
      </c>
      <c r="J133" s="21">
        <v>0.04</v>
      </c>
      <c r="K133" s="22">
        <v>0</v>
      </c>
      <c r="L133" s="30"/>
      <c r="M133" s="13" t="s">
        <v>117</v>
      </c>
      <c r="N133" s="31"/>
      <c r="O133" s="29"/>
      <c r="P133" s="32">
        <v>2000</v>
      </c>
      <c r="Q133" s="13">
        <v>31</v>
      </c>
      <c r="R133" s="13">
        <v>31</v>
      </c>
      <c r="S133" s="13" t="s">
        <v>118</v>
      </c>
      <c r="T133" t="s">
        <v>152</v>
      </c>
      <c r="U133" t="s">
        <v>120</v>
      </c>
    </row>
    <row r="134" spans="1:21" ht="14.25" customHeight="1">
      <c r="A134" s="15">
        <v>199550</v>
      </c>
      <c r="B134" s="15" t="s">
        <v>260</v>
      </c>
      <c r="C134" s="15" t="s">
        <v>99</v>
      </c>
      <c r="D134" s="15" t="s">
        <v>116</v>
      </c>
      <c r="E134" s="33">
        <v>328.65245202558702</v>
      </c>
      <c r="F134" s="33">
        <v>10.041002218791</v>
      </c>
      <c r="G134" s="15">
        <v>4.1428571428571397</v>
      </c>
      <c r="H134" s="16">
        <v>5.3221288515406202E-2</v>
      </c>
      <c r="I134" s="16">
        <v>0.69</v>
      </c>
      <c r="J134" s="16">
        <v>0.1</v>
      </c>
      <c r="K134" s="23">
        <v>0</v>
      </c>
      <c r="L134" s="30"/>
      <c r="M134" s="15" t="s">
        <v>117</v>
      </c>
      <c r="N134" s="31"/>
      <c r="O134" s="29"/>
      <c r="P134" s="19">
        <v>2000</v>
      </c>
      <c r="Q134" s="15">
        <v>31</v>
      </c>
      <c r="R134" s="15">
        <v>31</v>
      </c>
      <c r="S134" s="15" t="s">
        <v>118</v>
      </c>
      <c r="T134" t="s">
        <v>148</v>
      </c>
      <c r="U134" t="s">
        <v>120</v>
      </c>
    </row>
    <row r="135" spans="1:21" ht="14.25" customHeight="1">
      <c r="A135" s="13">
        <v>230748</v>
      </c>
      <c r="B135" s="13" t="s">
        <v>261</v>
      </c>
      <c r="C135" s="13" t="s">
        <v>96</v>
      </c>
      <c r="D135" s="13" t="s">
        <v>116</v>
      </c>
      <c r="E135" s="28">
        <v>421.04424778761103</v>
      </c>
      <c r="F135" s="28">
        <v>7.8376560595233098</v>
      </c>
      <c r="G135" s="13">
        <v>4.2972972972973</v>
      </c>
      <c r="H135" s="21">
        <v>0.29310344827586199</v>
      </c>
      <c r="I135" s="21">
        <v>0.60222222222222199</v>
      </c>
      <c r="J135" s="21">
        <v>0</v>
      </c>
      <c r="K135" s="22">
        <v>0</v>
      </c>
      <c r="L135" s="30"/>
      <c r="M135" s="13" t="s">
        <v>117</v>
      </c>
      <c r="N135" s="31"/>
      <c r="O135" s="29"/>
      <c r="P135" s="32">
        <v>2000</v>
      </c>
      <c r="Q135" s="13">
        <v>31</v>
      </c>
      <c r="R135" s="13">
        <v>31</v>
      </c>
      <c r="S135" s="13" t="s">
        <v>118</v>
      </c>
      <c r="T135" t="s">
        <v>128</v>
      </c>
      <c r="U135" t="s">
        <v>120</v>
      </c>
    </row>
    <row r="136" spans="1:21" ht="14.25" customHeight="1">
      <c r="A136" s="15">
        <v>104456</v>
      </c>
      <c r="B136" s="15" t="s">
        <v>262</v>
      </c>
      <c r="C136" s="15" t="s">
        <v>98</v>
      </c>
      <c r="D136" s="15" t="s">
        <v>116</v>
      </c>
      <c r="E136" s="33">
        <v>257.25886524822698</v>
      </c>
      <c r="F136" s="33">
        <v>12.8275462803424</v>
      </c>
      <c r="G136" s="15">
        <v>1.8</v>
      </c>
      <c r="H136" s="16">
        <v>7.3170731707317097E-2</v>
      </c>
      <c r="I136" s="16">
        <v>0.90333333333333299</v>
      </c>
      <c r="J136" s="16">
        <v>0</v>
      </c>
      <c r="K136" s="23">
        <v>0</v>
      </c>
      <c r="L136" s="30"/>
      <c r="M136" s="15" t="s">
        <v>117</v>
      </c>
      <c r="N136" s="31"/>
      <c r="O136" s="29"/>
      <c r="P136" s="19">
        <v>2000</v>
      </c>
      <c r="Q136" s="15">
        <v>31</v>
      </c>
      <c r="R136" s="15">
        <v>31</v>
      </c>
      <c r="S136" s="15" t="s">
        <v>118</v>
      </c>
      <c r="T136" t="s">
        <v>152</v>
      </c>
      <c r="U136" t="s">
        <v>120</v>
      </c>
    </row>
    <row r="137" spans="1:21" ht="14.25" customHeight="1">
      <c r="A137" s="13">
        <v>203636</v>
      </c>
      <c r="B137" s="13" t="s">
        <v>263</v>
      </c>
      <c r="C137" s="13" t="s">
        <v>96</v>
      </c>
      <c r="D137" s="13" t="s">
        <v>116</v>
      </c>
      <c r="E137" s="28">
        <v>479.88685015290503</v>
      </c>
      <c r="F137" s="28">
        <v>6.8766210179514804</v>
      </c>
      <c r="G137" s="13">
        <v>4.6666666666666696</v>
      </c>
      <c r="H137" s="21">
        <v>0.30303030303030298</v>
      </c>
      <c r="I137" s="21">
        <v>0.61857142857142899</v>
      </c>
      <c r="J137" s="21">
        <v>0</v>
      </c>
      <c r="K137" s="22">
        <v>0</v>
      </c>
      <c r="L137" s="30"/>
      <c r="M137" s="13" t="s">
        <v>117</v>
      </c>
      <c r="N137" s="31"/>
      <c r="O137" s="29"/>
      <c r="P137" s="32">
        <v>2000</v>
      </c>
      <c r="Q137" s="13">
        <v>31</v>
      </c>
      <c r="R137" s="13">
        <v>31</v>
      </c>
      <c r="S137" s="13" t="s">
        <v>118</v>
      </c>
      <c r="T137" t="s">
        <v>128</v>
      </c>
      <c r="U137" t="s">
        <v>120</v>
      </c>
    </row>
    <row r="138" spans="1:21" ht="14.25" customHeight="1">
      <c r="A138" s="15">
        <v>228670</v>
      </c>
      <c r="B138" s="15" t="s">
        <v>264</v>
      </c>
      <c r="C138" s="15" t="s">
        <v>96</v>
      </c>
      <c r="D138" s="15" t="s">
        <v>116</v>
      </c>
      <c r="E138" s="33">
        <v>525.49264705882297</v>
      </c>
      <c r="F138" s="33">
        <v>6.2798214560566397</v>
      </c>
      <c r="G138" s="15">
        <v>3.1875</v>
      </c>
      <c r="H138" s="16">
        <v>0.12871287128712899</v>
      </c>
      <c r="I138" s="16">
        <v>0.52928571428571403</v>
      </c>
      <c r="J138" s="16">
        <v>0</v>
      </c>
      <c r="K138" s="23">
        <v>0</v>
      </c>
      <c r="L138" s="30"/>
      <c r="M138" s="15" t="s">
        <v>117</v>
      </c>
      <c r="N138" s="31"/>
      <c r="O138" s="29"/>
      <c r="P138" s="19">
        <v>2000</v>
      </c>
      <c r="Q138" s="15">
        <v>31</v>
      </c>
      <c r="R138" s="15">
        <v>31</v>
      </c>
      <c r="S138" s="15" t="s">
        <v>118</v>
      </c>
      <c r="T138" t="s">
        <v>134</v>
      </c>
      <c r="U138" t="s">
        <v>120</v>
      </c>
    </row>
    <row r="139" spans="1:21" ht="14.25" customHeight="1">
      <c r="A139" s="13">
        <v>224097</v>
      </c>
      <c r="B139" s="13" t="s">
        <v>265</v>
      </c>
      <c r="C139" s="13" t="s">
        <v>98</v>
      </c>
      <c r="D139" s="13" t="s">
        <v>116</v>
      </c>
      <c r="E139" s="28">
        <v>392.96281407035201</v>
      </c>
      <c r="F139" s="28">
        <v>8.3977411649164395</v>
      </c>
      <c r="G139" s="13">
        <v>4.3555555555555596</v>
      </c>
      <c r="H139" s="21">
        <v>8.41514726507714E-2</v>
      </c>
      <c r="I139" s="21">
        <v>0.61</v>
      </c>
      <c r="J139" s="21">
        <v>0</v>
      </c>
      <c r="K139" s="22">
        <v>0</v>
      </c>
      <c r="L139" s="30"/>
      <c r="M139" s="13" t="s">
        <v>117</v>
      </c>
      <c r="N139" s="31"/>
      <c r="O139" s="29"/>
      <c r="P139" s="32">
        <v>2000</v>
      </c>
      <c r="Q139" s="13">
        <v>31</v>
      </c>
      <c r="R139" s="13">
        <v>31</v>
      </c>
      <c r="S139" s="13" t="s">
        <v>118</v>
      </c>
      <c r="T139" t="s">
        <v>138</v>
      </c>
      <c r="U139" t="s">
        <v>120</v>
      </c>
    </row>
    <row r="140" spans="1:21" ht="14.25" customHeight="1">
      <c r="A140" s="15">
        <v>96517</v>
      </c>
      <c r="B140" s="15" t="s">
        <v>266</v>
      </c>
      <c r="C140" s="15" t="s">
        <v>98</v>
      </c>
      <c r="D140" s="15" t="s">
        <v>116</v>
      </c>
      <c r="E140" s="33">
        <v>259.65650969529099</v>
      </c>
      <c r="F140" s="33">
        <v>12.709097891951901</v>
      </c>
      <c r="G140" s="15">
        <v>2.0526315789473699</v>
      </c>
      <c r="H140" s="16">
        <v>0.108108108108108</v>
      </c>
      <c r="I140" s="16">
        <v>0.41499999999999998</v>
      </c>
      <c r="J140" s="16">
        <v>0.48</v>
      </c>
      <c r="K140" s="23">
        <v>0</v>
      </c>
      <c r="L140" s="30"/>
      <c r="M140" s="15" t="s">
        <v>117</v>
      </c>
      <c r="N140" s="31"/>
      <c r="O140" s="29"/>
      <c r="P140" s="19">
        <v>2000</v>
      </c>
      <c r="Q140" s="15">
        <v>31</v>
      </c>
      <c r="R140" s="15">
        <v>31</v>
      </c>
      <c r="S140" s="15" t="s">
        <v>118</v>
      </c>
      <c r="T140" t="s">
        <v>152</v>
      </c>
      <c r="U140" t="s">
        <v>120</v>
      </c>
    </row>
    <row r="141" spans="1:21" ht="14.25" customHeight="1">
      <c r="A141" s="13">
        <v>96520</v>
      </c>
      <c r="B141" s="13" t="s">
        <v>267</v>
      </c>
      <c r="C141" s="13" t="s">
        <v>99</v>
      </c>
      <c r="D141" s="13" t="s">
        <v>116</v>
      </c>
      <c r="E141" s="28">
        <v>273.51932773109297</v>
      </c>
      <c r="F141" s="28">
        <v>12.064960920218301</v>
      </c>
      <c r="G141" s="13">
        <v>2.625</v>
      </c>
      <c r="H141" s="21">
        <v>7.8758949880668297E-2</v>
      </c>
      <c r="I141" s="21">
        <v>0.55200000000000005</v>
      </c>
      <c r="J141" s="21">
        <v>0</v>
      </c>
      <c r="K141" s="22">
        <v>0</v>
      </c>
      <c r="L141" s="30"/>
      <c r="M141" s="13" t="s">
        <v>117</v>
      </c>
      <c r="N141" s="31"/>
      <c r="O141" s="29"/>
      <c r="P141" s="32">
        <v>2000</v>
      </c>
      <c r="Q141" s="13">
        <v>31</v>
      </c>
      <c r="R141" s="13">
        <v>31</v>
      </c>
      <c r="S141" s="13" t="s">
        <v>118</v>
      </c>
      <c r="T141" t="s">
        <v>148</v>
      </c>
      <c r="U141" t="s">
        <v>120</v>
      </c>
    </row>
    <row r="142" spans="1:21" ht="14.25" customHeight="1">
      <c r="A142" s="15">
        <v>203603</v>
      </c>
      <c r="B142" s="15" t="s">
        <v>268</v>
      </c>
      <c r="C142" s="15" t="s">
        <v>96</v>
      </c>
      <c r="D142" s="15" t="s">
        <v>116</v>
      </c>
      <c r="E142" s="33">
        <v>510.86698337292199</v>
      </c>
      <c r="F142" s="33">
        <v>6.45960711379752</v>
      </c>
      <c r="G142" s="15">
        <v>4.0476190476190501</v>
      </c>
      <c r="H142" s="16">
        <v>0.15094339622641501</v>
      </c>
      <c r="I142" s="16">
        <v>0.60714285714285698</v>
      </c>
      <c r="J142" s="16">
        <v>0</v>
      </c>
      <c r="K142" s="23">
        <v>0</v>
      </c>
      <c r="L142" s="30"/>
      <c r="M142" s="15" t="s">
        <v>117</v>
      </c>
      <c r="N142" s="31"/>
      <c r="O142" s="29"/>
      <c r="P142" s="19">
        <v>2000</v>
      </c>
      <c r="Q142" s="15">
        <v>31</v>
      </c>
      <c r="R142" s="15">
        <v>31</v>
      </c>
      <c r="S142" s="15" t="s">
        <v>118</v>
      </c>
      <c r="T142" t="s">
        <v>134</v>
      </c>
      <c r="U142" t="s">
        <v>120</v>
      </c>
    </row>
    <row r="143" spans="1:21" ht="14.25" customHeight="1">
      <c r="A143" s="13">
        <v>228669</v>
      </c>
      <c r="B143" s="13" t="s">
        <v>269</v>
      </c>
      <c r="C143" s="13" t="s">
        <v>96</v>
      </c>
      <c r="D143" s="13" t="s">
        <v>116</v>
      </c>
      <c r="E143" s="28">
        <v>650.34615384615404</v>
      </c>
      <c r="F143" s="28">
        <v>5.0742208291442399</v>
      </c>
      <c r="G143" s="13">
        <v>4.8823529411764701</v>
      </c>
      <c r="H143" s="21">
        <v>0.24</v>
      </c>
      <c r="I143" s="21">
        <v>0.52461538461538504</v>
      </c>
      <c r="J143" s="21">
        <v>0</v>
      </c>
      <c r="K143" s="22">
        <v>0</v>
      </c>
      <c r="L143" s="30"/>
      <c r="M143" s="13" t="s">
        <v>117</v>
      </c>
      <c r="N143" s="31"/>
      <c r="O143" s="29"/>
      <c r="P143" s="32">
        <v>2000</v>
      </c>
      <c r="Q143" s="13">
        <v>31</v>
      </c>
      <c r="R143" s="13">
        <v>31</v>
      </c>
      <c r="S143" s="13" t="s">
        <v>118</v>
      </c>
      <c r="T143" t="s">
        <v>141</v>
      </c>
      <c r="U143" t="s">
        <v>120</v>
      </c>
    </row>
    <row r="144" spans="1:21" ht="14.25" customHeight="1">
      <c r="A144" s="15">
        <v>203592</v>
      </c>
      <c r="B144" s="15" t="s">
        <v>270</v>
      </c>
      <c r="C144" s="15" t="s">
        <v>96</v>
      </c>
      <c r="D144" s="15" t="s">
        <v>116</v>
      </c>
      <c r="E144" s="33">
        <v>644.73509933774903</v>
      </c>
      <c r="F144" s="33">
        <v>5.1183811822710696</v>
      </c>
      <c r="G144" s="15">
        <v>4.75</v>
      </c>
      <c r="H144" s="16">
        <v>0.13095238095238099</v>
      </c>
      <c r="I144" s="16">
        <v>0.62090909090909097</v>
      </c>
      <c r="J144" s="16">
        <v>0</v>
      </c>
      <c r="K144" s="23">
        <v>0</v>
      </c>
      <c r="L144" s="30"/>
      <c r="M144" s="15" t="s">
        <v>117</v>
      </c>
      <c r="N144" s="31"/>
      <c r="O144" s="29"/>
      <c r="P144" s="19">
        <v>2000</v>
      </c>
      <c r="Q144" s="15">
        <v>31</v>
      </c>
      <c r="R144" s="15">
        <v>31</v>
      </c>
      <c r="S144" s="15" t="s">
        <v>118</v>
      </c>
      <c r="T144" t="s">
        <v>141</v>
      </c>
      <c r="U144" t="s">
        <v>120</v>
      </c>
    </row>
    <row r="145" spans="1:21" ht="14.25" customHeight="1">
      <c r="A145" s="13">
        <v>250751</v>
      </c>
      <c r="B145" s="13" t="s">
        <v>271</v>
      </c>
      <c r="C145" s="13" t="s">
        <v>96</v>
      </c>
      <c r="D145" s="13" t="s">
        <v>116</v>
      </c>
      <c r="E145" s="34"/>
      <c r="F145" s="34"/>
      <c r="G145" s="30"/>
      <c r="H145" s="29"/>
      <c r="I145" s="29"/>
      <c r="J145" s="21">
        <v>0</v>
      </c>
      <c r="K145" s="22">
        <v>0</v>
      </c>
      <c r="L145" s="30"/>
      <c r="M145" s="13" t="s">
        <v>117</v>
      </c>
      <c r="N145" s="31"/>
      <c r="O145" s="29"/>
      <c r="P145" s="32">
        <v>2000</v>
      </c>
      <c r="Q145" s="13">
        <v>31</v>
      </c>
      <c r="R145" s="13">
        <v>31</v>
      </c>
      <c r="S145" s="13" t="s">
        <v>118</v>
      </c>
      <c r="T145" t="s">
        <v>141</v>
      </c>
      <c r="U145" t="s">
        <v>120</v>
      </c>
    </row>
    <row r="146" spans="1:21" ht="14.25" customHeight="1">
      <c r="A146" s="15">
        <v>96161</v>
      </c>
      <c r="B146" s="15" t="s">
        <v>272</v>
      </c>
      <c r="C146" s="15" t="s">
        <v>99</v>
      </c>
      <c r="D146" s="15" t="s">
        <v>116</v>
      </c>
      <c r="E146" s="33">
        <v>151.02985074626901</v>
      </c>
      <c r="F146" s="33">
        <v>21.8499851764008</v>
      </c>
      <c r="G146" s="15">
        <v>2</v>
      </c>
      <c r="H146" s="16">
        <v>0.104166666666667</v>
      </c>
      <c r="I146" s="16">
        <v>0.88333333333333297</v>
      </c>
      <c r="J146" s="16">
        <v>0</v>
      </c>
      <c r="K146" s="23">
        <v>0</v>
      </c>
      <c r="L146" s="30"/>
      <c r="M146" s="15" t="s">
        <v>117</v>
      </c>
      <c r="N146" s="31"/>
      <c r="O146" s="29"/>
      <c r="P146" s="19">
        <v>2000</v>
      </c>
      <c r="Q146" s="15">
        <v>31</v>
      </c>
      <c r="R146" s="15">
        <v>31</v>
      </c>
      <c r="S146" s="15" t="s">
        <v>118</v>
      </c>
      <c r="T146" t="s">
        <v>148</v>
      </c>
      <c r="U146" t="s">
        <v>120</v>
      </c>
    </row>
    <row r="147" spans="1:21" ht="14.25" customHeight="1">
      <c r="A147" s="13">
        <v>203634</v>
      </c>
      <c r="B147" s="13" t="s">
        <v>273</v>
      </c>
      <c r="C147" s="13" t="s">
        <v>96</v>
      </c>
      <c r="D147" s="13" t="s">
        <v>116</v>
      </c>
      <c r="E147" s="28">
        <v>554.884210526316</v>
      </c>
      <c r="F147" s="28">
        <v>5.947186705619</v>
      </c>
      <c r="G147" s="13">
        <v>4.3333333333333304</v>
      </c>
      <c r="H147" s="21">
        <v>0.10294117647058799</v>
      </c>
      <c r="I147" s="21">
        <v>0.33333333333333298</v>
      </c>
      <c r="J147" s="21">
        <v>0</v>
      </c>
      <c r="K147" s="22">
        <v>0</v>
      </c>
      <c r="L147" s="30"/>
      <c r="M147" s="13" t="s">
        <v>117</v>
      </c>
      <c r="N147" s="31"/>
      <c r="O147" s="29"/>
      <c r="P147" s="32">
        <v>2000</v>
      </c>
      <c r="Q147" s="13">
        <v>31</v>
      </c>
      <c r="R147" s="13">
        <v>31</v>
      </c>
      <c r="S147" s="13" t="s">
        <v>118</v>
      </c>
      <c r="T147" t="s">
        <v>132</v>
      </c>
      <c r="U147" t="s">
        <v>120</v>
      </c>
    </row>
    <row r="148" spans="1:21" ht="14.25" customHeight="1">
      <c r="A148" s="15">
        <v>223881</v>
      </c>
      <c r="B148" s="15" t="s">
        <v>274</v>
      </c>
      <c r="C148" s="15" t="s">
        <v>99</v>
      </c>
      <c r="D148" s="15" t="s">
        <v>116</v>
      </c>
      <c r="E148" s="33">
        <v>371.76767676767702</v>
      </c>
      <c r="F148" s="33">
        <v>8.8765113435674508</v>
      </c>
      <c r="G148" s="15">
        <v>3</v>
      </c>
      <c r="H148" s="16">
        <v>4.72972972972973E-2</v>
      </c>
      <c r="I148" s="16">
        <v>0.68</v>
      </c>
      <c r="J148" s="16">
        <v>0</v>
      </c>
      <c r="K148" s="23">
        <v>0</v>
      </c>
      <c r="L148" s="30"/>
      <c r="M148" s="15" t="s">
        <v>117</v>
      </c>
      <c r="N148" s="31"/>
      <c r="O148" s="29"/>
      <c r="P148" s="19">
        <v>2000</v>
      </c>
      <c r="Q148" s="15">
        <v>31</v>
      </c>
      <c r="R148" s="15">
        <v>31</v>
      </c>
      <c r="S148" s="15" t="s">
        <v>118</v>
      </c>
      <c r="T148" t="s">
        <v>148</v>
      </c>
      <c r="U148" t="s">
        <v>120</v>
      </c>
    </row>
    <row r="149" spans="1:21" ht="14.25" customHeight="1">
      <c r="A149" s="13">
        <v>204044</v>
      </c>
      <c r="B149" s="13" t="s">
        <v>275</v>
      </c>
      <c r="C149" s="13" t="s">
        <v>95</v>
      </c>
      <c r="D149" s="13" t="s">
        <v>116</v>
      </c>
      <c r="E149" s="28">
        <v>493.15533980582501</v>
      </c>
      <c r="F149" s="28">
        <v>6.69160350428192</v>
      </c>
      <c r="G149" s="13">
        <v>5</v>
      </c>
      <c r="H149" s="21">
        <v>1.0638297872340399E-2</v>
      </c>
      <c r="I149" s="21">
        <v>0</v>
      </c>
      <c r="J149" s="21">
        <v>0.28000000000000003</v>
      </c>
      <c r="K149" s="22">
        <v>0</v>
      </c>
      <c r="L149" s="30"/>
      <c r="M149" s="13" t="s">
        <v>117</v>
      </c>
      <c r="N149" s="31"/>
      <c r="O149" s="29"/>
      <c r="P149" s="32">
        <v>2000</v>
      </c>
      <c r="Q149" s="13">
        <v>31</v>
      </c>
      <c r="R149" s="13">
        <v>31</v>
      </c>
      <c r="S149" s="13" t="s">
        <v>118</v>
      </c>
      <c r="T149" t="s">
        <v>130</v>
      </c>
      <c r="U149" t="s">
        <v>120</v>
      </c>
    </row>
    <row r="150" spans="1:21" ht="14.25" customHeight="1">
      <c r="A150" s="15">
        <v>224093</v>
      </c>
      <c r="B150" s="15" t="s">
        <v>276</v>
      </c>
      <c r="C150" s="15" t="s">
        <v>98</v>
      </c>
      <c r="D150" s="15" t="s">
        <v>116</v>
      </c>
      <c r="E150" s="33">
        <v>357.91152815013402</v>
      </c>
      <c r="F150" s="33">
        <v>9.2201556542647598</v>
      </c>
      <c r="G150" s="15">
        <v>4.1282051282051304</v>
      </c>
      <c r="H150" s="16">
        <v>8.8888888888888906E-2</v>
      </c>
      <c r="I150" s="16">
        <v>0.85499999999999998</v>
      </c>
      <c r="J150" s="16">
        <v>0</v>
      </c>
      <c r="K150" s="23">
        <v>0</v>
      </c>
      <c r="L150" s="30"/>
      <c r="M150" s="15" t="s">
        <v>117</v>
      </c>
      <c r="N150" s="31"/>
      <c r="O150" s="29"/>
      <c r="P150" s="19">
        <v>2000</v>
      </c>
      <c r="Q150" s="15">
        <v>31</v>
      </c>
      <c r="R150" s="15">
        <v>31</v>
      </c>
      <c r="S150" s="15" t="s">
        <v>118</v>
      </c>
      <c r="T150" t="s">
        <v>159</v>
      </c>
      <c r="U150" t="s">
        <v>120</v>
      </c>
    </row>
    <row r="151" spans="1:21" ht="14.25" customHeight="1">
      <c r="A151" s="13">
        <v>203579</v>
      </c>
      <c r="B151" s="13" t="s">
        <v>277</v>
      </c>
      <c r="C151" s="13" t="s">
        <v>96</v>
      </c>
      <c r="D151" s="13" t="s">
        <v>116</v>
      </c>
      <c r="E151" s="28">
        <v>378.6328125</v>
      </c>
      <c r="F151" s="28">
        <v>8.7155679356236497</v>
      </c>
      <c r="G151" s="13">
        <v>3.8461538461538498</v>
      </c>
      <c r="H151" s="21">
        <v>0.13375796178343999</v>
      </c>
      <c r="I151" s="21">
        <v>0.42857142857142899</v>
      </c>
      <c r="J151" s="21">
        <v>0</v>
      </c>
      <c r="K151" s="22">
        <v>0</v>
      </c>
      <c r="L151" s="30"/>
      <c r="M151" s="13" t="s">
        <v>117</v>
      </c>
      <c r="N151" s="31"/>
      <c r="O151" s="29"/>
      <c r="P151" s="32">
        <v>2000</v>
      </c>
      <c r="Q151" s="13">
        <v>31</v>
      </c>
      <c r="R151" s="13">
        <v>31</v>
      </c>
      <c r="S151" s="13" t="s">
        <v>118</v>
      </c>
      <c r="T151" t="s">
        <v>134</v>
      </c>
      <c r="U151" t="s">
        <v>120</v>
      </c>
    </row>
    <row r="152" spans="1:21" ht="14.25" customHeight="1">
      <c r="A152" s="15">
        <v>205262</v>
      </c>
      <c r="B152" s="15" t="s">
        <v>278</v>
      </c>
      <c r="C152" s="15" t="s">
        <v>96</v>
      </c>
      <c r="D152" s="15" t="s">
        <v>116</v>
      </c>
      <c r="E152" s="33">
        <v>362.23333333333301</v>
      </c>
      <c r="F152" s="33">
        <v>9.1101499953989098</v>
      </c>
      <c r="G152" s="15">
        <v>3.5</v>
      </c>
      <c r="H152" s="16">
        <v>0.16666666666666699</v>
      </c>
      <c r="I152" s="16">
        <v>0.724444444444444</v>
      </c>
      <c r="J152" s="16">
        <v>0</v>
      </c>
      <c r="K152" s="23">
        <v>0</v>
      </c>
      <c r="L152" s="30"/>
      <c r="M152" s="15" t="s">
        <v>117</v>
      </c>
      <c r="N152" s="31"/>
      <c r="O152" s="29"/>
      <c r="P152" s="19">
        <v>2000</v>
      </c>
      <c r="Q152" s="15">
        <v>31</v>
      </c>
      <c r="R152" s="15">
        <v>31</v>
      </c>
      <c r="S152" s="15" t="s">
        <v>118</v>
      </c>
      <c r="T152" t="s">
        <v>141</v>
      </c>
      <c r="U152" t="s">
        <v>120</v>
      </c>
    </row>
    <row r="153" spans="1:21" ht="14.25" customHeight="1">
      <c r="A153" s="13">
        <v>203601</v>
      </c>
      <c r="B153" s="13" t="s">
        <v>279</v>
      </c>
      <c r="C153" s="13" t="s">
        <v>96</v>
      </c>
      <c r="D153" s="13" t="s">
        <v>116</v>
      </c>
      <c r="E153" s="28">
        <v>338.34146341463401</v>
      </c>
      <c r="F153" s="28">
        <v>9.7534602076124592</v>
      </c>
      <c r="G153" s="13">
        <v>5</v>
      </c>
      <c r="H153" s="21">
        <v>0.10344827586206901</v>
      </c>
      <c r="I153" s="21">
        <v>0.76857142857142902</v>
      </c>
      <c r="J153" s="21">
        <v>0</v>
      </c>
      <c r="K153" s="22">
        <v>0</v>
      </c>
      <c r="L153" s="30"/>
      <c r="M153" s="13" t="s">
        <v>117</v>
      </c>
      <c r="N153" s="31"/>
      <c r="O153" s="29"/>
      <c r="P153" s="32">
        <v>2000</v>
      </c>
      <c r="Q153" s="13">
        <v>31</v>
      </c>
      <c r="R153" s="13">
        <v>31</v>
      </c>
      <c r="S153" s="13" t="s">
        <v>118</v>
      </c>
      <c r="T153" t="s">
        <v>141</v>
      </c>
      <c r="U153" t="s">
        <v>120</v>
      </c>
    </row>
    <row r="154" spans="1:21" ht="14.25" customHeight="1">
      <c r="A154" s="15">
        <v>232198</v>
      </c>
      <c r="B154" s="15" t="s">
        <v>280</v>
      </c>
      <c r="C154" s="15" t="s">
        <v>97</v>
      </c>
      <c r="D154" s="15" t="s">
        <v>116</v>
      </c>
      <c r="E154" s="33">
        <v>496.61486486486501</v>
      </c>
      <c r="F154" s="33">
        <v>6.6449883671886703</v>
      </c>
      <c r="G154" s="15">
        <v>4.1111111111111098</v>
      </c>
      <c r="H154" s="16">
        <v>0.1</v>
      </c>
      <c r="I154" s="16">
        <v>0.88666666666666705</v>
      </c>
      <c r="J154" s="16">
        <v>0</v>
      </c>
      <c r="K154" s="23">
        <v>0</v>
      </c>
      <c r="L154" s="30"/>
      <c r="M154" s="15" t="s">
        <v>117</v>
      </c>
      <c r="N154" s="31"/>
      <c r="O154" s="29"/>
      <c r="P154" s="19">
        <v>2000</v>
      </c>
      <c r="Q154" s="15">
        <v>31</v>
      </c>
      <c r="R154" s="15">
        <v>31</v>
      </c>
      <c r="S154" s="15" t="s">
        <v>118</v>
      </c>
      <c r="T154" t="s">
        <v>163</v>
      </c>
      <c r="U154" t="s">
        <v>120</v>
      </c>
    </row>
    <row r="155" spans="1:21" ht="14.25" customHeight="1">
      <c r="A155" s="13">
        <v>199554</v>
      </c>
      <c r="B155" s="13" t="s">
        <v>281</v>
      </c>
      <c r="C155" s="13" t="s">
        <v>97</v>
      </c>
      <c r="D155" s="13" t="s">
        <v>116</v>
      </c>
      <c r="E155" s="28">
        <v>183.53389830508499</v>
      </c>
      <c r="F155" s="28">
        <v>17.980329685552</v>
      </c>
      <c r="G155" s="13">
        <v>2.375</v>
      </c>
      <c r="H155" s="21">
        <v>8.6021505376344107E-2</v>
      </c>
      <c r="I155" s="21">
        <v>0.89400000000000002</v>
      </c>
      <c r="J155" s="21">
        <v>0</v>
      </c>
      <c r="K155" s="22">
        <v>0</v>
      </c>
      <c r="L155" s="30"/>
      <c r="M155" s="13" t="s">
        <v>117</v>
      </c>
      <c r="N155" s="31"/>
      <c r="O155" s="29"/>
      <c r="P155" s="32">
        <v>2000</v>
      </c>
      <c r="Q155" s="13">
        <v>31</v>
      </c>
      <c r="R155" s="13">
        <v>31</v>
      </c>
      <c r="S155" s="13" t="s">
        <v>118</v>
      </c>
      <c r="T155" t="s">
        <v>163</v>
      </c>
      <c r="U155" t="s">
        <v>120</v>
      </c>
    </row>
    <row r="156" spans="1:21" ht="14.25" customHeight="1">
      <c r="A156" s="15">
        <v>203630</v>
      </c>
      <c r="B156" s="15" t="s">
        <v>282</v>
      </c>
      <c r="C156" s="15" t="s">
        <v>96</v>
      </c>
      <c r="D156" s="15" t="s">
        <v>116</v>
      </c>
      <c r="E156" s="33">
        <v>386.77083333333297</v>
      </c>
      <c r="F156" s="33">
        <v>8.5321842176137892</v>
      </c>
      <c r="G156" s="15">
        <v>4.8</v>
      </c>
      <c r="H156" s="16">
        <v>0.170212765957447</v>
      </c>
      <c r="I156" s="16">
        <v>0.59125000000000005</v>
      </c>
      <c r="J156" s="16">
        <v>0</v>
      </c>
      <c r="K156" s="23">
        <v>0</v>
      </c>
      <c r="L156" s="30"/>
      <c r="M156" s="15" t="s">
        <v>117</v>
      </c>
      <c r="N156" s="31"/>
      <c r="O156" s="29"/>
      <c r="P156" s="19">
        <v>2000</v>
      </c>
      <c r="Q156" s="15">
        <v>31</v>
      </c>
      <c r="R156" s="15">
        <v>31</v>
      </c>
      <c r="S156" s="15" t="s">
        <v>118</v>
      </c>
      <c r="T156" t="s">
        <v>134</v>
      </c>
      <c r="U156" t="s">
        <v>120</v>
      </c>
    </row>
    <row r="157" spans="1:21" ht="14.25" customHeight="1">
      <c r="A157" s="13">
        <v>228204</v>
      </c>
      <c r="B157" s="13" t="s">
        <v>283</v>
      </c>
      <c r="C157" s="13" t="s">
        <v>96</v>
      </c>
      <c r="D157" s="13" t="s">
        <v>116</v>
      </c>
      <c r="E157" s="28">
        <v>671.21671826625402</v>
      </c>
      <c r="F157" s="28">
        <v>4.9164448831427601</v>
      </c>
      <c r="G157" s="13">
        <v>4.68965517241379</v>
      </c>
      <c r="H157" s="21">
        <v>0.17703349282296699</v>
      </c>
      <c r="I157" s="21">
        <v>0.52571428571428602</v>
      </c>
      <c r="J157" s="21">
        <v>0</v>
      </c>
      <c r="K157" s="22">
        <v>0</v>
      </c>
      <c r="L157" s="30"/>
      <c r="M157" s="13" t="s">
        <v>117</v>
      </c>
      <c r="N157" s="31"/>
      <c r="O157" s="29"/>
      <c r="P157" s="32">
        <v>2000</v>
      </c>
      <c r="Q157" s="13">
        <v>31</v>
      </c>
      <c r="R157" s="13">
        <v>31</v>
      </c>
      <c r="S157" s="13" t="s">
        <v>118</v>
      </c>
      <c r="T157" t="s">
        <v>134</v>
      </c>
      <c r="U157" t="s">
        <v>120</v>
      </c>
    </row>
    <row r="158" spans="1:21" ht="14.25" customHeight="1">
      <c r="A158" s="15">
        <v>207050</v>
      </c>
      <c r="B158" s="15" t="s">
        <v>284</v>
      </c>
      <c r="C158" s="15" t="s">
        <v>96</v>
      </c>
      <c r="D158" s="15" t="s">
        <v>116</v>
      </c>
      <c r="E158" s="33">
        <v>485.835616438356</v>
      </c>
      <c r="F158" s="33">
        <v>6.79242091016748</v>
      </c>
      <c r="G158" s="15">
        <v>4.8421052631579</v>
      </c>
      <c r="H158" s="16">
        <v>0.16049382716049401</v>
      </c>
      <c r="I158" s="16">
        <v>0.40833333333333299</v>
      </c>
      <c r="J158" s="16">
        <v>0</v>
      </c>
      <c r="K158" s="23">
        <v>0</v>
      </c>
      <c r="L158" s="30"/>
      <c r="M158" s="15" t="s">
        <v>117</v>
      </c>
      <c r="N158" s="31"/>
      <c r="O158" s="29"/>
      <c r="P158" s="19">
        <v>2000</v>
      </c>
      <c r="Q158" s="15">
        <v>31</v>
      </c>
      <c r="R158" s="15">
        <v>31</v>
      </c>
      <c r="S158" s="15" t="s">
        <v>118</v>
      </c>
      <c r="T158" t="s">
        <v>128</v>
      </c>
      <c r="U158" t="s">
        <v>120</v>
      </c>
    </row>
    <row r="159" spans="1:21" ht="14.25" customHeight="1">
      <c r="A159" s="13">
        <v>204035</v>
      </c>
      <c r="B159" s="13" t="s">
        <v>285</v>
      </c>
      <c r="C159" s="13" t="s">
        <v>95</v>
      </c>
      <c r="D159" s="13" t="s">
        <v>116</v>
      </c>
      <c r="E159" s="28">
        <v>412.79338842975199</v>
      </c>
      <c r="F159" s="28">
        <v>7.9943140866501103</v>
      </c>
      <c r="G159" s="13">
        <v>2.0833333333333299</v>
      </c>
      <c r="H159" s="21">
        <v>5.4054054054054099E-2</v>
      </c>
      <c r="I159" s="21">
        <v>0</v>
      </c>
      <c r="J159" s="21">
        <v>0.01</v>
      </c>
      <c r="K159" s="22">
        <v>0</v>
      </c>
      <c r="L159" s="30"/>
      <c r="M159" s="13" t="s">
        <v>117</v>
      </c>
      <c r="N159" s="31"/>
      <c r="O159" s="29"/>
      <c r="P159" s="32">
        <v>2000</v>
      </c>
      <c r="Q159" s="13">
        <v>31</v>
      </c>
      <c r="R159" s="13">
        <v>31</v>
      </c>
      <c r="S159" s="13" t="s">
        <v>118</v>
      </c>
      <c r="T159" t="s">
        <v>138</v>
      </c>
      <c r="U159" t="s">
        <v>120</v>
      </c>
    </row>
    <row r="160" spans="1:21" ht="14.25" customHeight="1">
      <c r="A160" s="15">
        <v>205242</v>
      </c>
      <c r="B160" s="15" t="s">
        <v>286</v>
      </c>
      <c r="C160" s="15" t="s">
        <v>95</v>
      </c>
      <c r="D160" s="15" t="s">
        <v>116</v>
      </c>
      <c r="E160" s="33">
        <v>254.55853314527499</v>
      </c>
      <c r="F160" s="33">
        <v>12.9636196407398</v>
      </c>
      <c r="G160" s="15">
        <v>2.4</v>
      </c>
      <c r="H160" s="16">
        <v>7.2487644151565098E-2</v>
      </c>
      <c r="I160" s="16">
        <v>0</v>
      </c>
      <c r="J160" s="16">
        <v>0.36</v>
      </c>
      <c r="K160" s="23">
        <v>0</v>
      </c>
      <c r="L160" s="30"/>
      <c r="M160" s="15" t="s">
        <v>117</v>
      </c>
      <c r="N160" s="31"/>
      <c r="O160" s="29"/>
      <c r="P160" s="19">
        <v>2000</v>
      </c>
      <c r="Q160" s="15">
        <v>31</v>
      </c>
      <c r="R160" s="15">
        <v>31</v>
      </c>
      <c r="S160" s="15" t="s">
        <v>118</v>
      </c>
      <c r="T160" t="s">
        <v>138</v>
      </c>
      <c r="U160" t="s">
        <v>120</v>
      </c>
    </row>
    <row r="161" spans="1:21" ht="14.25" customHeight="1">
      <c r="A161" s="13">
        <v>96491</v>
      </c>
      <c r="B161" s="13" t="s">
        <v>287</v>
      </c>
      <c r="C161" s="13" t="s">
        <v>98</v>
      </c>
      <c r="D161" s="13" t="s">
        <v>116</v>
      </c>
      <c r="E161" s="28">
        <v>268.53031761309001</v>
      </c>
      <c r="F161" s="28">
        <v>12.2891151708046</v>
      </c>
      <c r="G161" s="13">
        <v>3</v>
      </c>
      <c r="H161" s="21">
        <v>2.9455081001472799E-2</v>
      </c>
      <c r="I161" s="21">
        <v>0.19</v>
      </c>
      <c r="J161" s="21">
        <v>0</v>
      </c>
      <c r="K161" s="22">
        <v>0</v>
      </c>
      <c r="L161" s="30"/>
      <c r="M161" s="13" t="s">
        <v>117</v>
      </c>
      <c r="N161" s="31"/>
      <c r="O161" s="29"/>
      <c r="P161" s="32">
        <v>2000</v>
      </c>
      <c r="Q161" s="13">
        <v>31</v>
      </c>
      <c r="R161" s="13">
        <v>31</v>
      </c>
      <c r="S161" s="13" t="s">
        <v>118</v>
      </c>
      <c r="T161" t="s">
        <v>152</v>
      </c>
      <c r="U161" t="s">
        <v>120</v>
      </c>
    </row>
    <row r="162" spans="1:21" ht="14.25" customHeight="1">
      <c r="A162" s="15">
        <v>244548</v>
      </c>
      <c r="B162" s="15" t="s">
        <v>288</v>
      </c>
      <c r="C162" s="15" t="s">
        <v>98</v>
      </c>
      <c r="D162" s="15" t="s">
        <v>116</v>
      </c>
      <c r="E162" s="34"/>
      <c r="F162" s="34"/>
      <c r="G162" s="30"/>
      <c r="H162" s="29"/>
      <c r="I162" s="29"/>
      <c r="J162" s="29"/>
      <c r="K162" s="23">
        <v>0</v>
      </c>
      <c r="L162" s="30"/>
      <c r="M162" s="15" t="s">
        <v>117</v>
      </c>
      <c r="N162" s="31"/>
      <c r="O162" s="29"/>
      <c r="P162" s="19">
        <v>2000</v>
      </c>
      <c r="Q162" s="15">
        <v>31</v>
      </c>
      <c r="R162" s="15">
        <v>31</v>
      </c>
      <c r="S162" s="15" t="s">
        <v>118</v>
      </c>
      <c r="T162" t="s">
        <v>136</v>
      </c>
      <c r="U162" t="s">
        <v>120</v>
      </c>
    </row>
    <row r="163" spans="1:21" ht="14.25" customHeight="1">
      <c r="A163" s="13">
        <v>204025</v>
      </c>
      <c r="B163" s="13" t="s">
        <v>289</v>
      </c>
      <c r="C163" s="13" t="s">
        <v>95</v>
      </c>
      <c r="D163" s="13" t="s">
        <v>116</v>
      </c>
      <c r="E163" s="28">
        <v>479.38461538461502</v>
      </c>
      <c r="F163" s="28">
        <v>6.8838254172015398</v>
      </c>
      <c r="G163" s="13">
        <v>5</v>
      </c>
      <c r="H163" s="21">
        <v>0.1</v>
      </c>
      <c r="I163" s="21">
        <v>0</v>
      </c>
      <c r="J163" s="21">
        <v>0.01</v>
      </c>
      <c r="K163" s="22">
        <v>0</v>
      </c>
      <c r="L163" s="30"/>
      <c r="M163" s="13" t="s">
        <v>117</v>
      </c>
      <c r="N163" s="31"/>
      <c r="O163" s="29"/>
      <c r="P163" s="32">
        <v>2000</v>
      </c>
      <c r="Q163" s="13">
        <v>31</v>
      </c>
      <c r="R163" s="13">
        <v>31</v>
      </c>
      <c r="S163" s="13" t="s">
        <v>118</v>
      </c>
      <c r="T163" t="s">
        <v>130</v>
      </c>
      <c r="U163" t="s">
        <v>120</v>
      </c>
    </row>
    <row r="164" spans="1:21" ht="14.25" customHeight="1">
      <c r="A164" s="15">
        <v>96479</v>
      </c>
      <c r="B164" s="15" t="s">
        <v>290</v>
      </c>
      <c r="C164" s="15" t="s">
        <v>99</v>
      </c>
      <c r="D164" s="15" t="s">
        <v>116</v>
      </c>
      <c r="E164" s="33">
        <v>291.17948717948701</v>
      </c>
      <c r="F164" s="33">
        <v>11.333215921099001</v>
      </c>
      <c r="G164" s="15">
        <v>4.5</v>
      </c>
      <c r="H164" s="16">
        <v>0.125</v>
      </c>
      <c r="I164" s="16">
        <v>0.88666666666666705</v>
      </c>
      <c r="J164" s="16">
        <v>0.05</v>
      </c>
      <c r="K164" s="23">
        <v>0</v>
      </c>
      <c r="L164" s="30"/>
      <c r="M164" s="15" t="s">
        <v>117</v>
      </c>
      <c r="N164" s="31"/>
      <c r="O164" s="29"/>
      <c r="P164" s="19">
        <v>2000</v>
      </c>
      <c r="Q164" s="15">
        <v>31</v>
      </c>
      <c r="R164" s="15">
        <v>31</v>
      </c>
      <c r="S164" s="15" t="s">
        <v>118</v>
      </c>
      <c r="T164" t="s">
        <v>148</v>
      </c>
      <c r="U164" t="s">
        <v>120</v>
      </c>
    </row>
    <row r="165" spans="1:21" ht="14.25" customHeight="1">
      <c r="A165" s="13">
        <v>205263</v>
      </c>
      <c r="B165" s="13" t="s">
        <v>291</v>
      </c>
      <c r="C165" s="13" t="s">
        <v>96</v>
      </c>
      <c r="D165" s="13" t="s">
        <v>116</v>
      </c>
      <c r="E165" s="28">
        <v>527.9</v>
      </c>
      <c r="F165" s="28">
        <v>6.2511839363515804</v>
      </c>
      <c r="G165" s="13">
        <v>5</v>
      </c>
      <c r="H165" s="21">
        <v>0.25</v>
      </c>
      <c r="I165" s="21">
        <v>0.31666666666666698</v>
      </c>
      <c r="J165" s="21">
        <v>0.79</v>
      </c>
      <c r="K165" s="22">
        <v>0</v>
      </c>
      <c r="L165" s="30"/>
      <c r="M165" s="13" t="s">
        <v>117</v>
      </c>
      <c r="N165" s="31"/>
      <c r="O165" s="29"/>
      <c r="P165" s="32">
        <v>2000</v>
      </c>
      <c r="Q165" s="13">
        <v>31</v>
      </c>
      <c r="R165" s="13">
        <v>31</v>
      </c>
      <c r="S165" s="13" t="s">
        <v>118</v>
      </c>
      <c r="T165" t="s">
        <v>132</v>
      </c>
      <c r="U165" t="s">
        <v>120</v>
      </c>
    </row>
    <row r="166" spans="1:21" ht="14.25" customHeight="1">
      <c r="A166" s="15">
        <v>205226</v>
      </c>
      <c r="B166" s="15" t="s">
        <v>292</v>
      </c>
      <c r="C166" s="15" t="s">
        <v>95</v>
      </c>
      <c r="D166" s="15" t="s">
        <v>116</v>
      </c>
      <c r="E166" s="33">
        <v>452.64795918367298</v>
      </c>
      <c r="F166" s="33">
        <v>7.2904338416799099</v>
      </c>
      <c r="G166" s="15">
        <v>4.4516129032258096</v>
      </c>
      <c r="H166" s="16">
        <v>0.21978021978022</v>
      </c>
      <c r="I166" s="16">
        <v>0</v>
      </c>
      <c r="J166" s="16">
        <v>0.01</v>
      </c>
      <c r="K166" s="23">
        <v>0</v>
      </c>
      <c r="L166" s="30"/>
      <c r="M166" s="15" t="s">
        <v>117</v>
      </c>
      <c r="N166" s="31"/>
      <c r="O166" s="29"/>
      <c r="P166" s="19">
        <v>2000</v>
      </c>
      <c r="Q166" s="15">
        <v>31</v>
      </c>
      <c r="R166" s="15">
        <v>31</v>
      </c>
      <c r="S166" s="15" t="s">
        <v>118</v>
      </c>
      <c r="T166" t="s">
        <v>130</v>
      </c>
      <c r="U166" t="s">
        <v>120</v>
      </c>
    </row>
    <row r="167" spans="1:21" ht="14.25" customHeight="1">
      <c r="A167" s="13">
        <v>204040</v>
      </c>
      <c r="B167" s="13" t="s">
        <v>293</v>
      </c>
      <c r="C167" s="13" t="s">
        <v>95</v>
      </c>
      <c r="D167" s="13" t="s">
        <v>116</v>
      </c>
      <c r="E167" s="28">
        <v>509.335411471322</v>
      </c>
      <c r="F167" s="28">
        <v>6.4790311564382703</v>
      </c>
      <c r="G167" s="13">
        <v>4.28125</v>
      </c>
      <c r="H167" s="21">
        <v>0.198902606310014</v>
      </c>
      <c r="I167" s="21">
        <v>0.16666666666666699</v>
      </c>
      <c r="J167" s="21">
        <v>0</v>
      </c>
      <c r="K167" s="22">
        <v>0</v>
      </c>
      <c r="L167" s="30"/>
      <c r="M167" s="13" t="s">
        <v>117</v>
      </c>
      <c r="N167" s="31"/>
      <c r="O167" s="29"/>
      <c r="P167" s="32">
        <v>2000</v>
      </c>
      <c r="Q167" s="13">
        <v>31</v>
      </c>
      <c r="R167" s="13">
        <v>31</v>
      </c>
      <c r="S167" s="13" t="s">
        <v>118</v>
      </c>
      <c r="T167" t="s">
        <v>130</v>
      </c>
      <c r="U167" t="s">
        <v>120</v>
      </c>
    </row>
    <row r="168" spans="1:21" ht="14.25" customHeight="1">
      <c r="A168" s="15">
        <v>203624</v>
      </c>
      <c r="B168" s="15" t="s">
        <v>294</v>
      </c>
      <c r="C168" s="15" t="s">
        <v>96</v>
      </c>
      <c r="D168" s="15" t="s">
        <v>116</v>
      </c>
      <c r="E168" s="33">
        <v>459.448559670782</v>
      </c>
      <c r="F168" s="33">
        <v>7.1825233326764897</v>
      </c>
      <c r="G168" s="15">
        <v>4.1666666666666696</v>
      </c>
      <c r="H168" s="16">
        <v>0.25165562913907302</v>
      </c>
      <c r="I168" s="16">
        <v>0.73923076923076902</v>
      </c>
      <c r="J168" s="16">
        <v>0</v>
      </c>
      <c r="K168" s="23">
        <v>0</v>
      </c>
      <c r="L168" s="30"/>
      <c r="M168" s="15" t="s">
        <v>117</v>
      </c>
      <c r="N168" s="31"/>
      <c r="O168" s="29"/>
      <c r="P168" s="19">
        <v>2000</v>
      </c>
      <c r="Q168" s="15">
        <v>31</v>
      </c>
      <c r="R168" s="15">
        <v>31</v>
      </c>
      <c r="S168" s="15" t="s">
        <v>118</v>
      </c>
      <c r="T168" t="s">
        <v>128</v>
      </c>
      <c r="U168" t="s">
        <v>120</v>
      </c>
    </row>
    <row r="169" spans="1:21" ht="14.25" customHeight="1">
      <c r="A169" s="13">
        <v>205225</v>
      </c>
      <c r="B169" s="13" t="s">
        <v>295</v>
      </c>
      <c r="C169" s="13" t="s">
        <v>95</v>
      </c>
      <c r="D169" s="13" t="s">
        <v>116</v>
      </c>
      <c r="E169" s="28">
        <v>610</v>
      </c>
      <c r="F169" s="28">
        <v>5.4098360655737698</v>
      </c>
      <c r="G169" s="13">
        <v>0</v>
      </c>
      <c r="H169" s="21">
        <v>0</v>
      </c>
      <c r="I169" s="21">
        <v>0.6</v>
      </c>
      <c r="J169" s="21">
        <v>0</v>
      </c>
      <c r="K169" s="22">
        <v>0</v>
      </c>
      <c r="L169" s="30"/>
      <c r="M169" s="13" t="s">
        <v>117</v>
      </c>
      <c r="N169" s="31"/>
      <c r="O169" s="29"/>
      <c r="P169" s="32">
        <v>2000</v>
      </c>
      <c r="Q169" s="13">
        <v>31</v>
      </c>
      <c r="R169" s="13">
        <v>31</v>
      </c>
      <c r="S169" s="13" t="s">
        <v>118</v>
      </c>
      <c r="T169" t="s">
        <v>130</v>
      </c>
      <c r="U169" t="s">
        <v>120</v>
      </c>
    </row>
    <row r="170" spans="1:21" ht="14.25" customHeight="1">
      <c r="A170" s="15">
        <v>96528</v>
      </c>
      <c r="B170" s="15" t="s">
        <v>296</v>
      </c>
      <c r="C170" s="15" t="s">
        <v>98</v>
      </c>
      <c r="D170" s="15" t="s">
        <v>116</v>
      </c>
      <c r="E170" s="33">
        <v>253.284457478006</v>
      </c>
      <c r="F170" s="33">
        <v>13.028829454671801</v>
      </c>
      <c r="G170" s="15">
        <v>3.4</v>
      </c>
      <c r="H170" s="16">
        <v>5.2147239263803699E-2</v>
      </c>
      <c r="I170" s="16">
        <v>0.47</v>
      </c>
      <c r="J170" s="16">
        <v>0.05</v>
      </c>
      <c r="K170" s="23">
        <v>0</v>
      </c>
      <c r="L170" s="30"/>
      <c r="M170" s="15" t="s">
        <v>117</v>
      </c>
      <c r="N170" s="31"/>
      <c r="O170" s="29"/>
      <c r="P170" s="19">
        <v>2000</v>
      </c>
      <c r="Q170" s="15">
        <v>31</v>
      </c>
      <c r="R170" s="15">
        <v>31</v>
      </c>
      <c r="S170" s="15" t="s">
        <v>118</v>
      </c>
      <c r="T170" t="s">
        <v>152</v>
      </c>
      <c r="U170" t="s">
        <v>120</v>
      </c>
    </row>
    <row r="171" spans="1:21" ht="14.25" customHeight="1">
      <c r="A171" s="13">
        <v>247912</v>
      </c>
      <c r="B171" s="13" t="s">
        <v>297</v>
      </c>
      <c r="C171" s="13" t="s">
        <v>98</v>
      </c>
      <c r="D171" s="13" t="s">
        <v>116</v>
      </c>
      <c r="E171" s="34"/>
      <c r="F171" s="34"/>
      <c r="G171" s="30"/>
      <c r="H171" s="29"/>
      <c r="I171" s="29"/>
      <c r="J171" s="29"/>
      <c r="K171" s="22">
        <v>0</v>
      </c>
      <c r="L171" s="30"/>
      <c r="M171" s="13" t="s">
        <v>117</v>
      </c>
      <c r="N171" s="31"/>
      <c r="O171" s="29"/>
      <c r="P171" s="32">
        <v>2000</v>
      </c>
      <c r="Q171" s="13">
        <v>31</v>
      </c>
      <c r="R171" s="13">
        <v>31</v>
      </c>
      <c r="S171" s="13" t="s">
        <v>118</v>
      </c>
      <c r="T171" t="s">
        <v>136</v>
      </c>
      <c r="U171" t="s">
        <v>120</v>
      </c>
    </row>
    <row r="172" spans="1:21" ht="14.25" customHeight="1">
      <c r="E172" s="34"/>
      <c r="F172" s="34"/>
      <c r="G172" s="30"/>
      <c r="H172" s="29"/>
      <c r="I172" s="29"/>
      <c r="J172" s="25"/>
      <c r="O172" s="25"/>
      <c r="S172" s="36"/>
    </row>
    <row r="173" spans="1:21" ht="14.25" customHeight="1">
      <c r="E173" s="34"/>
      <c r="F173" s="34"/>
      <c r="G173" s="30"/>
      <c r="H173" s="29"/>
      <c r="I173" s="29"/>
      <c r="J173" s="25"/>
      <c r="O173" s="25"/>
      <c r="S173" s="36"/>
    </row>
    <row r="174" spans="1:21" ht="14.25" customHeight="1">
      <c r="E174" s="34"/>
      <c r="F174" s="34"/>
      <c r="G174" s="30"/>
      <c r="H174" s="29"/>
      <c r="I174" s="29"/>
      <c r="J174" s="25"/>
      <c r="O174" s="25"/>
      <c r="S174" s="36"/>
    </row>
    <row r="175" spans="1:21" ht="14.25" customHeight="1">
      <c r="E175" s="34"/>
      <c r="F175" s="34"/>
      <c r="G175" s="30"/>
      <c r="H175" s="29"/>
      <c r="I175" s="29"/>
      <c r="J175" s="25"/>
      <c r="O175" s="25"/>
      <c r="S175" s="36"/>
    </row>
    <row r="176" spans="1:21" ht="14.25" customHeight="1">
      <c r="E176" s="34"/>
      <c r="F176" s="34"/>
      <c r="G176" s="30"/>
      <c r="H176" s="29"/>
      <c r="I176" s="29"/>
      <c r="J176" s="25"/>
      <c r="O176" s="25"/>
      <c r="S176" s="36"/>
    </row>
    <row r="177" spans="1:19" ht="14.25" customHeight="1">
      <c r="E177" s="34"/>
      <c r="F177" s="34"/>
      <c r="G177" s="30"/>
      <c r="H177" s="29"/>
      <c r="I177" s="29"/>
      <c r="J177" s="25"/>
      <c r="O177" s="25"/>
      <c r="S177" s="36"/>
    </row>
    <row r="178" spans="1:19" ht="14.25" customHeight="1">
      <c r="E178" s="34"/>
      <c r="F178" s="34"/>
      <c r="G178" s="30"/>
      <c r="H178" s="29"/>
      <c r="I178" s="29"/>
      <c r="J178" s="25"/>
      <c r="O178" s="25"/>
      <c r="S178" s="36"/>
    </row>
    <row r="179" spans="1:19" ht="14.25" customHeight="1">
      <c r="E179" s="34"/>
      <c r="F179" s="34"/>
      <c r="G179" s="30"/>
      <c r="H179" s="29"/>
      <c r="I179" s="29"/>
      <c r="J179" s="25"/>
      <c r="O179" s="25"/>
      <c r="S179" s="36"/>
    </row>
    <row r="180" spans="1:19" ht="14.25" customHeight="1">
      <c r="E180" s="34"/>
      <c r="F180" s="34"/>
      <c r="G180" s="30"/>
      <c r="H180" s="29"/>
      <c r="I180" s="29"/>
      <c r="J180" s="25"/>
      <c r="O180" s="25"/>
      <c r="S180" s="36"/>
    </row>
    <row r="181" spans="1:19" ht="14.25" customHeight="1">
      <c r="E181" s="34"/>
      <c r="F181" s="34"/>
      <c r="G181" s="30"/>
      <c r="H181" s="29"/>
      <c r="I181" s="29"/>
      <c r="J181" s="25"/>
      <c r="O181" s="25"/>
      <c r="S181" s="36"/>
    </row>
    <row r="182" spans="1:19" ht="14.25" customHeight="1">
      <c r="E182" s="34"/>
      <c r="F182" s="34"/>
      <c r="G182" s="30"/>
      <c r="H182" s="29"/>
      <c r="I182" s="29"/>
      <c r="J182" s="25"/>
      <c r="O182" s="25"/>
      <c r="S182" s="36"/>
    </row>
    <row r="183" spans="1:19" ht="14.25" customHeight="1">
      <c r="E183" s="34"/>
      <c r="F183" s="34"/>
      <c r="G183" s="30"/>
      <c r="H183" s="29"/>
      <c r="I183" s="29"/>
      <c r="J183" s="25"/>
      <c r="O183" s="25"/>
      <c r="S183" s="36"/>
    </row>
    <row r="184" spans="1:19" ht="14.25" customHeight="1">
      <c r="A184" s="30"/>
      <c r="B184" s="30"/>
      <c r="C184" s="30"/>
      <c r="D184" s="30"/>
      <c r="E184" s="34"/>
      <c r="F184" s="34"/>
      <c r="G184" s="30"/>
      <c r="H184" s="29"/>
      <c r="I184" s="29"/>
      <c r="J184" s="29"/>
      <c r="K184" s="35"/>
      <c r="L184" s="30"/>
      <c r="M184" s="30"/>
      <c r="N184" s="31"/>
      <c r="O184" s="29"/>
      <c r="P184" s="31"/>
      <c r="S184" s="36"/>
    </row>
    <row r="185" spans="1:19" ht="14.25" customHeight="1">
      <c r="A185" s="30"/>
      <c r="B185" s="30"/>
      <c r="C185" s="30"/>
      <c r="D185" s="30"/>
      <c r="E185" s="34"/>
      <c r="F185" s="34"/>
      <c r="G185" s="30"/>
      <c r="H185" s="29"/>
      <c r="I185" s="29"/>
      <c r="J185" s="29"/>
      <c r="K185" s="35"/>
      <c r="L185" s="30"/>
      <c r="M185" s="30"/>
      <c r="N185" s="31"/>
      <c r="O185" s="29"/>
      <c r="P185" s="31"/>
      <c r="S185" s="36"/>
    </row>
    <row r="186" spans="1:19" ht="14.25" customHeight="1">
      <c r="A186" s="30"/>
      <c r="B186" s="30"/>
      <c r="C186" s="30"/>
      <c r="D186" s="30"/>
      <c r="E186" s="34"/>
      <c r="F186" s="34"/>
      <c r="G186" s="30"/>
      <c r="H186" s="29"/>
      <c r="I186" s="29"/>
      <c r="J186" s="29"/>
      <c r="K186" s="35"/>
      <c r="L186" s="30"/>
      <c r="M186" s="30"/>
      <c r="N186" s="31"/>
      <c r="O186" s="29"/>
      <c r="P186" s="31"/>
      <c r="S186" s="36"/>
    </row>
    <row r="187" spans="1:19" ht="14.25" customHeight="1">
      <c r="A187" s="30"/>
      <c r="B187" s="30"/>
      <c r="C187" s="30"/>
      <c r="D187" s="30"/>
      <c r="E187" s="34"/>
      <c r="F187" s="34"/>
      <c r="G187" s="30"/>
      <c r="H187" s="29"/>
      <c r="I187" s="29"/>
      <c r="J187" s="29"/>
      <c r="K187" s="35"/>
      <c r="L187" s="30"/>
      <c r="M187" s="30"/>
      <c r="N187" s="31"/>
      <c r="O187" s="29"/>
      <c r="P187" s="31"/>
      <c r="S187" s="36"/>
    </row>
    <row r="188" spans="1:19" ht="14.25" customHeight="1">
      <c r="A188" s="30"/>
      <c r="B188" s="30"/>
      <c r="C188" s="30"/>
      <c r="D188" s="30"/>
      <c r="E188" s="34"/>
      <c r="F188" s="34"/>
      <c r="G188" s="30"/>
      <c r="H188" s="29"/>
      <c r="I188" s="29"/>
      <c r="J188" s="29"/>
      <c r="K188" s="35"/>
      <c r="L188" s="30"/>
      <c r="M188" s="30"/>
      <c r="N188" s="31"/>
      <c r="O188" s="29"/>
      <c r="P188" s="31"/>
      <c r="S188" s="36"/>
    </row>
    <row r="189" spans="1:19" ht="14.25" customHeight="1">
      <c r="A189" s="30"/>
      <c r="B189" s="30"/>
      <c r="C189" s="30"/>
      <c r="D189" s="30"/>
      <c r="E189" s="34"/>
      <c r="F189" s="34"/>
      <c r="G189" s="30"/>
      <c r="H189" s="29"/>
      <c r="I189" s="29"/>
      <c r="J189" s="29"/>
      <c r="K189" s="35"/>
      <c r="L189" s="30"/>
      <c r="M189" s="30"/>
      <c r="N189" s="31"/>
      <c r="O189" s="29"/>
      <c r="P189" s="31"/>
      <c r="S189" s="36"/>
    </row>
    <row r="190" spans="1:19" ht="14.25" customHeight="1">
      <c r="D190" s="30"/>
      <c r="E190" s="34"/>
      <c r="F190" s="34"/>
      <c r="G190" s="30"/>
      <c r="H190" s="29"/>
      <c r="I190" s="29"/>
      <c r="J190" s="29"/>
      <c r="K190" s="35"/>
      <c r="L190" s="30"/>
      <c r="M190" s="30"/>
      <c r="O190" s="25"/>
      <c r="P190" s="31"/>
      <c r="S190" s="36"/>
    </row>
    <row r="191" spans="1:19" ht="14.25" customHeight="1">
      <c r="D191" s="30"/>
      <c r="E191" s="34"/>
      <c r="F191" s="34"/>
      <c r="G191" s="30"/>
      <c r="H191" s="29"/>
      <c r="I191" s="29"/>
      <c r="J191" s="29"/>
      <c r="K191" s="35"/>
      <c r="L191" s="30"/>
      <c r="M191" s="30"/>
      <c r="O191" s="25"/>
      <c r="P191" s="31"/>
      <c r="S191" s="36"/>
    </row>
    <row r="192" spans="1:19" ht="14.25" customHeight="1">
      <c r="D192" s="30"/>
      <c r="E192" s="34"/>
      <c r="F192" s="34"/>
      <c r="G192" s="30"/>
      <c r="H192" s="29"/>
      <c r="I192" s="29"/>
      <c r="J192" s="29"/>
      <c r="K192" s="35"/>
      <c r="L192" s="30"/>
      <c r="M192" s="30"/>
      <c r="O192" s="25"/>
      <c r="P192" s="31"/>
      <c r="S192" s="36"/>
    </row>
    <row r="193" spans="4:19" ht="14.25" customHeight="1">
      <c r="D193" s="30"/>
      <c r="E193" s="34"/>
      <c r="F193" s="34"/>
      <c r="G193" s="30"/>
      <c r="H193" s="29"/>
      <c r="I193" s="29"/>
      <c r="J193" s="29"/>
      <c r="K193" s="35"/>
      <c r="L193" s="30"/>
      <c r="M193" s="30"/>
      <c r="O193" s="25"/>
      <c r="P193" s="31"/>
      <c r="S193" s="36"/>
    </row>
    <row r="194" spans="4:19" ht="14.25" customHeight="1">
      <c r="D194" s="30"/>
      <c r="E194" s="34"/>
      <c r="F194" s="34"/>
      <c r="G194" s="30"/>
      <c r="H194" s="29"/>
      <c r="I194" s="29"/>
      <c r="J194" s="29"/>
      <c r="K194" s="35"/>
      <c r="L194" s="30"/>
      <c r="M194" s="30"/>
      <c r="O194" s="25"/>
      <c r="P194" s="31"/>
      <c r="S194" s="36"/>
    </row>
    <row r="195" spans="4:19" ht="14.25" customHeight="1">
      <c r="D195" s="30"/>
      <c r="E195" s="34"/>
      <c r="F195" s="34"/>
      <c r="G195" s="30"/>
      <c r="H195" s="29"/>
      <c r="I195" s="29"/>
      <c r="J195" s="29"/>
      <c r="K195" s="35"/>
      <c r="L195" s="30"/>
      <c r="M195" s="30"/>
      <c r="O195" s="25"/>
      <c r="P195" s="31"/>
      <c r="S195" s="36"/>
    </row>
    <row r="196" spans="4:19" ht="14.25" customHeight="1">
      <c r="D196" s="30"/>
      <c r="E196" s="34"/>
      <c r="F196" s="34"/>
      <c r="G196" s="30"/>
      <c r="H196" s="29"/>
      <c r="I196" s="29"/>
      <c r="J196" s="29"/>
      <c r="K196" s="35"/>
      <c r="L196" s="30"/>
      <c r="M196" s="30"/>
      <c r="O196" s="25"/>
      <c r="P196" s="31"/>
      <c r="S196" s="36"/>
    </row>
    <row r="197" spans="4:19" ht="14.25" customHeight="1">
      <c r="D197" s="30"/>
      <c r="E197" s="34"/>
      <c r="F197" s="34"/>
      <c r="G197" s="30"/>
      <c r="H197" s="29"/>
      <c r="I197" s="29"/>
      <c r="J197" s="29"/>
      <c r="K197" s="35"/>
      <c r="L197" s="30"/>
      <c r="M197" s="30"/>
      <c r="O197" s="25"/>
      <c r="P197" s="31"/>
      <c r="S197" s="36"/>
    </row>
    <row r="198" spans="4:19" ht="14.25" customHeight="1">
      <c r="D198" s="30"/>
      <c r="E198" s="34"/>
      <c r="F198" s="34"/>
      <c r="G198" s="30"/>
      <c r="H198" s="29"/>
      <c r="I198" s="29"/>
      <c r="J198" s="29"/>
      <c r="K198" s="35"/>
      <c r="L198" s="30"/>
      <c r="M198" s="30"/>
      <c r="O198" s="25"/>
      <c r="P198" s="31"/>
      <c r="S198" s="36"/>
    </row>
    <row r="199" spans="4:19" ht="14.25" customHeight="1">
      <c r="D199" s="30"/>
      <c r="E199" s="34"/>
      <c r="F199" s="34"/>
      <c r="G199" s="30"/>
      <c r="H199" s="29"/>
      <c r="I199" s="29"/>
      <c r="J199" s="29"/>
      <c r="K199" s="35"/>
      <c r="L199" s="30"/>
      <c r="M199" s="30"/>
      <c r="O199" s="25"/>
      <c r="P199" s="31"/>
      <c r="S199" s="36"/>
    </row>
    <row r="200" spans="4:19" ht="14.25" customHeight="1">
      <c r="D200" s="30"/>
      <c r="E200" s="34"/>
      <c r="F200" s="34"/>
      <c r="G200" s="30"/>
      <c r="H200" s="29"/>
      <c r="I200" s="29"/>
      <c r="J200" s="29"/>
      <c r="K200" s="35"/>
      <c r="L200" s="30"/>
      <c r="M200" s="30"/>
      <c r="O200" s="25"/>
      <c r="P200" s="31"/>
      <c r="S200" s="36"/>
    </row>
    <row r="201" spans="4:19" ht="14.25" customHeight="1">
      <c r="D201" s="30"/>
      <c r="E201" s="34"/>
      <c r="F201" s="34"/>
      <c r="G201" s="30"/>
      <c r="H201" s="29"/>
      <c r="I201" s="29"/>
      <c r="J201" s="29"/>
      <c r="K201" s="35"/>
      <c r="L201" s="30"/>
      <c r="M201" s="30"/>
      <c r="O201" s="25"/>
      <c r="P201" s="31"/>
      <c r="S201" s="36"/>
    </row>
    <row r="202" spans="4:19" ht="14.25" customHeight="1">
      <c r="D202" s="30"/>
      <c r="E202" s="34"/>
      <c r="F202" s="34"/>
      <c r="G202" s="30"/>
      <c r="H202" s="29"/>
      <c r="I202" s="29"/>
      <c r="J202" s="29"/>
      <c r="K202" s="35"/>
      <c r="L202" s="30"/>
      <c r="M202" s="30"/>
      <c r="O202" s="25"/>
      <c r="P202" s="31"/>
      <c r="S202" s="36"/>
    </row>
    <row r="203" spans="4:19" ht="14.25" customHeight="1">
      <c r="D203" s="30"/>
      <c r="E203" s="34"/>
      <c r="F203" s="34"/>
      <c r="G203" s="30"/>
      <c r="H203" s="29"/>
      <c r="I203" s="29"/>
      <c r="J203" s="29"/>
      <c r="K203" s="35"/>
      <c r="L203" s="30"/>
      <c r="M203" s="30"/>
      <c r="O203" s="25"/>
      <c r="P203" s="31"/>
      <c r="S203" s="36"/>
    </row>
    <row r="204" spans="4:19" ht="14.25" customHeight="1">
      <c r="D204" s="30"/>
      <c r="E204" s="34"/>
      <c r="F204" s="34"/>
      <c r="G204" s="30"/>
      <c r="H204" s="29"/>
      <c r="I204" s="29"/>
      <c r="J204" s="29"/>
      <c r="K204" s="35"/>
      <c r="L204" s="30"/>
      <c r="M204" s="30"/>
      <c r="O204" s="25"/>
      <c r="P204" s="31"/>
      <c r="S204" s="36"/>
    </row>
    <row r="205" spans="4:19" ht="14.25" customHeight="1">
      <c r="D205" s="30"/>
      <c r="E205" s="34"/>
      <c r="F205" s="34"/>
      <c r="G205" s="30"/>
      <c r="H205" s="29"/>
      <c r="I205" s="29"/>
      <c r="J205" s="29"/>
      <c r="K205" s="35"/>
      <c r="L205" s="30"/>
      <c r="M205" s="30"/>
      <c r="O205" s="25"/>
      <c r="P205" s="31"/>
      <c r="S205" s="36"/>
    </row>
    <row r="206" spans="4:19" ht="14.25" customHeight="1">
      <c r="D206" s="30"/>
      <c r="E206" s="34"/>
      <c r="F206" s="34"/>
      <c r="G206" s="30"/>
      <c r="H206" s="29"/>
      <c r="I206" s="29"/>
      <c r="J206" s="29"/>
      <c r="K206" s="35"/>
      <c r="L206" s="30"/>
      <c r="M206" s="30"/>
      <c r="O206" s="25"/>
      <c r="P206" s="31"/>
      <c r="S206" s="36"/>
    </row>
  </sheetData>
  <autoFilter ref="A4:S1004" xr:uid="{00000000-0009-0000-0000-000003000000}"/>
  <dataValidations count="3">
    <dataValidation type="list" sqref="C5:C171 C203:C1004" xr:uid="{00000000-0002-0000-0300-000000000000}">
      <formula1>"OEM,RSA BNL"</formula1>
      <formula2>0</formula2>
    </dataValidation>
    <dataValidation type="list" sqref="M5:M171 M184:M1004" xr:uid="{00000000-0002-0000-0300-000001000000}">
      <formula1>"MAD"</formula1>
      <formula2>0</formula2>
    </dataValidation>
    <dataValidation type="whole" sqref="K5:K171 K184:K1004" xr:uid="{00000000-0002-0000-0300-000002000000}">
      <formula1>0</formula1>
      <formula2>5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3B42"/>
    <pageSetUpPr fitToPage="1"/>
  </sheetPr>
  <dimension ref="A1:AA206"/>
  <sheetViews>
    <sheetView showGridLines="0" topLeftCell="G1" zoomScale="80" zoomScaleNormal="80" workbookViewId="0">
      <pane ySplit="4" topLeftCell="O135" activePane="bottomLeft" state="frozen"/>
      <selection pane="bottomLeft" activeCell="A2" sqref="A2"/>
      <selection activeCell="G1" sqref="G1"/>
    </sheetView>
  </sheetViews>
  <sheetFormatPr defaultColWidth="8.7109375" defaultRowHeight="14.25"/>
  <cols>
    <col min="1" max="1" width="15" customWidth="1"/>
    <col min="2" max="2" width="23" customWidth="1"/>
    <col min="3" max="3" width="14" customWidth="1"/>
    <col min="4" max="4" width="12" customWidth="1"/>
    <col min="5" max="5" width="13" customWidth="1"/>
    <col min="6" max="6" width="17" customWidth="1"/>
    <col min="7" max="7" width="13" customWidth="1"/>
    <col min="8" max="8" width="18" customWidth="1"/>
    <col min="9" max="9" width="11" customWidth="1"/>
    <col min="10" max="10" width="12" customWidth="1"/>
    <col min="11" max="11" width="15" customWidth="1"/>
    <col min="12" max="12" width="17" customWidth="1"/>
    <col min="13" max="13" width="20" customWidth="1"/>
    <col min="14" max="14" width="13" customWidth="1"/>
    <col min="15" max="16" width="17" customWidth="1"/>
    <col min="17" max="17" width="10" customWidth="1"/>
    <col min="18" max="18" width="18" hidden="1" customWidth="1"/>
    <col min="19" max="19" width="15" hidden="1" customWidth="1"/>
    <col min="20" max="20" width="25" customWidth="1"/>
    <col min="21" max="21" width="20" hidden="1" customWidth="1"/>
    <col min="22" max="22" width="18" hidden="1" customWidth="1"/>
    <col min="23" max="23" width="18" customWidth="1"/>
    <col min="24" max="24" width="19" customWidth="1"/>
    <col min="25" max="25" width="18" customWidth="1"/>
    <col min="26" max="26" width="25" customWidth="1"/>
    <col min="27" max="27" width="20" customWidth="1"/>
  </cols>
  <sheetData>
    <row r="1" spans="1:27" ht="30" customHeight="1">
      <c r="A1" s="9" t="s">
        <v>298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7" ht="21" customHeight="1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4" spans="1:27" ht="33.75" customHeight="1">
      <c r="A4" s="26" t="s">
        <v>101</v>
      </c>
      <c r="B4" s="26" t="s">
        <v>102</v>
      </c>
      <c r="C4" s="26" t="s">
        <v>299</v>
      </c>
      <c r="D4" s="26" t="s">
        <v>103</v>
      </c>
      <c r="E4" s="26" t="s">
        <v>300</v>
      </c>
      <c r="F4" s="26" t="s">
        <v>301</v>
      </c>
      <c r="G4" s="26" t="s">
        <v>302</v>
      </c>
      <c r="H4" s="26" t="s">
        <v>303</v>
      </c>
      <c r="I4" s="26" t="s">
        <v>304</v>
      </c>
      <c r="J4" s="26" t="s">
        <v>305</v>
      </c>
      <c r="K4" s="26" t="s">
        <v>306</v>
      </c>
      <c r="L4" s="26" t="s">
        <v>307</v>
      </c>
      <c r="M4" s="26" t="s">
        <v>83</v>
      </c>
      <c r="N4" s="26" t="s">
        <v>84</v>
      </c>
      <c r="O4" s="26" t="s">
        <v>308</v>
      </c>
      <c r="P4" s="26" t="s">
        <v>6</v>
      </c>
      <c r="Q4" s="26" t="s">
        <v>106</v>
      </c>
      <c r="R4" s="26" t="s">
        <v>107</v>
      </c>
      <c r="S4" s="26" t="s">
        <v>108</v>
      </c>
      <c r="T4" s="26" t="s">
        <v>309</v>
      </c>
      <c r="U4" s="26" t="s">
        <v>310</v>
      </c>
      <c r="V4" s="26" t="s">
        <v>311</v>
      </c>
      <c r="W4" s="26" t="s">
        <v>312</v>
      </c>
      <c r="X4" s="26" t="s">
        <v>313</v>
      </c>
      <c r="Y4" s="26" t="s">
        <v>314</v>
      </c>
      <c r="Z4" s="27" t="s">
        <v>113</v>
      </c>
      <c r="AA4" s="27" t="s">
        <v>114</v>
      </c>
    </row>
    <row r="5" spans="1:27" ht="14.25" customHeight="1">
      <c r="A5" s="13">
        <f>IF(Raw_Data!A5="","",Raw_Data!A5)</f>
        <v>204341</v>
      </c>
      <c r="B5" s="13" t="str">
        <f>IF(Raw_Data!B5="","",Raw_Data!B5)</f>
        <v>Felhane Mohamed Amine</v>
      </c>
      <c r="C5" s="13" t="str">
        <f>IF(Raw_Data!C5="","",Raw_Data!C5)</f>
        <v>Ford GER</v>
      </c>
      <c r="D5" s="13" t="str">
        <f>IF(Raw_Data!D5="","",Raw_Data!D5)</f>
        <v>2026-07</v>
      </c>
      <c r="E5" s="21">
        <f>IF($A5="","",IF(Raw_Data!E5="",0,IF(KPI_Config!$C$5="L",IF(Raw_Data!E5&lt;=KPI_Config!$E$5,KPI_Config!$D$5,IF(AND(KPI_Config!$F$5&gt;0,Raw_Data!E5&lt;=KPI_Config!$G$5),KPI_Config!$F$5,0)),IF(Raw_Data!E5&gt;=KPI_Config!$E$5,KPI_Config!$D$5,IF(AND(KPI_Config!$F$5&gt;0,Raw_Data!E5&gt;=KPI_Config!$G$5),KPI_Config!$F$5,0)))))</f>
        <v>0</v>
      </c>
      <c r="F5" s="21">
        <f>IF($A5="","",IF(Raw_Data!F5="",0,IF(KPI_Config!$C$6="L",IF(Raw_Data!F5&lt;=KPI_Config!$E$6,KPI_Config!$D$6,IF(AND(KPI_Config!$F$6&gt;0,Raw_Data!F5&lt;=KPI_Config!$G$6),KPI_Config!$F$6,0)),IF(Raw_Data!F5&gt;=KPI_Config!$E$6,KPI_Config!$D$6,IF(AND(KPI_Config!$F$6&gt;0,Raw_Data!F5&gt;=KPI_Config!$G$6),KPI_Config!$F$6,0)))))</f>
        <v>0.15</v>
      </c>
      <c r="G5" s="21">
        <f>IF($A5="","",IF(Raw_Data!G5="",0,IF(KPI_Config!$C$7="L",IF(Raw_Data!G5&lt;=KPI_Config!$E$7,KPI_Config!$D$7,IF(AND(KPI_Config!$F$7&gt;0,Raw_Data!G5&lt;=KPI_Config!$G$7),KPI_Config!$F$7,0)),IF(Raw_Data!G5&gt;=KPI_Config!$E$7,KPI_Config!$D$7,IF(AND(KPI_Config!$F$7&gt;0,Raw_Data!G5&gt;=KPI_Config!$G$7),KPI_Config!$F$7,0)))))</f>
        <v>0</v>
      </c>
      <c r="H5" s="21">
        <f>IF($A5="","",IF(Raw_Data!H5="",0,IF(KPI_Config!$C$8="L",IF(Raw_Data!H5&lt;=KPI_Config!$E$8,KPI_Config!$D$8,IF(AND(KPI_Config!$F$8&gt;0,Raw_Data!H5&lt;=KPI_Config!$G$8),KPI_Config!$F$8,0)),IF(Raw_Data!H5&gt;=KPI_Config!$E$8,KPI_Config!$D$8,IF(AND(KPI_Config!$F$8&gt;0,Raw_Data!H5&gt;=KPI_Config!$G$8),KPI_Config!$F$8,0)))))</f>
        <v>0</v>
      </c>
      <c r="I5" s="21">
        <f>IF($A5="","",IF(Raw_Data!I5="",0,IF(KPI_Config!$C$9="L",IF(Raw_Data!I5&lt;=KPI_Config!$E$9,KPI_Config!$D$9,IF(AND(KPI_Config!$F$9&gt;0,Raw_Data!I5&lt;=KPI_Config!$G$9),KPI_Config!$F$9,0)),IF(Raw_Data!I5&gt;=KPI_Config!$E$9,KPI_Config!$D$9,IF(AND(KPI_Config!$F$9&gt;0,Raw_Data!I5&gt;=KPI_Config!$G$9),KPI_Config!$F$9,0)))))</f>
        <v>0</v>
      </c>
      <c r="J5" s="21">
        <f>IF($A5="","",IF(Raw_Data!J5="",0,IF(KPI_Config!$C$10="L",IF(Raw_Data!J5&lt;=KPI_Config!$E$10,KPI_Config!$D$10,IF(AND(KPI_Config!$F$10&gt;0,Raw_Data!J5&lt;=KPI_Config!$G$10),KPI_Config!$F$10,0)),IF(Raw_Data!J5&gt;=KPI_Config!$E$10,KPI_Config!$D$10,IF(AND(KPI_Config!$F$10&gt;0,Raw_Data!J5&gt;=KPI_Config!$G$10),KPI_Config!$F$10,0)))))</f>
        <v>0</v>
      </c>
      <c r="K5" s="21">
        <f>IF($A5="","",IF(Raw_Data!G5="",0,IF(KPI_Config!$C$11="L",IF(Raw_Data!G5&lt;=KPI_Config!$E$11,KPI_Config!$D$11,IF(AND(KPI_Config!$F$11&gt;0,Raw_Data!G5&lt;=KPI_Config!$G$11),KPI_Config!$F$11,0)),IF(Raw_Data!G5&gt;=KPI_Config!$E$11,KPI_Config!$D$11,IF(AND(KPI_Config!$F$11&gt;0,Raw_Data!G5&gt;=KPI_Config!$G$11),KPI_Config!$F$11,0)))))</f>
        <v>0</v>
      </c>
      <c r="L5" s="21">
        <f>IF($A5="","",MIN(Policy_Decisions!$B$10,IF(Policy_Decisions!$B$6="Additive",SUM(E5:K5),SUM(E5:J5)-G5+MAX(G5,K5))))</f>
        <v>0.15</v>
      </c>
      <c r="M5" s="21">
        <f>IF($A5="","",Raw_Data!K5)</f>
        <v>0</v>
      </c>
      <c r="N5" s="21">
        <f>IF($A5="","",IFERROR(VLOOKUP(M5,KPI_Config!$I$5:$J$10,2,FALSE()),0))</f>
        <v>0</v>
      </c>
      <c r="O5" s="21">
        <f>IF($A5="","",IF(Policy_Decisions!$B$5="Percentage points",MAX(0,L5-N5),L5*(1-N5)))</f>
        <v>0.15</v>
      </c>
      <c r="P5" s="13" t="str">
        <f>IF($A5="","",IF(U5="","Review proration",IF(O5=0,"No payout",IF(N5&gt;0,"Malus applied","Eligible"))))</f>
        <v>Eligible</v>
      </c>
      <c r="Q5" s="13" t="str">
        <f>IF($A5="","",Raw_Data!M5)</f>
        <v>MAD</v>
      </c>
      <c r="R5" s="37">
        <f>IF($A5="","",Raw_Data!N5)</f>
        <v>0</v>
      </c>
      <c r="S5" s="37">
        <f>IF($A5="","",Raw_Data!O5)</f>
        <v>0</v>
      </c>
      <c r="T5" s="37">
        <f>IF($A5="","",IF(Raw_Data!P5&gt;0,Raw_Data!P5,Raw_Data!N5*Raw_Data!O5/IF(Policy_Decisions!$B$7="Annual",12,1)))</f>
        <v>2000</v>
      </c>
      <c r="U5" s="37">
        <f>IF($A5="","",IF(OR(Raw_Data!R5="",Raw_Data!R5&lt;=0),"",MIN(1,MAX(0,Raw_Data!Q5/Raw_Data!R5))))</f>
        <v>1</v>
      </c>
      <c r="V5" s="37">
        <f>IF(OR($A5="",U5=""),"",T5*U5)</f>
        <v>2000</v>
      </c>
      <c r="W5" s="37">
        <f>IF(OR($A5="",V5=""),"",V5*L5)</f>
        <v>300</v>
      </c>
      <c r="X5" s="37">
        <f>IF(OR($A5="",V5=""),"",V5*L5-V5*O5)</f>
        <v>0</v>
      </c>
      <c r="Y5" s="37">
        <f>IF(OR($A5="",V5=""),"",ROUND(V5*O5,IF(Policy_Decisions!$B$11="Whole MAD",0,2)))</f>
        <v>300</v>
      </c>
      <c r="Z5" t="str">
        <f>Raw_Data!T5</f>
        <v>Grouh Jaouad</v>
      </c>
      <c r="AA5" t="str">
        <f>Raw_Data!U5</f>
        <v>Anas OUAKKAD</v>
      </c>
    </row>
    <row r="6" spans="1:27" ht="14.25" customHeight="1">
      <c r="A6" s="15">
        <f>IF(Raw_Data!A6="","",Raw_Data!A6)</f>
        <v>204342</v>
      </c>
      <c r="B6" s="15" t="str">
        <f>IF(Raw_Data!B6="","",Raw_Data!B6)</f>
        <v>Zekhnini Mustapha</v>
      </c>
      <c r="C6" s="15" t="str">
        <f>IF(Raw_Data!C6="","",Raw_Data!C6)</f>
        <v>Ford GER</v>
      </c>
      <c r="D6" s="15" t="str">
        <f>IF(Raw_Data!D6="","",Raw_Data!D6)</f>
        <v>2026-07</v>
      </c>
      <c r="E6" s="16">
        <f>IF($A6="","",IF(Raw_Data!E6="",0,IF(KPI_Config!$C$5="L",IF(Raw_Data!E6&lt;=KPI_Config!$E$5,KPI_Config!$D$5,IF(AND(KPI_Config!$F$5&gt;0,Raw_Data!E6&lt;=KPI_Config!$G$5),KPI_Config!$F$5,0)),IF(Raw_Data!E6&gt;=KPI_Config!$E$5,KPI_Config!$D$5,IF(AND(KPI_Config!$F$5&gt;0,Raw_Data!E6&gt;=KPI_Config!$G$5),KPI_Config!$F$5,0)))))</f>
        <v>0</v>
      </c>
      <c r="F6" s="16">
        <f>IF($A6="","",IF(Raw_Data!F6="",0,IF(KPI_Config!$C$6="L",IF(Raw_Data!F6&lt;=KPI_Config!$E$6,KPI_Config!$D$6,IF(AND(KPI_Config!$F$6&gt;0,Raw_Data!F6&lt;=KPI_Config!$G$6),KPI_Config!$F$6,0)),IF(Raw_Data!F6&gt;=KPI_Config!$E$6,KPI_Config!$D$6,IF(AND(KPI_Config!$F$6&gt;0,Raw_Data!F6&gt;=KPI_Config!$G$6),KPI_Config!$F$6,0)))))</f>
        <v>0</v>
      </c>
      <c r="G6" s="16">
        <f>IF($A6="","",IF(Raw_Data!G6="",0,IF(KPI_Config!$C$7="L",IF(Raw_Data!G6&lt;=KPI_Config!$E$7,KPI_Config!$D$7,IF(AND(KPI_Config!$F$7&gt;0,Raw_Data!G6&lt;=KPI_Config!$G$7),KPI_Config!$F$7,0)),IF(Raw_Data!G6&gt;=KPI_Config!$E$7,KPI_Config!$D$7,IF(AND(KPI_Config!$F$7&gt;0,Raw_Data!G6&gt;=KPI_Config!$G$7),KPI_Config!$F$7,0)))))</f>
        <v>0.2</v>
      </c>
      <c r="H6" s="16">
        <f>IF($A6="","",IF(Raw_Data!H6="",0,IF(KPI_Config!$C$8="L",IF(Raw_Data!H6&lt;=KPI_Config!$E$8,KPI_Config!$D$8,IF(AND(KPI_Config!$F$8&gt;0,Raw_Data!H6&lt;=KPI_Config!$G$8),KPI_Config!$F$8,0)),IF(Raw_Data!H6&gt;=KPI_Config!$E$8,KPI_Config!$D$8,IF(AND(KPI_Config!$F$8&gt;0,Raw_Data!H6&gt;=KPI_Config!$G$8),KPI_Config!$F$8,0)))))</f>
        <v>0</v>
      </c>
      <c r="I6" s="16">
        <f>IF($A6="","",IF(Raw_Data!I6="",0,IF(KPI_Config!$C$9="L",IF(Raw_Data!I6&lt;=KPI_Config!$E$9,KPI_Config!$D$9,IF(AND(KPI_Config!$F$9&gt;0,Raw_Data!I6&lt;=KPI_Config!$G$9),KPI_Config!$F$9,0)),IF(Raw_Data!I6&gt;=KPI_Config!$E$9,KPI_Config!$D$9,IF(AND(KPI_Config!$F$9&gt;0,Raw_Data!I6&gt;=KPI_Config!$G$9),KPI_Config!$F$9,0)))))</f>
        <v>0</v>
      </c>
      <c r="J6" s="16">
        <f>IF($A6="","",IF(Raw_Data!J6="",0,IF(KPI_Config!$C$10="L",IF(Raw_Data!J6&lt;=KPI_Config!$E$10,KPI_Config!$D$10,IF(AND(KPI_Config!$F$10&gt;0,Raw_Data!J6&lt;=KPI_Config!$G$10),KPI_Config!$F$10,0)),IF(Raw_Data!J6&gt;=KPI_Config!$E$10,KPI_Config!$D$10,IF(AND(KPI_Config!$F$10&gt;0,Raw_Data!J6&gt;=KPI_Config!$G$10),KPI_Config!$F$10,0)))))</f>
        <v>0</v>
      </c>
      <c r="K6" s="16">
        <f>IF($A6="","",IF(Raw_Data!G6="",0,IF(KPI_Config!$C$11="L",IF(Raw_Data!G6&lt;=KPI_Config!$E$11,KPI_Config!$D$11,IF(AND(KPI_Config!$F$11&gt;0,Raw_Data!G6&lt;=KPI_Config!$G$11),KPI_Config!$F$11,0)),IF(Raw_Data!G6&gt;=KPI_Config!$E$11,KPI_Config!$D$11,IF(AND(KPI_Config!$F$11&gt;0,Raw_Data!G6&gt;=KPI_Config!$G$11),KPI_Config!$F$11,0)))))</f>
        <v>0.3</v>
      </c>
      <c r="L6" s="16">
        <f>IF($A6="","",MIN(Policy_Decisions!$B$10,IF(Policy_Decisions!$B$6="Additive",SUM(E6:K6),SUM(E6:J6)-G6+MAX(G6,K6))))</f>
        <v>0.5</v>
      </c>
      <c r="M6" s="16">
        <f>IF($A6="","",Raw_Data!K6)</f>
        <v>0</v>
      </c>
      <c r="N6" s="16">
        <f>IF($A6="","",IFERROR(VLOOKUP(M6,KPI_Config!$I$5:$J$10,2,FALSE()),0))</f>
        <v>0</v>
      </c>
      <c r="O6" s="16">
        <f>IF($A6="","",IF(Policy_Decisions!$B$5="Percentage points",MAX(0,L6-N6),L6*(1-N6)))</f>
        <v>0.5</v>
      </c>
      <c r="P6" s="15" t="str">
        <f>IF($A6="","",IF(U6="","Review proration",IF(O6=0,"No payout",IF(N6&gt;0,"Malus applied","Eligible"))))</f>
        <v>Eligible</v>
      </c>
      <c r="Q6" s="15" t="str">
        <f>IF($A6="","",Raw_Data!M6)</f>
        <v>MAD</v>
      </c>
      <c r="R6" s="38">
        <f>IF($A6="","",Raw_Data!N6)</f>
        <v>0</v>
      </c>
      <c r="S6" s="38">
        <f>IF($A6="","",Raw_Data!O6)</f>
        <v>0</v>
      </c>
      <c r="T6" s="38">
        <f>IF($A6="","",IF(Raw_Data!P6&gt;0,Raw_Data!P6,Raw_Data!N6*Raw_Data!O6/IF(Policy_Decisions!$B$7="Annual",12,1)))</f>
        <v>2000</v>
      </c>
      <c r="U6" s="38">
        <f>IF($A6="","",IF(OR(Raw_Data!R6="",Raw_Data!R6&lt;=0),"",MIN(1,MAX(0,Raw_Data!Q6/Raw_Data!R6))))</f>
        <v>1</v>
      </c>
      <c r="V6" s="38">
        <f>IF(OR($A6="",U6=""),"",T6*U6)</f>
        <v>2000</v>
      </c>
      <c r="W6" s="38">
        <f>IF(OR($A6="",V6=""),"",V6*L6)</f>
        <v>1000</v>
      </c>
      <c r="X6" s="38">
        <f>IF(OR($A6="",V6=""),"",V6*L6-V6*O6)</f>
        <v>0</v>
      </c>
      <c r="Y6" s="38">
        <f>IF(OR($A6="",V6=""),"",ROUND(V6*O6,IF(Policy_Decisions!$B$11="Whole MAD",0,2)))</f>
        <v>1000</v>
      </c>
      <c r="Z6" t="str">
        <f>Raw_Data!T6</f>
        <v>Grouh Jaouad</v>
      </c>
      <c r="AA6" t="str">
        <f>Raw_Data!U6</f>
        <v>Anas OUAKKAD</v>
      </c>
    </row>
    <row r="7" spans="1:27" ht="14.25" customHeight="1">
      <c r="A7" s="13">
        <f>IF(Raw_Data!A7="","",Raw_Data!A7)</f>
        <v>204343</v>
      </c>
      <c r="B7" s="13" t="str">
        <f>IF(Raw_Data!B7="","",Raw_Data!B7)</f>
        <v>Talhajit Abdellah</v>
      </c>
      <c r="C7" s="13" t="str">
        <f>IF(Raw_Data!C7="","",Raw_Data!C7)</f>
        <v>Ford GER</v>
      </c>
      <c r="D7" s="13" t="str">
        <f>IF(Raw_Data!D7="","",Raw_Data!D7)</f>
        <v>2026-07</v>
      </c>
      <c r="E7" s="21">
        <f>IF($A7="","",IF(Raw_Data!E7="",0,IF(KPI_Config!$C$5="L",IF(Raw_Data!E7&lt;=KPI_Config!$E$5,KPI_Config!$D$5,IF(AND(KPI_Config!$F$5&gt;0,Raw_Data!E7&lt;=KPI_Config!$G$5),KPI_Config!$F$5,0)),IF(Raw_Data!E7&gt;=KPI_Config!$E$5,KPI_Config!$D$5,IF(AND(KPI_Config!$F$5&gt;0,Raw_Data!E7&gt;=KPI_Config!$G$5),KPI_Config!$F$5,0)))))</f>
        <v>0</v>
      </c>
      <c r="F7" s="21">
        <f>IF($A7="","",IF(Raw_Data!F7="",0,IF(KPI_Config!$C$6="L",IF(Raw_Data!F7&lt;=KPI_Config!$E$6,KPI_Config!$D$6,IF(AND(KPI_Config!$F$6&gt;0,Raw_Data!F7&lt;=KPI_Config!$G$6),KPI_Config!$F$6,0)),IF(Raw_Data!F7&gt;=KPI_Config!$E$6,KPI_Config!$D$6,IF(AND(KPI_Config!$F$6&gt;0,Raw_Data!F7&gt;=KPI_Config!$G$6),KPI_Config!$F$6,0)))))</f>
        <v>0</v>
      </c>
      <c r="G7" s="21">
        <f>IF($A7="","",IF(Raw_Data!G7="",0,IF(KPI_Config!$C$7="L",IF(Raw_Data!G7&lt;=KPI_Config!$E$7,KPI_Config!$D$7,IF(AND(KPI_Config!$F$7&gt;0,Raw_Data!G7&lt;=KPI_Config!$G$7),KPI_Config!$F$7,0)),IF(Raw_Data!G7&gt;=KPI_Config!$E$7,KPI_Config!$D$7,IF(AND(KPI_Config!$F$7&gt;0,Raw_Data!G7&gt;=KPI_Config!$G$7),KPI_Config!$F$7,0)))))</f>
        <v>0</v>
      </c>
      <c r="H7" s="21">
        <f>IF($A7="","",IF(Raw_Data!H7="",0,IF(KPI_Config!$C$8="L",IF(Raw_Data!H7&lt;=KPI_Config!$E$8,KPI_Config!$D$8,IF(AND(KPI_Config!$F$8&gt;0,Raw_Data!H7&lt;=KPI_Config!$G$8),KPI_Config!$F$8,0)),IF(Raw_Data!H7&gt;=KPI_Config!$E$8,KPI_Config!$D$8,IF(AND(KPI_Config!$F$8&gt;0,Raw_Data!H7&gt;=KPI_Config!$G$8),KPI_Config!$F$8,0)))))</f>
        <v>0</v>
      </c>
      <c r="I7" s="21">
        <f>IF($A7="","",IF(Raw_Data!I7="",0,IF(KPI_Config!$C$9="L",IF(Raw_Data!I7&lt;=KPI_Config!$E$9,KPI_Config!$D$9,IF(AND(KPI_Config!$F$9&gt;0,Raw_Data!I7&lt;=KPI_Config!$G$9),KPI_Config!$F$9,0)),IF(Raw_Data!I7&gt;=KPI_Config!$E$9,KPI_Config!$D$9,IF(AND(KPI_Config!$F$9&gt;0,Raw_Data!I7&gt;=KPI_Config!$G$9),KPI_Config!$F$9,0)))))</f>
        <v>0</v>
      </c>
      <c r="J7" s="21">
        <f>IF($A7="","",IF(Raw_Data!J7="",0,IF(KPI_Config!$C$10="L",IF(Raw_Data!J7&lt;=KPI_Config!$E$10,KPI_Config!$D$10,IF(AND(KPI_Config!$F$10&gt;0,Raw_Data!J7&lt;=KPI_Config!$G$10),KPI_Config!$F$10,0)),IF(Raw_Data!J7&gt;=KPI_Config!$E$10,KPI_Config!$D$10,IF(AND(KPI_Config!$F$10&gt;0,Raw_Data!J7&gt;=KPI_Config!$G$10),KPI_Config!$F$10,0)))))</f>
        <v>0</v>
      </c>
      <c r="K7" s="21">
        <f>IF($A7="","",IF(Raw_Data!G7="",0,IF(KPI_Config!$C$11="L",IF(Raw_Data!G7&lt;=KPI_Config!$E$11,KPI_Config!$D$11,IF(AND(KPI_Config!$F$11&gt;0,Raw_Data!G7&lt;=KPI_Config!$G$11),KPI_Config!$F$11,0)),IF(Raw_Data!G7&gt;=KPI_Config!$E$11,KPI_Config!$D$11,IF(AND(KPI_Config!$F$11&gt;0,Raw_Data!G7&gt;=KPI_Config!$G$11),KPI_Config!$F$11,0)))))</f>
        <v>0</v>
      </c>
      <c r="L7" s="21">
        <f>IF($A7="","",MIN(Policy_Decisions!$B$10,IF(Policy_Decisions!$B$6="Additive",SUM(E7:K7),SUM(E7:J7)-G7+MAX(G7,K7))))</f>
        <v>0</v>
      </c>
      <c r="M7" s="21">
        <f>IF($A7="","",Raw_Data!K7)</f>
        <v>0</v>
      </c>
      <c r="N7" s="21">
        <f>IF($A7="","",IFERROR(VLOOKUP(M7,KPI_Config!$I$5:$J$10,2,FALSE()),0))</f>
        <v>0</v>
      </c>
      <c r="O7" s="21">
        <f>IF($A7="","",IF(Policy_Decisions!$B$5="Percentage points",MAX(0,L7-N7),L7*(1-N7)))</f>
        <v>0</v>
      </c>
      <c r="P7" s="13" t="str">
        <f>IF($A7="","",IF(U7="","Review proration",IF(O7=0,"No payout",IF(N7&gt;0,"Malus applied","Eligible"))))</f>
        <v>No payout</v>
      </c>
      <c r="Q7" s="13" t="str">
        <f>IF($A7="","",Raw_Data!M7)</f>
        <v>MAD</v>
      </c>
      <c r="R7" s="37">
        <f>IF($A7="","",Raw_Data!N7)</f>
        <v>0</v>
      </c>
      <c r="S7" s="37">
        <f>IF($A7="","",Raw_Data!O7)</f>
        <v>0</v>
      </c>
      <c r="T7" s="37">
        <f>IF($A7="","",IF(Raw_Data!P7&gt;0,Raw_Data!P7,Raw_Data!N7*Raw_Data!O7/IF(Policy_Decisions!$B$7="Annual",12,1)))</f>
        <v>2000</v>
      </c>
      <c r="U7" s="37">
        <f>IF($A7="","",IF(OR(Raw_Data!R7="",Raw_Data!R7&lt;=0),"",MIN(1,MAX(0,Raw_Data!Q7/Raw_Data!R7))))</f>
        <v>1</v>
      </c>
      <c r="V7" s="37">
        <f>IF(OR($A7="",U7=""),"",T7*U7)</f>
        <v>2000</v>
      </c>
      <c r="W7" s="37">
        <f>IF(OR($A7="",V7=""),"",V7*L7)</f>
        <v>0</v>
      </c>
      <c r="X7" s="37">
        <f>IF(OR($A7="",V7=""),"",V7*L7-V7*O7)</f>
        <v>0</v>
      </c>
      <c r="Y7" s="37">
        <f>IF(OR($A7="",V7=""),"",ROUND(V7*O7,IF(Policy_Decisions!$B$11="Whole MAD",0,2)))</f>
        <v>0</v>
      </c>
      <c r="Z7" t="str">
        <f>Raw_Data!T7</f>
        <v>Grouh Jaouad</v>
      </c>
      <c r="AA7" t="str">
        <f>Raw_Data!U7</f>
        <v>Anas OUAKKAD</v>
      </c>
    </row>
    <row r="8" spans="1:27" ht="14.25" customHeight="1">
      <c r="A8" s="15">
        <f>IF(Raw_Data!A8="","",Raw_Data!A8)</f>
        <v>204344</v>
      </c>
      <c r="B8" s="15" t="str">
        <f>IF(Raw_Data!B8="","",Raw_Data!B8)</f>
        <v>AYMAZ Abdelhay</v>
      </c>
      <c r="C8" s="15" t="str">
        <f>IF(Raw_Data!C8="","",Raw_Data!C8)</f>
        <v>Ford GER</v>
      </c>
      <c r="D8" s="15" t="str">
        <f>IF(Raw_Data!D8="","",Raw_Data!D8)</f>
        <v>2026-07</v>
      </c>
      <c r="E8" s="16">
        <f>IF($A8="","",IF(Raw_Data!E8="",0,IF(KPI_Config!$C$5="L",IF(Raw_Data!E8&lt;=KPI_Config!$E$5,KPI_Config!$D$5,IF(AND(KPI_Config!$F$5&gt;0,Raw_Data!E8&lt;=KPI_Config!$G$5),KPI_Config!$F$5,0)),IF(Raw_Data!E8&gt;=KPI_Config!$E$5,KPI_Config!$D$5,IF(AND(KPI_Config!$F$5&gt;0,Raw_Data!E8&gt;=KPI_Config!$G$5),KPI_Config!$F$5,0)))))</f>
        <v>0</v>
      </c>
      <c r="F8" s="16">
        <f>IF($A8="","",IF(Raw_Data!F8="",0,IF(KPI_Config!$C$6="L",IF(Raw_Data!F8&lt;=KPI_Config!$E$6,KPI_Config!$D$6,IF(AND(KPI_Config!$F$6&gt;0,Raw_Data!F8&lt;=KPI_Config!$G$6),KPI_Config!$F$6,0)),IF(Raw_Data!F8&gt;=KPI_Config!$E$6,KPI_Config!$D$6,IF(AND(KPI_Config!$F$6&gt;0,Raw_Data!F8&gt;=KPI_Config!$G$6),KPI_Config!$F$6,0)))))</f>
        <v>0</v>
      </c>
      <c r="G8" s="16">
        <f>IF($A8="","",IF(Raw_Data!G8="",0,IF(KPI_Config!$C$7="L",IF(Raw_Data!G8&lt;=KPI_Config!$E$7,KPI_Config!$D$7,IF(AND(KPI_Config!$F$7&gt;0,Raw_Data!G8&lt;=KPI_Config!$G$7),KPI_Config!$F$7,0)),IF(Raw_Data!G8&gt;=KPI_Config!$E$7,KPI_Config!$D$7,IF(AND(KPI_Config!$F$7&gt;0,Raw_Data!G8&gt;=KPI_Config!$G$7),KPI_Config!$F$7,0)))))</f>
        <v>0.2</v>
      </c>
      <c r="H8" s="16">
        <f>IF($A8="","",IF(Raw_Data!H8="",0,IF(KPI_Config!$C$8="L",IF(Raw_Data!H8&lt;=KPI_Config!$E$8,KPI_Config!$D$8,IF(AND(KPI_Config!$F$8&gt;0,Raw_Data!H8&lt;=KPI_Config!$G$8),KPI_Config!$F$8,0)),IF(Raw_Data!H8&gt;=KPI_Config!$E$8,KPI_Config!$D$8,IF(AND(KPI_Config!$F$8&gt;0,Raw_Data!H8&gt;=KPI_Config!$G$8),KPI_Config!$F$8,0)))))</f>
        <v>0</v>
      </c>
      <c r="I8" s="16">
        <f>IF($A8="","",IF(Raw_Data!I8="",0,IF(KPI_Config!$C$9="L",IF(Raw_Data!I8&lt;=KPI_Config!$E$9,KPI_Config!$D$9,IF(AND(KPI_Config!$F$9&gt;0,Raw_Data!I8&lt;=KPI_Config!$G$9),KPI_Config!$F$9,0)),IF(Raw_Data!I8&gt;=KPI_Config!$E$9,KPI_Config!$D$9,IF(AND(KPI_Config!$F$9&gt;0,Raw_Data!I8&gt;=KPI_Config!$G$9),KPI_Config!$F$9,0)))))</f>
        <v>0</v>
      </c>
      <c r="J8" s="16">
        <f>IF($A8="","",IF(Raw_Data!J8="",0,IF(KPI_Config!$C$10="L",IF(Raw_Data!J8&lt;=KPI_Config!$E$10,KPI_Config!$D$10,IF(AND(KPI_Config!$F$10&gt;0,Raw_Data!J8&lt;=KPI_Config!$G$10),KPI_Config!$F$10,0)),IF(Raw_Data!J8&gt;=KPI_Config!$E$10,KPI_Config!$D$10,IF(AND(KPI_Config!$F$10&gt;0,Raw_Data!J8&gt;=KPI_Config!$G$10),KPI_Config!$F$10,0)))))</f>
        <v>0</v>
      </c>
      <c r="K8" s="16">
        <f>IF($A8="","",IF(Raw_Data!G8="",0,IF(KPI_Config!$C$11="L",IF(Raw_Data!G8&lt;=KPI_Config!$E$11,KPI_Config!$D$11,IF(AND(KPI_Config!$F$11&gt;0,Raw_Data!G8&lt;=KPI_Config!$G$11),KPI_Config!$F$11,0)),IF(Raw_Data!G8&gt;=KPI_Config!$E$11,KPI_Config!$D$11,IF(AND(KPI_Config!$F$11&gt;0,Raw_Data!G8&gt;=KPI_Config!$G$11),KPI_Config!$F$11,0)))))</f>
        <v>0.3</v>
      </c>
      <c r="L8" s="16">
        <f>IF($A8="","",MIN(Policy_Decisions!$B$10,IF(Policy_Decisions!$B$6="Additive",SUM(E8:K8),SUM(E8:J8)-G8+MAX(G8,K8))))</f>
        <v>0.5</v>
      </c>
      <c r="M8" s="16">
        <f>IF($A8="","",Raw_Data!K8)</f>
        <v>0</v>
      </c>
      <c r="N8" s="16">
        <f>IF($A8="","",IFERROR(VLOOKUP(M8,KPI_Config!$I$5:$J$10,2,FALSE()),0))</f>
        <v>0</v>
      </c>
      <c r="O8" s="16">
        <f>IF($A8="","",IF(Policy_Decisions!$B$5="Percentage points",MAX(0,L8-N8),L8*(1-N8)))</f>
        <v>0.5</v>
      </c>
      <c r="P8" s="15" t="str">
        <f>IF($A8="","",IF(U8="","Review proration",IF(O8=0,"No payout",IF(N8&gt;0,"Malus applied","Eligible"))))</f>
        <v>Eligible</v>
      </c>
      <c r="Q8" s="15" t="str">
        <f>IF($A8="","",Raw_Data!M8)</f>
        <v>MAD</v>
      </c>
      <c r="R8" s="38">
        <f>IF($A8="","",Raw_Data!N8)</f>
        <v>0</v>
      </c>
      <c r="S8" s="38">
        <f>IF($A8="","",Raw_Data!O8)</f>
        <v>0</v>
      </c>
      <c r="T8" s="38">
        <f>IF($A8="","",IF(Raw_Data!P8&gt;0,Raw_Data!P8,Raw_Data!N8*Raw_Data!O8/IF(Policy_Decisions!$B$7="Annual",12,1)))</f>
        <v>2000</v>
      </c>
      <c r="U8" s="38">
        <f>IF($A8="","",IF(OR(Raw_Data!R8="",Raw_Data!R8&lt;=0),"",MIN(1,MAX(0,Raw_Data!Q8/Raw_Data!R8))))</f>
        <v>1</v>
      </c>
      <c r="V8" s="38">
        <f>IF(OR($A8="",U8=""),"",T8*U8)</f>
        <v>2000</v>
      </c>
      <c r="W8" s="38">
        <f>IF(OR($A8="",V8=""),"",V8*L8)</f>
        <v>1000</v>
      </c>
      <c r="X8" s="38">
        <f>IF(OR($A8="",V8=""),"",V8*L8-V8*O8)</f>
        <v>0</v>
      </c>
      <c r="Y8" s="38">
        <f>IF(OR($A8="",V8=""),"",ROUND(V8*O8,IF(Policy_Decisions!$B$11="Whole MAD",0,2)))</f>
        <v>1000</v>
      </c>
      <c r="Z8" t="str">
        <f>Raw_Data!T8</f>
        <v>Grouh Jaouad</v>
      </c>
      <c r="AA8" t="str">
        <f>Raw_Data!U8</f>
        <v>Anas OUAKKAD</v>
      </c>
    </row>
    <row r="9" spans="1:27" ht="14.25" customHeight="1">
      <c r="A9" s="13">
        <f>IF(Raw_Data!A9="","",Raw_Data!A9)</f>
        <v>204345</v>
      </c>
      <c r="B9" s="13" t="str">
        <f>IF(Raw_Data!B9="","",Raw_Data!B9)</f>
        <v>MOUSSA Amjad</v>
      </c>
      <c r="C9" s="13" t="str">
        <f>IF(Raw_Data!C9="","",Raw_Data!C9)</f>
        <v>Ford GER</v>
      </c>
      <c r="D9" s="13" t="str">
        <f>IF(Raw_Data!D9="","",Raw_Data!D9)</f>
        <v>2026-07</v>
      </c>
      <c r="E9" s="21">
        <f>IF($A9="","",IF(Raw_Data!E9="",0,IF(KPI_Config!$C$5="L",IF(Raw_Data!E9&lt;=KPI_Config!$E$5,KPI_Config!$D$5,IF(AND(KPI_Config!$F$5&gt;0,Raw_Data!E9&lt;=KPI_Config!$G$5),KPI_Config!$F$5,0)),IF(Raw_Data!E9&gt;=KPI_Config!$E$5,KPI_Config!$D$5,IF(AND(KPI_Config!$F$5&gt;0,Raw_Data!E9&gt;=KPI_Config!$G$5),KPI_Config!$F$5,0)))))</f>
        <v>0</v>
      </c>
      <c r="F9" s="21">
        <f>IF($A9="","",IF(Raw_Data!F9="",0,IF(KPI_Config!$C$6="L",IF(Raw_Data!F9&lt;=KPI_Config!$E$6,KPI_Config!$D$6,IF(AND(KPI_Config!$F$6&gt;0,Raw_Data!F9&lt;=KPI_Config!$G$6),KPI_Config!$F$6,0)),IF(Raw_Data!F9&gt;=KPI_Config!$E$6,KPI_Config!$D$6,IF(AND(KPI_Config!$F$6&gt;0,Raw_Data!F9&gt;=KPI_Config!$G$6),KPI_Config!$F$6,0)))))</f>
        <v>0</v>
      </c>
      <c r="G9" s="21">
        <f>IF($A9="","",IF(Raw_Data!G9="",0,IF(KPI_Config!$C$7="L",IF(Raw_Data!G9&lt;=KPI_Config!$E$7,KPI_Config!$D$7,IF(AND(KPI_Config!$F$7&gt;0,Raw_Data!G9&lt;=KPI_Config!$G$7),KPI_Config!$F$7,0)),IF(Raw_Data!G9&gt;=KPI_Config!$E$7,KPI_Config!$D$7,IF(AND(KPI_Config!$F$7&gt;0,Raw_Data!G9&gt;=KPI_Config!$G$7),KPI_Config!$F$7,0)))))</f>
        <v>0</v>
      </c>
      <c r="H9" s="21">
        <f>IF($A9="","",IF(Raw_Data!H9="",0,IF(KPI_Config!$C$8="L",IF(Raw_Data!H9&lt;=KPI_Config!$E$8,KPI_Config!$D$8,IF(AND(KPI_Config!$F$8&gt;0,Raw_Data!H9&lt;=KPI_Config!$G$8),KPI_Config!$F$8,0)),IF(Raw_Data!H9&gt;=KPI_Config!$E$8,KPI_Config!$D$8,IF(AND(KPI_Config!$F$8&gt;0,Raw_Data!H9&gt;=KPI_Config!$G$8),KPI_Config!$F$8,0)))))</f>
        <v>0</v>
      </c>
      <c r="I9" s="21">
        <f>IF($A9="","",IF(Raw_Data!I9="",0,IF(KPI_Config!$C$9="L",IF(Raw_Data!I9&lt;=KPI_Config!$E$9,KPI_Config!$D$9,IF(AND(KPI_Config!$F$9&gt;0,Raw_Data!I9&lt;=KPI_Config!$G$9),KPI_Config!$F$9,0)),IF(Raw_Data!I9&gt;=KPI_Config!$E$9,KPI_Config!$D$9,IF(AND(KPI_Config!$F$9&gt;0,Raw_Data!I9&gt;=KPI_Config!$G$9),KPI_Config!$F$9,0)))))</f>
        <v>0</v>
      </c>
      <c r="J9" s="21">
        <f>IF($A9="","",IF(Raw_Data!J9="",0,IF(KPI_Config!$C$10="L",IF(Raw_Data!J9&lt;=KPI_Config!$E$10,KPI_Config!$D$10,IF(AND(KPI_Config!$F$10&gt;0,Raw_Data!J9&lt;=KPI_Config!$G$10),KPI_Config!$F$10,0)),IF(Raw_Data!J9&gt;=KPI_Config!$E$10,KPI_Config!$D$10,IF(AND(KPI_Config!$F$10&gt;0,Raw_Data!J9&gt;=KPI_Config!$G$10),KPI_Config!$F$10,0)))))</f>
        <v>0</v>
      </c>
      <c r="K9" s="21">
        <f>IF($A9="","",IF(Raw_Data!G9="",0,IF(KPI_Config!$C$11="L",IF(Raw_Data!G9&lt;=KPI_Config!$E$11,KPI_Config!$D$11,IF(AND(KPI_Config!$F$11&gt;0,Raw_Data!G9&lt;=KPI_Config!$G$11),KPI_Config!$F$11,0)),IF(Raw_Data!G9&gt;=KPI_Config!$E$11,KPI_Config!$D$11,IF(AND(KPI_Config!$F$11&gt;0,Raw_Data!G9&gt;=KPI_Config!$G$11),KPI_Config!$F$11,0)))))</f>
        <v>0</v>
      </c>
      <c r="L9" s="21">
        <f>IF($A9="","",MIN(Policy_Decisions!$B$10,IF(Policy_Decisions!$B$6="Additive",SUM(E9:K9),SUM(E9:J9)-G9+MAX(G9,K9))))</f>
        <v>0</v>
      </c>
      <c r="M9" s="21">
        <f>IF($A9="","",Raw_Data!K9)</f>
        <v>0</v>
      </c>
      <c r="N9" s="21">
        <f>IF($A9="","",IFERROR(VLOOKUP(M9,KPI_Config!$I$5:$J$10,2,FALSE()),0))</f>
        <v>0</v>
      </c>
      <c r="O9" s="21">
        <f>IF($A9="","",IF(Policy_Decisions!$B$5="Percentage points",MAX(0,L9-N9),L9*(1-N9)))</f>
        <v>0</v>
      </c>
      <c r="P9" s="13" t="str">
        <f>IF($A9="","",IF(U9="","Review proration",IF(O9=0,"No payout",IF(N9&gt;0,"Malus applied","Eligible"))))</f>
        <v>No payout</v>
      </c>
      <c r="Q9" s="13" t="str">
        <f>IF($A9="","",Raw_Data!M9)</f>
        <v>MAD</v>
      </c>
      <c r="R9" s="37">
        <f>IF($A9="","",Raw_Data!N9)</f>
        <v>0</v>
      </c>
      <c r="S9" s="37">
        <f>IF($A9="","",Raw_Data!O9)</f>
        <v>0</v>
      </c>
      <c r="T9" s="37">
        <f>IF($A9="","",IF(Raw_Data!P9&gt;0,Raw_Data!P9,Raw_Data!N9*Raw_Data!O9/IF(Policy_Decisions!$B$7="Annual",12,1)))</f>
        <v>2000</v>
      </c>
      <c r="U9" s="37">
        <f>IF($A9="","",IF(OR(Raw_Data!R9="",Raw_Data!R9&lt;=0),"",MIN(1,MAX(0,Raw_Data!Q9/Raw_Data!R9))))</f>
        <v>1</v>
      </c>
      <c r="V9" s="37">
        <f>IF(OR($A9="",U9=""),"",T9*U9)</f>
        <v>2000</v>
      </c>
      <c r="W9" s="37">
        <f>IF(OR($A9="",V9=""),"",V9*L9)</f>
        <v>0</v>
      </c>
      <c r="X9" s="37">
        <f>IF(OR($A9="",V9=""),"",V9*L9-V9*O9)</f>
        <v>0</v>
      </c>
      <c r="Y9" s="37">
        <f>IF(OR($A9="",V9=""),"",ROUND(V9*O9,IF(Policy_Decisions!$B$11="Whole MAD",0,2)))</f>
        <v>0</v>
      </c>
      <c r="Z9" t="str">
        <f>Raw_Data!T9</f>
        <v>Grouh Jaouad</v>
      </c>
      <c r="AA9" t="str">
        <f>Raw_Data!U9</f>
        <v>Anas OUAKKAD</v>
      </c>
    </row>
    <row r="10" spans="1:27" ht="14.25" customHeight="1">
      <c r="A10" s="15">
        <f>IF(Raw_Data!A10="","",Raw_Data!A10)</f>
        <v>204602</v>
      </c>
      <c r="B10" s="15" t="str">
        <f>IF(Raw_Data!B10="","",Raw_Data!B10)</f>
        <v>DRISSI Sidi Youssef</v>
      </c>
      <c r="C10" s="15" t="str">
        <f>IF(Raw_Data!C10="","",Raw_Data!C10)</f>
        <v>Ford GER</v>
      </c>
      <c r="D10" s="15" t="str">
        <f>IF(Raw_Data!D10="","",Raw_Data!D10)</f>
        <v>2026-07</v>
      </c>
      <c r="E10" s="16">
        <f>IF($A10="","",IF(Raw_Data!E10="",0,IF(KPI_Config!$C$5="L",IF(Raw_Data!E10&lt;=KPI_Config!$E$5,KPI_Config!$D$5,IF(AND(KPI_Config!$F$5&gt;0,Raw_Data!E10&lt;=KPI_Config!$G$5),KPI_Config!$F$5,0)),IF(Raw_Data!E10&gt;=KPI_Config!$E$5,KPI_Config!$D$5,IF(AND(KPI_Config!$F$5&gt;0,Raw_Data!E10&gt;=KPI_Config!$G$5),KPI_Config!$F$5,0)))))</f>
        <v>0</v>
      </c>
      <c r="F10" s="16">
        <f>IF($A10="","",IF(Raw_Data!F10="",0,IF(KPI_Config!$C$6="L",IF(Raw_Data!F10&lt;=KPI_Config!$E$6,KPI_Config!$D$6,IF(AND(KPI_Config!$F$6&gt;0,Raw_Data!F10&lt;=KPI_Config!$G$6),KPI_Config!$F$6,0)),IF(Raw_Data!F10&gt;=KPI_Config!$E$6,KPI_Config!$D$6,IF(AND(KPI_Config!$F$6&gt;0,Raw_Data!F10&gt;=KPI_Config!$G$6),KPI_Config!$F$6,0)))))</f>
        <v>0</v>
      </c>
      <c r="G10" s="16">
        <f>IF($A10="","",IF(Raw_Data!G10="",0,IF(KPI_Config!$C$7="L",IF(Raw_Data!G10&lt;=KPI_Config!$E$7,KPI_Config!$D$7,IF(AND(KPI_Config!$F$7&gt;0,Raw_Data!G10&lt;=KPI_Config!$G$7),KPI_Config!$F$7,0)),IF(Raw_Data!G10&gt;=KPI_Config!$E$7,KPI_Config!$D$7,IF(AND(KPI_Config!$F$7&gt;0,Raw_Data!G10&gt;=KPI_Config!$G$7),KPI_Config!$F$7,0)))))</f>
        <v>0</v>
      </c>
      <c r="H10" s="16">
        <f>IF($A10="","",IF(Raw_Data!H10="",0,IF(KPI_Config!$C$8="L",IF(Raw_Data!H10&lt;=KPI_Config!$E$8,KPI_Config!$D$8,IF(AND(KPI_Config!$F$8&gt;0,Raw_Data!H10&lt;=KPI_Config!$G$8),KPI_Config!$F$8,0)),IF(Raw_Data!H10&gt;=KPI_Config!$E$8,KPI_Config!$D$8,IF(AND(KPI_Config!$F$8&gt;0,Raw_Data!H10&gt;=KPI_Config!$G$8),KPI_Config!$F$8,0)))))</f>
        <v>0</v>
      </c>
      <c r="I10" s="16">
        <f>IF($A10="","",IF(Raw_Data!I10="",0,IF(KPI_Config!$C$9="L",IF(Raw_Data!I10&lt;=KPI_Config!$E$9,KPI_Config!$D$9,IF(AND(KPI_Config!$F$9&gt;0,Raw_Data!I10&lt;=KPI_Config!$G$9),KPI_Config!$F$9,0)),IF(Raw_Data!I10&gt;=KPI_Config!$E$9,KPI_Config!$D$9,IF(AND(KPI_Config!$F$9&gt;0,Raw_Data!I10&gt;=KPI_Config!$G$9),KPI_Config!$F$9,0)))))</f>
        <v>0</v>
      </c>
      <c r="J10" s="16">
        <f>IF($A10="","",IF(Raw_Data!J10="",0,IF(KPI_Config!$C$10="L",IF(Raw_Data!J10&lt;=KPI_Config!$E$10,KPI_Config!$D$10,IF(AND(KPI_Config!$F$10&gt;0,Raw_Data!J10&lt;=KPI_Config!$G$10),KPI_Config!$F$10,0)),IF(Raw_Data!J10&gt;=KPI_Config!$E$10,KPI_Config!$D$10,IF(AND(KPI_Config!$F$10&gt;0,Raw_Data!J10&gt;=KPI_Config!$G$10),KPI_Config!$F$10,0)))))</f>
        <v>0</v>
      </c>
      <c r="K10" s="16">
        <f>IF($A10="","",IF(Raw_Data!G10="",0,IF(KPI_Config!$C$11="L",IF(Raw_Data!G10&lt;=KPI_Config!$E$11,KPI_Config!$D$11,IF(AND(KPI_Config!$F$11&gt;0,Raw_Data!G10&lt;=KPI_Config!$G$11),KPI_Config!$F$11,0)),IF(Raw_Data!G10&gt;=KPI_Config!$E$11,KPI_Config!$D$11,IF(AND(KPI_Config!$F$11&gt;0,Raw_Data!G10&gt;=KPI_Config!$G$11),KPI_Config!$F$11,0)))))</f>
        <v>0</v>
      </c>
      <c r="L10" s="16">
        <f>IF($A10="","",MIN(Policy_Decisions!$B$10,IF(Policy_Decisions!$B$6="Additive",SUM(E10:K10),SUM(E10:J10)-G10+MAX(G10,K10))))</f>
        <v>0</v>
      </c>
      <c r="M10" s="16">
        <f>IF($A10="","",Raw_Data!K10)</f>
        <v>0</v>
      </c>
      <c r="N10" s="16">
        <f>IF($A10="","",IFERROR(VLOOKUP(M10,KPI_Config!$I$5:$J$10,2,FALSE()),0))</f>
        <v>0</v>
      </c>
      <c r="O10" s="16">
        <f>IF($A10="","",IF(Policy_Decisions!$B$5="Percentage points",MAX(0,L10-N10),L10*(1-N10)))</f>
        <v>0</v>
      </c>
      <c r="P10" s="15" t="str">
        <f>IF($A10="","",IF(U10="","Review proration",IF(O10=0,"No payout",IF(N10&gt;0,"Malus applied","Eligible"))))</f>
        <v>No payout</v>
      </c>
      <c r="Q10" s="15" t="str">
        <f>IF($A10="","",Raw_Data!M10)</f>
        <v>MAD</v>
      </c>
      <c r="R10" s="38">
        <f>IF($A10="","",Raw_Data!N10)</f>
        <v>0</v>
      </c>
      <c r="S10" s="38">
        <f>IF($A10="","",Raw_Data!O10)</f>
        <v>0</v>
      </c>
      <c r="T10" s="38">
        <f>IF($A10="","",IF(Raw_Data!P10&gt;0,Raw_Data!P10,Raw_Data!N10*Raw_Data!O10/IF(Policy_Decisions!$B$7="Annual",12,1)))</f>
        <v>2000</v>
      </c>
      <c r="U10" s="38">
        <f>IF($A10="","",IF(OR(Raw_Data!R10="",Raw_Data!R10&lt;=0),"",MIN(1,MAX(0,Raw_Data!Q10/Raw_Data!R10))))</f>
        <v>1</v>
      </c>
      <c r="V10" s="38">
        <f>IF(OR($A10="",U10=""),"",T10*U10)</f>
        <v>2000</v>
      </c>
      <c r="W10" s="38">
        <f>IF(OR($A10="",V10=""),"",V10*L10)</f>
        <v>0</v>
      </c>
      <c r="X10" s="38">
        <f>IF(OR($A10="",V10=""),"",V10*L10-V10*O10)</f>
        <v>0</v>
      </c>
      <c r="Y10" s="38">
        <f>IF(OR($A10="",V10=""),"",ROUND(V10*O10,IF(Policy_Decisions!$B$11="Whole MAD",0,2)))</f>
        <v>0</v>
      </c>
      <c r="Z10" t="str">
        <f>Raw_Data!T10</f>
        <v>Grouh Jaouad</v>
      </c>
      <c r="AA10" t="str">
        <f>Raw_Data!U10</f>
        <v>Anas OUAKKAD</v>
      </c>
    </row>
    <row r="11" spans="1:27" ht="14.25" customHeight="1">
      <c r="A11" s="13">
        <f>IF(Raw_Data!A11="","",Raw_Data!A11)</f>
        <v>204349</v>
      </c>
      <c r="B11" s="13" t="str">
        <f>IF(Raw_Data!B11="","",Raw_Data!B11)</f>
        <v>NABACH Lara</v>
      </c>
      <c r="C11" s="13" t="str">
        <f>IF(Raw_Data!C11="","",Raw_Data!C11)</f>
        <v>Ford GER</v>
      </c>
      <c r="D11" s="13" t="str">
        <f>IF(Raw_Data!D11="","",Raw_Data!D11)</f>
        <v>2026-07</v>
      </c>
      <c r="E11" s="21">
        <f>IF($A11="","",IF(Raw_Data!E11="",0,IF(KPI_Config!$C$5="L",IF(Raw_Data!E11&lt;=KPI_Config!$E$5,KPI_Config!$D$5,IF(AND(KPI_Config!$F$5&gt;0,Raw_Data!E11&lt;=KPI_Config!$G$5),KPI_Config!$F$5,0)),IF(Raw_Data!E11&gt;=KPI_Config!$E$5,KPI_Config!$D$5,IF(AND(KPI_Config!$F$5&gt;0,Raw_Data!E11&gt;=KPI_Config!$G$5),KPI_Config!$F$5,0)))))</f>
        <v>0</v>
      </c>
      <c r="F11" s="21">
        <f>IF($A11="","",IF(Raw_Data!F11="",0,IF(KPI_Config!$C$6="L",IF(Raw_Data!F11&lt;=KPI_Config!$E$6,KPI_Config!$D$6,IF(AND(KPI_Config!$F$6&gt;0,Raw_Data!F11&lt;=KPI_Config!$G$6),KPI_Config!$F$6,0)),IF(Raw_Data!F11&gt;=KPI_Config!$E$6,KPI_Config!$D$6,IF(AND(KPI_Config!$F$6&gt;0,Raw_Data!F11&gt;=KPI_Config!$G$6),KPI_Config!$F$6,0)))))</f>
        <v>0.15</v>
      </c>
      <c r="G11" s="21">
        <f>IF($A11="","",IF(Raw_Data!G11="",0,IF(KPI_Config!$C$7="L",IF(Raw_Data!G11&lt;=KPI_Config!$E$7,KPI_Config!$D$7,IF(AND(KPI_Config!$F$7&gt;0,Raw_Data!G11&lt;=KPI_Config!$G$7),KPI_Config!$F$7,0)),IF(Raw_Data!G11&gt;=KPI_Config!$E$7,KPI_Config!$D$7,IF(AND(KPI_Config!$F$7&gt;0,Raw_Data!G11&gt;=KPI_Config!$G$7),KPI_Config!$F$7,0)))))</f>
        <v>0.15</v>
      </c>
      <c r="H11" s="21">
        <f>IF($A11="","",IF(Raw_Data!H11="",0,IF(KPI_Config!$C$8="L",IF(Raw_Data!H11&lt;=KPI_Config!$E$8,KPI_Config!$D$8,IF(AND(KPI_Config!$F$8&gt;0,Raw_Data!H11&lt;=KPI_Config!$G$8),KPI_Config!$F$8,0)),IF(Raw_Data!H11&gt;=KPI_Config!$E$8,KPI_Config!$D$8,IF(AND(KPI_Config!$F$8&gt;0,Raw_Data!H11&gt;=KPI_Config!$G$8),KPI_Config!$F$8,0)))))</f>
        <v>0</v>
      </c>
      <c r="I11" s="21">
        <f>IF($A11="","",IF(Raw_Data!I11="",0,IF(KPI_Config!$C$9="L",IF(Raw_Data!I11&lt;=KPI_Config!$E$9,KPI_Config!$D$9,IF(AND(KPI_Config!$F$9&gt;0,Raw_Data!I11&lt;=KPI_Config!$G$9),KPI_Config!$F$9,0)),IF(Raw_Data!I11&gt;=KPI_Config!$E$9,KPI_Config!$D$9,IF(AND(KPI_Config!$F$9&gt;0,Raw_Data!I11&gt;=KPI_Config!$G$9),KPI_Config!$F$9,0)))))</f>
        <v>0</v>
      </c>
      <c r="J11" s="21">
        <f>IF($A11="","",IF(Raw_Data!J11="",0,IF(KPI_Config!$C$10="L",IF(Raw_Data!J11&lt;=KPI_Config!$E$10,KPI_Config!$D$10,IF(AND(KPI_Config!$F$10&gt;0,Raw_Data!J11&lt;=KPI_Config!$G$10),KPI_Config!$F$10,0)),IF(Raw_Data!J11&gt;=KPI_Config!$E$10,KPI_Config!$D$10,IF(AND(KPI_Config!$F$10&gt;0,Raw_Data!J11&gt;=KPI_Config!$G$10),KPI_Config!$F$10,0)))))</f>
        <v>0</v>
      </c>
      <c r="K11" s="21">
        <f>IF($A11="","",IF(Raw_Data!G11="",0,IF(KPI_Config!$C$11="L",IF(Raw_Data!G11&lt;=KPI_Config!$E$11,KPI_Config!$D$11,IF(AND(KPI_Config!$F$11&gt;0,Raw_Data!G11&lt;=KPI_Config!$G$11),KPI_Config!$F$11,0)),IF(Raw_Data!G11&gt;=KPI_Config!$E$11,KPI_Config!$D$11,IF(AND(KPI_Config!$F$11&gt;0,Raw_Data!G11&gt;=KPI_Config!$G$11),KPI_Config!$F$11,0)))))</f>
        <v>0</v>
      </c>
      <c r="L11" s="21">
        <f>IF($A11="","",MIN(Policy_Decisions!$B$10,IF(Policy_Decisions!$B$6="Additive",SUM(E11:K11),SUM(E11:J11)-G11+MAX(G11,K11))))</f>
        <v>0.3</v>
      </c>
      <c r="M11" s="21">
        <f>IF($A11="","",Raw_Data!K11)</f>
        <v>0</v>
      </c>
      <c r="N11" s="21">
        <f>IF($A11="","",IFERROR(VLOOKUP(M11,KPI_Config!$I$5:$J$10,2,FALSE()),0))</f>
        <v>0</v>
      </c>
      <c r="O11" s="21">
        <f>IF($A11="","",IF(Policy_Decisions!$B$5="Percentage points",MAX(0,L11-N11),L11*(1-N11)))</f>
        <v>0.3</v>
      </c>
      <c r="P11" s="13" t="str">
        <f>IF($A11="","",IF(U11="","Review proration",IF(O11=0,"No payout",IF(N11&gt;0,"Malus applied","Eligible"))))</f>
        <v>Eligible</v>
      </c>
      <c r="Q11" s="13" t="str">
        <f>IF($A11="","",Raw_Data!M11)</f>
        <v>MAD</v>
      </c>
      <c r="R11" s="37">
        <f>IF($A11="","",Raw_Data!N11)</f>
        <v>0</v>
      </c>
      <c r="S11" s="37">
        <f>IF($A11="","",Raw_Data!O11)</f>
        <v>0</v>
      </c>
      <c r="T11" s="37">
        <f>IF($A11="","",IF(Raw_Data!P11&gt;0,Raw_Data!P11,Raw_Data!N11*Raw_Data!O11/IF(Policy_Decisions!$B$7="Annual",12,1)))</f>
        <v>2000</v>
      </c>
      <c r="U11" s="37">
        <f>IF($A11="","",IF(OR(Raw_Data!R11="",Raw_Data!R11&lt;=0),"",MIN(1,MAX(0,Raw_Data!Q11/Raw_Data!R11))))</f>
        <v>1</v>
      </c>
      <c r="V11" s="37">
        <f>IF(OR($A11="",U11=""),"",T11*U11)</f>
        <v>2000</v>
      </c>
      <c r="W11" s="37">
        <f>IF(OR($A11="",V11=""),"",V11*L11)</f>
        <v>600</v>
      </c>
      <c r="X11" s="37">
        <f>IF(OR($A11="",V11=""),"",V11*L11-V11*O11)</f>
        <v>0</v>
      </c>
      <c r="Y11" s="37">
        <f>IF(OR($A11="",V11=""),"",ROUND(V11*O11,IF(Policy_Decisions!$B$11="Whole MAD",0,2)))</f>
        <v>600</v>
      </c>
      <c r="Z11" t="str">
        <f>Raw_Data!T11</f>
        <v>Grouh Jaouad</v>
      </c>
      <c r="AA11" t="str">
        <f>Raw_Data!U11</f>
        <v>Anas OUAKKAD</v>
      </c>
    </row>
    <row r="12" spans="1:27" ht="14.25" customHeight="1">
      <c r="A12" s="15">
        <f>IF(Raw_Data!A12="","",Raw_Data!A12)</f>
        <v>228205</v>
      </c>
      <c r="B12" s="15" t="str">
        <f>IF(Raw_Data!B12="","",Raw_Data!B12)</f>
        <v>Mohamed Amine MERSAK</v>
      </c>
      <c r="C12" s="15" t="str">
        <f>IF(Raw_Data!C12="","",Raw_Data!C12)</f>
        <v>OEM FR</v>
      </c>
      <c r="D12" s="15" t="str">
        <f>IF(Raw_Data!D12="","",Raw_Data!D12)</f>
        <v>2026-07</v>
      </c>
      <c r="E12" s="16">
        <f>IF($A12="","",IF(Raw_Data!E12="",0,IF(KPI_Config!$C$5="L",IF(Raw_Data!E12&lt;=KPI_Config!$E$5,KPI_Config!$D$5,IF(AND(KPI_Config!$F$5&gt;0,Raw_Data!E12&lt;=KPI_Config!$G$5),KPI_Config!$F$5,0)),IF(Raw_Data!E12&gt;=KPI_Config!$E$5,KPI_Config!$D$5,IF(AND(KPI_Config!$F$5&gt;0,Raw_Data!E12&gt;=KPI_Config!$G$5),KPI_Config!$F$5,0)))))</f>
        <v>0.15</v>
      </c>
      <c r="F12" s="16">
        <f>IF($A12="","",IF(Raw_Data!F12="",0,IF(KPI_Config!$C$6="L",IF(Raw_Data!F12&lt;=KPI_Config!$E$6,KPI_Config!$D$6,IF(AND(KPI_Config!$F$6&gt;0,Raw_Data!F12&lt;=KPI_Config!$G$6),KPI_Config!$F$6,0)),IF(Raw_Data!F12&gt;=KPI_Config!$E$6,KPI_Config!$D$6,IF(AND(KPI_Config!$F$6&gt;0,Raw_Data!F12&gt;=KPI_Config!$G$6),KPI_Config!$F$6,0)))))</f>
        <v>0.15</v>
      </c>
      <c r="G12" s="16">
        <f>IF($A12="","",IF(Raw_Data!G12="",0,IF(KPI_Config!$C$7="L",IF(Raw_Data!G12&lt;=KPI_Config!$E$7,KPI_Config!$D$7,IF(AND(KPI_Config!$F$7&gt;0,Raw_Data!G12&lt;=KPI_Config!$G$7),KPI_Config!$F$7,0)),IF(Raw_Data!G12&gt;=KPI_Config!$E$7,KPI_Config!$D$7,IF(AND(KPI_Config!$F$7&gt;0,Raw_Data!G12&gt;=KPI_Config!$G$7),KPI_Config!$F$7,0)))))</f>
        <v>0.2</v>
      </c>
      <c r="H12" s="16">
        <f>IF($A12="","",IF(Raw_Data!H12="",0,IF(KPI_Config!$C$8="L",IF(Raw_Data!H12&lt;=KPI_Config!$E$8,KPI_Config!$D$8,IF(AND(KPI_Config!$F$8&gt;0,Raw_Data!H12&lt;=KPI_Config!$G$8),KPI_Config!$F$8,0)),IF(Raw_Data!H12&gt;=KPI_Config!$E$8,KPI_Config!$D$8,IF(AND(KPI_Config!$F$8&gt;0,Raw_Data!H12&gt;=KPI_Config!$G$8),KPI_Config!$F$8,0)))))</f>
        <v>0</v>
      </c>
      <c r="I12" s="16">
        <f>IF($A12="","",IF(Raw_Data!I12="",0,IF(KPI_Config!$C$9="L",IF(Raw_Data!I12&lt;=KPI_Config!$E$9,KPI_Config!$D$9,IF(AND(KPI_Config!$F$9&gt;0,Raw_Data!I12&lt;=KPI_Config!$G$9),KPI_Config!$F$9,0)),IF(Raw_Data!I12&gt;=KPI_Config!$E$9,KPI_Config!$D$9,IF(AND(KPI_Config!$F$9&gt;0,Raw_Data!I12&gt;=KPI_Config!$G$9),KPI_Config!$F$9,0)))))</f>
        <v>0</v>
      </c>
      <c r="J12" s="16">
        <f>IF($A12="","",IF(Raw_Data!J12="",0,IF(KPI_Config!$C$10="L",IF(Raw_Data!J12&lt;=KPI_Config!$E$10,KPI_Config!$D$10,IF(AND(KPI_Config!$F$10&gt;0,Raw_Data!J12&lt;=KPI_Config!$G$10),KPI_Config!$F$10,0)),IF(Raw_Data!J12&gt;=KPI_Config!$E$10,KPI_Config!$D$10,IF(AND(KPI_Config!$F$10&gt;0,Raw_Data!J12&gt;=KPI_Config!$G$10),KPI_Config!$F$10,0)))))</f>
        <v>0</v>
      </c>
      <c r="K12" s="16">
        <f>IF($A12="","",IF(Raw_Data!G12="",0,IF(KPI_Config!$C$11="L",IF(Raw_Data!G12&lt;=KPI_Config!$E$11,KPI_Config!$D$11,IF(AND(KPI_Config!$F$11&gt;0,Raw_Data!G12&lt;=KPI_Config!$G$11),KPI_Config!$F$11,0)),IF(Raw_Data!G12&gt;=KPI_Config!$E$11,KPI_Config!$D$11,IF(AND(KPI_Config!$F$11&gt;0,Raw_Data!G12&gt;=KPI_Config!$G$11),KPI_Config!$F$11,0)))))</f>
        <v>0.3</v>
      </c>
      <c r="L12" s="16">
        <f>IF($A12="","",MIN(Policy_Decisions!$B$10,IF(Policy_Decisions!$B$6="Additive",SUM(E12:K12),SUM(E12:J12)-G12+MAX(G12,K12))))</f>
        <v>0.8</v>
      </c>
      <c r="M12" s="16">
        <f>IF($A12="","",Raw_Data!K12)</f>
        <v>0</v>
      </c>
      <c r="N12" s="16">
        <f>IF($A12="","",IFERROR(VLOOKUP(M12,KPI_Config!$I$5:$J$10,2,FALSE()),0))</f>
        <v>0</v>
      </c>
      <c r="O12" s="16">
        <f>IF($A12="","",IF(Policy_Decisions!$B$5="Percentage points",MAX(0,L12-N12),L12*(1-N12)))</f>
        <v>0.8</v>
      </c>
      <c r="P12" s="15" t="str">
        <f>IF($A12="","",IF(U12="","Review proration",IF(O12=0,"No payout",IF(N12&gt;0,"Malus applied","Eligible"))))</f>
        <v>Eligible</v>
      </c>
      <c r="Q12" s="15" t="str">
        <f>IF($A12="","",Raw_Data!M12)</f>
        <v>MAD</v>
      </c>
      <c r="R12" s="38">
        <f>IF($A12="","",Raw_Data!N12)</f>
        <v>0</v>
      </c>
      <c r="S12" s="38">
        <f>IF($A12="","",Raw_Data!O12)</f>
        <v>0</v>
      </c>
      <c r="T12" s="38">
        <f>IF($A12="","",IF(Raw_Data!P12&gt;0,Raw_Data!P12,Raw_Data!N12*Raw_Data!O12/IF(Policy_Decisions!$B$7="Annual",12,1)))</f>
        <v>2000</v>
      </c>
      <c r="U12" s="38">
        <f>IF($A12="","",IF(OR(Raw_Data!R12="",Raw_Data!R12&lt;=0),"",MIN(1,MAX(0,Raw_Data!Q12/Raw_Data!R12))))</f>
        <v>1</v>
      </c>
      <c r="V12" s="38">
        <f>IF(OR($A12="",U12=""),"",T12*U12)</f>
        <v>2000</v>
      </c>
      <c r="W12" s="38">
        <f>IF(OR($A12="",V12=""),"",V12*L12)</f>
        <v>1600</v>
      </c>
      <c r="X12" s="38">
        <f>IF(OR($A12="",V12=""),"",V12*L12-V12*O12)</f>
        <v>0</v>
      </c>
      <c r="Y12" s="38">
        <f>IF(OR($A12="",V12=""),"",ROUND(V12*O12,IF(Policy_Decisions!$B$11="Whole MAD",0,2)))</f>
        <v>1600</v>
      </c>
      <c r="Z12" t="str">
        <f>Raw_Data!T12</f>
        <v>Farouk BOUAZZAOUI</v>
      </c>
      <c r="AA12" t="str">
        <f>Raw_Data!U12</f>
        <v>Anas OUAKKAD</v>
      </c>
    </row>
    <row r="13" spans="1:27" ht="14.25" customHeight="1">
      <c r="A13" s="13">
        <f>IF(Raw_Data!A13="","",Raw_Data!A13)</f>
        <v>204018</v>
      </c>
      <c r="B13" s="13" t="str">
        <f>IF(Raw_Data!B13="","",Raw_Data!B13)</f>
        <v>Mejhed Asmaa</v>
      </c>
      <c r="C13" s="13" t="str">
        <f>IF(Raw_Data!C13="","",Raw_Data!C13)</f>
        <v>Ford Dutch</v>
      </c>
      <c r="D13" s="13" t="str">
        <f>IF(Raw_Data!D13="","",Raw_Data!D13)</f>
        <v>2026-07</v>
      </c>
      <c r="E13" s="21">
        <f>IF($A13="","",IF(Raw_Data!E13="",0,IF(KPI_Config!$C$5="L",IF(Raw_Data!E13&lt;=KPI_Config!$E$5,KPI_Config!$D$5,IF(AND(KPI_Config!$F$5&gt;0,Raw_Data!E13&lt;=KPI_Config!$G$5),KPI_Config!$F$5,0)),IF(Raw_Data!E13&gt;=KPI_Config!$E$5,KPI_Config!$D$5,IF(AND(KPI_Config!$F$5&gt;0,Raw_Data!E13&gt;=KPI_Config!$G$5),KPI_Config!$F$5,0)))))</f>
        <v>0</v>
      </c>
      <c r="F13" s="21">
        <f>IF($A13="","",IF(Raw_Data!F13="",0,IF(KPI_Config!$C$6="L",IF(Raw_Data!F13&lt;=KPI_Config!$E$6,KPI_Config!$D$6,IF(AND(KPI_Config!$F$6&gt;0,Raw_Data!F13&lt;=KPI_Config!$G$6),KPI_Config!$F$6,0)),IF(Raw_Data!F13&gt;=KPI_Config!$E$6,KPI_Config!$D$6,IF(AND(KPI_Config!$F$6&gt;0,Raw_Data!F13&gt;=KPI_Config!$G$6),KPI_Config!$F$6,0)))))</f>
        <v>0</v>
      </c>
      <c r="G13" s="21">
        <f>IF($A13="","",IF(Raw_Data!G13="",0,IF(KPI_Config!$C$7="L",IF(Raw_Data!G13&lt;=KPI_Config!$E$7,KPI_Config!$D$7,IF(AND(KPI_Config!$F$7&gt;0,Raw_Data!G13&lt;=KPI_Config!$G$7),KPI_Config!$F$7,0)),IF(Raw_Data!G13&gt;=KPI_Config!$E$7,KPI_Config!$D$7,IF(AND(KPI_Config!$F$7&gt;0,Raw_Data!G13&gt;=KPI_Config!$G$7),KPI_Config!$F$7,0)))))</f>
        <v>0.15</v>
      </c>
      <c r="H13" s="21">
        <f>IF($A13="","",IF(Raw_Data!H13="",0,IF(KPI_Config!$C$8="L",IF(Raw_Data!H13&lt;=KPI_Config!$E$8,KPI_Config!$D$8,IF(AND(KPI_Config!$F$8&gt;0,Raw_Data!H13&lt;=KPI_Config!$G$8),KPI_Config!$F$8,0)),IF(Raw_Data!H13&gt;=KPI_Config!$E$8,KPI_Config!$D$8,IF(AND(KPI_Config!$F$8&gt;0,Raw_Data!H13&gt;=KPI_Config!$G$8),KPI_Config!$F$8,0)))))</f>
        <v>0</v>
      </c>
      <c r="I13" s="21">
        <f>IF($A13="","",IF(Raw_Data!I13="",0,IF(KPI_Config!$C$9="L",IF(Raw_Data!I13&lt;=KPI_Config!$E$9,KPI_Config!$D$9,IF(AND(KPI_Config!$F$9&gt;0,Raw_Data!I13&lt;=KPI_Config!$G$9),KPI_Config!$F$9,0)),IF(Raw_Data!I13&gt;=KPI_Config!$E$9,KPI_Config!$D$9,IF(AND(KPI_Config!$F$9&gt;0,Raw_Data!I13&gt;=KPI_Config!$G$9),KPI_Config!$F$9,0)))))</f>
        <v>0</v>
      </c>
      <c r="J13" s="21">
        <f>IF($A13="","",IF(Raw_Data!J13="",0,IF(KPI_Config!$C$10="L",IF(Raw_Data!J13&lt;=KPI_Config!$E$10,KPI_Config!$D$10,IF(AND(KPI_Config!$F$10&gt;0,Raw_Data!J13&lt;=KPI_Config!$G$10),KPI_Config!$F$10,0)),IF(Raw_Data!J13&gt;=KPI_Config!$E$10,KPI_Config!$D$10,IF(AND(KPI_Config!$F$10&gt;0,Raw_Data!J13&gt;=KPI_Config!$G$10),KPI_Config!$F$10,0)))))</f>
        <v>0</v>
      </c>
      <c r="K13" s="21">
        <f>IF($A13="","",IF(Raw_Data!G13="",0,IF(KPI_Config!$C$11="L",IF(Raw_Data!G13&lt;=KPI_Config!$E$11,KPI_Config!$D$11,IF(AND(KPI_Config!$F$11&gt;0,Raw_Data!G13&lt;=KPI_Config!$G$11),KPI_Config!$F$11,0)),IF(Raw_Data!G13&gt;=KPI_Config!$E$11,KPI_Config!$D$11,IF(AND(KPI_Config!$F$11&gt;0,Raw_Data!G13&gt;=KPI_Config!$G$11),KPI_Config!$F$11,0)))))</f>
        <v>0</v>
      </c>
      <c r="L13" s="21">
        <f>IF($A13="","",MIN(Policy_Decisions!$B$10,IF(Policy_Decisions!$B$6="Additive",SUM(E13:K13),SUM(E13:J13)-G13+MAX(G13,K13))))</f>
        <v>0.15</v>
      </c>
      <c r="M13" s="21">
        <f>IF($A13="","",Raw_Data!K13)</f>
        <v>0</v>
      </c>
      <c r="N13" s="21">
        <f>IF($A13="","",IFERROR(VLOOKUP(M13,KPI_Config!$I$5:$J$10,2,FALSE()),0))</f>
        <v>0</v>
      </c>
      <c r="O13" s="21">
        <f>IF($A13="","",IF(Policy_Decisions!$B$5="Percentage points",MAX(0,L13-N13),L13*(1-N13)))</f>
        <v>0.15</v>
      </c>
      <c r="P13" s="13" t="str">
        <f>IF($A13="","",IF(U13="","Review proration",IF(O13=0,"No payout",IF(N13&gt;0,"Malus applied","Eligible"))))</f>
        <v>Eligible</v>
      </c>
      <c r="Q13" s="13" t="str">
        <f>IF($A13="","",Raw_Data!M13)</f>
        <v>MAD</v>
      </c>
      <c r="R13" s="37">
        <f>IF($A13="","",Raw_Data!N13)</f>
        <v>0</v>
      </c>
      <c r="S13" s="37">
        <f>IF($A13="","",Raw_Data!O13)</f>
        <v>0</v>
      </c>
      <c r="T13" s="37">
        <f>IF($A13="","",IF(Raw_Data!P13&gt;0,Raw_Data!P13,Raw_Data!N13*Raw_Data!O13/IF(Policy_Decisions!$B$7="Annual",12,1)))</f>
        <v>2000</v>
      </c>
      <c r="U13" s="37">
        <f>IF($A13="","",IF(OR(Raw_Data!R13="",Raw_Data!R13&lt;=0),"",MIN(1,MAX(0,Raw_Data!Q13/Raw_Data!R13))))</f>
        <v>1</v>
      </c>
      <c r="V13" s="37">
        <f>IF(OR($A13="",U13=""),"",T13*U13)</f>
        <v>2000</v>
      </c>
      <c r="W13" s="37">
        <f>IF(OR($A13="",V13=""),"",V13*L13)</f>
        <v>300</v>
      </c>
      <c r="X13" s="37">
        <f>IF(OR($A13="",V13=""),"",V13*L13-V13*O13)</f>
        <v>0</v>
      </c>
      <c r="Y13" s="37">
        <f>IF(OR($A13="",V13=""),"",ROUND(V13*O13,IF(Policy_Decisions!$B$11="Whole MAD",0,2)))</f>
        <v>300</v>
      </c>
      <c r="Z13" t="str">
        <f>Raw_Data!T13</f>
        <v>DERRAZI Ilyasse</v>
      </c>
      <c r="AA13" t="str">
        <f>Raw_Data!U13</f>
        <v>Anas OUAKKAD</v>
      </c>
    </row>
    <row r="14" spans="1:27" ht="14.25" customHeight="1">
      <c r="A14" s="15">
        <f>IF(Raw_Data!A14="","",Raw_Data!A14)</f>
        <v>250749</v>
      </c>
      <c r="B14" s="15" t="str">
        <f>IF(Raw_Data!B14="","",Raw_Data!B14)</f>
        <v>Achraf ENNAJAH</v>
      </c>
      <c r="C14" s="15" t="str">
        <f>IF(Raw_Data!C14="","",Raw_Data!C14)</f>
        <v>OEM FR</v>
      </c>
      <c r="D14" s="15" t="str">
        <f>IF(Raw_Data!D14="","",Raw_Data!D14)</f>
        <v>2026-07</v>
      </c>
      <c r="E14" s="16">
        <f>IF($A14="","",IF(Raw_Data!E14="",0,IF(KPI_Config!$C$5="L",IF(Raw_Data!E14&lt;=KPI_Config!$E$5,KPI_Config!$D$5,IF(AND(KPI_Config!$F$5&gt;0,Raw_Data!E14&lt;=KPI_Config!$G$5),KPI_Config!$F$5,0)),IF(Raw_Data!E14&gt;=KPI_Config!$E$5,KPI_Config!$D$5,IF(AND(KPI_Config!$F$5&gt;0,Raw_Data!E14&gt;=KPI_Config!$G$5),KPI_Config!$F$5,0)))))</f>
        <v>0</v>
      </c>
      <c r="F14" s="16">
        <f>IF($A14="","",IF(Raw_Data!F14="",0,IF(KPI_Config!$C$6="L",IF(Raw_Data!F14&lt;=KPI_Config!$E$6,KPI_Config!$D$6,IF(AND(KPI_Config!$F$6&gt;0,Raw_Data!F14&lt;=KPI_Config!$G$6),KPI_Config!$F$6,0)),IF(Raw_Data!F14&gt;=KPI_Config!$E$6,KPI_Config!$D$6,IF(AND(KPI_Config!$F$6&gt;0,Raw_Data!F14&gt;=KPI_Config!$G$6),KPI_Config!$F$6,0)))))</f>
        <v>0</v>
      </c>
      <c r="G14" s="16">
        <f>IF($A14="","",IF(Raw_Data!G14="",0,IF(KPI_Config!$C$7="L",IF(Raw_Data!G14&lt;=KPI_Config!$E$7,KPI_Config!$D$7,IF(AND(KPI_Config!$F$7&gt;0,Raw_Data!G14&lt;=KPI_Config!$G$7),KPI_Config!$F$7,0)),IF(Raw_Data!G14&gt;=KPI_Config!$E$7,KPI_Config!$D$7,IF(AND(KPI_Config!$F$7&gt;0,Raw_Data!G14&gt;=KPI_Config!$G$7),KPI_Config!$F$7,0)))))</f>
        <v>0</v>
      </c>
      <c r="H14" s="16">
        <f>IF($A14="","",IF(Raw_Data!H14="",0,IF(KPI_Config!$C$8="L",IF(Raw_Data!H14&lt;=KPI_Config!$E$8,KPI_Config!$D$8,IF(AND(KPI_Config!$F$8&gt;0,Raw_Data!H14&lt;=KPI_Config!$G$8),KPI_Config!$F$8,0)),IF(Raw_Data!H14&gt;=KPI_Config!$E$8,KPI_Config!$D$8,IF(AND(KPI_Config!$F$8&gt;0,Raw_Data!H14&gt;=KPI_Config!$G$8),KPI_Config!$F$8,0)))))</f>
        <v>0</v>
      </c>
      <c r="I14" s="16">
        <f>IF($A14="","",IF(Raw_Data!I14="",0,IF(KPI_Config!$C$9="L",IF(Raw_Data!I14&lt;=KPI_Config!$E$9,KPI_Config!$D$9,IF(AND(KPI_Config!$F$9&gt;0,Raw_Data!I14&lt;=KPI_Config!$G$9),KPI_Config!$F$9,0)),IF(Raw_Data!I14&gt;=KPI_Config!$E$9,KPI_Config!$D$9,IF(AND(KPI_Config!$F$9&gt;0,Raw_Data!I14&gt;=KPI_Config!$G$9),KPI_Config!$F$9,0)))))</f>
        <v>0</v>
      </c>
      <c r="J14" s="16">
        <f>IF($A14="","",IF(Raw_Data!J14="",0,IF(KPI_Config!$C$10="L",IF(Raw_Data!J14&lt;=KPI_Config!$E$10,KPI_Config!$D$10,IF(AND(KPI_Config!$F$10&gt;0,Raw_Data!J14&lt;=KPI_Config!$G$10),KPI_Config!$F$10,0)),IF(Raw_Data!J14&gt;=KPI_Config!$E$10,KPI_Config!$D$10,IF(AND(KPI_Config!$F$10&gt;0,Raw_Data!J14&gt;=KPI_Config!$G$10),KPI_Config!$F$10,0)))))</f>
        <v>0</v>
      </c>
      <c r="K14" s="16">
        <f>IF($A14="","",IF(Raw_Data!G14="",0,IF(KPI_Config!$C$11="L",IF(Raw_Data!G14&lt;=KPI_Config!$E$11,KPI_Config!$D$11,IF(AND(KPI_Config!$F$11&gt;0,Raw_Data!G14&lt;=KPI_Config!$G$11),KPI_Config!$F$11,0)),IF(Raw_Data!G14&gt;=KPI_Config!$E$11,KPI_Config!$D$11,IF(AND(KPI_Config!$F$11&gt;0,Raw_Data!G14&gt;=KPI_Config!$G$11),KPI_Config!$F$11,0)))))</f>
        <v>0</v>
      </c>
      <c r="L14" s="16">
        <f>IF($A14="","",MIN(Policy_Decisions!$B$10,IF(Policy_Decisions!$B$6="Additive",SUM(E14:K14),SUM(E14:J14)-G14+MAX(G14,K14))))</f>
        <v>0</v>
      </c>
      <c r="M14" s="16">
        <f>IF($A14="","",Raw_Data!K14)</f>
        <v>0</v>
      </c>
      <c r="N14" s="16">
        <f>IF($A14="","",IFERROR(VLOOKUP(M14,KPI_Config!$I$5:$J$10,2,FALSE()),0))</f>
        <v>0</v>
      </c>
      <c r="O14" s="16">
        <f>IF($A14="","",IF(Policy_Decisions!$B$5="Percentage points",MAX(0,L14-N14),L14*(1-N14)))</f>
        <v>0</v>
      </c>
      <c r="P14" s="15" t="str">
        <f>IF($A14="","",IF(U14="","Review proration",IF(O14=0,"No payout",IF(N14&gt;0,"Malus applied","Eligible"))))</f>
        <v>No payout</v>
      </c>
      <c r="Q14" s="15" t="str">
        <f>IF($A14="","",Raw_Data!M14)</f>
        <v>MAD</v>
      </c>
      <c r="R14" s="38">
        <f>IF($A14="","",Raw_Data!N14)</f>
        <v>0</v>
      </c>
      <c r="S14" s="38">
        <f>IF($A14="","",Raw_Data!O14)</f>
        <v>0</v>
      </c>
      <c r="T14" s="38">
        <f>IF($A14="","",IF(Raw_Data!P14&gt;0,Raw_Data!P14,Raw_Data!N14*Raw_Data!O14/IF(Policy_Decisions!$B$7="Annual",12,1)))</f>
        <v>2000</v>
      </c>
      <c r="U14" s="38">
        <f>IF($A14="","",IF(OR(Raw_Data!R14="",Raw_Data!R14&lt;=0),"",MIN(1,MAX(0,Raw_Data!Q14/Raw_Data!R14))))</f>
        <v>1</v>
      </c>
      <c r="V14" s="38">
        <f>IF(OR($A14="",U14=""),"",T14*U14)</f>
        <v>2000</v>
      </c>
      <c r="W14" s="38">
        <f>IF(OR($A14="",V14=""),"",V14*L14)</f>
        <v>0</v>
      </c>
      <c r="X14" s="38">
        <f>IF(OR($A14="",V14=""),"",V14*L14-V14*O14)</f>
        <v>0</v>
      </c>
      <c r="Y14" s="38">
        <f>IF(OR($A14="",V14=""),"",ROUND(V14*O14,IF(Policy_Decisions!$B$11="Whole MAD",0,2)))</f>
        <v>0</v>
      </c>
      <c r="Z14" t="str">
        <f>Raw_Data!T14</f>
        <v>Zineb MOUFID</v>
      </c>
      <c r="AA14" t="str">
        <f>Raw_Data!U14</f>
        <v>Anas OUAKKAD</v>
      </c>
    </row>
    <row r="15" spans="1:27" ht="14.25" customHeight="1">
      <c r="A15" s="13">
        <f>IF(Raw_Data!A15="","",Raw_Data!A15)</f>
        <v>250750</v>
      </c>
      <c r="B15" s="13" t="str">
        <f>IF(Raw_Data!B15="","",Raw_Data!B15)</f>
        <v>Ayoub EL ADRAOUI</v>
      </c>
      <c r="C15" s="13" t="str">
        <f>IF(Raw_Data!C15="","",Raw_Data!C15)</f>
        <v>OEM FR</v>
      </c>
      <c r="D15" s="13" t="str">
        <f>IF(Raw_Data!D15="","",Raw_Data!D15)</f>
        <v>2026-07</v>
      </c>
      <c r="E15" s="21">
        <f>IF($A15="","",IF(Raw_Data!E15="",0,IF(KPI_Config!$C$5="L",IF(Raw_Data!E15&lt;=KPI_Config!$E$5,KPI_Config!$D$5,IF(AND(KPI_Config!$F$5&gt;0,Raw_Data!E15&lt;=KPI_Config!$G$5),KPI_Config!$F$5,0)),IF(Raw_Data!E15&gt;=KPI_Config!$E$5,KPI_Config!$D$5,IF(AND(KPI_Config!$F$5&gt;0,Raw_Data!E15&gt;=KPI_Config!$G$5),KPI_Config!$F$5,0)))))</f>
        <v>0</v>
      </c>
      <c r="F15" s="21">
        <f>IF($A15="","",IF(Raw_Data!F15="",0,IF(KPI_Config!$C$6="L",IF(Raw_Data!F15&lt;=KPI_Config!$E$6,KPI_Config!$D$6,IF(AND(KPI_Config!$F$6&gt;0,Raw_Data!F15&lt;=KPI_Config!$G$6),KPI_Config!$F$6,0)),IF(Raw_Data!F15&gt;=KPI_Config!$E$6,KPI_Config!$D$6,IF(AND(KPI_Config!$F$6&gt;0,Raw_Data!F15&gt;=KPI_Config!$G$6),KPI_Config!$F$6,0)))))</f>
        <v>0</v>
      </c>
      <c r="G15" s="21">
        <f>IF($A15="","",IF(Raw_Data!G15="",0,IF(KPI_Config!$C$7="L",IF(Raw_Data!G15&lt;=KPI_Config!$E$7,KPI_Config!$D$7,IF(AND(KPI_Config!$F$7&gt;0,Raw_Data!G15&lt;=KPI_Config!$G$7),KPI_Config!$F$7,0)),IF(Raw_Data!G15&gt;=KPI_Config!$E$7,KPI_Config!$D$7,IF(AND(KPI_Config!$F$7&gt;0,Raw_Data!G15&gt;=KPI_Config!$G$7),KPI_Config!$F$7,0)))))</f>
        <v>0</v>
      </c>
      <c r="H15" s="21">
        <f>IF($A15="","",IF(Raw_Data!H15="",0,IF(KPI_Config!$C$8="L",IF(Raw_Data!H15&lt;=KPI_Config!$E$8,KPI_Config!$D$8,IF(AND(KPI_Config!$F$8&gt;0,Raw_Data!H15&lt;=KPI_Config!$G$8),KPI_Config!$F$8,0)),IF(Raw_Data!H15&gt;=KPI_Config!$E$8,KPI_Config!$D$8,IF(AND(KPI_Config!$F$8&gt;0,Raw_Data!H15&gt;=KPI_Config!$G$8),KPI_Config!$F$8,0)))))</f>
        <v>0</v>
      </c>
      <c r="I15" s="21">
        <f>IF($A15="","",IF(Raw_Data!I15="",0,IF(KPI_Config!$C$9="L",IF(Raw_Data!I15&lt;=KPI_Config!$E$9,KPI_Config!$D$9,IF(AND(KPI_Config!$F$9&gt;0,Raw_Data!I15&lt;=KPI_Config!$G$9),KPI_Config!$F$9,0)),IF(Raw_Data!I15&gt;=KPI_Config!$E$9,KPI_Config!$D$9,IF(AND(KPI_Config!$F$9&gt;0,Raw_Data!I15&gt;=KPI_Config!$G$9),KPI_Config!$F$9,0)))))</f>
        <v>0</v>
      </c>
      <c r="J15" s="21">
        <f>IF($A15="","",IF(Raw_Data!J15="",0,IF(KPI_Config!$C$10="L",IF(Raw_Data!J15&lt;=KPI_Config!$E$10,KPI_Config!$D$10,IF(AND(KPI_Config!$F$10&gt;0,Raw_Data!J15&lt;=KPI_Config!$G$10),KPI_Config!$F$10,0)),IF(Raw_Data!J15&gt;=KPI_Config!$E$10,KPI_Config!$D$10,IF(AND(KPI_Config!$F$10&gt;0,Raw_Data!J15&gt;=KPI_Config!$G$10),KPI_Config!$F$10,0)))))</f>
        <v>0</v>
      </c>
      <c r="K15" s="21">
        <f>IF($A15="","",IF(Raw_Data!G15="",0,IF(KPI_Config!$C$11="L",IF(Raw_Data!G15&lt;=KPI_Config!$E$11,KPI_Config!$D$11,IF(AND(KPI_Config!$F$11&gt;0,Raw_Data!G15&lt;=KPI_Config!$G$11),KPI_Config!$F$11,0)),IF(Raw_Data!G15&gt;=KPI_Config!$E$11,KPI_Config!$D$11,IF(AND(KPI_Config!$F$11&gt;0,Raw_Data!G15&gt;=KPI_Config!$G$11),KPI_Config!$F$11,0)))))</f>
        <v>0</v>
      </c>
      <c r="L15" s="21">
        <f>IF($A15="","",MIN(Policy_Decisions!$B$10,IF(Policy_Decisions!$B$6="Additive",SUM(E15:K15),SUM(E15:J15)-G15+MAX(G15,K15))))</f>
        <v>0</v>
      </c>
      <c r="M15" s="21">
        <f>IF($A15="","",Raw_Data!K15)</f>
        <v>0</v>
      </c>
      <c r="N15" s="21">
        <f>IF($A15="","",IFERROR(VLOOKUP(M15,KPI_Config!$I$5:$J$10,2,FALSE()),0))</f>
        <v>0</v>
      </c>
      <c r="O15" s="21">
        <f>IF($A15="","",IF(Policy_Decisions!$B$5="Percentage points",MAX(0,L15-N15),L15*(1-N15)))</f>
        <v>0</v>
      </c>
      <c r="P15" s="13" t="str">
        <f>IF($A15="","",IF(U15="","Review proration",IF(O15=0,"No payout",IF(N15&gt;0,"Malus applied","Eligible"))))</f>
        <v>No payout</v>
      </c>
      <c r="Q15" s="13" t="str">
        <f>IF($A15="","",Raw_Data!M15)</f>
        <v>MAD</v>
      </c>
      <c r="R15" s="37">
        <f>IF($A15="","",Raw_Data!N15)</f>
        <v>0</v>
      </c>
      <c r="S15" s="37">
        <f>IF($A15="","",Raw_Data!O15)</f>
        <v>0</v>
      </c>
      <c r="T15" s="37">
        <f>IF($A15="","",IF(Raw_Data!P15&gt;0,Raw_Data!P15,Raw_Data!N15*Raw_Data!O15/IF(Policy_Decisions!$B$7="Annual",12,1)))</f>
        <v>2000</v>
      </c>
      <c r="U15" s="37">
        <f>IF($A15="","",IF(OR(Raw_Data!R15="",Raw_Data!R15&lt;=0),"",MIN(1,MAX(0,Raw_Data!Q15/Raw_Data!R15))))</f>
        <v>1</v>
      </c>
      <c r="V15" s="37">
        <f>IF(OR($A15="",U15=""),"",T15*U15)</f>
        <v>2000</v>
      </c>
      <c r="W15" s="37">
        <f>IF(OR($A15="",V15=""),"",V15*L15)</f>
        <v>0</v>
      </c>
      <c r="X15" s="37">
        <f>IF(OR($A15="",V15=""),"",V15*L15-V15*O15)</f>
        <v>0</v>
      </c>
      <c r="Y15" s="37">
        <f>IF(OR($A15="",V15=""),"",ROUND(V15*O15,IF(Policy_Decisions!$B$11="Whole MAD",0,2)))</f>
        <v>0</v>
      </c>
      <c r="Z15" t="str">
        <f>Raw_Data!T15</f>
        <v>Kenza EL MOUMNI</v>
      </c>
      <c r="AA15" t="str">
        <f>Raw_Data!U15</f>
        <v>Anas OUAKKAD</v>
      </c>
    </row>
    <row r="16" spans="1:27" ht="14.25" customHeight="1">
      <c r="A16" s="15">
        <f>IF(Raw_Data!A16="","",Raw_Data!A16)</f>
        <v>266361</v>
      </c>
      <c r="B16" s="15" t="str">
        <f>IF(Raw_Data!B16="","",Raw_Data!B16)</f>
        <v>Mohamed Zuljami</v>
      </c>
      <c r="C16" s="15" t="str">
        <f>IF(Raw_Data!C16="","",Raw_Data!C16)</f>
        <v>RSA VL</v>
      </c>
      <c r="D16" s="15" t="str">
        <f>IF(Raw_Data!D16="","",Raw_Data!D16)</f>
        <v>2026-07</v>
      </c>
      <c r="E16" s="16">
        <f>IF($A16="","",IF(Raw_Data!E16="",0,IF(KPI_Config!$C$5="L",IF(Raw_Data!E16&lt;=KPI_Config!$E$5,KPI_Config!$D$5,IF(AND(KPI_Config!$F$5&gt;0,Raw_Data!E16&lt;=KPI_Config!$G$5),KPI_Config!$F$5,0)),IF(Raw_Data!E16&gt;=KPI_Config!$E$5,KPI_Config!$D$5,IF(AND(KPI_Config!$F$5&gt;0,Raw_Data!E16&gt;=KPI_Config!$G$5),KPI_Config!$F$5,0)))))</f>
        <v>0</v>
      </c>
      <c r="F16" s="16">
        <f>IF($A16="","",IF(Raw_Data!F16="",0,IF(KPI_Config!$C$6="L",IF(Raw_Data!F16&lt;=KPI_Config!$E$6,KPI_Config!$D$6,IF(AND(KPI_Config!$F$6&gt;0,Raw_Data!F16&lt;=KPI_Config!$G$6),KPI_Config!$F$6,0)),IF(Raw_Data!F16&gt;=KPI_Config!$E$6,KPI_Config!$D$6,IF(AND(KPI_Config!$F$6&gt;0,Raw_Data!F16&gt;=KPI_Config!$G$6),KPI_Config!$F$6,0)))))</f>
        <v>0</v>
      </c>
      <c r="G16" s="16">
        <f>IF($A16="","",IF(Raw_Data!G16="",0,IF(KPI_Config!$C$7="L",IF(Raw_Data!G16&lt;=KPI_Config!$E$7,KPI_Config!$D$7,IF(AND(KPI_Config!$F$7&gt;0,Raw_Data!G16&lt;=KPI_Config!$G$7),KPI_Config!$F$7,0)),IF(Raw_Data!G16&gt;=KPI_Config!$E$7,KPI_Config!$D$7,IF(AND(KPI_Config!$F$7&gt;0,Raw_Data!G16&gt;=KPI_Config!$G$7),KPI_Config!$F$7,0)))))</f>
        <v>0</v>
      </c>
      <c r="H16" s="16">
        <f>IF($A16="","",IF(Raw_Data!H16="",0,IF(KPI_Config!$C$8="L",IF(Raw_Data!H16&lt;=KPI_Config!$E$8,KPI_Config!$D$8,IF(AND(KPI_Config!$F$8&gt;0,Raw_Data!H16&lt;=KPI_Config!$G$8),KPI_Config!$F$8,0)),IF(Raw_Data!H16&gt;=KPI_Config!$E$8,KPI_Config!$D$8,IF(AND(KPI_Config!$F$8&gt;0,Raw_Data!H16&gt;=KPI_Config!$G$8),KPI_Config!$F$8,0)))))</f>
        <v>0</v>
      </c>
      <c r="I16" s="16">
        <f>IF($A16="","",IF(Raw_Data!I16="",0,IF(KPI_Config!$C$9="L",IF(Raw_Data!I16&lt;=KPI_Config!$E$9,KPI_Config!$D$9,IF(AND(KPI_Config!$F$9&gt;0,Raw_Data!I16&lt;=KPI_Config!$G$9),KPI_Config!$F$9,0)),IF(Raw_Data!I16&gt;=KPI_Config!$E$9,KPI_Config!$D$9,IF(AND(KPI_Config!$F$9&gt;0,Raw_Data!I16&gt;=KPI_Config!$G$9),KPI_Config!$F$9,0)))))</f>
        <v>0</v>
      </c>
      <c r="J16" s="16">
        <f>IF($A16="","",IF(Raw_Data!J16="",0,IF(KPI_Config!$C$10="L",IF(Raw_Data!J16&lt;=KPI_Config!$E$10,KPI_Config!$D$10,IF(AND(KPI_Config!$F$10&gt;0,Raw_Data!J16&lt;=KPI_Config!$G$10),KPI_Config!$F$10,0)),IF(Raw_Data!J16&gt;=KPI_Config!$E$10,KPI_Config!$D$10,IF(AND(KPI_Config!$F$10&gt;0,Raw_Data!J16&gt;=KPI_Config!$G$10),KPI_Config!$F$10,0)))))</f>
        <v>0</v>
      </c>
      <c r="K16" s="16">
        <f>IF($A16="","",IF(Raw_Data!G16="",0,IF(KPI_Config!$C$11="L",IF(Raw_Data!G16&lt;=KPI_Config!$E$11,KPI_Config!$D$11,IF(AND(KPI_Config!$F$11&gt;0,Raw_Data!G16&lt;=KPI_Config!$G$11),KPI_Config!$F$11,0)),IF(Raw_Data!G16&gt;=KPI_Config!$E$11,KPI_Config!$D$11,IF(AND(KPI_Config!$F$11&gt;0,Raw_Data!G16&gt;=KPI_Config!$G$11),KPI_Config!$F$11,0)))))</f>
        <v>0</v>
      </c>
      <c r="L16" s="16">
        <f>IF($A16="","",MIN(Policy_Decisions!$B$10,IF(Policy_Decisions!$B$6="Additive",SUM(E16:K16),SUM(E16:J16)-G16+MAX(G16,K16))))</f>
        <v>0</v>
      </c>
      <c r="M16" s="16">
        <f>IF($A16="","",Raw_Data!K16)</f>
        <v>0</v>
      </c>
      <c r="N16" s="16">
        <f>IF($A16="","",IFERROR(VLOOKUP(M16,KPI_Config!$I$5:$J$10,2,FALSE()),0))</f>
        <v>0</v>
      </c>
      <c r="O16" s="16">
        <f>IF($A16="","",IF(Policy_Decisions!$B$5="Percentage points",MAX(0,L16-N16),L16*(1-N16)))</f>
        <v>0</v>
      </c>
      <c r="P16" s="15" t="str">
        <f>IF($A16="","",IF(U16="","Review proration",IF(O16=0,"No payout",IF(N16&gt;0,"Malus applied","Eligible"))))</f>
        <v>No payout</v>
      </c>
      <c r="Q16" s="15" t="str">
        <f>IF($A16="","",Raw_Data!M16)</f>
        <v>MAD</v>
      </c>
      <c r="R16" s="38">
        <f>IF($A16="","",Raw_Data!N16)</f>
        <v>0</v>
      </c>
      <c r="S16" s="38">
        <f>IF($A16="","",Raw_Data!O16)</f>
        <v>0</v>
      </c>
      <c r="T16" s="38">
        <f>IF($A16="","",IF(Raw_Data!P16&gt;0,Raw_Data!P16,Raw_Data!N16*Raw_Data!O16/IF(Policy_Decisions!$B$7="Annual",12,1)))</f>
        <v>2000</v>
      </c>
      <c r="U16" s="38">
        <f>IF($A16="","",IF(OR(Raw_Data!R16="",Raw_Data!R16&lt;=0),"",MIN(1,MAX(0,Raw_Data!Q16/Raw_Data!R16))))</f>
        <v>1</v>
      </c>
      <c r="V16" s="38">
        <f>IF(OR($A16="",U16=""),"",T16*U16)</f>
        <v>2000</v>
      </c>
      <c r="W16" s="38">
        <f>IF(OR($A16="",V16=""),"",V16*L16)</f>
        <v>0</v>
      </c>
      <c r="X16" s="38">
        <f>IF(OR($A16="",V16=""),"",V16*L16-V16*O16)</f>
        <v>0</v>
      </c>
      <c r="Y16" s="38">
        <f>IF(OR($A16="",V16=""),"",ROUND(V16*O16,IF(Policy_Decisions!$B$11="Whole MAD",0,2)))</f>
        <v>0</v>
      </c>
      <c r="Z16" t="str">
        <f>Raw_Data!T16</f>
        <v>KAIKAI Faissal</v>
      </c>
      <c r="AA16" t="str">
        <f>Raw_Data!U16</f>
        <v>Anas OUAKKAD</v>
      </c>
    </row>
    <row r="17" spans="1:27" ht="14.25" customHeight="1">
      <c r="A17" s="13">
        <f>IF(Raw_Data!A17="","",Raw_Data!A17)</f>
        <v>204037</v>
      </c>
      <c r="B17" s="13" t="str">
        <f>IF(Raw_Data!B17="","",Raw_Data!B17)</f>
        <v>Ouadie REGRAGUI</v>
      </c>
      <c r="C17" s="13" t="str">
        <f>IF(Raw_Data!C17="","",Raw_Data!C17)</f>
        <v>RSA NL</v>
      </c>
      <c r="D17" s="13" t="str">
        <f>IF(Raw_Data!D17="","",Raw_Data!D17)</f>
        <v>2026-07</v>
      </c>
      <c r="E17" s="21">
        <f>IF($A17="","",IF(Raw_Data!E17="",0,IF(KPI_Config!$C$5="L",IF(Raw_Data!E17&lt;=KPI_Config!$E$5,KPI_Config!$D$5,IF(AND(KPI_Config!$F$5&gt;0,Raw_Data!E17&lt;=KPI_Config!$G$5),KPI_Config!$F$5,0)),IF(Raw_Data!E17&gt;=KPI_Config!$E$5,KPI_Config!$D$5,IF(AND(KPI_Config!$F$5&gt;0,Raw_Data!E17&gt;=KPI_Config!$G$5),KPI_Config!$F$5,0)))))</f>
        <v>0</v>
      </c>
      <c r="F17" s="21">
        <f>IF($A17="","",IF(Raw_Data!F17="",0,IF(KPI_Config!$C$6="L",IF(Raw_Data!F17&lt;=KPI_Config!$E$6,KPI_Config!$D$6,IF(AND(KPI_Config!$F$6&gt;0,Raw_Data!F17&lt;=KPI_Config!$G$6),KPI_Config!$F$6,0)),IF(Raw_Data!F17&gt;=KPI_Config!$E$6,KPI_Config!$D$6,IF(AND(KPI_Config!$F$6&gt;0,Raw_Data!F17&gt;=KPI_Config!$G$6),KPI_Config!$F$6,0)))))</f>
        <v>0</v>
      </c>
      <c r="G17" s="21">
        <f>IF($A17="","",IF(Raw_Data!G17="",0,IF(KPI_Config!$C$7="L",IF(Raw_Data!G17&lt;=KPI_Config!$E$7,KPI_Config!$D$7,IF(AND(KPI_Config!$F$7&gt;0,Raw_Data!G17&lt;=KPI_Config!$G$7),KPI_Config!$F$7,0)),IF(Raw_Data!G17&gt;=KPI_Config!$E$7,KPI_Config!$D$7,IF(AND(KPI_Config!$F$7&gt;0,Raw_Data!G17&gt;=KPI_Config!$G$7),KPI_Config!$F$7,0)))))</f>
        <v>0</v>
      </c>
      <c r="H17" s="21">
        <f>IF($A17="","",IF(Raw_Data!H17="",0,IF(KPI_Config!$C$8="L",IF(Raw_Data!H17&lt;=KPI_Config!$E$8,KPI_Config!$D$8,IF(AND(KPI_Config!$F$8&gt;0,Raw_Data!H17&lt;=KPI_Config!$G$8),KPI_Config!$F$8,0)),IF(Raw_Data!H17&gt;=KPI_Config!$E$8,KPI_Config!$D$8,IF(AND(KPI_Config!$F$8&gt;0,Raw_Data!H17&gt;=KPI_Config!$G$8),KPI_Config!$F$8,0)))))</f>
        <v>0</v>
      </c>
      <c r="I17" s="21">
        <f>IF($A17="","",IF(Raw_Data!I17="",0,IF(KPI_Config!$C$9="L",IF(Raw_Data!I17&lt;=KPI_Config!$E$9,KPI_Config!$D$9,IF(AND(KPI_Config!$F$9&gt;0,Raw_Data!I17&lt;=KPI_Config!$G$9),KPI_Config!$F$9,0)),IF(Raw_Data!I17&gt;=KPI_Config!$E$9,KPI_Config!$D$9,IF(AND(KPI_Config!$F$9&gt;0,Raw_Data!I17&gt;=KPI_Config!$G$9),KPI_Config!$F$9,0)))))</f>
        <v>0.15</v>
      </c>
      <c r="J17" s="21">
        <f>IF($A17="","",IF(Raw_Data!J17="",0,IF(KPI_Config!$C$10="L",IF(Raw_Data!J17&lt;=KPI_Config!$E$10,KPI_Config!$D$10,IF(AND(KPI_Config!$F$10&gt;0,Raw_Data!J17&lt;=KPI_Config!$G$10),KPI_Config!$F$10,0)),IF(Raw_Data!J17&gt;=KPI_Config!$E$10,KPI_Config!$D$10,IF(AND(KPI_Config!$F$10&gt;0,Raw_Data!J17&gt;=KPI_Config!$G$10),KPI_Config!$F$10,0)))))</f>
        <v>0</v>
      </c>
      <c r="K17" s="21">
        <f>IF($A17="","",IF(Raw_Data!G17="",0,IF(KPI_Config!$C$11="L",IF(Raw_Data!G17&lt;=KPI_Config!$E$11,KPI_Config!$D$11,IF(AND(KPI_Config!$F$11&gt;0,Raw_Data!G17&lt;=KPI_Config!$G$11),KPI_Config!$F$11,0)),IF(Raw_Data!G17&gt;=KPI_Config!$E$11,KPI_Config!$D$11,IF(AND(KPI_Config!$F$11&gt;0,Raw_Data!G17&gt;=KPI_Config!$G$11),KPI_Config!$F$11,0)))))</f>
        <v>0</v>
      </c>
      <c r="L17" s="21">
        <f>IF($A17="","",MIN(Policy_Decisions!$B$10,IF(Policy_Decisions!$B$6="Additive",SUM(E17:K17),SUM(E17:J17)-G17+MAX(G17,K17))))</f>
        <v>0.15</v>
      </c>
      <c r="M17" s="21">
        <f>IF($A17="","",Raw_Data!K17)</f>
        <v>0</v>
      </c>
      <c r="N17" s="21">
        <f>IF($A17="","",IFERROR(VLOOKUP(M17,KPI_Config!$I$5:$J$10,2,FALSE()),0))</f>
        <v>0</v>
      </c>
      <c r="O17" s="21">
        <f>IF($A17="","",IF(Policy_Decisions!$B$5="Percentage points",MAX(0,L17-N17),L17*(1-N17)))</f>
        <v>0.15</v>
      </c>
      <c r="P17" s="13" t="str">
        <f>IF($A17="","",IF(U17="","Review proration",IF(O17=0,"No payout",IF(N17&gt;0,"Malus applied","Eligible"))))</f>
        <v>Eligible</v>
      </c>
      <c r="Q17" s="13" t="str">
        <f>IF($A17="","",Raw_Data!M17)</f>
        <v>MAD</v>
      </c>
      <c r="R17" s="37">
        <f>IF($A17="","",Raw_Data!N17)</f>
        <v>0</v>
      </c>
      <c r="S17" s="37">
        <f>IF($A17="","",Raw_Data!O17)</f>
        <v>0</v>
      </c>
      <c r="T17" s="37">
        <f>IF($A17="","",IF(Raw_Data!P17&gt;0,Raw_Data!P17,Raw_Data!N17*Raw_Data!O17/IF(Policy_Decisions!$B$7="Annual",12,1)))</f>
        <v>2000</v>
      </c>
      <c r="U17" s="37">
        <f>IF($A17="","",IF(OR(Raw_Data!R17="",Raw_Data!R17&lt;=0),"",MIN(1,MAX(0,Raw_Data!Q17/Raw_Data!R17))))</f>
        <v>1</v>
      </c>
      <c r="V17" s="37">
        <f>IF(OR($A17="",U17=""),"",T17*U17)</f>
        <v>2000</v>
      </c>
      <c r="W17" s="37">
        <f>IF(OR($A17="",V17=""),"",V17*L17)</f>
        <v>300</v>
      </c>
      <c r="X17" s="37">
        <f>IF(OR($A17="",V17=""),"",V17*L17-V17*O17)</f>
        <v>0</v>
      </c>
      <c r="Y17" s="37">
        <f>IF(OR($A17="",V17=""),"",ROUND(V17*O17,IF(Policy_Decisions!$B$11="Whole MAD",0,2)))</f>
        <v>300</v>
      </c>
      <c r="Z17" t="str">
        <f>Raw_Data!T17</f>
        <v>EL GHAZI Youssef</v>
      </c>
      <c r="AA17" t="str">
        <f>Raw_Data!U17</f>
        <v>Anas OUAKKAD</v>
      </c>
    </row>
    <row r="18" spans="1:27" ht="14.25" customHeight="1">
      <c r="A18" s="15">
        <f>IF(Raw_Data!A18="","",Raw_Data!A18)</f>
        <v>232195</v>
      </c>
      <c r="B18" s="15" t="str">
        <f>IF(Raw_Data!B18="","",Raw_Data!B18)</f>
        <v>Khalid BOJADA</v>
      </c>
      <c r="C18" s="15" t="str">
        <f>IF(Raw_Data!C18="","",Raw_Data!C18)</f>
        <v>RSA NL</v>
      </c>
      <c r="D18" s="15" t="str">
        <f>IF(Raw_Data!D18="","",Raw_Data!D18)</f>
        <v>2026-07</v>
      </c>
      <c r="E18" s="16">
        <f>IF($A18="","",IF(Raw_Data!E18="",0,IF(KPI_Config!$C$5="L",IF(Raw_Data!E18&lt;=KPI_Config!$E$5,KPI_Config!$D$5,IF(AND(KPI_Config!$F$5&gt;0,Raw_Data!E18&lt;=KPI_Config!$G$5),KPI_Config!$F$5,0)),IF(Raw_Data!E18&gt;=KPI_Config!$E$5,KPI_Config!$D$5,IF(AND(KPI_Config!$F$5&gt;0,Raw_Data!E18&gt;=KPI_Config!$G$5),KPI_Config!$F$5,0)))))</f>
        <v>0.15</v>
      </c>
      <c r="F18" s="16">
        <f>IF($A18="","",IF(Raw_Data!F18="",0,IF(KPI_Config!$C$6="L",IF(Raw_Data!F18&lt;=KPI_Config!$E$6,KPI_Config!$D$6,IF(AND(KPI_Config!$F$6&gt;0,Raw_Data!F18&lt;=KPI_Config!$G$6),KPI_Config!$F$6,0)),IF(Raw_Data!F18&gt;=KPI_Config!$E$6,KPI_Config!$D$6,IF(AND(KPI_Config!$F$6&gt;0,Raw_Data!F18&gt;=KPI_Config!$G$6),KPI_Config!$F$6,0)))))</f>
        <v>0.15</v>
      </c>
      <c r="G18" s="16">
        <f>IF($A18="","",IF(Raw_Data!G18="",0,IF(KPI_Config!$C$7="L",IF(Raw_Data!G18&lt;=KPI_Config!$E$7,KPI_Config!$D$7,IF(AND(KPI_Config!$F$7&gt;0,Raw_Data!G18&lt;=KPI_Config!$G$7),KPI_Config!$F$7,0)),IF(Raw_Data!G18&gt;=KPI_Config!$E$7,KPI_Config!$D$7,IF(AND(KPI_Config!$F$7&gt;0,Raw_Data!G18&gt;=KPI_Config!$G$7),KPI_Config!$F$7,0)))))</f>
        <v>0.15</v>
      </c>
      <c r="H18" s="16">
        <f>IF($A18="","",IF(Raw_Data!H18="",0,IF(KPI_Config!$C$8="L",IF(Raw_Data!H18&lt;=KPI_Config!$E$8,KPI_Config!$D$8,IF(AND(KPI_Config!$F$8&gt;0,Raw_Data!H18&lt;=KPI_Config!$G$8),KPI_Config!$F$8,0)),IF(Raw_Data!H18&gt;=KPI_Config!$E$8,KPI_Config!$D$8,IF(AND(KPI_Config!$F$8&gt;0,Raw_Data!H18&gt;=KPI_Config!$G$8),KPI_Config!$F$8,0)))))</f>
        <v>0</v>
      </c>
      <c r="I18" s="16">
        <f>IF($A18="","",IF(Raw_Data!I18="",0,IF(KPI_Config!$C$9="L",IF(Raw_Data!I18&lt;=KPI_Config!$E$9,KPI_Config!$D$9,IF(AND(KPI_Config!$F$9&gt;0,Raw_Data!I18&lt;=KPI_Config!$G$9),KPI_Config!$F$9,0)),IF(Raw_Data!I18&gt;=KPI_Config!$E$9,KPI_Config!$D$9,IF(AND(KPI_Config!$F$9&gt;0,Raw_Data!I18&gt;=KPI_Config!$G$9),KPI_Config!$F$9,0)))))</f>
        <v>0</v>
      </c>
      <c r="J18" s="16">
        <f>IF($A18="","",IF(Raw_Data!J18="",0,IF(KPI_Config!$C$10="L",IF(Raw_Data!J18&lt;=KPI_Config!$E$10,KPI_Config!$D$10,IF(AND(KPI_Config!$F$10&gt;0,Raw_Data!J18&lt;=KPI_Config!$G$10),KPI_Config!$F$10,0)),IF(Raw_Data!J18&gt;=KPI_Config!$E$10,KPI_Config!$D$10,IF(AND(KPI_Config!$F$10&gt;0,Raw_Data!J18&gt;=KPI_Config!$G$10),KPI_Config!$F$10,0)))))</f>
        <v>0</v>
      </c>
      <c r="K18" s="16">
        <f>IF($A18="","",IF(Raw_Data!G18="",0,IF(KPI_Config!$C$11="L",IF(Raw_Data!G18&lt;=KPI_Config!$E$11,KPI_Config!$D$11,IF(AND(KPI_Config!$F$11&gt;0,Raw_Data!G18&lt;=KPI_Config!$G$11),KPI_Config!$F$11,0)),IF(Raw_Data!G18&gt;=KPI_Config!$E$11,KPI_Config!$D$11,IF(AND(KPI_Config!$F$11&gt;0,Raw_Data!G18&gt;=KPI_Config!$G$11),KPI_Config!$F$11,0)))))</f>
        <v>0</v>
      </c>
      <c r="L18" s="16">
        <f>IF($A18="","",MIN(Policy_Decisions!$B$10,IF(Policy_Decisions!$B$6="Additive",SUM(E18:K18),SUM(E18:J18)-G18+MAX(G18,K18))))</f>
        <v>0.44999999999999996</v>
      </c>
      <c r="M18" s="16">
        <f>IF($A18="","",Raw_Data!K18)</f>
        <v>0</v>
      </c>
      <c r="N18" s="16">
        <f>IF($A18="","",IFERROR(VLOOKUP(M18,KPI_Config!$I$5:$J$10,2,FALSE()),0))</f>
        <v>0</v>
      </c>
      <c r="O18" s="16">
        <f>IF($A18="","",IF(Policy_Decisions!$B$5="Percentage points",MAX(0,L18-N18),L18*(1-N18)))</f>
        <v>0.44999999999999996</v>
      </c>
      <c r="P18" s="15" t="str">
        <f>IF($A18="","",IF(U18="","Review proration",IF(O18=0,"No payout",IF(N18&gt;0,"Malus applied","Eligible"))))</f>
        <v>Eligible</v>
      </c>
      <c r="Q18" s="15" t="str">
        <f>IF($A18="","",Raw_Data!M18)</f>
        <v>MAD</v>
      </c>
      <c r="R18" s="38">
        <f>IF($A18="","",Raw_Data!N18)</f>
        <v>0</v>
      </c>
      <c r="S18" s="38">
        <f>IF($A18="","",Raw_Data!O18)</f>
        <v>0</v>
      </c>
      <c r="T18" s="38">
        <f>IF($A18="","",IF(Raw_Data!P18&gt;0,Raw_Data!P18,Raw_Data!N18*Raw_Data!O18/IF(Policy_Decisions!$B$7="Annual",12,1)))</f>
        <v>2000</v>
      </c>
      <c r="U18" s="38">
        <f>IF($A18="","",IF(OR(Raw_Data!R18="",Raw_Data!R18&lt;=0),"",MIN(1,MAX(0,Raw_Data!Q18/Raw_Data!R18))))</f>
        <v>1</v>
      </c>
      <c r="V18" s="38">
        <f>IF(OR($A18="",U18=""),"",T18*U18)</f>
        <v>2000</v>
      </c>
      <c r="W18" s="38">
        <f>IF(OR($A18="",V18=""),"",V18*L18)</f>
        <v>899.99999999999989</v>
      </c>
      <c r="X18" s="38">
        <f>IF(OR($A18="",V18=""),"",V18*L18-V18*O18)</f>
        <v>0</v>
      </c>
      <c r="Y18" s="38">
        <f>IF(OR($A18="",V18=""),"",ROUND(V18*O18,IF(Policy_Decisions!$B$11="Whole MAD",0,2)))</f>
        <v>900</v>
      </c>
      <c r="Z18" t="str">
        <f>Raw_Data!T18</f>
        <v>EL GHAZI Youssef</v>
      </c>
      <c r="AA18" t="str">
        <f>Raw_Data!U18</f>
        <v>Anas OUAKKAD</v>
      </c>
    </row>
    <row r="19" spans="1:27" ht="14.25" customHeight="1">
      <c r="A19" s="13">
        <f>IF(Raw_Data!A19="","",Raw_Data!A19)</f>
        <v>228217</v>
      </c>
      <c r="B19" s="13" t="str">
        <f>IF(Raw_Data!B19="","",Raw_Data!B19)</f>
        <v>Zineb ZAAROURI</v>
      </c>
      <c r="C19" s="13" t="str">
        <f>IF(Raw_Data!C19="","",Raw_Data!C19)</f>
        <v>OEM FR</v>
      </c>
      <c r="D19" s="13" t="str">
        <f>IF(Raw_Data!D19="","",Raw_Data!D19)</f>
        <v>2026-07</v>
      </c>
      <c r="E19" s="21">
        <f>IF($A19="","",IF(Raw_Data!E19="",0,IF(KPI_Config!$C$5="L",IF(Raw_Data!E19&lt;=KPI_Config!$E$5,KPI_Config!$D$5,IF(AND(KPI_Config!$F$5&gt;0,Raw_Data!E19&lt;=KPI_Config!$G$5),KPI_Config!$F$5,0)),IF(Raw_Data!E19&gt;=KPI_Config!$E$5,KPI_Config!$D$5,IF(AND(KPI_Config!$F$5&gt;0,Raw_Data!E19&gt;=KPI_Config!$G$5),KPI_Config!$F$5,0)))))</f>
        <v>0</v>
      </c>
      <c r="F19" s="21">
        <f>IF($A19="","",IF(Raw_Data!F19="",0,IF(KPI_Config!$C$6="L",IF(Raw_Data!F19&lt;=KPI_Config!$E$6,KPI_Config!$D$6,IF(AND(KPI_Config!$F$6&gt;0,Raw_Data!F19&lt;=KPI_Config!$G$6),KPI_Config!$F$6,0)),IF(Raw_Data!F19&gt;=KPI_Config!$E$6,KPI_Config!$D$6,IF(AND(KPI_Config!$F$6&gt;0,Raw_Data!F19&gt;=KPI_Config!$G$6),KPI_Config!$F$6,0)))))</f>
        <v>0.15</v>
      </c>
      <c r="G19" s="21">
        <f>IF($A19="","",IF(Raw_Data!G19="",0,IF(KPI_Config!$C$7="L",IF(Raw_Data!G19&lt;=KPI_Config!$E$7,KPI_Config!$D$7,IF(AND(KPI_Config!$F$7&gt;0,Raw_Data!G19&lt;=KPI_Config!$G$7),KPI_Config!$F$7,0)),IF(Raw_Data!G19&gt;=KPI_Config!$E$7,KPI_Config!$D$7,IF(AND(KPI_Config!$F$7&gt;0,Raw_Data!G19&gt;=KPI_Config!$G$7),KPI_Config!$F$7,0)))))</f>
        <v>0.2</v>
      </c>
      <c r="H19" s="21">
        <f>IF($A19="","",IF(Raw_Data!H19="",0,IF(KPI_Config!$C$8="L",IF(Raw_Data!H19&lt;=KPI_Config!$E$8,KPI_Config!$D$8,IF(AND(KPI_Config!$F$8&gt;0,Raw_Data!H19&lt;=KPI_Config!$G$8),KPI_Config!$F$8,0)),IF(Raw_Data!H19&gt;=KPI_Config!$E$8,KPI_Config!$D$8,IF(AND(KPI_Config!$F$8&gt;0,Raw_Data!H19&gt;=KPI_Config!$G$8),KPI_Config!$F$8,0)))))</f>
        <v>0</v>
      </c>
      <c r="I19" s="21">
        <f>IF($A19="","",IF(Raw_Data!I19="",0,IF(KPI_Config!$C$9="L",IF(Raw_Data!I19&lt;=KPI_Config!$E$9,KPI_Config!$D$9,IF(AND(KPI_Config!$F$9&gt;0,Raw_Data!I19&lt;=KPI_Config!$G$9),KPI_Config!$F$9,0)),IF(Raw_Data!I19&gt;=KPI_Config!$E$9,KPI_Config!$D$9,IF(AND(KPI_Config!$F$9&gt;0,Raw_Data!I19&gt;=KPI_Config!$G$9),KPI_Config!$F$9,0)))))</f>
        <v>0.15</v>
      </c>
      <c r="J19" s="21">
        <f>IF($A19="","",IF(Raw_Data!J19="",0,IF(KPI_Config!$C$10="L",IF(Raw_Data!J19&lt;=KPI_Config!$E$10,KPI_Config!$D$10,IF(AND(KPI_Config!$F$10&gt;0,Raw_Data!J19&lt;=KPI_Config!$G$10),KPI_Config!$F$10,0)),IF(Raw_Data!J19&gt;=KPI_Config!$E$10,KPI_Config!$D$10,IF(AND(KPI_Config!$F$10&gt;0,Raw_Data!J19&gt;=KPI_Config!$G$10),KPI_Config!$F$10,0)))))</f>
        <v>0.15</v>
      </c>
      <c r="K19" s="21">
        <f>IF($A19="","",IF(Raw_Data!G19="",0,IF(KPI_Config!$C$11="L",IF(Raw_Data!G19&lt;=KPI_Config!$E$11,KPI_Config!$D$11,IF(AND(KPI_Config!$F$11&gt;0,Raw_Data!G19&lt;=KPI_Config!$G$11),KPI_Config!$F$11,0)),IF(Raw_Data!G19&gt;=KPI_Config!$E$11,KPI_Config!$D$11,IF(AND(KPI_Config!$F$11&gt;0,Raw_Data!G19&gt;=KPI_Config!$G$11),KPI_Config!$F$11,0)))))</f>
        <v>0.3</v>
      </c>
      <c r="L19" s="21">
        <f>IF($A19="","",MIN(Policy_Decisions!$B$10,IF(Policy_Decisions!$B$6="Additive",SUM(E19:K19),SUM(E19:J19)-G19+MAX(G19,K19))))</f>
        <v>0.95</v>
      </c>
      <c r="M19" s="21">
        <f>IF($A19="","",Raw_Data!K19)</f>
        <v>0</v>
      </c>
      <c r="N19" s="21">
        <f>IF($A19="","",IFERROR(VLOOKUP(M19,KPI_Config!$I$5:$J$10,2,FALSE()),0))</f>
        <v>0</v>
      </c>
      <c r="O19" s="21">
        <f>IF($A19="","",IF(Policy_Decisions!$B$5="Percentage points",MAX(0,L19-N19),L19*(1-N19)))</f>
        <v>0.95</v>
      </c>
      <c r="P19" s="13" t="str">
        <f>IF($A19="","",IF(U19="","Review proration",IF(O19=0,"No payout",IF(N19&gt;0,"Malus applied","Eligible"))))</f>
        <v>Eligible</v>
      </c>
      <c r="Q19" s="13" t="str">
        <f>IF($A19="","",Raw_Data!M19)</f>
        <v>MAD</v>
      </c>
      <c r="R19" s="37">
        <f>IF($A19="","",Raw_Data!N19)</f>
        <v>0</v>
      </c>
      <c r="S19" s="37">
        <f>IF($A19="","",Raw_Data!O19)</f>
        <v>0</v>
      </c>
      <c r="T19" s="37">
        <f>IF($A19="","",IF(Raw_Data!P19&gt;0,Raw_Data!P19,Raw_Data!N19*Raw_Data!O19/IF(Policy_Decisions!$B$7="Annual",12,1)))</f>
        <v>2000</v>
      </c>
      <c r="U19" s="37">
        <f>IF($A19="","",IF(OR(Raw_Data!R19="",Raw_Data!R19&lt;=0),"",MIN(1,MAX(0,Raw_Data!Q19/Raw_Data!R19))))</f>
        <v>1</v>
      </c>
      <c r="V19" s="37">
        <f>IF(OR($A19="",U19=""),"",T19*U19)</f>
        <v>2000</v>
      </c>
      <c r="W19" s="37">
        <f>IF(OR($A19="",V19=""),"",V19*L19)</f>
        <v>1900</v>
      </c>
      <c r="X19" s="37">
        <f>IF(OR($A19="",V19=""),"",V19*L19-V19*O19)</f>
        <v>0</v>
      </c>
      <c r="Y19" s="37">
        <f>IF(OR($A19="",V19=""),"",ROUND(V19*O19,IF(Policy_Decisions!$B$11="Whole MAD",0,2)))</f>
        <v>1900</v>
      </c>
      <c r="Z19" t="str">
        <f>Raw_Data!T19</f>
        <v>Malak AZERKI</v>
      </c>
      <c r="AA19" t="str">
        <f>Raw_Data!U19</f>
        <v>Anas OUAKKAD</v>
      </c>
    </row>
    <row r="20" spans="1:27" ht="14.25" customHeight="1">
      <c r="A20" s="15">
        <f>IF(Raw_Data!A20="","",Raw_Data!A20)</f>
        <v>204033</v>
      </c>
      <c r="B20" s="15" t="str">
        <f>IF(Raw_Data!B20="","",Raw_Data!B20)</f>
        <v>Oulad Abdelaziz Youssef</v>
      </c>
      <c r="C20" s="15" t="str">
        <f>IF(Raw_Data!C20="","",Raw_Data!C20)</f>
        <v>Ford Dutch</v>
      </c>
      <c r="D20" s="15" t="str">
        <f>IF(Raw_Data!D20="","",Raw_Data!D20)</f>
        <v>2026-07</v>
      </c>
      <c r="E20" s="16">
        <f>IF($A20="","",IF(Raw_Data!E20="",0,IF(KPI_Config!$C$5="L",IF(Raw_Data!E20&lt;=KPI_Config!$E$5,KPI_Config!$D$5,IF(AND(KPI_Config!$F$5&gt;0,Raw_Data!E20&lt;=KPI_Config!$G$5),KPI_Config!$F$5,0)),IF(Raw_Data!E20&gt;=KPI_Config!$E$5,KPI_Config!$D$5,IF(AND(KPI_Config!$F$5&gt;0,Raw_Data!E20&gt;=KPI_Config!$G$5),KPI_Config!$F$5,0)))))</f>
        <v>0.15</v>
      </c>
      <c r="F20" s="16">
        <f>IF($A20="","",IF(Raw_Data!F20="",0,IF(KPI_Config!$C$6="L",IF(Raw_Data!F20&lt;=KPI_Config!$E$6,KPI_Config!$D$6,IF(AND(KPI_Config!$F$6&gt;0,Raw_Data!F20&lt;=KPI_Config!$G$6),KPI_Config!$F$6,0)),IF(Raw_Data!F20&gt;=KPI_Config!$E$6,KPI_Config!$D$6,IF(AND(KPI_Config!$F$6&gt;0,Raw_Data!F20&gt;=KPI_Config!$G$6),KPI_Config!$F$6,0)))))</f>
        <v>0.15</v>
      </c>
      <c r="G20" s="16">
        <f>IF($A20="","",IF(Raw_Data!G20="",0,IF(KPI_Config!$C$7="L",IF(Raw_Data!G20&lt;=KPI_Config!$E$7,KPI_Config!$D$7,IF(AND(KPI_Config!$F$7&gt;0,Raw_Data!G20&lt;=KPI_Config!$G$7),KPI_Config!$F$7,0)),IF(Raw_Data!G20&gt;=KPI_Config!$E$7,KPI_Config!$D$7,IF(AND(KPI_Config!$F$7&gt;0,Raw_Data!G20&gt;=KPI_Config!$G$7),KPI_Config!$F$7,0)))))</f>
        <v>0</v>
      </c>
      <c r="H20" s="16">
        <f>IF($A20="","",IF(Raw_Data!H20="",0,IF(KPI_Config!$C$8="L",IF(Raw_Data!H20&lt;=KPI_Config!$E$8,KPI_Config!$D$8,IF(AND(KPI_Config!$F$8&gt;0,Raw_Data!H20&lt;=KPI_Config!$G$8),KPI_Config!$F$8,0)),IF(Raw_Data!H20&gt;=KPI_Config!$E$8,KPI_Config!$D$8,IF(AND(KPI_Config!$F$8&gt;0,Raw_Data!H20&gt;=KPI_Config!$G$8),KPI_Config!$F$8,0)))))</f>
        <v>0</v>
      </c>
      <c r="I20" s="16">
        <f>IF($A20="","",IF(Raw_Data!I20="",0,IF(KPI_Config!$C$9="L",IF(Raw_Data!I20&lt;=KPI_Config!$E$9,KPI_Config!$D$9,IF(AND(KPI_Config!$F$9&gt;0,Raw_Data!I20&lt;=KPI_Config!$G$9),KPI_Config!$F$9,0)),IF(Raw_Data!I20&gt;=KPI_Config!$E$9,KPI_Config!$D$9,IF(AND(KPI_Config!$F$9&gt;0,Raw_Data!I20&gt;=KPI_Config!$G$9),KPI_Config!$F$9,0)))))</f>
        <v>0</v>
      </c>
      <c r="J20" s="16">
        <f>IF($A20="","",IF(Raw_Data!J20="",0,IF(KPI_Config!$C$10="L",IF(Raw_Data!J20&lt;=KPI_Config!$E$10,KPI_Config!$D$10,IF(AND(KPI_Config!$F$10&gt;0,Raw_Data!J20&lt;=KPI_Config!$G$10),KPI_Config!$F$10,0)),IF(Raw_Data!J20&gt;=KPI_Config!$E$10,KPI_Config!$D$10,IF(AND(KPI_Config!$F$10&gt;0,Raw_Data!J20&gt;=KPI_Config!$G$10),KPI_Config!$F$10,0)))))</f>
        <v>0</v>
      </c>
      <c r="K20" s="16">
        <f>IF($A20="","",IF(Raw_Data!G20="",0,IF(KPI_Config!$C$11="L",IF(Raw_Data!G20&lt;=KPI_Config!$E$11,KPI_Config!$D$11,IF(AND(KPI_Config!$F$11&gt;0,Raw_Data!G20&lt;=KPI_Config!$G$11),KPI_Config!$F$11,0)),IF(Raw_Data!G20&gt;=KPI_Config!$E$11,KPI_Config!$D$11,IF(AND(KPI_Config!$F$11&gt;0,Raw_Data!G20&gt;=KPI_Config!$G$11),KPI_Config!$F$11,0)))))</f>
        <v>0</v>
      </c>
      <c r="L20" s="16">
        <f>IF($A20="","",MIN(Policy_Decisions!$B$10,IF(Policy_Decisions!$B$6="Additive",SUM(E20:K20),SUM(E20:J20)-G20+MAX(G20,K20))))</f>
        <v>0.3</v>
      </c>
      <c r="M20" s="16">
        <f>IF($A20="","",Raw_Data!K20)</f>
        <v>0</v>
      </c>
      <c r="N20" s="16">
        <f>IF($A20="","",IFERROR(VLOOKUP(M20,KPI_Config!$I$5:$J$10,2,FALSE()),0))</f>
        <v>0</v>
      </c>
      <c r="O20" s="16">
        <f>IF($A20="","",IF(Policy_Decisions!$B$5="Percentage points",MAX(0,L20-N20),L20*(1-N20)))</f>
        <v>0.3</v>
      </c>
      <c r="P20" s="15" t="str">
        <f>IF($A20="","",IF(U20="","Review proration",IF(O20=0,"No payout",IF(N20&gt;0,"Malus applied","Eligible"))))</f>
        <v>Eligible</v>
      </c>
      <c r="Q20" s="15" t="str">
        <f>IF($A20="","",Raw_Data!M20)</f>
        <v>MAD</v>
      </c>
      <c r="R20" s="38">
        <f>IF($A20="","",Raw_Data!N20)</f>
        <v>0</v>
      </c>
      <c r="S20" s="38">
        <f>IF($A20="","",Raw_Data!O20)</f>
        <v>0</v>
      </c>
      <c r="T20" s="38">
        <f>IF($A20="","",IF(Raw_Data!P20&gt;0,Raw_Data!P20,Raw_Data!N20*Raw_Data!O20/IF(Policy_Decisions!$B$7="Annual",12,1)))</f>
        <v>2000</v>
      </c>
      <c r="U20" s="38">
        <f>IF($A20="","",IF(OR(Raw_Data!R20="",Raw_Data!R20&lt;=0),"",MIN(1,MAX(0,Raw_Data!Q20/Raw_Data!R20))))</f>
        <v>1</v>
      </c>
      <c r="V20" s="38">
        <f>IF(OR($A20="",U20=""),"",T20*U20)</f>
        <v>2000</v>
      </c>
      <c r="W20" s="38">
        <f>IF(OR($A20="",V20=""),"",V20*L20)</f>
        <v>600</v>
      </c>
      <c r="X20" s="38">
        <f>IF(OR($A20="",V20=""),"",V20*L20-V20*O20)</f>
        <v>0</v>
      </c>
      <c r="Y20" s="38">
        <f>IF(OR($A20="",V20=""),"",ROUND(V20*O20,IF(Policy_Decisions!$B$11="Whole MAD",0,2)))</f>
        <v>600</v>
      </c>
      <c r="Z20" t="str">
        <f>Raw_Data!T20</f>
        <v>EL GHAZI Youssef</v>
      </c>
      <c r="AA20" t="str">
        <f>Raw_Data!U20</f>
        <v>Anas OUAKKAD</v>
      </c>
    </row>
    <row r="21" spans="1:27" ht="14.25" customHeight="1">
      <c r="A21" s="13">
        <f>IF(Raw_Data!A21="","",Raw_Data!A21)</f>
        <v>228202</v>
      </c>
      <c r="B21" s="13" t="str">
        <f>IF(Raw_Data!B21="","",Raw_Data!B21)</f>
        <v>Youssef AZIZ</v>
      </c>
      <c r="C21" s="13" t="str">
        <f>IF(Raw_Data!C21="","",Raw_Data!C21)</f>
        <v>OEM FR</v>
      </c>
      <c r="D21" s="13" t="str">
        <f>IF(Raw_Data!D21="","",Raw_Data!D21)</f>
        <v>2026-07</v>
      </c>
      <c r="E21" s="21">
        <f>IF($A21="","",IF(Raw_Data!E21="",0,IF(KPI_Config!$C$5="L",IF(Raw_Data!E21&lt;=KPI_Config!$E$5,KPI_Config!$D$5,IF(AND(KPI_Config!$F$5&gt;0,Raw_Data!E21&lt;=KPI_Config!$G$5),KPI_Config!$F$5,0)),IF(Raw_Data!E21&gt;=KPI_Config!$E$5,KPI_Config!$D$5,IF(AND(KPI_Config!$F$5&gt;0,Raw_Data!E21&gt;=KPI_Config!$G$5),KPI_Config!$F$5,0)))))</f>
        <v>0</v>
      </c>
      <c r="F21" s="21">
        <f>IF($A21="","",IF(Raw_Data!F21="",0,IF(KPI_Config!$C$6="L",IF(Raw_Data!F21&lt;=KPI_Config!$E$6,KPI_Config!$D$6,IF(AND(KPI_Config!$F$6&gt;0,Raw_Data!F21&lt;=KPI_Config!$G$6),KPI_Config!$F$6,0)),IF(Raw_Data!F21&gt;=KPI_Config!$E$6,KPI_Config!$D$6,IF(AND(KPI_Config!$F$6&gt;0,Raw_Data!F21&gt;=KPI_Config!$G$6),KPI_Config!$F$6,0)))))</f>
        <v>0</v>
      </c>
      <c r="G21" s="21">
        <f>IF($A21="","",IF(Raw_Data!G21="",0,IF(KPI_Config!$C$7="L",IF(Raw_Data!G21&lt;=KPI_Config!$E$7,KPI_Config!$D$7,IF(AND(KPI_Config!$F$7&gt;0,Raw_Data!G21&lt;=KPI_Config!$G$7),KPI_Config!$F$7,0)),IF(Raw_Data!G21&gt;=KPI_Config!$E$7,KPI_Config!$D$7,IF(AND(KPI_Config!$F$7&gt;0,Raw_Data!G21&gt;=KPI_Config!$G$7),KPI_Config!$F$7,0)))))</f>
        <v>0.2</v>
      </c>
      <c r="H21" s="21">
        <f>IF($A21="","",IF(Raw_Data!H21="",0,IF(KPI_Config!$C$8="L",IF(Raw_Data!H21&lt;=KPI_Config!$E$8,KPI_Config!$D$8,IF(AND(KPI_Config!$F$8&gt;0,Raw_Data!H21&lt;=KPI_Config!$G$8),KPI_Config!$F$8,0)),IF(Raw_Data!H21&gt;=KPI_Config!$E$8,KPI_Config!$D$8,IF(AND(KPI_Config!$F$8&gt;0,Raw_Data!H21&gt;=KPI_Config!$G$8),KPI_Config!$F$8,0)))))</f>
        <v>0</v>
      </c>
      <c r="I21" s="21">
        <f>IF($A21="","",IF(Raw_Data!I21="",0,IF(KPI_Config!$C$9="L",IF(Raw_Data!I21&lt;=KPI_Config!$E$9,KPI_Config!$D$9,IF(AND(KPI_Config!$F$9&gt;0,Raw_Data!I21&lt;=KPI_Config!$G$9),KPI_Config!$F$9,0)),IF(Raw_Data!I21&gt;=KPI_Config!$E$9,KPI_Config!$D$9,IF(AND(KPI_Config!$F$9&gt;0,Raw_Data!I21&gt;=KPI_Config!$G$9),KPI_Config!$F$9,0)))))</f>
        <v>0</v>
      </c>
      <c r="J21" s="21">
        <f>IF($A21="","",IF(Raw_Data!J21="",0,IF(KPI_Config!$C$10="L",IF(Raw_Data!J21&lt;=KPI_Config!$E$10,KPI_Config!$D$10,IF(AND(KPI_Config!$F$10&gt;0,Raw_Data!J21&lt;=KPI_Config!$G$10),KPI_Config!$F$10,0)),IF(Raw_Data!J21&gt;=KPI_Config!$E$10,KPI_Config!$D$10,IF(AND(KPI_Config!$F$10&gt;0,Raw_Data!J21&gt;=KPI_Config!$G$10),KPI_Config!$F$10,0)))))</f>
        <v>0.15</v>
      </c>
      <c r="K21" s="21">
        <f>IF($A21="","",IF(Raw_Data!G21="",0,IF(KPI_Config!$C$11="L",IF(Raw_Data!G21&lt;=KPI_Config!$E$11,KPI_Config!$D$11,IF(AND(KPI_Config!$F$11&gt;0,Raw_Data!G21&lt;=KPI_Config!$G$11),KPI_Config!$F$11,0)),IF(Raw_Data!G21&gt;=KPI_Config!$E$11,KPI_Config!$D$11,IF(AND(KPI_Config!$F$11&gt;0,Raw_Data!G21&gt;=KPI_Config!$G$11),KPI_Config!$F$11,0)))))</f>
        <v>0.3</v>
      </c>
      <c r="L21" s="21">
        <f>IF($A21="","",MIN(Policy_Decisions!$B$10,IF(Policy_Decisions!$B$6="Additive",SUM(E21:K21),SUM(E21:J21)-G21+MAX(G21,K21))))</f>
        <v>0.64999999999999991</v>
      </c>
      <c r="M21" s="21">
        <f>IF($A21="","",Raw_Data!K21)</f>
        <v>0</v>
      </c>
      <c r="N21" s="21">
        <f>IF($A21="","",IFERROR(VLOOKUP(M21,KPI_Config!$I$5:$J$10,2,FALSE()),0))</f>
        <v>0</v>
      </c>
      <c r="O21" s="21">
        <f>IF($A21="","",IF(Policy_Decisions!$B$5="Percentage points",MAX(0,L21-N21),L21*(1-N21)))</f>
        <v>0.64999999999999991</v>
      </c>
      <c r="P21" s="13" t="str">
        <f>IF($A21="","",IF(U21="","Review proration",IF(O21=0,"No payout",IF(N21&gt;0,"Malus applied","Eligible"))))</f>
        <v>Eligible</v>
      </c>
      <c r="Q21" s="13" t="str">
        <f>IF($A21="","",Raw_Data!M21)</f>
        <v>MAD</v>
      </c>
      <c r="R21" s="37">
        <f>IF($A21="","",Raw_Data!N21)</f>
        <v>0</v>
      </c>
      <c r="S21" s="37">
        <f>IF($A21="","",Raw_Data!O21)</f>
        <v>0</v>
      </c>
      <c r="T21" s="37">
        <f>IF($A21="","",IF(Raw_Data!P21&gt;0,Raw_Data!P21,Raw_Data!N21*Raw_Data!O21/IF(Policy_Decisions!$B$7="Annual",12,1)))</f>
        <v>2000</v>
      </c>
      <c r="U21" s="37">
        <f>IF($A21="","",IF(OR(Raw_Data!R21="",Raw_Data!R21&lt;=0),"",MIN(1,MAX(0,Raw_Data!Q21/Raw_Data!R21))))</f>
        <v>1</v>
      </c>
      <c r="V21" s="37">
        <f>IF(OR($A21="",U21=""),"",T21*U21)</f>
        <v>2000</v>
      </c>
      <c r="W21" s="37">
        <f>IF(OR($A21="",V21=""),"",V21*L21)</f>
        <v>1299.9999999999998</v>
      </c>
      <c r="X21" s="37">
        <f>IF(OR($A21="",V21=""),"",V21*L21-V21*O21)</f>
        <v>0</v>
      </c>
      <c r="Y21" s="37">
        <f>IF(OR($A21="",V21=""),"",ROUND(V21*O21,IF(Policy_Decisions!$B$11="Whole MAD",0,2)))</f>
        <v>1300</v>
      </c>
      <c r="Z21" t="str">
        <f>Raw_Data!T21</f>
        <v>Kenza EL MOUMNI</v>
      </c>
      <c r="AA21" t="str">
        <f>Raw_Data!U21</f>
        <v>Anas OUAKKAD</v>
      </c>
    </row>
    <row r="22" spans="1:27" ht="14.25" customHeight="1">
      <c r="A22" s="15">
        <f>IF(Raw_Data!A22="","",Raw_Data!A22)</f>
        <v>228201</v>
      </c>
      <c r="B22" s="15" t="str">
        <f>IF(Raw_Data!B22="","",Raw_Data!B22)</f>
        <v>Youssef AMNAD</v>
      </c>
      <c r="C22" s="15" t="str">
        <f>IF(Raw_Data!C22="","",Raw_Data!C22)</f>
        <v>OEM FR</v>
      </c>
      <c r="D22" s="15" t="str">
        <f>IF(Raw_Data!D22="","",Raw_Data!D22)</f>
        <v>2026-07</v>
      </c>
      <c r="E22" s="16">
        <f>IF($A22="","",IF(Raw_Data!E22="",0,IF(KPI_Config!$C$5="L",IF(Raw_Data!E22&lt;=KPI_Config!$E$5,KPI_Config!$D$5,IF(AND(KPI_Config!$F$5&gt;0,Raw_Data!E22&lt;=KPI_Config!$G$5),KPI_Config!$F$5,0)),IF(Raw_Data!E22&gt;=KPI_Config!$E$5,KPI_Config!$D$5,IF(AND(KPI_Config!$F$5&gt;0,Raw_Data!E22&gt;=KPI_Config!$G$5),KPI_Config!$F$5,0)))))</f>
        <v>0</v>
      </c>
      <c r="F22" s="16">
        <f>IF($A22="","",IF(Raw_Data!F22="",0,IF(KPI_Config!$C$6="L",IF(Raw_Data!F22&lt;=KPI_Config!$E$6,KPI_Config!$D$6,IF(AND(KPI_Config!$F$6&gt;0,Raw_Data!F22&lt;=KPI_Config!$G$6),KPI_Config!$F$6,0)),IF(Raw_Data!F22&gt;=KPI_Config!$E$6,KPI_Config!$D$6,IF(AND(KPI_Config!$F$6&gt;0,Raw_Data!F22&gt;=KPI_Config!$G$6),KPI_Config!$F$6,0)))))</f>
        <v>0.15</v>
      </c>
      <c r="G22" s="16">
        <f>IF($A22="","",IF(Raw_Data!G22="",0,IF(KPI_Config!$C$7="L",IF(Raw_Data!G22&lt;=KPI_Config!$E$7,KPI_Config!$D$7,IF(AND(KPI_Config!$F$7&gt;0,Raw_Data!G22&lt;=KPI_Config!$G$7),KPI_Config!$F$7,0)),IF(Raw_Data!G22&gt;=KPI_Config!$E$7,KPI_Config!$D$7,IF(AND(KPI_Config!$F$7&gt;0,Raw_Data!G22&gt;=KPI_Config!$G$7),KPI_Config!$F$7,0)))))</f>
        <v>0.2</v>
      </c>
      <c r="H22" s="16">
        <f>IF($A22="","",IF(Raw_Data!H22="",0,IF(KPI_Config!$C$8="L",IF(Raw_Data!H22&lt;=KPI_Config!$E$8,KPI_Config!$D$8,IF(AND(KPI_Config!$F$8&gt;0,Raw_Data!H22&lt;=KPI_Config!$G$8),KPI_Config!$F$8,0)),IF(Raw_Data!H22&gt;=KPI_Config!$E$8,KPI_Config!$D$8,IF(AND(KPI_Config!$F$8&gt;0,Raw_Data!H22&gt;=KPI_Config!$G$8),KPI_Config!$F$8,0)))))</f>
        <v>0</v>
      </c>
      <c r="I22" s="16">
        <f>IF($A22="","",IF(Raw_Data!I22="",0,IF(KPI_Config!$C$9="L",IF(Raw_Data!I22&lt;=KPI_Config!$E$9,KPI_Config!$D$9,IF(AND(KPI_Config!$F$9&gt;0,Raw_Data!I22&lt;=KPI_Config!$G$9),KPI_Config!$F$9,0)),IF(Raw_Data!I22&gt;=KPI_Config!$E$9,KPI_Config!$D$9,IF(AND(KPI_Config!$F$9&gt;0,Raw_Data!I22&gt;=KPI_Config!$G$9),KPI_Config!$F$9,0)))))</f>
        <v>0</v>
      </c>
      <c r="J22" s="16">
        <f>IF($A22="","",IF(Raw_Data!J22="",0,IF(KPI_Config!$C$10="L",IF(Raw_Data!J22&lt;=KPI_Config!$E$10,KPI_Config!$D$10,IF(AND(KPI_Config!$F$10&gt;0,Raw_Data!J22&lt;=KPI_Config!$G$10),KPI_Config!$F$10,0)),IF(Raw_Data!J22&gt;=KPI_Config!$E$10,KPI_Config!$D$10,IF(AND(KPI_Config!$F$10&gt;0,Raw_Data!J22&gt;=KPI_Config!$G$10),KPI_Config!$F$10,0)))))</f>
        <v>0.15</v>
      </c>
      <c r="K22" s="16">
        <f>IF($A22="","",IF(Raw_Data!G22="",0,IF(KPI_Config!$C$11="L",IF(Raw_Data!G22&lt;=KPI_Config!$E$11,KPI_Config!$D$11,IF(AND(KPI_Config!$F$11&gt;0,Raw_Data!G22&lt;=KPI_Config!$G$11),KPI_Config!$F$11,0)),IF(Raw_Data!G22&gt;=KPI_Config!$E$11,KPI_Config!$D$11,IF(AND(KPI_Config!$F$11&gt;0,Raw_Data!G22&gt;=KPI_Config!$G$11),KPI_Config!$F$11,0)))))</f>
        <v>0.3</v>
      </c>
      <c r="L22" s="16">
        <f>IF($A22="","",MIN(Policy_Decisions!$B$10,IF(Policy_Decisions!$B$6="Additive",SUM(E22:K22),SUM(E22:J22)-G22+MAX(G22,K22))))</f>
        <v>0.8</v>
      </c>
      <c r="M22" s="16">
        <f>IF($A22="","",Raw_Data!K22)</f>
        <v>0</v>
      </c>
      <c r="N22" s="16">
        <f>IF($A22="","",IFERROR(VLOOKUP(M22,KPI_Config!$I$5:$J$10,2,FALSE()),0))</f>
        <v>0</v>
      </c>
      <c r="O22" s="16">
        <f>IF($A22="","",IF(Policy_Decisions!$B$5="Percentage points",MAX(0,L22-N22),L22*(1-N22)))</f>
        <v>0.8</v>
      </c>
      <c r="P22" s="15" t="str">
        <f>IF($A22="","",IF(U22="","Review proration",IF(O22=0,"No payout",IF(N22&gt;0,"Malus applied","Eligible"))))</f>
        <v>Eligible</v>
      </c>
      <c r="Q22" s="15" t="str">
        <f>IF($A22="","",Raw_Data!M22)</f>
        <v>MAD</v>
      </c>
      <c r="R22" s="38">
        <f>IF($A22="","",Raw_Data!N22)</f>
        <v>0</v>
      </c>
      <c r="S22" s="38">
        <f>IF($A22="","",Raw_Data!O22)</f>
        <v>0</v>
      </c>
      <c r="T22" s="38">
        <f>IF($A22="","",IF(Raw_Data!P22&gt;0,Raw_Data!P22,Raw_Data!N22*Raw_Data!O22/IF(Policy_Decisions!$B$7="Annual",12,1)))</f>
        <v>2000</v>
      </c>
      <c r="U22" s="38">
        <f>IF($A22="","",IF(OR(Raw_Data!R22="",Raw_Data!R22&lt;=0),"",MIN(1,MAX(0,Raw_Data!Q22/Raw_Data!R22))))</f>
        <v>1</v>
      </c>
      <c r="V22" s="38">
        <f>IF(OR($A22="",U22=""),"",T22*U22)</f>
        <v>2000</v>
      </c>
      <c r="W22" s="38">
        <f>IF(OR($A22="",V22=""),"",V22*L22)</f>
        <v>1600</v>
      </c>
      <c r="X22" s="38">
        <f>IF(OR($A22="",V22=""),"",V22*L22-V22*O22)</f>
        <v>0</v>
      </c>
      <c r="Y22" s="38">
        <f>IF(OR($A22="",V22=""),"",ROUND(V22*O22,IF(Policy_Decisions!$B$11="Whole MAD",0,2)))</f>
        <v>1600</v>
      </c>
      <c r="Z22" t="str">
        <f>Raw_Data!T22</f>
        <v>Malak AZERKI</v>
      </c>
      <c r="AA22" t="str">
        <f>Raw_Data!U22</f>
        <v>Anas OUAKKAD</v>
      </c>
    </row>
    <row r="23" spans="1:27" ht="14.25" customHeight="1">
      <c r="A23" s="13">
        <f>IF(Raw_Data!A23="","",Raw_Data!A23)</f>
        <v>250753</v>
      </c>
      <c r="B23" s="13" t="str">
        <f>IF(Raw_Data!B23="","",Raw_Data!B23)</f>
        <v>Youness ZBATI</v>
      </c>
      <c r="C23" s="13" t="str">
        <f>IF(Raw_Data!C23="","",Raw_Data!C23)</f>
        <v>OEM FR</v>
      </c>
      <c r="D23" s="13" t="str">
        <f>IF(Raw_Data!D23="","",Raw_Data!D23)</f>
        <v>2026-07</v>
      </c>
      <c r="E23" s="21">
        <f>IF($A23="","",IF(Raw_Data!E23="",0,IF(KPI_Config!$C$5="L",IF(Raw_Data!E23&lt;=KPI_Config!$E$5,KPI_Config!$D$5,IF(AND(KPI_Config!$F$5&gt;0,Raw_Data!E23&lt;=KPI_Config!$G$5),KPI_Config!$F$5,0)),IF(Raw_Data!E23&gt;=KPI_Config!$E$5,KPI_Config!$D$5,IF(AND(KPI_Config!$F$5&gt;0,Raw_Data!E23&gt;=KPI_Config!$G$5),KPI_Config!$F$5,0)))))</f>
        <v>0</v>
      </c>
      <c r="F23" s="21">
        <f>IF($A23="","",IF(Raw_Data!F23="",0,IF(KPI_Config!$C$6="L",IF(Raw_Data!F23&lt;=KPI_Config!$E$6,KPI_Config!$D$6,IF(AND(KPI_Config!$F$6&gt;0,Raw_Data!F23&lt;=KPI_Config!$G$6),KPI_Config!$F$6,0)),IF(Raw_Data!F23&gt;=KPI_Config!$E$6,KPI_Config!$D$6,IF(AND(KPI_Config!$F$6&gt;0,Raw_Data!F23&gt;=KPI_Config!$G$6),KPI_Config!$F$6,0)))))</f>
        <v>0</v>
      </c>
      <c r="G23" s="21">
        <f>IF($A23="","",IF(Raw_Data!G23="",0,IF(KPI_Config!$C$7="L",IF(Raw_Data!G23&lt;=KPI_Config!$E$7,KPI_Config!$D$7,IF(AND(KPI_Config!$F$7&gt;0,Raw_Data!G23&lt;=KPI_Config!$G$7),KPI_Config!$F$7,0)),IF(Raw_Data!G23&gt;=KPI_Config!$E$7,KPI_Config!$D$7,IF(AND(KPI_Config!$F$7&gt;0,Raw_Data!G23&gt;=KPI_Config!$G$7),KPI_Config!$F$7,0)))))</f>
        <v>0</v>
      </c>
      <c r="H23" s="21">
        <f>IF($A23="","",IF(Raw_Data!H23="",0,IF(KPI_Config!$C$8="L",IF(Raw_Data!H23&lt;=KPI_Config!$E$8,KPI_Config!$D$8,IF(AND(KPI_Config!$F$8&gt;0,Raw_Data!H23&lt;=KPI_Config!$G$8),KPI_Config!$F$8,0)),IF(Raw_Data!H23&gt;=KPI_Config!$E$8,KPI_Config!$D$8,IF(AND(KPI_Config!$F$8&gt;0,Raw_Data!H23&gt;=KPI_Config!$G$8),KPI_Config!$F$8,0)))))</f>
        <v>0</v>
      </c>
      <c r="I23" s="21">
        <f>IF($A23="","",IF(Raw_Data!I23="",0,IF(KPI_Config!$C$9="L",IF(Raw_Data!I23&lt;=KPI_Config!$E$9,KPI_Config!$D$9,IF(AND(KPI_Config!$F$9&gt;0,Raw_Data!I23&lt;=KPI_Config!$G$9),KPI_Config!$F$9,0)),IF(Raw_Data!I23&gt;=KPI_Config!$E$9,KPI_Config!$D$9,IF(AND(KPI_Config!$F$9&gt;0,Raw_Data!I23&gt;=KPI_Config!$G$9),KPI_Config!$F$9,0)))))</f>
        <v>0</v>
      </c>
      <c r="J23" s="21">
        <f>IF($A23="","",IF(Raw_Data!J23="",0,IF(KPI_Config!$C$10="L",IF(Raw_Data!J23&lt;=KPI_Config!$E$10,KPI_Config!$D$10,IF(AND(KPI_Config!$F$10&gt;0,Raw_Data!J23&lt;=KPI_Config!$G$10),KPI_Config!$F$10,0)),IF(Raw_Data!J23&gt;=KPI_Config!$E$10,KPI_Config!$D$10,IF(AND(KPI_Config!$F$10&gt;0,Raw_Data!J23&gt;=KPI_Config!$G$10),KPI_Config!$F$10,0)))))</f>
        <v>0.15</v>
      </c>
      <c r="K23" s="21">
        <f>IF($A23="","",IF(Raw_Data!G23="",0,IF(KPI_Config!$C$11="L",IF(Raw_Data!G23&lt;=KPI_Config!$E$11,KPI_Config!$D$11,IF(AND(KPI_Config!$F$11&gt;0,Raw_Data!G23&lt;=KPI_Config!$G$11),KPI_Config!$F$11,0)),IF(Raw_Data!G23&gt;=KPI_Config!$E$11,KPI_Config!$D$11,IF(AND(KPI_Config!$F$11&gt;0,Raw_Data!G23&gt;=KPI_Config!$G$11),KPI_Config!$F$11,0)))))</f>
        <v>0</v>
      </c>
      <c r="L23" s="21">
        <f>IF($A23="","",MIN(Policy_Decisions!$B$10,IF(Policy_Decisions!$B$6="Additive",SUM(E23:K23),SUM(E23:J23)-G23+MAX(G23,K23))))</f>
        <v>0.15</v>
      </c>
      <c r="M23" s="21">
        <f>IF($A23="","",Raw_Data!K23)</f>
        <v>0</v>
      </c>
      <c r="N23" s="21">
        <f>IF($A23="","",IFERROR(VLOOKUP(M23,KPI_Config!$I$5:$J$10,2,FALSE()),0))</f>
        <v>0</v>
      </c>
      <c r="O23" s="21">
        <f>IF($A23="","",IF(Policy_Decisions!$B$5="Percentage points",MAX(0,L23-N23),L23*(1-N23)))</f>
        <v>0.15</v>
      </c>
      <c r="P23" s="13" t="str">
        <f>IF($A23="","",IF(U23="","Review proration",IF(O23=0,"No payout",IF(N23&gt;0,"Malus applied","Eligible"))))</f>
        <v>Eligible</v>
      </c>
      <c r="Q23" s="13" t="str">
        <f>IF($A23="","",Raw_Data!M23)</f>
        <v>MAD</v>
      </c>
      <c r="R23" s="37">
        <f>IF($A23="","",Raw_Data!N23)</f>
        <v>0</v>
      </c>
      <c r="S23" s="37">
        <f>IF($A23="","",Raw_Data!O23)</f>
        <v>0</v>
      </c>
      <c r="T23" s="37">
        <f>IF($A23="","",IF(Raw_Data!P23&gt;0,Raw_Data!P23,Raw_Data!N23*Raw_Data!O23/IF(Policy_Decisions!$B$7="Annual",12,1)))</f>
        <v>2000</v>
      </c>
      <c r="U23" s="37">
        <f>IF($A23="","",IF(OR(Raw_Data!R23="",Raw_Data!R23&lt;=0),"",MIN(1,MAX(0,Raw_Data!Q23/Raw_Data!R23))))</f>
        <v>1</v>
      </c>
      <c r="V23" s="37">
        <f>IF(OR($A23="",U23=""),"",T23*U23)</f>
        <v>2000</v>
      </c>
      <c r="W23" s="37">
        <f>IF(OR($A23="",V23=""),"",V23*L23)</f>
        <v>300</v>
      </c>
      <c r="X23" s="37">
        <f>IF(OR($A23="",V23=""),"",V23*L23-V23*O23)</f>
        <v>0</v>
      </c>
      <c r="Y23" s="37">
        <f>IF(OR($A23="",V23=""),"",ROUND(V23*O23,IF(Policy_Decisions!$B$11="Whole MAD",0,2)))</f>
        <v>300</v>
      </c>
      <c r="Z23" t="str">
        <f>Raw_Data!T23</f>
        <v>Kenza EL MOUMNI</v>
      </c>
      <c r="AA23" t="str">
        <f>Raw_Data!U23</f>
        <v>Anas OUAKKAD</v>
      </c>
    </row>
    <row r="24" spans="1:27" ht="14.25" customHeight="1">
      <c r="A24" s="15">
        <f>IF(Raw_Data!A24="","",Raw_Data!A24)</f>
        <v>249778</v>
      </c>
      <c r="B24" s="15" t="str">
        <f>IF(Raw_Data!B24="","",Raw_Data!B24)</f>
        <v>Youness OUAHBI</v>
      </c>
      <c r="C24" s="15" t="str">
        <f>IF(Raw_Data!C24="","",Raw_Data!C24)</f>
        <v>RSA FR</v>
      </c>
      <c r="D24" s="15" t="str">
        <f>IF(Raw_Data!D24="","",Raw_Data!D24)</f>
        <v>2026-07</v>
      </c>
      <c r="E24" s="16">
        <f>IF($A24="","",IF(Raw_Data!E24="",0,IF(KPI_Config!$C$5="L",IF(Raw_Data!E24&lt;=KPI_Config!$E$5,KPI_Config!$D$5,IF(AND(KPI_Config!$F$5&gt;0,Raw_Data!E24&lt;=KPI_Config!$G$5),KPI_Config!$F$5,0)),IF(Raw_Data!E24&gt;=KPI_Config!$E$5,KPI_Config!$D$5,IF(AND(KPI_Config!$F$5&gt;0,Raw_Data!E24&gt;=KPI_Config!$G$5),KPI_Config!$F$5,0)))))</f>
        <v>0</v>
      </c>
      <c r="F24" s="16">
        <f>IF($A24="","",IF(Raw_Data!F24="",0,IF(KPI_Config!$C$6="L",IF(Raw_Data!F24&lt;=KPI_Config!$E$6,KPI_Config!$D$6,IF(AND(KPI_Config!$F$6&gt;0,Raw_Data!F24&lt;=KPI_Config!$G$6),KPI_Config!$F$6,0)),IF(Raw_Data!F24&gt;=KPI_Config!$E$6,KPI_Config!$D$6,IF(AND(KPI_Config!$F$6&gt;0,Raw_Data!F24&gt;=KPI_Config!$G$6),KPI_Config!$F$6,0)))))</f>
        <v>0</v>
      </c>
      <c r="G24" s="16">
        <f>IF($A24="","",IF(Raw_Data!G24="",0,IF(KPI_Config!$C$7="L",IF(Raw_Data!G24&lt;=KPI_Config!$E$7,KPI_Config!$D$7,IF(AND(KPI_Config!$F$7&gt;0,Raw_Data!G24&lt;=KPI_Config!$G$7),KPI_Config!$F$7,0)),IF(Raw_Data!G24&gt;=KPI_Config!$E$7,KPI_Config!$D$7,IF(AND(KPI_Config!$F$7&gt;0,Raw_Data!G24&gt;=KPI_Config!$G$7),KPI_Config!$F$7,0)))))</f>
        <v>0</v>
      </c>
      <c r="H24" s="16">
        <f>IF($A24="","",IF(Raw_Data!H24="",0,IF(KPI_Config!$C$8="L",IF(Raw_Data!H24&lt;=KPI_Config!$E$8,KPI_Config!$D$8,IF(AND(KPI_Config!$F$8&gt;0,Raw_Data!H24&lt;=KPI_Config!$G$8),KPI_Config!$F$8,0)),IF(Raw_Data!H24&gt;=KPI_Config!$E$8,KPI_Config!$D$8,IF(AND(KPI_Config!$F$8&gt;0,Raw_Data!H24&gt;=KPI_Config!$G$8),KPI_Config!$F$8,0)))))</f>
        <v>0</v>
      </c>
      <c r="I24" s="16">
        <f>IF($A24="","",IF(Raw_Data!I24="",0,IF(KPI_Config!$C$9="L",IF(Raw_Data!I24&lt;=KPI_Config!$E$9,KPI_Config!$D$9,IF(AND(KPI_Config!$F$9&gt;0,Raw_Data!I24&lt;=KPI_Config!$G$9),KPI_Config!$F$9,0)),IF(Raw_Data!I24&gt;=KPI_Config!$E$9,KPI_Config!$D$9,IF(AND(KPI_Config!$F$9&gt;0,Raw_Data!I24&gt;=KPI_Config!$G$9),KPI_Config!$F$9,0)))))</f>
        <v>0</v>
      </c>
      <c r="J24" s="16">
        <f>IF($A24="","",IF(Raw_Data!J24="",0,IF(KPI_Config!$C$10="L",IF(Raw_Data!J24&lt;=KPI_Config!$E$10,KPI_Config!$D$10,IF(AND(KPI_Config!$F$10&gt;0,Raw_Data!J24&lt;=KPI_Config!$G$10),KPI_Config!$F$10,0)),IF(Raw_Data!J24&gt;=KPI_Config!$E$10,KPI_Config!$D$10,IF(AND(KPI_Config!$F$10&gt;0,Raw_Data!J24&gt;=KPI_Config!$G$10),KPI_Config!$F$10,0)))))</f>
        <v>0.15</v>
      </c>
      <c r="K24" s="16">
        <f>IF($A24="","",IF(Raw_Data!G24="",0,IF(KPI_Config!$C$11="L",IF(Raw_Data!G24&lt;=KPI_Config!$E$11,KPI_Config!$D$11,IF(AND(KPI_Config!$F$11&gt;0,Raw_Data!G24&lt;=KPI_Config!$G$11),KPI_Config!$F$11,0)),IF(Raw_Data!G24&gt;=KPI_Config!$E$11,KPI_Config!$D$11,IF(AND(KPI_Config!$F$11&gt;0,Raw_Data!G24&gt;=KPI_Config!$G$11),KPI_Config!$F$11,0)))))</f>
        <v>0</v>
      </c>
      <c r="L24" s="16">
        <f>IF($A24="","",MIN(Policy_Decisions!$B$10,IF(Policy_Decisions!$B$6="Additive",SUM(E24:K24),SUM(E24:J24)-G24+MAX(G24,K24))))</f>
        <v>0.15</v>
      </c>
      <c r="M24" s="16">
        <f>IF($A24="","",Raw_Data!K24)</f>
        <v>0</v>
      </c>
      <c r="N24" s="16">
        <f>IF($A24="","",IFERROR(VLOOKUP(M24,KPI_Config!$I$5:$J$10,2,FALSE()),0))</f>
        <v>0</v>
      </c>
      <c r="O24" s="16">
        <f>IF($A24="","",IF(Policy_Decisions!$B$5="Percentage points",MAX(0,L24-N24),L24*(1-N24)))</f>
        <v>0.15</v>
      </c>
      <c r="P24" s="15" t="str">
        <f>IF($A24="","",IF(U24="","Review proration",IF(O24=0,"No payout",IF(N24&gt;0,"Malus applied","Eligible"))))</f>
        <v>Eligible</v>
      </c>
      <c r="Q24" s="15" t="str">
        <f>IF($A24="","",Raw_Data!M24)</f>
        <v>MAD</v>
      </c>
      <c r="R24" s="38">
        <f>IF($A24="","",Raw_Data!N24)</f>
        <v>0</v>
      </c>
      <c r="S24" s="38">
        <f>IF($A24="","",Raw_Data!O24)</f>
        <v>0</v>
      </c>
      <c r="T24" s="38">
        <f>IF($A24="","",IF(Raw_Data!P24&gt;0,Raw_Data!P24,Raw_Data!N24*Raw_Data!O24/IF(Policy_Decisions!$B$7="Annual",12,1)))</f>
        <v>2000</v>
      </c>
      <c r="U24" s="38">
        <f>IF($A24="","",IF(OR(Raw_Data!R24="",Raw_Data!R24&lt;=0),"",MIN(1,MAX(0,Raw_Data!Q24/Raw_Data!R24))))</f>
        <v>1</v>
      </c>
      <c r="V24" s="38">
        <f>IF(OR($A24="",U24=""),"",T24*U24)</f>
        <v>2000</v>
      </c>
      <c r="W24" s="38">
        <f>IF(OR($A24="",V24=""),"",V24*L24)</f>
        <v>300</v>
      </c>
      <c r="X24" s="38">
        <f>IF(OR($A24="",V24=""),"",V24*L24-V24*O24)</f>
        <v>0</v>
      </c>
      <c r="Y24" s="38">
        <f>IF(OR($A24="",V24=""),"",ROUND(V24*O24,IF(Policy_Decisions!$B$11="Whole MAD",0,2)))</f>
        <v>300</v>
      </c>
      <c r="Z24" t="str">
        <f>Raw_Data!T24</f>
        <v>Farouk BOUAZZAOUI</v>
      </c>
      <c r="AA24" t="str">
        <f>Raw_Data!U24</f>
        <v>Anas OUAKKAD</v>
      </c>
    </row>
    <row r="25" spans="1:27" ht="14.25" customHeight="1">
      <c r="A25" s="13">
        <f>IF(Raw_Data!A25="","",Raw_Data!A25)</f>
        <v>96496</v>
      </c>
      <c r="B25" s="13" t="str">
        <f>IF(Raw_Data!B25="","",Raw_Data!B25)</f>
        <v>HADRI Younes</v>
      </c>
      <c r="C25" s="13" t="str">
        <f>IF(Raw_Data!C25="","",Raw_Data!C25)</f>
        <v>RSA VL</v>
      </c>
      <c r="D25" s="13" t="str">
        <f>IF(Raw_Data!D25="","",Raw_Data!D25)</f>
        <v>2026-07</v>
      </c>
      <c r="E25" s="21">
        <f>IF($A25="","",IF(Raw_Data!E25="",0,IF(KPI_Config!$C$5="L",IF(Raw_Data!E25&lt;=KPI_Config!$E$5,KPI_Config!$D$5,IF(AND(KPI_Config!$F$5&gt;0,Raw_Data!E25&lt;=KPI_Config!$G$5),KPI_Config!$F$5,0)),IF(Raw_Data!E25&gt;=KPI_Config!$E$5,KPI_Config!$D$5,IF(AND(KPI_Config!$F$5&gt;0,Raw_Data!E25&gt;=KPI_Config!$G$5),KPI_Config!$F$5,0)))))</f>
        <v>0.15</v>
      </c>
      <c r="F25" s="21">
        <f>IF($A25="","",IF(Raw_Data!F25="",0,IF(KPI_Config!$C$6="L",IF(Raw_Data!F25&lt;=KPI_Config!$E$6,KPI_Config!$D$6,IF(AND(KPI_Config!$F$6&gt;0,Raw_Data!F25&lt;=KPI_Config!$G$6),KPI_Config!$F$6,0)),IF(Raw_Data!F25&gt;=KPI_Config!$E$6,KPI_Config!$D$6,IF(AND(KPI_Config!$F$6&gt;0,Raw_Data!F25&gt;=KPI_Config!$G$6),KPI_Config!$F$6,0)))))</f>
        <v>0.15</v>
      </c>
      <c r="G25" s="21">
        <f>IF($A25="","",IF(Raw_Data!G25="",0,IF(KPI_Config!$C$7="L",IF(Raw_Data!G25&lt;=KPI_Config!$E$7,KPI_Config!$D$7,IF(AND(KPI_Config!$F$7&gt;0,Raw_Data!G25&lt;=KPI_Config!$G$7),KPI_Config!$F$7,0)),IF(Raw_Data!G25&gt;=KPI_Config!$E$7,KPI_Config!$D$7,IF(AND(KPI_Config!$F$7&gt;0,Raw_Data!G25&gt;=KPI_Config!$G$7),KPI_Config!$F$7,0)))))</f>
        <v>0</v>
      </c>
      <c r="H25" s="21">
        <f>IF($A25="","",IF(Raw_Data!H25="",0,IF(KPI_Config!$C$8="L",IF(Raw_Data!H25&lt;=KPI_Config!$E$8,KPI_Config!$D$8,IF(AND(KPI_Config!$F$8&gt;0,Raw_Data!H25&lt;=KPI_Config!$G$8),KPI_Config!$F$8,0)),IF(Raw_Data!H25&gt;=KPI_Config!$E$8,KPI_Config!$D$8,IF(AND(KPI_Config!$F$8&gt;0,Raw_Data!H25&gt;=KPI_Config!$G$8),KPI_Config!$F$8,0)))))</f>
        <v>0</v>
      </c>
      <c r="I25" s="21">
        <f>IF($A25="","",IF(Raw_Data!I25="",0,IF(KPI_Config!$C$9="L",IF(Raw_Data!I25&lt;=KPI_Config!$E$9,KPI_Config!$D$9,IF(AND(KPI_Config!$F$9&gt;0,Raw_Data!I25&lt;=KPI_Config!$G$9),KPI_Config!$F$9,0)),IF(Raw_Data!I25&gt;=KPI_Config!$E$9,KPI_Config!$D$9,IF(AND(KPI_Config!$F$9&gt;0,Raw_Data!I25&gt;=KPI_Config!$G$9),KPI_Config!$F$9,0)))))</f>
        <v>0.2</v>
      </c>
      <c r="J25" s="21">
        <f>IF($A25="","",IF(Raw_Data!J25="",0,IF(KPI_Config!$C$10="L",IF(Raw_Data!J25&lt;=KPI_Config!$E$10,KPI_Config!$D$10,IF(AND(KPI_Config!$F$10&gt;0,Raw_Data!J25&lt;=KPI_Config!$G$10),KPI_Config!$F$10,0)),IF(Raw_Data!J25&gt;=KPI_Config!$E$10,KPI_Config!$D$10,IF(AND(KPI_Config!$F$10&gt;0,Raw_Data!J25&gt;=KPI_Config!$G$10),KPI_Config!$F$10,0)))))</f>
        <v>0.15</v>
      </c>
      <c r="K25" s="21">
        <f>IF($A25="","",IF(Raw_Data!G25="",0,IF(KPI_Config!$C$11="L",IF(Raw_Data!G25&lt;=KPI_Config!$E$11,KPI_Config!$D$11,IF(AND(KPI_Config!$F$11&gt;0,Raw_Data!G25&lt;=KPI_Config!$G$11),KPI_Config!$F$11,0)),IF(Raw_Data!G25&gt;=KPI_Config!$E$11,KPI_Config!$D$11,IF(AND(KPI_Config!$F$11&gt;0,Raw_Data!G25&gt;=KPI_Config!$G$11),KPI_Config!$F$11,0)))))</f>
        <v>0</v>
      </c>
      <c r="L25" s="21">
        <f>IF($A25="","",MIN(Policy_Decisions!$B$10,IF(Policy_Decisions!$B$6="Additive",SUM(E25:K25),SUM(E25:J25)-G25+MAX(G25,K25))))</f>
        <v>0.65</v>
      </c>
      <c r="M25" s="21">
        <f>IF($A25="","",Raw_Data!K25)</f>
        <v>0</v>
      </c>
      <c r="N25" s="21">
        <f>IF($A25="","",IFERROR(VLOOKUP(M25,KPI_Config!$I$5:$J$10,2,FALSE()),0))</f>
        <v>0</v>
      </c>
      <c r="O25" s="21">
        <f>IF($A25="","",IF(Policy_Decisions!$B$5="Percentage points",MAX(0,L25-N25),L25*(1-N25)))</f>
        <v>0.65</v>
      </c>
      <c r="P25" s="13" t="str">
        <f>IF($A25="","",IF(U25="","Review proration",IF(O25=0,"No payout",IF(N25&gt;0,"Malus applied","Eligible"))))</f>
        <v>Eligible</v>
      </c>
      <c r="Q25" s="13" t="str">
        <f>IF($A25="","",Raw_Data!M25)</f>
        <v>MAD</v>
      </c>
      <c r="R25" s="37">
        <f>IF($A25="","",Raw_Data!N25)</f>
        <v>0</v>
      </c>
      <c r="S25" s="37">
        <f>IF($A25="","",Raw_Data!O25)</f>
        <v>0</v>
      </c>
      <c r="T25" s="37">
        <f>IF($A25="","",IF(Raw_Data!P25&gt;0,Raw_Data!P25,Raw_Data!N25*Raw_Data!O25/IF(Policy_Decisions!$B$7="Annual",12,1)))</f>
        <v>2000</v>
      </c>
      <c r="U25" s="37">
        <f>IF($A25="","",IF(OR(Raw_Data!R25="",Raw_Data!R25&lt;=0),"",MIN(1,MAX(0,Raw_Data!Q25/Raw_Data!R25))))</f>
        <v>1</v>
      </c>
      <c r="V25" s="37">
        <f>IF(OR($A25="",U25=""),"",T25*U25)</f>
        <v>2000</v>
      </c>
      <c r="W25" s="37">
        <f>IF(OR($A25="",V25=""),"",V25*L25)</f>
        <v>1300</v>
      </c>
      <c r="X25" s="37">
        <f>IF(OR($A25="",V25=""),"",V25*L25-V25*O25)</f>
        <v>0</v>
      </c>
      <c r="Y25" s="37">
        <f>IF(OR($A25="",V25=""),"",ROUND(V25*O25,IF(Policy_Decisions!$B$11="Whole MAD",0,2)))</f>
        <v>1300</v>
      </c>
      <c r="Z25" t="str">
        <f>Raw_Data!T25</f>
        <v>Glenn Antoon</v>
      </c>
      <c r="AA25" t="str">
        <f>Raw_Data!U25</f>
        <v>Anas OUAKKAD</v>
      </c>
    </row>
    <row r="26" spans="1:27" ht="14.25" customHeight="1">
      <c r="A26" s="15">
        <f>IF(Raw_Data!A26="","",Raw_Data!A26)</f>
        <v>228215</v>
      </c>
      <c r="B26" s="15" t="str">
        <f>IF(Raw_Data!B26="","",Raw_Data!B26)</f>
        <v>Younes EL FELLAH EL OUAZZANI</v>
      </c>
      <c r="C26" s="15" t="str">
        <f>IF(Raw_Data!C26="","",Raw_Data!C26)</f>
        <v>OEM FR</v>
      </c>
      <c r="D26" s="15" t="str">
        <f>IF(Raw_Data!D26="","",Raw_Data!D26)</f>
        <v>2026-07</v>
      </c>
      <c r="E26" s="16">
        <f>IF($A26="","",IF(Raw_Data!E26="",0,IF(KPI_Config!$C$5="L",IF(Raw_Data!E26&lt;=KPI_Config!$E$5,KPI_Config!$D$5,IF(AND(KPI_Config!$F$5&gt;0,Raw_Data!E26&lt;=KPI_Config!$G$5),KPI_Config!$F$5,0)),IF(Raw_Data!E26&gt;=KPI_Config!$E$5,KPI_Config!$D$5,IF(AND(KPI_Config!$F$5&gt;0,Raw_Data!E26&gt;=KPI_Config!$G$5),KPI_Config!$F$5,0)))))</f>
        <v>0</v>
      </c>
      <c r="F26" s="16">
        <f>IF($A26="","",IF(Raw_Data!F26="",0,IF(KPI_Config!$C$6="L",IF(Raw_Data!F26&lt;=KPI_Config!$E$6,KPI_Config!$D$6,IF(AND(KPI_Config!$F$6&gt;0,Raw_Data!F26&lt;=KPI_Config!$G$6),KPI_Config!$F$6,0)),IF(Raw_Data!F26&gt;=KPI_Config!$E$6,KPI_Config!$D$6,IF(AND(KPI_Config!$F$6&gt;0,Raw_Data!F26&gt;=KPI_Config!$G$6),KPI_Config!$F$6,0)))))</f>
        <v>0.15</v>
      </c>
      <c r="G26" s="16">
        <f>IF($A26="","",IF(Raw_Data!G26="",0,IF(KPI_Config!$C$7="L",IF(Raw_Data!G26&lt;=KPI_Config!$E$7,KPI_Config!$D$7,IF(AND(KPI_Config!$F$7&gt;0,Raw_Data!G26&lt;=KPI_Config!$G$7),KPI_Config!$F$7,0)),IF(Raw_Data!G26&gt;=KPI_Config!$E$7,KPI_Config!$D$7,IF(AND(KPI_Config!$F$7&gt;0,Raw_Data!G26&gt;=KPI_Config!$G$7),KPI_Config!$F$7,0)))))</f>
        <v>0.2</v>
      </c>
      <c r="H26" s="16">
        <f>IF($A26="","",IF(Raw_Data!H26="",0,IF(KPI_Config!$C$8="L",IF(Raw_Data!H26&lt;=KPI_Config!$E$8,KPI_Config!$D$8,IF(AND(KPI_Config!$F$8&gt;0,Raw_Data!H26&lt;=KPI_Config!$G$8),KPI_Config!$F$8,0)),IF(Raw_Data!H26&gt;=KPI_Config!$E$8,KPI_Config!$D$8,IF(AND(KPI_Config!$F$8&gt;0,Raw_Data!H26&gt;=KPI_Config!$G$8),KPI_Config!$F$8,0)))))</f>
        <v>0</v>
      </c>
      <c r="I26" s="16">
        <f>IF($A26="","",IF(Raw_Data!I26="",0,IF(KPI_Config!$C$9="L",IF(Raw_Data!I26&lt;=KPI_Config!$E$9,KPI_Config!$D$9,IF(AND(KPI_Config!$F$9&gt;0,Raw_Data!I26&lt;=KPI_Config!$G$9),KPI_Config!$F$9,0)),IF(Raw_Data!I26&gt;=KPI_Config!$E$9,KPI_Config!$D$9,IF(AND(KPI_Config!$F$9&gt;0,Raw_Data!I26&gt;=KPI_Config!$G$9),KPI_Config!$F$9,0)))))</f>
        <v>0</v>
      </c>
      <c r="J26" s="16">
        <f>IF($A26="","",IF(Raw_Data!J26="",0,IF(KPI_Config!$C$10="L",IF(Raw_Data!J26&lt;=KPI_Config!$E$10,KPI_Config!$D$10,IF(AND(KPI_Config!$F$10&gt;0,Raw_Data!J26&lt;=KPI_Config!$G$10),KPI_Config!$F$10,0)),IF(Raw_Data!J26&gt;=KPI_Config!$E$10,KPI_Config!$D$10,IF(AND(KPI_Config!$F$10&gt;0,Raw_Data!J26&gt;=KPI_Config!$G$10),KPI_Config!$F$10,0)))))</f>
        <v>0.15</v>
      </c>
      <c r="K26" s="16">
        <f>IF($A26="","",IF(Raw_Data!G26="",0,IF(KPI_Config!$C$11="L",IF(Raw_Data!G26&lt;=KPI_Config!$E$11,KPI_Config!$D$11,IF(AND(KPI_Config!$F$11&gt;0,Raw_Data!G26&lt;=KPI_Config!$G$11),KPI_Config!$F$11,0)),IF(Raw_Data!G26&gt;=KPI_Config!$E$11,KPI_Config!$D$11,IF(AND(KPI_Config!$F$11&gt;0,Raw_Data!G26&gt;=KPI_Config!$G$11),KPI_Config!$F$11,0)))))</f>
        <v>0.3</v>
      </c>
      <c r="L26" s="16">
        <f>IF($A26="","",MIN(Policy_Decisions!$B$10,IF(Policy_Decisions!$B$6="Additive",SUM(E26:K26),SUM(E26:J26)-G26+MAX(G26,K26))))</f>
        <v>0.8</v>
      </c>
      <c r="M26" s="16">
        <f>IF($A26="","",Raw_Data!K26)</f>
        <v>0</v>
      </c>
      <c r="N26" s="16">
        <f>IF($A26="","",IFERROR(VLOOKUP(M26,KPI_Config!$I$5:$J$10,2,FALSE()),0))</f>
        <v>0</v>
      </c>
      <c r="O26" s="16">
        <f>IF($A26="","",IF(Policy_Decisions!$B$5="Percentage points",MAX(0,L26-N26),L26*(1-N26)))</f>
        <v>0.8</v>
      </c>
      <c r="P26" s="15" t="str">
        <f>IF($A26="","",IF(U26="","Review proration",IF(O26=0,"No payout",IF(N26&gt;0,"Malus applied","Eligible"))))</f>
        <v>Eligible</v>
      </c>
      <c r="Q26" s="15" t="str">
        <f>IF($A26="","",Raw_Data!M26)</f>
        <v>MAD</v>
      </c>
      <c r="R26" s="38">
        <f>IF($A26="","",Raw_Data!N26)</f>
        <v>0</v>
      </c>
      <c r="S26" s="38">
        <f>IF($A26="","",Raw_Data!O26)</f>
        <v>0</v>
      </c>
      <c r="T26" s="38">
        <f>IF($A26="","",IF(Raw_Data!P26&gt;0,Raw_Data!P26,Raw_Data!N26*Raw_Data!O26/IF(Policy_Decisions!$B$7="Annual",12,1)))</f>
        <v>2000</v>
      </c>
      <c r="U26" s="38">
        <f>IF($A26="","",IF(OR(Raw_Data!R26="",Raw_Data!R26&lt;=0),"",MIN(1,MAX(0,Raw_Data!Q26/Raw_Data!R26))))</f>
        <v>1</v>
      </c>
      <c r="V26" s="38">
        <f>IF(OR($A26="",U26=""),"",T26*U26)</f>
        <v>2000</v>
      </c>
      <c r="W26" s="38">
        <f>IF(OR($A26="",V26=""),"",V26*L26)</f>
        <v>1600</v>
      </c>
      <c r="X26" s="38">
        <f>IF(OR($A26="",V26=""),"",V26*L26-V26*O26)</f>
        <v>0</v>
      </c>
      <c r="Y26" s="38">
        <f>IF(OR($A26="",V26=""),"",ROUND(V26*O26,IF(Policy_Decisions!$B$11="Whole MAD",0,2)))</f>
        <v>1600</v>
      </c>
      <c r="Z26" t="str">
        <f>Raw_Data!T26</f>
        <v>Zineb MOUFID</v>
      </c>
      <c r="AA26" t="str">
        <f>Raw_Data!U26</f>
        <v>Anas OUAKKAD</v>
      </c>
    </row>
    <row r="27" spans="1:27" ht="14.25" customHeight="1">
      <c r="A27" s="13">
        <f>IF(Raw_Data!A27="","",Raw_Data!A27)</f>
        <v>228211</v>
      </c>
      <c r="B27" s="13" t="str">
        <f>IF(Raw_Data!B27="","",Raw_Data!B27)</f>
        <v>Yazid LAGDEM</v>
      </c>
      <c r="C27" s="13" t="str">
        <f>IF(Raw_Data!C27="","",Raw_Data!C27)</f>
        <v>OEM FR</v>
      </c>
      <c r="D27" s="13" t="str">
        <f>IF(Raw_Data!D27="","",Raw_Data!D27)</f>
        <v>2026-07</v>
      </c>
      <c r="E27" s="21">
        <f>IF($A27="","",IF(Raw_Data!E27="",0,IF(KPI_Config!$C$5="L",IF(Raw_Data!E27&lt;=KPI_Config!$E$5,KPI_Config!$D$5,IF(AND(KPI_Config!$F$5&gt;0,Raw_Data!E27&lt;=KPI_Config!$G$5),KPI_Config!$F$5,0)),IF(Raw_Data!E27&gt;=KPI_Config!$E$5,KPI_Config!$D$5,IF(AND(KPI_Config!$F$5&gt;0,Raw_Data!E27&gt;=KPI_Config!$G$5),KPI_Config!$F$5,0)))))</f>
        <v>0</v>
      </c>
      <c r="F27" s="21">
        <f>IF($A27="","",IF(Raw_Data!F27="",0,IF(KPI_Config!$C$6="L",IF(Raw_Data!F27&lt;=KPI_Config!$E$6,KPI_Config!$D$6,IF(AND(KPI_Config!$F$6&gt;0,Raw_Data!F27&lt;=KPI_Config!$G$6),KPI_Config!$F$6,0)),IF(Raw_Data!F27&gt;=KPI_Config!$E$6,KPI_Config!$D$6,IF(AND(KPI_Config!$F$6&gt;0,Raw_Data!F27&gt;=KPI_Config!$G$6),KPI_Config!$F$6,0)))))</f>
        <v>0</v>
      </c>
      <c r="G27" s="21">
        <f>IF($A27="","",IF(Raw_Data!G27="",0,IF(KPI_Config!$C$7="L",IF(Raw_Data!G27&lt;=KPI_Config!$E$7,KPI_Config!$D$7,IF(AND(KPI_Config!$F$7&gt;0,Raw_Data!G27&lt;=KPI_Config!$G$7),KPI_Config!$F$7,0)),IF(Raw_Data!G27&gt;=KPI_Config!$E$7,KPI_Config!$D$7,IF(AND(KPI_Config!$F$7&gt;0,Raw_Data!G27&gt;=KPI_Config!$G$7),KPI_Config!$F$7,0)))))</f>
        <v>0.2</v>
      </c>
      <c r="H27" s="21">
        <f>IF($A27="","",IF(Raw_Data!H27="",0,IF(KPI_Config!$C$8="L",IF(Raw_Data!H27&lt;=KPI_Config!$E$8,KPI_Config!$D$8,IF(AND(KPI_Config!$F$8&gt;0,Raw_Data!H27&lt;=KPI_Config!$G$8),KPI_Config!$F$8,0)),IF(Raw_Data!H27&gt;=KPI_Config!$E$8,KPI_Config!$D$8,IF(AND(KPI_Config!$F$8&gt;0,Raw_Data!H27&gt;=KPI_Config!$G$8),KPI_Config!$F$8,0)))))</f>
        <v>0</v>
      </c>
      <c r="I27" s="21">
        <f>IF($A27="","",IF(Raw_Data!I27="",0,IF(KPI_Config!$C$9="L",IF(Raw_Data!I27&lt;=KPI_Config!$E$9,KPI_Config!$D$9,IF(AND(KPI_Config!$F$9&gt;0,Raw_Data!I27&lt;=KPI_Config!$G$9),KPI_Config!$F$9,0)),IF(Raw_Data!I27&gt;=KPI_Config!$E$9,KPI_Config!$D$9,IF(AND(KPI_Config!$F$9&gt;0,Raw_Data!I27&gt;=KPI_Config!$G$9),KPI_Config!$F$9,0)))))</f>
        <v>0</v>
      </c>
      <c r="J27" s="21">
        <f>IF($A27="","",IF(Raw_Data!J27="",0,IF(KPI_Config!$C$10="L",IF(Raw_Data!J27&lt;=KPI_Config!$E$10,KPI_Config!$D$10,IF(AND(KPI_Config!$F$10&gt;0,Raw_Data!J27&lt;=KPI_Config!$G$10),KPI_Config!$F$10,0)),IF(Raw_Data!J27&gt;=KPI_Config!$E$10,KPI_Config!$D$10,IF(AND(KPI_Config!$F$10&gt;0,Raw_Data!J27&gt;=KPI_Config!$G$10),KPI_Config!$F$10,0)))))</f>
        <v>0.15</v>
      </c>
      <c r="K27" s="21">
        <f>IF($A27="","",IF(Raw_Data!G27="",0,IF(KPI_Config!$C$11="L",IF(Raw_Data!G27&lt;=KPI_Config!$E$11,KPI_Config!$D$11,IF(AND(KPI_Config!$F$11&gt;0,Raw_Data!G27&lt;=KPI_Config!$G$11),KPI_Config!$F$11,0)),IF(Raw_Data!G27&gt;=KPI_Config!$E$11,KPI_Config!$D$11,IF(AND(KPI_Config!$F$11&gt;0,Raw_Data!G27&gt;=KPI_Config!$G$11),KPI_Config!$F$11,0)))))</f>
        <v>0.3</v>
      </c>
      <c r="L27" s="21">
        <f>IF($A27="","",MIN(Policy_Decisions!$B$10,IF(Policy_Decisions!$B$6="Additive",SUM(E27:K27),SUM(E27:J27)-G27+MAX(G27,K27))))</f>
        <v>0.64999999999999991</v>
      </c>
      <c r="M27" s="21">
        <f>IF($A27="","",Raw_Data!K27)</f>
        <v>0</v>
      </c>
      <c r="N27" s="21">
        <f>IF($A27="","",IFERROR(VLOOKUP(M27,KPI_Config!$I$5:$J$10,2,FALSE()),0))</f>
        <v>0</v>
      </c>
      <c r="O27" s="21">
        <f>IF($A27="","",IF(Policy_Decisions!$B$5="Percentage points",MAX(0,L27-N27),L27*(1-N27)))</f>
        <v>0.64999999999999991</v>
      </c>
      <c r="P27" s="13" t="str">
        <f>IF($A27="","",IF(U27="","Review proration",IF(O27=0,"No payout",IF(N27&gt;0,"Malus applied","Eligible"))))</f>
        <v>Eligible</v>
      </c>
      <c r="Q27" s="13" t="str">
        <f>IF($A27="","",Raw_Data!M27)</f>
        <v>MAD</v>
      </c>
      <c r="R27" s="37">
        <f>IF($A27="","",Raw_Data!N27)</f>
        <v>0</v>
      </c>
      <c r="S27" s="37">
        <f>IF($A27="","",Raw_Data!O27)</f>
        <v>0</v>
      </c>
      <c r="T27" s="37">
        <f>IF($A27="","",IF(Raw_Data!P27&gt;0,Raw_Data!P27,Raw_Data!N27*Raw_Data!O27/IF(Policy_Decisions!$B$7="Annual",12,1)))</f>
        <v>2000</v>
      </c>
      <c r="U27" s="37">
        <f>IF($A27="","",IF(OR(Raw_Data!R27="",Raw_Data!R27&lt;=0),"",MIN(1,MAX(0,Raw_Data!Q27/Raw_Data!R27))))</f>
        <v>1</v>
      </c>
      <c r="V27" s="37">
        <f>IF(OR($A27="",U27=""),"",T27*U27)</f>
        <v>2000</v>
      </c>
      <c r="W27" s="37">
        <f>IF(OR($A27="",V27=""),"",V27*L27)</f>
        <v>1299.9999999999998</v>
      </c>
      <c r="X27" s="37">
        <f>IF(OR($A27="",V27=""),"",V27*L27-V27*O27)</f>
        <v>0</v>
      </c>
      <c r="Y27" s="37">
        <f>IF(OR($A27="",V27=""),"",ROUND(V27*O27,IF(Policy_Decisions!$B$11="Whole MAD",0,2)))</f>
        <v>1300</v>
      </c>
      <c r="Z27" t="str">
        <f>Raw_Data!T27</f>
        <v>Kenza EL MOUMNI</v>
      </c>
      <c r="AA27" t="str">
        <f>Raw_Data!U27</f>
        <v>Anas OUAKKAD</v>
      </c>
    </row>
    <row r="28" spans="1:27" ht="14.25" customHeight="1">
      <c r="A28" s="15">
        <f>IF(Raw_Data!A28="","",Raw_Data!A28)</f>
        <v>232196</v>
      </c>
      <c r="B28" s="15" t="str">
        <f>IF(Raw_Data!B28="","",Raw_Data!B28)</f>
        <v>Yassir Issarti</v>
      </c>
      <c r="C28" s="15" t="str">
        <f>IF(Raw_Data!C28="","",Raw_Data!C28)</f>
        <v>RSA NL</v>
      </c>
      <c r="D28" s="15" t="str">
        <f>IF(Raw_Data!D28="","",Raw_Data!D28)</f>
        <v>2026-07</v>
      </c>
      <c r="E28" s="16">
        <f>IF($A28="","",IF(Raw_Data!E28="",0,IF(KPI_Config!$C$5="L",IF(Raw_Data!E28&lt;=KPI_Config!$E$5,KPI_Config!$D$5,IF(AND(KPI_Config!$F$5&gt;0,Raw_Data!E28&lt;=KPI_Config!$G$5),KPI_Config!$F$5,0)),IF(Raw_Data!E28&gt;=KPI_Config!$E$5,KPI_Config!$D$5,IF(AND(KPI_Config!$F$5&gt;0,Raw_Data!E28&gt;=KPI_Config!$G$5),KPI_Config!$F$5,0)))))</f>
        <v>0</v>
      </c>
      <c r="F28" s="16">
        <f>IF($A28="","",IF(Raw_Data!F28="",0,IF(KPI_Config!$C$6="L",IF(Raw_Data!F28&lt;=KPI_Config!$E$6,KPI_Config!$D$6,IF(AND(KPI_Config!$F$6&gt;0,Raw_Data!F28&lt;=KPI_Config!$G$6),KPI_Config!$F$6,0)),IF(Raw_Data!F28&gt;=KPI_Config!$E$6,KPI_Config!$D$6,IF(AND(KPI_Config!$F$6&gt;0,Raw_Data!F28&gt;=KPI_Config!$G$6),KPI_Config!$F$6,0)))))</f>
        <v>0</v>
      </c>
      <c r="G28" s="16">
        <f>IF($A28="","",IF(Raw_Data!G28="",0,IF(KPI_Config!$C$7="L",IF(Raw_Data!G28&lt;=KPI_Config!$E$7,KPI_Config!$D$7,IF(AND(KPI_Config!$F$7&gt;0,Raw_Data!G28&lt;=KPI_Config!$G$7),KPI_Config!$F$7,0)),IF(Raw_Data!G28&gt;=KPI_Config!$E$7,KPI_Config!$D$7,IF(AND(KPI_Config!$F$7&gt;0,Raw_Data!G28&gt;=KPI_Config!$G$7),KPI_Config!$F$7,0)))))</f>
        <v>0.15</v>
      </c>
      <c r="H28" s="16">
        <f>IF($A28="","",IF(Raw_Data!H28="",0,IF(KPI_Config!$C$8="L",IF(Raw_Data!H28&lt;=KPI_Config!$E$8,KPI_Config!$D$8,IF(AND(KPI_Config!$F$8&gt;0,Raw_Data!H28&lt;=KPI_Config!$G$8),KPI_Config!$F$8,0)),IF(Raw_Data!H28&gt;=KPI_Config!$E$8,KPI_Config!$D$8,IF(AND(KPI_Config!$F$8&gt;0,Raw_Data!H28&gt;=KPI_Config!$G$8),KPI_Config!$F$8,0)))))</f>
        <v>0</v>
      </c>
      <c r="I28" s="16">
        <f>IF($A28="","",IF(Raw_Data!I28="",0,IF(KPI_Config!$C$9="L",IF(Raw_Data!I28&lt;=KPI_Config!$E$9,KPI_Config!$D$9,IF(AND(KPI_Config!$F$9&gt;0,Raw_Data!I28&lt;=KPI_Config!$G$9),KPI_Config!$F$9,0)),IF(Raw_Data!I28&gt;=KPI_Config!$E$9,KPI_Config!$D$9,IF(AND(KPI_Config!$F$9&gt;0,Raw_Data!I28&gt;=KPI_Config!$G$9),KPI_Config!$F$9,0)))))</f>
        <v>0</v>
      </c>
      <c r="J28" s="16">
        <f>IF($A28="","",IF(Raw_Data!J28="",0,IF(KPI_Config!$C$10="L",IF(Raw_Data!J28&lt;=KPI_Config!$E$10,KPI_Config!$D$10,IF(AND(KPI_Config!$F$10&gt;0,Raw_Data!J28&lt;=KPI_Config!$G$10),KPI_Config!$F$10,0)),IF(Raw_Data!J28&gt;=KPI_Config!$E$10,KPI_Config!$D$10,IF(AND(KPI_Config!$F$10&gt;0,Raw_Data!J28&gt;=KPI_Config!$G$10),KPI_Config!$F$10,0)))))</f>
        <v>0.15</v>
      </c>
      <c r="K28" s="16">
        <f>IF($A28="","",IF(Raw_Data!G28="",0,IF(KPI_Config!$C$11="L",IF(Raw_Data!G28&lt;=KPI_Config!$E$11,KPI_Config!$D$11,IF(AND(KPI_Config!$F$11&gt;0,Raw_Data!G28&lt;=KPI_Config!$G$11),KPI_Config!$F$11,0)),IF(Raw_Data!G28&gt;=KPI_Config!$E$11,KPI_Config!$D$11,IF(AND(KPI_Config!$F$11&gt;0,Raw_Data!G28&gt;=KPI_Config!$G$11),KPI_Config!$F$11,0)))))</f>
        <v>0</v>
      </c>
      <c r="L28" s="16">
        <f>IF($A28="","",MIN(Policy_Decisions!$B$10,IF(Policy_Decisions!$B$6="Additive",SUM(E28:K28),SUM(E28:J28)-G28+MAX(G28,K28))))</f>
        <v>0.3</v>
      </c>
      <c r="M28" s="16">
        <f>IF($A28="","",Raw_Data!K28)</f>
        <v>0</v>
      </c>
      <c r="N28" s="16">
        <f>IF($A28="","",IFERROR(VLOOKUP(M28,KPI_Config!$I$5:$J$10,2,FALSE()),0))</f>
        <v>0</v>
      </c>
      <c r="O28" s="16">
        <f>IF($A28="","",IF(Policy_Decisions!$B$5="Percentage points",MAX(0,L28-N28),L28*(1-N28)))</f>
        <v>0.3</v>
      </c>
      <c r="P28" s="15" t="str">
        <f>IF($A28="","",IF(U28="","Review proration",IF(O28=0,"No payout",IF(N28&gt;0,"Malus applied","Eligible"))))</f>
        <v>Eligible</v>
      </c>
      <c r="Q28" s="15" t="str">
        <f>IF($A28="","",Raw_Data!M28)</f>
        <v>MAD</v>
      </c>
      <c r="R28" s="38">
        <f>IF($A28="","",Raw_Data!N28)</f>
        <v>0</v>
      </c>
      <c r="S28" s="38">
        <f>IF($A28="","",Raw_Data!O28)</f>
        <v>0</v>
      </c>
      <c r="T28" s="38">
        <f>IF($A28="","",IF(Raw_Data!P28&gt;0,Raw_Data!P28,Raw_Data!N28*Raw_Data!O28/IF(Policy_Decisions!$B$7="Annual",12,1)))</f>
        <v>2000</v>
      </c>
      <c r="U28" s="38">
        <f>IF($A28="","",IF(OR(Raw_Data!R28="",Raw_Data!R28&lt;=0),"",MIN(1,MAX(0,Raw_Data!Q28/Raw_Data!R28))))</f>
        <v>1</v>
      </c>
      <c r="V28" s="38">
        <f>IF(OR($A28="",U28=""),"",T28*U28)</f>
        <v>2000</v>
      </c>
      <c r="W28" s="38">
        <f>IF(OR($A28="",V28=""),"",V28*L28)</f>
        <v>600</v>
      </c>
      <c r="X28" s="38">
        <f>IF(OR($A28="",V28=""),"",V28*L28-V28*O28)</f>
        <v>0</v>
      </c>
      <c r="Y28" s="38">
        <f>IF(OR($A28="",V28=""),"",ROUND(V28*O28,IF(Policy_Decisions!$B$11="Whole MAD",0,2)))</f>
        <v>600</v>
      </c>
      <c r="Z28" t="str">
        <f>Raw_Data!T28</f>
        <v>AL TAMIMI Zeynab</v>
      </c>
      <c r="AA28" t="str">
        <f>Raw_Data!U28</f>
        <v>Anas OUAKKAD</v>
      </c>
    </row>
    <row r="29" spans="1:27" ht="14.25" customHeight="1">
      <c r="A29" s="13">
        <f>IF(Raw_Data!A29="","",Raw_Data!A29)</f>
        <v>203614</v>
      </c>
      <c r="B29" s="13" t="str">
        <f>IF(Raw_Data!B29="","",Raw_Data!B29)</f>
        <v>El Mekkaoui Yassir</v>
      </c>
      <c r="C29" s="13" t="str">
        <f>IF(Raw_Data!C29="","",Raw_Data!C29)</f>
        <v>OEM FR</v>
      </c>
      <c r="D29" s="13" t="str">
        <f>IF(Raw_Data!D29="","",Raw_Data!D29)</f>
        <v>2026-07</v>
      </c>
      <c r="E29" s="21">
        <f>IF($A29="","",IF(Raw_Data!E29="",0,IF(KPI_Config!$C$5="L",IF(Raw_Data!E29&lt;=KPI_Config!$E$5,KPI_Config!$D$5,IF(AND(KPI_Config!$F$5&gt;0,Raw_Data!E29&lt;=KPI_Config!$G$5),KPI_Config!$F$5,0)),IF(Raw_Data!E29&gt;=KPI_Config!$E$5,KPI_Config!$D$5,IF(AND(KPI_Config!$F$5&gt;0,Raw_Data!E29&gt;=KPI_Config!$G$5),KPI_Config!$F$5,0)))))</f>
        <v>0</v>
      </c>
      <c r="F29" s="21">
        <f>IF($A29="","",IF(Raw_Data!F29="",0,IF(KPI_Config!$C$6="L",IF(Raw_Data!F29&lt;=KPI_Config!$E$6,KPI_Config!$D$6,IF(AND(KPI_Config!$F$6&gt;0,Raw_Data!F29&lt;=KPI_Config!$G$6),KPI_Config!$F$6,0)),IF(Raw_Data!F29&gt;=KPI_Config!$E$6,KPI_Config!$D$6,IF(AND(KPI_Config!$F$6&gt;0,Raw_Data!F29&gt;=KPI_Config!$G$6),KPI_Config!$F$6,0)))))</f>
        <v>0</v>
      </c>
      <c r="G29" s="21">
        <f>IF($A29="","",IF(Raw_Data!G29="",0,IF(KPI_Config!$C$7="L",IF(Raw_Data!G29&lt;=KPI_Config!$E$7,KPI_Config!$D$7,IF(AND(KPI_Config!$F$7&gt;0,Raw_Data!G29&lt;=KPI_Config!$G$7),KPI_Config!$F$7,0)),IF(Raw_Data!G29&gt;=KPI_Config!$E$7,KPI_Config!$D$7,IF(AND(KPI_Config!$F$7&gt;0,Raw_Data!G29&gt;=KPI_Config!$G$7),KPI_Config!$F$7,0)))))</f>
        <v>0.2</v>
      </c>
      <c r="H29" s="21">
        <f>IF($A29="","",IF(Raw_Data!H29="",0,IF(KPI_Config!$C$8="L",IF(Raw_Data!H29&lt;=KPI_Config!$E$8,KPI_Config!$D$8,IF(AND(KPI_Config!$F$8&gt;0,Raw_Data!H29&lt;=KPI_Config!$G$8),KPI_Config!$F$8,0)),IF(Raw_Data!H29&gt;=KPI_Config!$E$8,KPI_Config!$D$8,IF(AND(KPI_Config!$F$8&gt;0,Raw_Data!H29&gt;=KPI_Config!$G$8),KPI_Config!$F$8,0)))))</f>
        <v>0</v>
      </c>
      <c r="I29" s="21">
        <f>IF($A29="","",IF(Raw_Data!I29="",0,IF(KPI_Config!$C$9="L",IF(Raw_Data!I29&lt;=KPI_Config!$E$9,KPI_Config!$D$9,IF(AND(KPI_Config!$F$9&gt;0,Raw_Data!I29&lt;=KPI_Config!$G$9),KPI_Config!$F$9,0)),IF(Raw_Data!I29&gt;=KPI_Config!$E$9,KPI_Config!$D$9,IF(AND(KPI_Config!$F$9&gt;0,Raw_Data!I29&gt;=KPI_Config!$G$9),KPI_Config!$F$9,0)))))</f>
        <v>0</v>
      </c>
      <c r="J29" s="21">
        <f>IF($A29="","",IF(Raw_Data!J29="",0,IF(KPI_Config!$C$10="L",IF(Raw_Data!J29&lt;=KPI_Config!$E$10,KPI_Config!$D$10,IF(AND(KPI_Config!$F$10&gt;0,Raw_Data!J29&lt;=KPI_Config!$G$10),KPI_Config!$F$10,0)),IF(Raw_Data!J29&gt;=KPI_Config!$E$10,KPI_Config!$D$10,IF(AND(KPI_Config!$F$10&gt;0,Raw_Data!J29&gt;=KPI_Config!$G$10),KPI_Config!$F$10,0)))))</f>
        <v>0.15</v>
      </c>
      <c r="K29" s="21">
        <f>IF($A29="","",IF(Raw_Data!G29="",0,IF(KPI_Config!$C$11="L",IF(Raw_Data!G29&lt;=KPI_Config!$E$11,KPI_Config!$D$11,IF(AND(KPI_Config!$F$11&gt;0,Raw_Data!G29&lt;=KPI_Config!$G$11),KPI_Config!$F$11,0)),IF(Raw_Data!G29&gt;=KPI_Config!$E$11,KPI_Config!$D$11,IF(AND(KPI_Config!$F$11&gt;0,Raw_Data!G29&gt;=KPI_Config!$G$11),KPI_Config!$F$11,0)))))</f>
        <v>0.3</v>
      </c>
      <c r="L29" s="21">
        <f>IF($A29="","",MIN(Policy_Decisions!$B$10,IF(Policy_Decisions!$B$6="Additive",SUM(E29:K29),SUM(E29:J29)-G29+MAX(G29,K29))))</f>
        <v>0.64999999999999991</v>
      </c>
      <c r="M29" s="21">
        <f>IF($A29="","",Raw_Data!K29)</f>
        <v>0</v>
      </c>
      <c r="N29" s="21">
        <f>IF($A29="","",IFERROR(VLOOKUP(M29,KPI_Config!$I$5:$J$10,2,FALSE()),0))</f>
        <v>0</v>
      </c>
      <c r="O29" s="21">
        <f>IF($A29="","",IF(Policy_Decisions!$B$5="Percentage points",MAX(0,L29-N29),L29*(1-N29)))</f>
        <v>0.64999999999999991</v>
      </c>
      <c r="P29" s="13" t="str">
        <f>IF($A29="","",IF(U29="","Review proration",IF(O29=0,"No payout",IF(N29&gt;0,"Malus applied","Eligible"))))</f>
        <v>Eligible</v>
      </c>
      <c r="Q29" s="13" t="str">
        <f>IF($A29="","",Raw_Data!M29)</f>
        <v>MAD</v>
      </c>
      <c r="R29" s="37">
        <f>IF($A29="","",Raw_Data!N29)</f>
        <v>0</v>
      </c>
      <c r="S29" s="37">
        <f>IF($A29="","",Raw_Data!O29)</f>
        <v>0</v>
      </c>
      <c r="T29" s="37">
        <f>IF($A29="","",IF(Raw_Data!P29&gt;0,Raw_Data!P29,Raw_Data!N29*Raw_Data!O29/IF(Policy_Decisions!$B$7="Annual",12,1)))</f>
        <v>2000</v>
      </c>
      <c r="U29" s="37">
        <f>IF($A29="","",IF(OR(Raw_Data!R29="",Raw_Data!R29&lt;=0),"",MIN(1,MAX(0,Raw_Data!Q29/Raw_Data!R29))))</f>
        <v>1</v>
      </c>
      <c r="V29" s="37">
        <f>IF(OR($A29="",U29=""),"",T29*U29)</f>
        <v>2000</v>
      </c>
      <c r="W29" s="37">
        <f>IF(OR($A29="",V29=""),"",V29*L29)</f>
        <v>1299.9999999999998</v>
      </c>
      <c r="X29" s="37">
        <f>IF(OR($A29="",V29=""),"",V29*L29-V29*O29)</f>
        <v>0</v>
      </c>
      <c r="Y29" s="37">
        <f>IF(OR($A29="",V29=""),"",ROUND(V29*O29,IF(Policy_Decisions!$B$11="Whole MAD",0,2)))</f>
        <v>1300</v>
      </c>
      <c r="Z29" t="str">
        <f>Raw_Data!T29</f>
        <v>Zineb MOUFID</v>
      </c>
      <c r="AA29" t="str">
        <f>Raw_Data!U29</f>
        <v>Anas OUAKKAD</v>
      </c>
    </row>
    <row r="30" spans="1:27" ht="14.25" customHeight="1">
      <c r="A30" s="15">
        <f>IF(Raw_Data!A30="","",Raw_Data!A30)</f>
        <v>244554</v>
      </c>
      <c r="B30" s="15" t="str">
        <f>IF(Raw_Data!B30="","",Raw_Data!B30)</f>
        <v>Yassine Athmane</v>
      </c>
      <c r="C30" s="15" t="str">
        <f>IF(Raw_Data!C30="","",Raw_Data!C30)</f>
        <v>RSA NL</v>
      </c>
      <c r="D30" s="15" t="str">
        <f>IF(Raw_Data!D30="","",Raw_Data!D30)</f>
        <v>2026-07</v>
      </c>
      <c r="E30" s="16">
        <f>IF($A30="","",IF(Raw_Data!E30="",0,IF(KPI_Config!$C$5="L",IF(Raw_Data!E30&lt;=KPI_Config!$E$5,KPI_Config!$D$5,IF(AND(KPI_Config!$F$5&gt;0,Raw_Data!E30&lt;=KPI_Config!$G$5),KPI_Config!$F$5,0)),IF(Raw_Data!E30&gt;=KPI_Config!$E$5,KPI_Config!$D$5,IF(AND(KPI_Config!$F$5&gt;0,Raw_Data!E30&gt;=KPI_Config!$G$5),KPI_Config!$F$5,0)))))</f>
        <v>0</v>
      </c>
      <c r="F30" s="16">
        <f>IF($A30="","",IF(Raw_Data!F30="",0,IF(KPI_Config!$C$6="L",IF(Raw_Data!F30&lt;=KPI_Config!$E$6,KPI_Config!$D$6,IF(AND(KPI_Config!$F$6&gt;0,Raw_Data!F30&lt;=KPI_Config!$G$6),KPI_Config!$F$6,0)),IF(Raw_Data!F30&gt;=KPI_Config!$E$6,KPI_Config!$D$6,IF(AND(KPI_Config!$F$6&gt;0,Raw_Data!F30&gt;=KPI_Config!$G$6),KPI_Config!$F$6,0)))))</f>
        <v>0</v>
      </c>
      <c r="G30" s="16">
        <f>IF($A30="","",IF(Raw_Data!G30="",0,IF(KPI_Config!$C$7="L",IF(Raw_Data!G30&lt;=KPI_Config!$E$7,KPI_Config!$D$7,IF(AND(KPI_Config!$F$7&gt;0,Raw_Data!G30&lt;=KPI_Config!$G$7),KPI_Config!$F$7,0)),IF(Raw_Data!G30&gt;=KPI_Config!$E$7,KPI_Config!$D$7,IF(AND(KPI_Config!$F$7&gt;0,Raw_Data!G30&gt;=KPI_Config!$G$7),KPI_Config!$F$7,0)))))</f>
        <v>0</v>
      </c>
      <c r="H30" s="16">
        <f>IF($A30="","",IF(Raw_Data!H30="",0,IF(KPI_Config!$C$8="L",IF(Raw_Data!H30&lt;=KPI_Config!$E$8,KPI_Config!$D$8,IF(AND(KPI_Config!$F$8&gt;0,Raw_Data!H30&lt;=KPI_Config!$G$8),KPI_Config!$F$8,0)),IF(Raw_Data!H30&gt;=KPI_Config!$E$8,KPI_Config!$D$8,IF(AND(KPI_Config!$F$8&gt;0,Raw_Data!H30&gt;=KPI_Config!$G$8),KPI_Config!$F$8,0)))))</f>
        <v>0</v>
      </c>
      <c r="I30" s="16">
        <f>IF($A30="","",IF(Raw_Data!I30="",0,IF(KPI_Config!$C$9="L",IF(Raw_Data!I30&lt;=KPI_Config!$E$9,KPI_Config!$D$9,IF(AND(KPI_Config!$F$9&gt;0,Raw_Data!I30&lt;=KPI_Config!$G$9),KPI_Config!$F$9,0)),IF(Raw_Data!I30&gt;=KPI_Config!$E$9,KPI_Config!$D$9,IF(AND(KPI_Config!$F$9&gt;0,Raw_Data!I30&gt;=KPI_Config!$G$9),KPI_Config!$F$9,0)))))</f>
        <v>0</v>
      </c>
      <c r="J30" s="16">
        <f>IF($A30="","",IF(Raw_Data!J30="",0,IF(KPI_Config!$C$10="L",IF(Raw_Data!J30&lt;=KPI_Config!$E$10,KPI_Config!$D$10,IF(AND(KPI_Config!$F$10&gt;0,Raw_Data!J30&lt;=KPI_Config!$G$10),KPI_Config!$F$10,0)),IF(Raw_Data!J30&gt;=KPI_Config!$E$10,KPI_Config!$D$10,IF(AND(KPI_Config!$F$10&gt;0,Raw_Data!J30&gt;=KPI_Config!$G$10),KPI_Config!$F$10,0)))))</f>
        <v>0</v>
      </c>
      <c r="K30" s="16">
        <f>IF($A30="","",IF(Raw_Data!G30="",0,IF(KPI_Config!$C$11="L",IF(Raw_Data!G30&lt;=KPI_Config!$E$11,KPI_Config!$D$11,IF(AND(KPI_Config!$F$11&gt;0,Raw_Data!G30&lt;=KPI_Config!$G$11),KPI_Config!$F$11,0)),IF(Raw_Data!G30&gt;=KPI_Config!$E$11,KPI_Config!$D$11,IF(AND(KPI_Config!$F$11&gt;0,Raw_Data!G30&gt;=KPI_Config!$G$11),KPI_Config!$F$11,0)))))</f>
        <v>0</v>
      </c>
      <c r="L30" s="16">
        <f>IF($A30="","",MIN(Policy_Decisions!$B$10,IF(Policy_Decisions!$B$6="Additive",SUM(E30:K30),SUM(E30:J30)-G30+MAX(G30,K30))))</f>
        <v>0</v>
      </c>
      <c r="M30" s="16">
        <f>IF($A30="","",Raw_Data!K30)</f>
        <v>0</v>
      </c>
      <c r="N30" s="16">
        <f>IF($A30="","",IFERROR(VLOOKUP(M30,KPI_Config!$I$5:$J$10,2,FALSE()),0))</f>
        <v>0</v>
      </c>
      <c r="O30" s="16">
        <f>IF($A30="","",IF(Policy_Decisions!$B$5="Percentage points",MAX(0,L30-N30),L30*(1-N30)))</f>
        <v>0</v>
      </c>
      <c r="P30" s="15" t="str">
        <f>IF($A30="","",IF(U30="","Review proration",IF(O30=0,"No payout",IF(N30&gt;0,"Malus applied","Eligible"))))</f>
        <v>No payout</v>
      </c>
      <c r="Q30" s="15" t="str">
        <f>IF($A30="","",Raw_Data!M30)</f>
        <v>MAD</v>
      </c>
      <c r="R30" s="38">
        <f>IF($A30="","",Raw_Data!N30)</f>
        <v>0</v>
      </c>
      <c r="S30" s="38">
        <f>IF($A30="","",Raw_Data!O30)</f>
        <v>0</v>
      </c>
      <c r="T30" s="38">
        <f>IF($A30="","",IF(Raw_Data!P30&gt;0,Raw_Data!P30,Raw_Data!N30*Raw_Data!O30/IF(Policy_Decisions!$B$7="Annual",12,1)))</f>
        <v>2000</v>
      </c>
      <c r="U30" s="38">
        <f>IF($A30="","",IF(OR(Raw_Data!R30="",Raw_Data!R30&lt;=0),"",MIN(1,MAX(0,Raw_Data!Q30/Raw_Data!R30))))</f>
        <v>1</v>
      </c>
      <c r="V30" s="38">
        <f>IF(OR($A30="",U30=""),"",T30*U30)</f>
        <v>2000</v>
      </c>
      <c r="W30" s="38">
        <f>IF(OR($A30="",V30=""),"",V30*L30)</f>
        <v>0</v>
      </c>
      <c r="X30" s="38">
        <f>IF(OR($A30="",V30=""),"",V30*L30-V30*O30)</f>
        <v>0</v>
      </c>
      <c r="Y30" s="38">
        <f>IF(OR($A30="",V30=""),"",ROUND(V30*O30,IF(Policy_Decisions!$B$11="Whole MAD",0,2)))</f>
        <v>0</v>
      </c>
      <c r="Z30" t="str">
        <f>Raw_Data!T30</f>
        <v>KAIKAI Faissal</v>
      </c>
      <c r="AA30" t="str">
        <f>Raw_Data!U30</f>
        <v>Anas OUAKKAD</v>
      </c>
    </row>
    <row r="31" spans="1:27" ht="14.25" customHeight="1">
      <c r="A31" s="13">
        <f>IF(Raw_Data!A31="","",Raw_Data!A31)</f>
        <v>203646</v>
      </c>
      <c r="B31" s="13" t="str">
        <f>IF(Raw_Data!B31="","",Raw_Data!B31)</f>
        <v>Jemkar Yasmine</v>
      </c>
      <c r="C31" s="13" t="str">
        <f>IF(Raw_Data!C31="","",Raw_Data!C31)</f>
        <v>OEM FR</v>
      </c>
      <c r="D31" s="13" t="str">
        <f>IF(Raw_Data!D31="","",Raw_Data!D31)</f>
        <v>2026-07</v>
      </c>
      <c r="E31" s="21">
        <f>IF($A31="","",IF(Raw_Data!E31="",0,IF(KPI_Config!$C$5="L",IF(Raw_Data!E31&lt;=KPI_Config!$E$5,KPI_Config!$D$5,IF(AND(KPI_Config!$F$5&gt;0,Raw_Data!E31&lt;=KPI_Config!$G$5),KPI_Config!$F$5,0)),IF(Raw_Data!E31&gt;=KPI_Config!$E$5,KPI_Config!$D$5,IF(AND(KPI_Config!$F$5&gt;0,Raw_Data!E31&gt;=KPI_Config!$G$5),KPI_Config!$F$5,0)))))</f>
        <v>0.15</v>
      </c>
      <c r="F31" s="21">
        <f>IF($A31="","",IF(Raw_Data!F31="",0,IF(KPI_Config!$C$6="L",IF(Raw_Data!F31&lt;=KPI_Config!$E$6,KPI_Config!$D$6,IF(AND(KPI_Config!$F$6&gt;0,Raw_Data!F31&lt;=KPI_Config!$G$6),KPI_Config!$F$6,0)),IF(Raw_Data!F31&gt;=KPI_Config!$E$6,KPI_Config!$D$6,IF(AND(KPI_Config!$F$6&gt;0,Raw_Data!F31&gt;=KPI_Config!$G$6),KPI_Config!$F$6,0)))))</f>
        <v>0.15</v>
      </c>
      <c r="G31" s="21">
        <f>IF($A31="","",IF(Raw_Data!G31="",0,IF(KPI_Config!$C$7="L",IF(Raw_Data!G31&lt;=KPI_Config!$E$7,KPI_Config!$D$7,IF(AND(KPI_Config!$F$7&gt;0,Raw_Data!G31&lt;=KPI_Config!$G$7),KPI_Config!$F$7,0)),IF(Raw_Data!G31&gt;=KPI_Config!$E$7,KPI_Config!$D$7,IF(AND(KPI_Config!$F$7&gt;0,Raw_Data!G31&gt;=KPI_Config!$G$7),KPI_Config!$F$7,0)))))</f>
        <v>0.2</v>
      </c>
      <c r="H31" s="21">
        <f>IF($A31="","",IF(Raw_Data!H31="",0,IF(KPI_Config!$C$8="L",IF(Raw_Data!H31&lt;=KPI_Config!$E$8,KPI_Config!$D$8,IF(AND(KPI_Config!$F$8&gt;0,Raw_Data!H31&lt;=KPI_Config!$G$8),KPI_Config!$F$8,0)),IF(Raw_Data!H31&gt;=KPI_Config!$E$8,KPI_Config!$D$8,IF(AND(KPI_Config!$F$8&gt;0,Raw_Data!H31&gt;=KPI_Config!$G$8),KPI_Config!$F$8,0)))))</f>
        <v>0</v>
      </c>
      <c r="I31" s="21">
        <f>IF($A31="","",IF(Raw_Data!I31="",0,IF(KPI_Config!$C$9="L",IF(Raw_Data!I31&lt;=KPI_Config!$E$9,KPI_Config!$D$9,IF(AND(KPI_Config!$F$9&gt;0,Raw_Data!I31&lt;=KPI_Config!$G$9),KPI_Config!$F$9,0)),IF(Raw_Data!I31&gt;=KPI_Config!$E$9,KPI_Config!$D$9,IF(AND(KPI_Config!$F$9&gt;0,Raw_Data!I31&gt;=KPI_Config!$G$9),KPI_Config!$F$9,0)))))</f>
        <v>0</v>
      </c>
      <c r="J31" s="21">
        <f>IF($A31="","",IF(Raw_Data!J31="",0,IF(KPI_Config!$C$10="L",IF(Raw_Data!J31&lt;=KPI_Config!$E$10,KPI_Config!$D$10,IF(AND(KPI_Config!$F$10&gt;0,Raw_Data!J31&lt;=KPI_Config!$G$10),KPI_Config!$F$10,0)),IF(Raw_Data!J31&gt;=KPI_Config!$E$10,KPI_Config!$D$10,IF(AND(KPI_Config!$F$10&gt;0,Raw_Data!J31&gt;=KPI_Config!$G$10),KPI_Config!$F$10,0)))))</f>
        <v>0.15</v>
      </c>
      <c r="K31" s="21">
        <f>IF($A31="","",IF(Raw_Data!G31="",0,IF(KPI_Config!$C$11="L",IF(Raw_Data!G31&lt;=KPI_Config!$E$11,KPI_Config!$D$11,IF(AND(KPI_Config!$F$11&gt;0,Raw_Data!G31&lt;=KPI_Config!$G$11),KPI_Config!$F$11,0)),IF(Raw_Data!G31&gt;=KPI_Config!$E$11,KPI_Config!$D$11,IF(AND(KPI_Config!$F$11&gt;0,Raw_Data!G31&gt;=KPI_Config!$G$11),KPI_Config!$F$11,0)))))</f>
        <v>0.3</v>
      </c>
      <c r="L31" s="21">
        <f>IF($A31="","",MIN(Policy_Decisions!$B$10,IF(Policy_Decisions!$B$6="Additive",SUM(E31:K31),SUM(E31:J31)-G31+MAX(G31,K31))))</f>
        <v>0.95</v>
      </c>
      <c r="M31" s="21">
        <f>IF($A31="","",Raw_Data!K31)</f>
        <v>0</v>
      </c>
      <c r="N31" s="21">
        <f>IF($A31="","",IFERROR(VLOOKUP(M31,KPI_Config!$I$5:$J$10,2,FALSE()),0))</f>
        <v>0</v>
      </c>
      <c r="O31" s="21">
        <f>IF($A31="","",IF(Policy_Decisions!$B$5="Percentage points",MAX(0,L31-N31),L31*(1-N31)))</f>
        <v>0.95</v>
      </c>
      <c r="P31" s="13" t="str">
        <f>IF($A31="","",IF(U31="","Review proration",IF(O31=0,"No payout",IF(N31&gt;0,"Malus applied","Eligible"))))</f>
        <v>Eligible</v>
      </c>
      <c r="Q31" s="13" t="str">
        <f>IF($A31="","",Raw_Data!M31)</f>
        <v>MAD</v>
      </c>
      <c r="R31" s="37">
        <f>IF($A31="","",Raw_Data!N31)</f>
        <v>0</v>
      </c>
      <c r="S31" s="37">
        <f>IF($A31="","",Raw_Data!O31)</f>
        <v>0</v>
      </c>
      <c r="T31" s="37">
        <f>IF($A31="","",IF(Raw_Data!P31&gt;0,Raw_Data!P31,Raw_Data!N31*Raw_Data!O31/IF(Policy_Decisions!$B$7="Annual",12,1)))</f>
        <v>2000</v>
      </c>
      <c r="U31" s="37">
        <f>IF($A31="","",IF(OR(Raw_Data!R31="",Raw_Data!R31&lt;=0),"",MIN(1,MAX(0,Raw_Data!Q31/Raw_Data!R31))))</f>
        <v>1</v>
      </c>
      <c r="V31" s="37">
        <f>IF(OR($A31="",U31=""),"",T31*U31)</f>
        <v>2000</v>
      </c>
      <c r="W31" s="37">
        <f>IF(OR($A31="",V31=""),"",V31*L31)</f>
        <v>1900</v>
      </c>
      <c r="X31" s="37">
        <f>IF(OR($A31="",V31=""),"",V31*L31-V31*O31)</f>
        <v>0</v>
      </c>
      <c r="Y31" s="37">
        <f>IF(OR($A31="",V31=""),"",ROUND(V31*O31,IF(Policy_Decisions!$B$11="Whole MAD",0,2)))</f>
        <v>1900</v>
      </c>
      <c r="Z31" t="str">
        <f>Raw_Data!T31</f>
        <v>Kenza EL MOUMNI</v>
      </c>
      <c r="AA31" t="str">
        <f>Raw_Data!U31</f>
        <v>Anas OUAKKAD</v>
      </c>
    </row>
    <row r="32" spans="1:27" ht="14.25" customHeight="1">
      <c r="A32" s="15">
        <f>IF(Raw_Data!A32="","",Raw_Data!A32)</f>
        <v>96486</v>
      </c>
      <c r="B32" s="15" t="str">
        <f>IF(Raw_Data!B32="","",Raw_Data!B32)</f>
        <v>EL BAROUDI El Yassmine</v>
      </c>
      <c r="C32" s="15" t="str">
        <f>IF(Raw_Data!C32="","",Raw_Data!C32)</f>
        <v>RSA NL</v>
      </c>
      <c r="D32" s="15" t="str">
        <f>IF(Raw_Data!D32="","",Raw_Data!D32)</f>
        <v>2026-07</v>
      </c>
      <c r="E32" s="16">
        <f>IF($A32="","",IF(Raw_Data!E32="",0,IF(KPI_Config!$C$5="L",IF(Raw_Data!E32&lt;=KPI_Config!$E$5,KPI_Config!$D$5,IF(AND(KPI_Config!$F$5&gt;0,Raw_Data!E32&lt;=KPI_Config!$G$5),KPI_Config!$F$5,0)),IF(Raw_Data!E32&gt;=KPI_Config!$E$5,KPI_Config!$D$5,IF(AND(KPI_Config!$F$5&gt;0,Raw_Data!E32&gt;=KPI_Config!$G$5),KPI_Config!$F$5,0)))))</f>
        <v>0.15</v>
      </c>
      <c r="F32" s="16">
        <f>IF($A32="","",IF(Raw_Data!F32="",0,IF(KPI_Config!$C$6="L",IF(Raw_Data!F32&lt;=KPI_Config!$E$6,KPI_Config!$D$6,IF(AND(KPI_Config!$F$6&gt;0,Raw_Data!F32&lt;=KPI_Config!$G$6),KPI_Config!$F$6,0)),IF(Raw_Data!F32&gt;=KPI_Config!$E$6,KPI_Config!$D$6,IF(AND(KPI_Config!$F$6&gt;0,Raw_Data!F32&gt;=KPI_Config!$G$6),KPI_Config!$F$6,0)))))</f>
        <v>0.15</v>
      </c>
      <c r="G32" s="16">
        <f>IF($A32="","",IF(Raw_Data!G32="",0,IF(KPI_Config!$C$7="L",IF(Raw_Data!G32&lt;=KPI_Config!$E$7,KPI_Config!$D$7,IF(AND(KPI_Config!$F$7&gt;0,Raw_Data!G32&lt;=KPI_Config!$G$7),KPI_Config!$F$7,0)),IF(Raw_Data!G32&gt;=KPI_Config!$E$7,KPI_Config!$D$7,IF(AND(KPI_Config!$F$7&gt;0,Raw_Data!G32&gt;=KPI_Config!$G$7),KPI_Config!$F$7,0)))))</f>
        <v>0</v>
      </c>
      <c r="H32" s="16">
        <f>IF($A32="","",IF(Raw_Data!H32="",0,IF(KPI_Config!$C$8="L",IF(Raw_Data!H32&lt;=KPI_Config!$E$8,KPI_Config!$D$8,IF(AND(KPI_Config!$F$8&gt;0,Raw_Data!H32&lt;=KPI_Config!$G$8),KPI_Config!$F$8,0)),IF(Raw_Data!H32&gt;=KPI_Config!$E$8,KPI_Config!$D$8,IF(AND(KPI_Config!$F$8&gt;0,Raw_Data!H32&gt;=KPI_Config!$G$8),KPI_Config!$F$8,0)))))</f>
        <v>0</v>
      </c>
      <c r="I32" s="16">
        <f>IF($A32="","",IF(Raw_Data!I32="",0,IF(KPI_Config!$C$9="L",IF(Raw_Data!I32&lt;=KPI_Config!$E$9,KPI_Config!$D$9,IF(AND(KPI_Config!$F$9&gt;0,Raw_Data!I32&lt;=KPI_Config!$G$9),KPI_Config!$F$9,0)),IF(Raw_Data!I32&gt;=KPI_Config!$E$9,KPI_Config!$D$9,IF(AND(KPI_Config!$F$9&gt;0,Raw_Data!I32&gt;=KPI_Config!$G$9),KPI_Config!$F$9,0)))))</f>
        <v>0</v>
      </c>
      <c r="J32" s="16">
        <f>IF($A32="","",IF(Raw_Data!J32="",0,IF(KPI_Config!$C$10="L",IF(Raw_Data!J32&lt;=KPI_Config!$E$10,KPI_Config!$D$10,IF(AND(KPI_Config!$F$10&gt;0,Raw_Data!J32&lt;=KPI_Config!$G$10),KPI_Config!$F$10,0)),IF(Raw_Data!J32&gt;=KPI_Config!$E$10,KPI_Config!$D$10,IF(AND(KPI_Config!$F$10&gt;0,Raw_Data!J32&gt;=KPI_Config!$G$10),KPI_Config!$F$10,0)))))</f>
        <v>0.15</v>
      </c>
      <c r="K32" s="16">
        <f>IF($A32="","",IF(Raw_Data!G32="",0,IF(KPI_Config!$C$11="L",IF(Raw_Data!G32&lt;=KPI_Config!$E$11,KPI_Config!$D$11,IF(AND(KPI_Config!$F$11&gt;0,Raw_Data!G32&lt;=KPI_Config!$G$11),KPI_Config!$F$11,0)),IF(Raw_Data!G32&gt;=KPI_Config!$E$11,KPI_Config!$D$11,IF(AND(KPI_Config!$F$11&gt;0,Raw_Data!G32&gt;=KPI_Config!$G$11),KPI_Config!$F$11,0)))))</f>
        <v>0</v>
      </c>
      <c r="L32" s="16">
        <f>IF($A32="","",MIN(Policy_Decisions!$B$10,IF(Policy_Decisions!$B$6="Additive",SUM(E32:K32),SUM(E32:J32)-G32+MAX(G32,K32))))</f>
        <v>0.44999999999999996</v>
      </c>
      <c r="M32" s="16">
        <f>IF($A32="","",Raw_Data!K32)</f>
        <v>0</v>
      </c>
      <c r="N32" s="16">
        <f>IF($A32="","",IFERROR(VLOOKUP(M32,KPI_Config!$I$5:$J$10,2,FALSE()),0))</f>
        <v>0</v>
      </c>
      <c r="O32" s="16">
        <f>IF($A32="","",IF(Policy_Decisions!$B$5="Percentage points",MAX(0,L32-N32),L32*(1-N32)))</f>
        <v>0.44999999999999996</v>
      </c>
      <c r="P32" s="15" t="str">
        <f>IF($A32="","",IF(U32="","Review proration",IF(O32=0,"No payout",IF(N32&gt;0,"Malus applied","Eligible"))))</f>
        <v>Eligible</v>
      </c>
      <c r="Q32" s="15" t="str">
        <f>IF($A32="","",Raw_Data!M32)</f>
        <v>MAD</v>
      </c>
      <c r="R32" s="38">
        <f>IF($A32="","",Raw_Data!N32)</f>
        <v>0</v>
      </c>
      <c r="S32" s="38">
        <f>IF($A32="","",Raw_Data!O32)</f>
        <v>0</v>
      </c>
      <c r="T32" s="38">
        <f>IF($A32="","",IF(Raw_Data!P32&gt;0,Raw_Data!P32,Raw_Data!N32*Raw_Data!O32/IF(Policy_Decisions!$B$7="Annual",12,1)))</f>
        <v>2000</v>
      </c>
      <c r="U32" s="38">
        <f>IF($A32="","",IF(OR(Raw_Data!R32="",Raw_Data!R32&lt;=0),"",MIN(1,MAX(0,Raw_Data!Q32/Raw_Data!R32))))</f>
        <v>1</v>
      </c>
      <c r="V32" s="38">
        <f>IF(OR($A32="",U32=""),"",T32*U32)</f>
        <v>2000</v>
      </c>
      <c r="W32" s="38">
        <f>IF(OR($A32="",V32=""),"",V32*L32)</f>
        <v>899.99999999999989</v>
      </c>
      <c r="X32" s="38">
        <f>IF(OR($A32="",V32=""),"",V32*L32-V32*O32)</f>
        <v>0</v>
      </c>
      <c r="Y32" s="38">
        <f>IF(OR($A32="",V32=""),"",ROUND(V32*O32,IF(Policy_Decisions!$B$11="Whole MAD",0,2)))</f>
        <v>900</v>
      </c>
      <c r="Z32" t="str">
        <f>Raw_Data!T32</f>
        <v>AL TAMIMI Zeynab</v>
      </c>
      <c r="AA32" t="str">
        <f>Raw_Data!U32</f>
        <v>Anas OUAKKAD</v>
      </c>
    </row>
    <row r="33" spans="1:27" ht="14.25" customHeight="1">
      <c r="A33" s="13">
        <f>IF(Raw_Data!A33="","",Raw_Data!A33)</f>
        <v>204024</v>
      </c>
      <c r="B33" s="13" t="str">
        <f>IF(Raw_Data!B33="","",Raw_Data!B33)</f>
        <v>Van der Laan Tim</v>
      </c>
      <c r="C33" s="13" t="str">
        <f>IF(Raw_Data!C33="","",Raw_Data!C33)</f>
        <v>Ford Dutch</v>
      </c>
      <c r="D33" s="13" t="str">
        <f>IF(Raw_Data!D33="","",Raw_Data!D33)</f>
        <v>2026-07</v>
      </c>
      <c r="E33" s="21">
        <f>IF($A33="","",IF(Raw_Data!E33="",0,IF(KPI_Config!$C$5="L",IF(Raw_Data!E33&lt;=KPI_Config!$E$5,KPI_Config!$D$5,IF(AND(KPI_Config!$F$5&gt;0,Raw_Data!E33&lt;=KPI_Config!$G$5),KPI_Config!$F$5,0)),IF(Raw_Data!E33&gt;=KPI_Config!$E$5,KPI_Config!$D$5,IF(AND(KPI_Config!$F$5&gt;0,Raw_Data!E33&gt;=KPI_Config!$G$5),KPI_Config!$F$5,0)))))</f>
        <v>0.15</v>
      </c>
      <c r="F33" s="21">
        <f>IF($A33="","",IF(Raw_Data!F33="",0,IF(KPI_Config!$C$6="L",IF(Raw_Data!F33&lt;=KPI_Config!$E$6,KPI_Config!$D$6,IF(AND(KPI_Config!$F$6&gt;0,Raw_Data!F33&lt;=KPI_Config!$G$6),KPI_Config!$F$6,0)),IF(Raw_Data!F33&gt;=KPI_Config!$E$6,KPI_Config!$D$6,IF(AND(KPI_Config!$F$6&gt;0,Raw_Data!F33&gt;=KPI_Config!$G$6),KPI_Config!$F$6,0)))))</f>
        <v>0.15</v>
      </c>
      <c r="G33" s="21">
        <f>IF($A33="","",IF(Raw_Data!G33="",0,IF(KPI_Config!$C$7="L",IF(Raw_Data!G33&lt;=KPI_Config!$E$7,KPI_Config!$D$7,IF(AND(KPI_Config!$F$7&gt;0,Raw_Data!G33&lt;=KPI_Config!$G$7),KPI_Config!$F$7,0)),IF(Raw_Data!G33&gt;=KPI_Config!$E$7,KPI_Config!$D$7,IF(AND(KPI_Config!$F$7&gt;0,Raw_Data!G33&gt;=KPI_Config!$G$7),KPI_Config!$F$7,0)))))</f>
        <v>0.15</v>
      </c>
      <c r="H33" s="21">
        <f>IF($A33="","",IF(Raw_Data!H33="",0,IF(KPI_Config!$C$8="L",IF(Raw_Data!H33&lt;=KPI_Config!$E$8,KPI_Config!$D$8,IF(AND(KPI_Config!$F$8&gt;0,Raw_Data!H33&lt;=KPI_Config!$G$8),KPI_Config!$F$8,0)),IF(Raw_Data!H33&gt;=KPI_Config!$E$8,KPI_Config!$D$8,IF(AND(KPI_Config!$F$8&gt;0,Raw_Data!H33&gt;=KPI_Config!$G$8),KPI_Config!$F$8,0)))))</f>
        <v>0</v>
      </c>
      <c r="I33" s="21">
        <f>IF($A33="","",IF(Raw_Data!I33="",0,IF(KPI_Config!$C$9="L",IF(Raw_Data!I33&lt;=KPI_Config!$E$9,KPI_Config!$D$9,IF(AND(KPI_Config!$F$9&gt;0,Raw_Data!I33&lt;=KPI_Config!$G$9),KPI_Config!$F$9,0)),IF(Raw_Data!I33&gt;=KPI_Config!$E$9,KPI_Config!$D$9,IF(AND(KPI_Config!$F$9&gt;0,Raw_Data!I33&gt;=KPI_Config!$G$9),KPI_Config!$F$9,0)))))</f>
        <v>0</v>
      </c>
      <c r="J33" s="21">
        <f>IF($A33="","",IF(Raw_Data!J33="",0,IF(KPI_Config!$C$10="L",IF(Raw_Data!J33&lt;=KPI_Config!$E$10,KPI_Config!$D$10,IF(AND(KPI_Config!$F$10&gt;0,Raw_Data!J33&lt;=KPI_Config!$G$10),KPI_Config!$F$10,0)),IF(Raw_Data!J33&gt;=KPI_Config!$E$10,KPI_Config!$D$10,IF(AND(KPI_Config!$F$10&gt;0,Raw_Data!J33&gt;=KPI_Config!$G$10),KPI_Config!$F$10,0)))))</f>
        <v>0</v>
      </c>
      <c r="K33" s="21">
        <f>IF($A33="","",IF(Raw_Data!G33="",0,IF(KPI_Config!$C$11="L",IF(Raw_Data!G33&lt;=KPI_Config!$E$11,KPI_Config!$D$11,IF(AND(KPI_Config!$F$11&gt;0,Raw_Data!G33&lt;=KPI_Config!$G$11),KPI_Config!$F$11,0)),IF(Raw_Data!G33&gt;=KPI_Config!$E$11,KPI_Config!$D$11,IF(AND(KPI_Config!$F$11&gt;0,Raw_Data!G33&gt;=KPI_Config!$G$11),KPI_Config!$F$11,0)))))</f>
        <v>0</v>
      </c>
      <c r="L33" s="21">
        <f>IF($A33="","",MIN(Policy_Decisions!$B$10,IF(Policy_Decisions!$B$6="Additive",SUM(E33:K33),SUM(E33:J33)-G33+MAX(G33,K33))))</f>
        <v>0.44999999999999996</v>
      </c>
      <c r="M33" s="21">
        <f>IF($A33="","",Raw_Data!K33)</f>
        <v>0</v>
      </c>
      <c r="N33" s="21">
        <f>IF($A33="","",IFERROR(VLOOKUP(M33,KPI_Config!$I$5:$J$10,2,FALSE()),0))</f>
        <v>0</v>
      </c>
      <c r="O33" s="21">
        <f>IF($A33="","",IF(Policy_Decisions!$B$5="Percentage points",MAX(0,L33-N33),L33*(1-N33)))</f>
        <v>0.44999999999999996</v>
      </c>
      <c r="P33" s="13" t="str">
        <f>IF($A33="","",IF(U33="","Review proration",IF(O33=0,"No payout",IF(N33&gt;0,"Malus applied","Eligible"))))</f>
        <v>Eligible</v>
      </c>
      <c r="Q33" s="13" t="str">
        <f>IF($A33="","",Raw_Data!M33)</f>
        <v>MAD</v>
      </c>
      <c r="R33" s="37">
        <f>IF($A33="","",Raw_Data!N33)</f>
        <v>0</v>
      </c>
      <c r="S33" s="37">
        <f>IF($A33="","",Raw_Data!O33)</f>
        <v>0</v>
      </c>
      <c r="T33" s="37">
        <f>IF($A33="","",IF(Raw_Data!P33&gt;0,Raw_Data!P33,Raw_Data!N33*Raw_Data!O33/IF(Policy_Decisions!$B$7="Annual",12,1)))</f>
        <v>2000</v>
      </c>
      <c r="U33" s="37">
        <f>IF($A33="","",IF(OR(Raw_Data!R33="",Raw_Data!R33&lt;=0),"",MIN(1,MAX(0,Raw_Data!Q33/Raw_Data!R33))))</f>
        <v>1</v>
      </c>
      <c r="V33" s="37">
        <f>IF(OR($A33="",U33=""),"",T33*U33)</f>
        <v>2000</v>
      </c>
      <c r="W33" s="37">
        <f>IF(OR($A33="",V33=""),"",V33*L33)</f>
        <v>899.99999999999989</v>
      </c>
      <c r="X33" s="37">
        <f>IF(OR($A33="",V33=""),"",V33*L33-V33*O33)</f>
        <v>0</v>
      </c>
      <c r="Y33" s="37">
        <f>IF(OR($A33="",V33=""),"",ROUND(V33*O33,IF(Policy_Decisions!$B$11="Whole MAD",0,2)))</f>
        <v>900</v>
      </c>
      <c r="Z33" t="str">
        <f>Raw_Data!T33</f>
        <v>EL GHAZI Youssef</v>
      </c>
      <c r="AA33" t="str">
        <f>Raw_Data!U33</f>
        <v>Anas OUAKKAD</v>
      </c>
    </row>
    <row r="34" spans="1:27" ht="14.25" customHeight="1">
      <c r="A34" s="15">
        <f>IF(Raw_Data!A34="","",Raw_Data!A34)</f>
        <v>224102</v>
      </c>
      <c r="B34" s="15" t="str">
        <f>IF(Raw_Data!B34="","",Raw_Data!B34)</f>
        <v>Tasnim NAJI</v>
      </c>
      <c r="C34" s="15" t="str">
        <f>IF(Raw_Data!C34="","",Raw_Data!C34)</f>
        <v>RSA NL</v>
      </c>
      <c r="D34" s="15" t="str">
        <f>IF(Raw_Data!D34="","",Raw_Data!D34)</f>
        <v>2026-07</v>
      </c>
      <c r="E34" s="16">
        <f>IF($A34="","",IF(Raw_Data!E34="",0,IF(KPI_Config!$C$5="L",IF(Raw_Data!E34&lt;=KPI_Config!$E$5,KPI_Config!$D$5,IF(AND(KPI_Config!$F$5&gt;0,Raw_Data!E34&lt;=KPI_Config!$G$5),KPI_Config!$F$5,0)),IF(Raw_Data!E34&gt;=KPI_Config!$E$5,KPI_Config!$D$5,IF(AND(KPI_Config!$F$5&gt;0,Raw_Data!E34&gt;=KPI_Config!$G$5),KPI_Config!$F$5,0)))))</f>
        <v>0</v>
      </c>
      <c r="F34" s="16">
        <f>IF($A34="","",IF(Raw_Data!F34="",0,IF(KPI_Config!$C$6="L",IF(Raw_Data!F34&lt;=KPI_Config!$E$6,KPI_Config!$D$6,IF(AND(KPI_Config!$F$6&gt;0,Raw_Data!F34&lt;=KPI_Config!$G$6),KPI_Config!$F$6,0)),IF(Raw_Data!F34&gt;=KPI_Config!$E$6,KPI_Config!$D$6,IF(AND(KPI_Config!$F$6&gt;0,Raw_Data!F34&gt;=KPI_Config!$G$6),KPI_Config!$F$6,0)))))</f>
        <v>0</v>
      </c>
      <c r="G34" s="16">
        <f>IF($A34="","",IF(Raw_Data!G34="",0,IF(KPI_Config!$C$7="L",IF(Raw_Data!G34&lt;=KPI_Config!$E$7,KPI_Config!$D$7,IF(AND(KPI_Config!$F$7&gt;0,Raw_Data!G34&lt;=KPI_Config!$G$7),KPI_Config!$F$7,0)),IF(Raw_Data!G34&gt;=KPI_Config!$E$7,KPI_Config!$D$7,IF(AND(KPI_Config!$F$7&gt;0,Raw_Data!G34&gt;=KPI_Config!$G$7),KPI_Config!$F$7,0)))))</f>
        <v>0</v>
      </c>
      <c r="H34" s="16">
        <f>IF($A34="","",IF(Raw_Data!H34="",0,IF(KPI_Config!$C$8="L",IF(Raw_Data!H34&lt;=KPI_Config!$E$8,KPI_Config!$D$8,IF(AND(KPI_Config!$F$8&gt;0,Raw_Data!H34&lt;=KPI_Config!$G$8),KPI_Config!$F$8,0)),IF(Raw_Data!H34&gt;=KPI_Config!$E$8,KPI_Config!$D$8,IF(AND(KPI_Config!$F$8&gt;0,Raw_Data!H34&gt;=KPI_Config!$G$8),KPI_Config!$F$8,0)))))</f>
        <v>0</v>
      </c>
      <c r="I34" s="16">
        <f>IF($A34="","",IF(Raw_Data!I34="",0,IF(KPI_Config!$C$9="L",IF(Raw_Data!I34&lt;=KPI_Config!$E$9,KPI_Config!$D$9,IF(AND(KPI_Config!$F$9&gt;0,Raw_Data!I34&lt;=KPI_Config!$G$9),KPI_Config!$F$9,0)),IF(Raw_Data!I34&gt;=KPI_Config!$E$9,KPI_Config!$D$9,IF(AND(KPI_Config!$F$9&gt;0,Raw_Data!I34&gt;=KPI_Config!$G$9),KPI_Config!$F$9,0)))))</f>
        <v>0</v>
      </c>
      <c r="J34" s="16">
        <f>IF($A34="","",IF(Raw_Data!J34="",0,IF(KPI_Config!$C$10="L",IF(Raw_Data!J34&lt;=KPI_Config!$E$10,KPI_Config!$D$10,IF(AND(KPI_Config!$F$10&gt;0,Raw_Data!J34&lt;=KPI_Config!$G$10),KPI_Config!$F$10,0)),IF(Raw_Data!J34&gt;=KPI_Config!$E$10,KPI_Config!$D$10,IF(AND(KPI_Config!$F$10&gt;0,Raw_Data!J34&gt;=KPI_Config!$G$10),KPI_Config!$F$10,0)))))</f>
        <v>0</v>
      </c>
      <c r="K34" s="16">
        <f>IF($A34="","",IF(Raw_Data!G34="",0,IF(KPI_Config!$C$11="L",IF(Raw_Data!G34&lt;=KPI_Config!$E$11,KPI_Config!$D$11,IF(AND(KPI_Config!$F$11&gt;0,Raw_Data!G34&lt;=KPI_Config!$G$11),KPI_Config!$F$11,0)),IF(Raw_Data!G34&gt;=KPI_Config!$E$11,KPI_Config!$D$11,IF(AND(KPI_Config!$F$11&gt;0,Raw_Data!G34&gt;=KPI_Config!$G$11),KPI_Config!$F$11,0)))))</f>
        <v>0</v>
      </c>
      <c r="L34" s="16">
        <f>IF($A34="","",MIN(Policy_Decisions!$B$10,IF(Policy_Decisions!$B$6="Additive",SUM(E34:K34),SUM(E34:J34)-G34+MAX(G34,K34))))</f>
        <v>0</v>
      </c>
      <c r="M34" s="16">
        <f>IF($A34="","",Raw_Data!K34)</f>
        <v>0</v>
      </c>
      <c r="N34" s="16">
        <f>IF($A34="","",IFERROR(VLOOKUP(M34,KPI_Config!$I$5:$J$10,2,FALSE()),0))</f>
        <v>0</v>
      </c>
      <c r="O34" s="16">
        <f>IF($A34="","",IF(Policy_Decisions!$B$5="Percentage points",MAX(0,L34-N34),L34*(1-N34)))</f>
        <v>0</v>
      </c>
      <c r="P34" s="15" t="str">
        <f>IF($A34="","",IF(U34="","Review proration",IF(O34=0,"No payout",IF(N34&gt;0,"Malus applied","Eligible"))))</f>
        <v>No payout</v>
      </c>
      <c r="Q34" s="15" t="str">
        <f>IF($A34="","",Raw_Data!M34)</f>
        <v>MAD</v>
      </c>
      <c r="R34" s="38">
        <f>IF($A34="","",Raw_Data!N34)</f>
        <v>0</v>
      </c>
      <c r="S34" s="38">
        <f>IF($A34="","",Raw_Data!O34)</f>
        <v>0</v>
      </c>
      <c r="T34" s="38">
        <f>IF($A34="","",IF(Raw_Data!P34&gt;0,Raw_Data!P34,Raw_Data!N34*Raw_Data!O34/IF(Policy_Decisions!$B$7="Annual",12,1)))</f>
        <v>2000</v>
      </c>
      <c r="U34" s="38">
        <f>IF($A34="","",IF(OR(Raw_Data!R34="",Raw_Data!R34&lt;=0),"",MIN(1,MAX(0,Raw_Data!Q34/Raw_Data!R34))))</f>
        <v>1</v>
      </c>
      <c r="V34" s="38">
        <f>IF(OR($A34="",U34=""),"",T34*U34)</f>
        <v>2000</v>
      </c>
      <c r="W34" s="38">
        <f>IF(OR($A34="",V34=""),"",V34*L34)</f>
        <v>0</v>
      </c>
      <c r="X34" s="38">
        <f>IF(OR($A34="",V34=""),"",V34*L34-V34*O34)</f>
        <v>0</v>
      </c>
      <c r="Y34" s="38">
        <f>IF(OR($A34="",V34=""),"",ROUND(V34*O34,IF(Policy_Decisions!$B$11="Whole MAD",0,2)))</f>
        <v>0</v>
      </c>
      <c r="Z34" t="str">
        <f>Raw_Data!T34</f>
        <v>JEANNE NKIKIO RWIBUTSO</v>
      </c>
      <c r="AA34" t="str">
        <f>Raw_Data!U34</f>
        <v>Anas OUAKKAD</v>
      </c>
    </row>
    <row r="35" spans="1:27" ht="14.25" customHeight="1">
      <c r="A35" s="13">
        <f>IF(Raw_Data!A35="","",Raw_Data!A35)</f>
        <v>228213</v>
      </c>
      <c r="B35" s="13" t="str">
        <f>IF(Raw_Data!B35="","",Raw_Data!B35)</f>
        <v>Taoufik MANOUNI</v>
      </c>
      <c r="C35" s="13" t="str">
        <f>IF(Raw_Data!C35="","",Raw_Data!C35)</f>
        <v>OEM FR</v>
      </c>
      <c r="D35" s="13" t="str">
        <f>IF(Raw_Data!D35="","",Raw_Data!D35)</f>
        <v>2026-07</v>
      </c>
      <c r="E35" s="21">
        <f>IF($A35="","",IF(Raw_Data!E35="",0,IF(KPI_Config!$C$5="L",IF(Raw_Data!E35&lt;=KPI_Config!$E$5,KPI_Config!$D$5,IF(AND(KPI_Config!$F$5&gt;0,Raw_Data!E35&lt;=KPI_Config!$G$5),KPI_Config!$F$5,0)),IF(Raw_Data!E35&gt;=KPI_Config!$E$5,KPI_Config!$D$5,IF(AND(KPI_Config!$F$5&gt;0,Raw_Data!E35&gt;=KPI_Config!$G$5),KPI_Config!$F$5,0)))))</f>
        <v>0.15</v>
      </c>
      <c r="F35" s="21">
        <f>IF($A35="","",IF(Raw_Data!F35="",0,IF(KPI_Config!$C$6="L",IF(Raw_Data!F35&lt;=KPI_Config!$E$6,KPI_Config!$D$6,IF(AND(KPI_Config!$F$6&gt;0,Raw_Data!F35&lt;=KPI_Config!$G$6),KPI_Config!$F$6,0)),IF(Raw_Data!F35&gt;=KPI_Config!$E$6,KPI_Config!$D$6,IF(AND(KPI_Config!$F$6&gt;0,Raw_Data!F35&gt;=KPI_Config!$G$6),KPI_Config!$F$6,0)))))</f>
        <v>0.15</v>
      </c>
      <c r="G35" s="21">
        <f>IF($A35="","",IF(Raw_Data!G35="",0,IF(KPI_Config!$C$7="L",IF(Raw_Data!G35&lt;=KPI_Config!$E$7,KPI_Config!$D$7,IF(AND(KPI_Config!$F$7&gt;0,Raw_Data!G35&lt;=KPI_Config!$G$7),KPI_Config!$F$7,0)),IF(Raw_Data!G35&gt;=KPI_Config!$E$7,KPI_Config!$D$7,IF(AND(KPI_Config!$F$7&gt;0,Raw_Data!G35&gt;=KPI_Config!$G$7),KPI_Config!$F$7,0)))))</f>
        <v>0.2</v>
      </c>
      <c r="H35" s="21">
        <f>IF($A35="","",IF(Raw_Data!H35="",0,IF(KPI_Config!$C$8="L",IF(Raw_Data!H35&lt;=KPI_Config!$E$8,KPI_Config!$D$8,IF(AND(KPI_Config!$F$8&gt;0,Raw_Data!H35&lt;=KPI_Config!$G$8),KPI_Config!$F$8,0)),IF(Raw_Data!H35&gt;=KPI_Config!$E$8,KPI_Config!$D$8,IF(AND(KPI_Config!$F$8&gt;0,Raw_Data!H35&gt;=KPI_Config!$G$8),KPI_Config!$F$8,0)))))</f>
        <v>0.1</v>
      </c>
      <c r="I35" s="21">
        <f>IF($A35="","",IF(Raw_Data!I35="",0,IF(KPI_Config!$C$9="L",IF(Raw_Data!I35&lt;=KPI_Config!$E$9,KPI_Config!$D$9,IF(AND(KPI_Config!$F$9&gt;0,Raw_Data!I35&lt;=KPI_Config!$G$9),KPI_Config!$F$9,0)),IF(Raw_Data!I35&gt;=KPI_Config!$E$9,KPI_Config!$D$9,IF(AND(KPI_Config!$F$9&gt;0,Raw_Data!I35&gt;=KPI_Config!$G$9),KPI_Config!$F$9,0)))))</f>
        <v>0</v>
      </c>
      <c r="J35" s="21">
        <f>IF($A35="","",IF(Raw_Data!J35="",0,IF(KPI_Config!$C$10="L",IF(Raw_Data!J35&lt;=KPI_Config!$E$10,KPI_Config!$D$10,IF(AND(KPI_Config!$F$10&gt;0,Raw_Data!J35&lt;=KPI_Config!$G$10),KPI_Config!$F$10,0)),IF(Raw_Data!J35&gt;=KPI_Config!$E$10,KPI_Config!$D$10,IF(AND(KPI_Config!$F$10&gt;0,Raw_Data!J35&gt;=KPI_Config!$G$10),KPI_Config!$F$10,0)))))</f>
        <v>0.15</v>
      </c>
      <c r="K35" s="21">
        <f>IF($A35="","",IF(Raw_Data!G35="",0,IF(KPI_Config!$C$11="L",IF(Raw_Data!G35&lt;=KPI_Config!$E$11,KPI_Config!$D$11,IF(AND(KPI_Config!$F$11&gt;0,Raw_Data!G35&lt;=KPI_Config!$G$11),KPI_Config!$F$11,0)),IF(Raw_Data!G35&gt;=KPI_Config!$E$11,KPI_Config!$D$11,IF(AND(KPI_Config!$F$11&gt;0,Raw_Data!G35&gt;=KPI_Config!$G$11),KPI_Config!$F$11,0)))))</f>
        <v>0.3</v>
      </c>
      <c r="L35" s="21">
        <f>IF($A35="","",MIN(Policy_Decisions!$B$10,IF(Policy_Decisions!$B$6="Additive",SUM(E35:K35),SUM(E35:J35)-G35+MAX(G35,K35))))</f>
        <v>1.05</v>
      </c>
      <c r="M35" s="21">
        <f>IF($A35="","",Raw_Data!K35)</f>
        <v>0</v>
      </c>
      <c r="N35" s="21">
        <f>IF($A35="","",IFERROR(VLOOKUP(M35,KPI_Config!$I$5:$J$10,2,FALSE()),0))</f>
        <v>0</v>
      </c>
      <c r="O35" s="21">
        <f>IF($A35="","",IF(Policy_Decisions!$B$5="Percentage points",MAX(0,L35-N35),L35*(1-N35)))</f>
        <v>1.05</v>
      </c>
      <c r="P35" s="13" t="str">
        <f>IF($A35="","",IF(U35="","Review proration",IF(O35=0,"No payout",IF(N35&gt;0,"Malus applied","Eligible"))))</f>
        <v>Eligible</v>
      </c>
      <c r="Q35" s="13" t="str">
        <f>IF($A35="","",Raw_Data!M35)</f>
        <v>MAD</v>
      </c>
      <c r="R35" s="37">
        <f>IF($A35="","",Raw_Data!N35)</f>
        <v>0</v>
      </c>
      <c r="S35" s="37">
        <f>IF($A35="","",Raw_Data!O35)</f>
        <v>0</v>
      </c>
      <c r="T35" s="37">
        <f>IF($A35="","",IF(Raw_Data!P35&gt;0,Raw_Data!P35,Raw_Data!N35*Raw_Data!O35/IF(Policy_Decisions!$B$7="Annual",12,1)))</f>
        <v>2000</v>
      </c>
      <c r="U35" s="37">
        <f>IF($A35="","",IF(OR(Raw_Data!R35="",Raw_Data!R35&lt;=0),"",MIN(1,MAX(0,Raw_Data!Q35/Raw_Data!R35))))</f>
        <v>1</v>
      </c>
      <c r="V35" s="37">
        <f>IF(OR($A35="",U35=""),"",T35*U35)</f>
        <v>2000</v>
      </c>
      <c r="W35" s="37">
        <f>IF(OR($A35="",V35=""),"",V35*L35)</f>
        <v>2100</v>
      </c>
      <c r="X35" s="37">
        <f>IF(OR($A35="",V35=""),"",V35*L35-V35*O35)</f>
        <v>0</v>
      </c>
      <c r="Y35" s="37">
        <f>IF(OR($A35="",V35=""),"",ROUND(V35*O35,IF(Policy_Decisions!$B$11="Whole MAD",0,2)))</f>
        <v>2100</v>
      </c>
      <c r="Z35" t="str">
        <f>Raw_Data!T35</f>
        <v>Zineb MOUFID</v>
      </c>
      <c r="AA35" t="str">
        <f>Raw_Data!U35</f>
        <v>Anas OUAKKAD</v>
      </c>
    </row>
    <row r="36" spans="1:27" ht="14.25" customHeight="1">
      <c r="A36" s="15">
        <f>IF(Raw_Data!A36="","",Raw_Data!A36)</f>
        <v>244550</v>
      </c>
      <c r="B36" s="15" t="str">
        <f>IF(Raw_Data!B36="","",Raw_Data!B36)</f>
        <v>taissir Bakour</v>
      </c>
      <c r="C36" s="15" t="str">
        <f>IF(Raw_Data!C36="","",Raw_Data!C36)</f>
        <v>RSA NL</v>
      </c>
      <c r="D36" s="15" t="str">
        <f>IF(Raw_Data!D36="","",Raw_Data!D36)</f>
        <v>2026-07</v>
      </c>
      <c r="E36" s="16">
        <f>IF($A36="","",IF(Raw_Data!E36="",0,IF(KPI_Config!$C$5="L",IF(Raw_Data!E36&lt;=KPI_Config!$E$5,KPI_Config!$D$5,IF(AND(KPI_Config!$F$5&gt;0,Raw_Data!E36&lt;=KPI_Config!$G$5),KPI_Config!$F$5,0)),IF(Raw_Data!E36&gt;=KPI_Config!$E$5,KPI_Config!$D$5,IF(AND(KPI_Config!$F$5&gt;0,Raw_Data!E36&gt;=KPI_Config!$G$5),KPI_Config!$F$5,0)))))</f>
        <v>0</v>
      </c>
      <c r="F36" s="16">
        <f>IF($A36="","",IF(Raw_Data!F36="",0,IF(KPI_Config!$C$6="L",IF(Raw_Data!F36&lt;=KPI_Config!$E$6,KPI_Config!$D$6,IF(AND(KPI_Config!$F$6&gt;0,Raw_Data!F36&lt;=KPI_Config!$G$6),KPI_Config!$F$6,0)),IF(Raw_Data!F36&gt;=KPI_Config!$E$6,KPI_Config!$D$6,IF(AND(KPI_Config!$F$6&gt;0,Raw_Data!F36&gt;=KPI_Config!$G$6),KPI_Config!$F$6,0)))))</f>
        <v>0</v>
      </c>
      <c r="G36" s="16">
        <f>IF($A36="","",IF(Raw_Data!G36="",0,IF(KPI_Config!$C$7="L",IF(Raw_Data!G36&lt;=KPI_Config!$E$7,KPI_Config!$D$7,IF(AND(KPI_Config!$F$7&gt;0,Raw_Data!G36&lt;=KPI_Config!$G$7),KPI_Config!$F$7,0)),IF(Raw_Data!G36&gt;=KPI_Config!$E$7,KPI_Config!$D$7,IF(AND(KPI_Config!$F$7&gt;0,Raw_Data!G36&gt;=KPI_Config!$G$7),KPI_Config!$F$7,0)))))</f>
        <v>0</v>
      </c>
      <c r="H36" s="16">
        <f>IF($A36="","",IF(Raw_Data!H36="",0,IF(KPI_Config!$C$8="L",IF(Raw_Data!H36&lt;=KPI_Config!$E$8,KPI_Config!$D$8,IF(AND(KPI_Config!$F$8&gt;0,Raw_Data!H36&lt;=KPI_Config!$G$8),KPI_Config!$F$8,0)),IF(Raw_Data!H36&gt;=KPI_Config!$E$8,KPI_Config!$D$8,IF(AND(KPI_Config!$F$8&gt;0,Raw_Data!H36&gt;=KPI_Config!$G$8),KPI_Config!$F$8,0)))))</f>
        <v>0</v>
      </c>
      <c r="I36" s="16">
        <f>IF($A36="","",IF(Raw_Data!I36="",0,IF(KPI_Config!$C$9="L",IF(Raw_Data!I36&lt;=KPI_Config!$E$9,KPI_Config!$D$9,IF(AND(KPI_Config!$F$9&gt;0,Raw_Data!I36&lt;=KPI_Config!$G$9),KPI_Config!$F$9,0)),IF(Raw_Data!I36&gt;=KPI_Config!$E$9,KPI_Config!$D$9,IF(AND(KPI_Config!$F$9&gt;0,Raw_Data!I36&gt;=KPI_Config!$G$9),KPI_Config!$F$9,0)))))</f>
        <v>0</v>
      </c>
      <c r="J36" s="16">
        <f>IF($A36="","",IF(Raw_Data!J36="",0,IF(KPI_Config!$C$10="L",IF(Raw_Data!J36&lt;=KPI_Config!$E$10,KPI_Config!$D$10,IF(AND(KPI_Config!$F$10&gt;0,Raw_Data!J36&lt;=KPI_Config!$G$10),KPI_Config!$F$10,0)),IF(Raw_Data!J36&gt;=KPI_Config!$E$10,KPI_Config!$D$10,IF(AND(KPI_Config!$F$10&gt;0,Raw_Data!J36&gt;=KPI_Config!$G$10),KPI_Config!$F$10,0)))))</f>
        <v>0</v>
      </c>
      <c r="K36" s="16">
        <f>IF($A36="","",IF(Raw_Data!G36="",0,IF(KPI_Config!$C$11="L",IF(Raw_Data!G36&lt;=KPI_Config!$E$11,KPI_Config!$D$11,IF(AND(KPI_Config!$F$11&gt;0,Raw_Data!G36&lt;=KPI_Config!$G$11),KPI_Config!$F$11,0)),IF(Raw_Data!G36&gt;=KPI_Config!$E$11,KPI_Config!$D$11,IF(AND(KPI_Config!$F$11&gt;0,Raw_Data!G36&gt;=KPI_Config!$G$11),KPI_Config!$F$11,0)))))</f>
        <v>0</v>
      </c>
      <c r="L36" s="16">
        <f>IF($A36="","",MIN(Policy_Decisions!$B$10,IF(Policy_Decisions!$B$6="Additive",SUM(E36:K36),SUM(E36:J36)-G36+MAX(G36,K36))))</f>
        <v>0</v>
      </c>
      <c r="M36" s="16">
        <f>IF($A36="","",Raw_Data!K36)</f>
        <v>0</v>
      </c>
      <c r="N36" s="16">
        <f>IF($A36="","",IFERROR(VLOOKUP(M36,KPI_Config!$I$5:$J$10,2,FALSE()),0))</f>
        <v>0</v>
      </c>
      <c r="O36" s="16">
        <f>IF($A36="","",IF(Policy_Decisions!$B$5="Percentage points",MAX(0,L36-N36),L36*(1-N36)))</f>
        <v>0</v>
      </c>
      <c r="P36" s="15" t="str">
        <f>IF($A36="","",IF(U36="","Review proration",IF(O36=0,"No payout",IF(N36&gt;0,"Malus applied","Eligible"))))</f>
        <v>No payout</v>
      </c>
      <c r="Q36" s="15" t="str">
        <f>IF($A36="","",Raw_Data!M36)</f>
        <v>MAD</v>
      </c>
      <c r="R36" s="38">
        <f>IF($A36="","",Raw_Data!N36)</f>
        <v>0</v>
      </c>
      <c r="S36" s="38">
        <f>IF($A36="","",Raw_Data!O36)</f>
        <v>0</v>
      </c>
      <c r="T36" s="38">
        <f>IF($A36="","",IF(Raw_Data!P36&gt;0,Raw_Data!P36,Raw_Data!N36*Raw_Data!O36/IF(Policy_Decisions!$B$7="Annual",12,1)))</f>
        <v>2000</v>
      </c>
      <c r="U36" s="38">
        <f>IF($A36="","",IF(OR(Raw_Data!R36="",Raw_Data!R36&lt;=0),"",MIN(1,MAX(0,Raw_Data!Q36/Raw_Data!R36))))</f>
        <v>1</v>
      </c>
      <c r="V36" s="38">
        <f>IF(OR($A36="",U36=""),"",T36*U36)</f>
        <v>2000</v>
      </c>
      <c r="W36" s="38">
        <f>IF(OR($A36="",V36=""),"",V36*L36)</f>
        <v>0</v>
      </c>
      <c r="X36" s="38">
        <f>IF(OR($A36="",V36=""),"",V36*L36-V36*O36)</f>
        <v>0</v>
      </c>
      <c r="Y36" s="38">
        <f>IF(OR($A36="",V36=""),"",ROUND(V36*O36,IF(Policy_Decisions!$B$11="Whole MAD",0,2)))</f>
        <v>0</v>
      </c>
      <c r="Z36" t="str">
        <f>Raw_Data!T36</f>
        <v>KAIKAI Faissal</v>
      </c>
      <c r="AA36" t="str">
        <f>Raw_Data!U36</f>
        <v>Anas OUAKKAD</v>
      </c>
    </row>
    <row r="37" spans="1:27" ht="14.25" customHeight="1">
      <c r="A37" s="13">
        <f>IF(Raw_Data!A37="","",Raw_Data!A37)</f>
        <v>207437</v>
      </c>
      <c r="B37" s="13" t="str">
        <f>IF(Raw_Data!B37="","",Raw_Data!B37)</f>
        <v>Taha Aboulhaoul</v>
      </c>
      <c r="C37" s="13" t="str">
        <f>IF(Raw_Data!C37="","",Raw_Data!C37)</f>
        <v>RSA FR</v>
      </c>
      <c r="D37" s="13" t="str">
        <f>IF(Raw_Data!D37="","",Raw_Data!D37)</f>
        <v>2026-07</v>
      </c>
      <c r="E37" s="21">
        <f>IF($A37="","",IF(Raw_Data!E37="",0,IF(KPI_Config!$C$5="L",IF(Raw_Data!E37&lt;=KPI_Config!$E$5,KPI_Config!$D$5,IF(AND(KPI_Config!$F$5&gt;0,Raw_Data!E37&lt;=KPI_Config!$G$5),KPI_Config!$F$5,0)),IF(Raw_Data!E37&gt;=KPI_Config!$E$5,KPI_Config!$D$5,IF(AND(KPI_Config!$F$5&gt;0,Raw_Data!E37&gt;=KPI_Config!$G$5),KPI_Config!$F$5,0)))))</f>
        <v>0.15</v>
      </c>
      <c r="F37" s="21">
        <f>IF($A37="","",IF(Raw_Data!F37="",0,IF(KPI_Config!$C$6="L",IF(Raw_Data!F37&lt;=KPI_Config!$E$6,KPI_Config!$D$6,IF(AND(KPI_Config!$F$6&gt;0,Raw_Data!F37&lt;=KPI_Config!$G$6),KPI_Config!$F$6,0)),IF(Raw_Data!F37&gt;=KPI_Config!$E$6,KPI_Config!$D$6,IF(AND(KPI_Config!$F$6&gt;0,Raw_Data!F37&gt;=KPI_Config!$G$6),KPI_Config!$F$6,0)))))</f>
        <v>0.15</v>
      </c>
      <c r="G37" s="21">
        <f>IF($A37="","",IF(Raw_Data!G37="",0,IF(KPI_Config!$C$7="L",IF(Raw_Data!G37&lt;=KPI_Config!$E$7,KPI_Config!$D$7,IF(AND(KPI_Config!$F$7&gt;0,Raw_Data!G37&lt;=KPI_Config!$G$7),KPI_Config!$F$7,0)),IF(Raw_Data!G37&gt;=KPI_Config!$E$7,KPI_Config!$D$7,IF(AND(KPI_Config!$F$7&gt;0,Raw_Data!G37&gt;=KPI_Config!$G$7),KPI_Config!$F$7,0)))))</f>
        <v>0</v>
      </c>
      <c r="H37" s="21">
        <f>IF($A37="","",IF(Raw_Data!H37="",0,IF(KPI_Config!$C$8="L",IF(Raw_Data!H37&lt;=KPI_Config!$E$8,KPI_Config!$D$8,IF(AND(KPI_Config!$F$8&gt;0,Raw_Data!H37&lt;=KPI_Config!$G$8),KPI_Config!$F$8,0)),IF(Raw_Data!H37&gt;=KPI_Config!$E$8,KPI_Config!$D$8,IF(AND(KPI_Config!$F$8&gt;0,Raw_Data!H37&gt;=KPI_Config!$G$8),KPI_Config!$F$8,0)))))</f>
        <v>0</v>
      </c>
      <c r="I37" s="21">
        <f>IF($A37="","",IF(Raw_Data!I37="",0,IF(KPI_Config!$C$9="L",IF(Raw_Data!I37&lt;=KPI_Config!$E$9,KPI_Config!$D$9,IF(AND(KPI_Config!$F$9&gt;0,Raw_Data!I37&lt;=KPI_Config!$G$9),KPI_Config!$F$9,0)),IF(Raw_Data!I37&gt;=KPI_Config!$E$9,KPI_Config!$D$9,IF(AND(KPI_Config!$F$9&gt;0,Raw_Data!I37&gt;=KPI_Config!$G$9),KPI_Config!$F$9,0)))))</f>
        <v>0</v>
      </c>
      <c r="J37" s="21">
        <f>IF($A37="","",IF(Raw_Data!J37="",0,IF(KPI_Config!$C$10="L",IF(Raw_Data!J37&lt;=KPI_Config!$E$10,KPI_Config!$D$10,IF(AND(KPI_Config!$F$10&gt;0,Raw_Data!J37&lt;=KPI_Config!$G$10),KPI_Config!$F$10,0)),IF(Raw_Data!J37&gt;=KPI_Config!$E$10,KPI_Config!$D$10,IF(AND(KPI_Config!$F$10&gt;0,Raw_Data!J37&gt;=KPI_Config!$G$10),KPI_Config!$F$10,0)))))</f>
        <v>0.15</v>
      </c>
      <c r="K37" s="21">
        <f>IF($A37="","",IF(Raw_Data!G37="",0,IF(KPI_Config!$C$11="L",IF(Raw_Data!G37&lt;=KPI_Config!$E$11,KPI_Config!$D$11,IF(AND(KPI_Config!$F$11&gt;0,Raw_Data!G37&lt;=KPI_Config!$G$11),KPI_Config!$F$11,0)),IF(Raw_Data!G37&gt;=KPI_Config!$E$11,KPI_Config!$D$11,IF(AND(KPI_Config!$F$11&gt;0,Raw_Data!G37&gt;=KPI_Config!$G$11),KPI_Config!$F$11,0)))))</f>
        <v>0</v>
      </c>
      <c r="L37" s="21">
        <f>IF($A37="","",MIN(Policy_Decisions!$B$10,IF(Policy_Decisions!$B$6="Additive",SUM(E37:K37),SUM(E37:J37)-G37+MAX(G37,K37))))</f>
        <v>0.44999999999999996</v>
      </c>
      <c r="M37" s="21">
        <f>IF($A37="","",Raw_Data!K37)</f>
        <v>0</v>
      </c>
      <c r="N37" s="21">
        <f>IF($A37="","",IFERROR(VLOOKUP(M37,KPI_Config!$I$5:$J$10,2,FALSE()),0))</f>
        <v>0</v>
      </c>
      <c r="O37" s="21">
        <f>IF($A37="","",IF(Policy_Decisions!$B$5="Percentage points",MAX(0,L37-N37),L37*(1-N37)))</f>
        <v>0.44999999999999996</v>
      </c>
      <c r="P37" s="13" t="str">
        <f>IF($A37="","",IF(U37="","Review proration",IF(O37=0,"No payout",IF(N37&gt;0,"Malus applied","Eligible"))))</f>
        <v>Eligible</v>
      </c>
      <c r="Q37" s="13" t="str">
        <f>IF($A37="","",Raw_Data!M37)</f>
        <v>MAD</v>
      </c>
      <c r="R37" s="37">
        <f>IF($A37="","",Raw_Data!N37)</f>
        <v>0</v>
      </c>
      <c r="S37" s="37">
        <f>IF($A37="","",Raw_Data!O37)</f>
        <v>0</v>
      </c>
      <c r="T37" s="37">
        <f>IF($A37="","",IF(Raw_Data!P37&gt;0,Raw_Data!P37,Raw_Data!N37*Raw_Data!O37/IF(Policy_Decisions!$B$7="Annual",12,1)))</f>
        <v>2000</v>
      </c>
      <c r="U37" s="37">
        <f>IF($A37="","",IF(OR(Raw_Data!R37="",Raw_Data!R37&lt;=0),"",MIN(1,MAX(0,Raw_Data!Q37/Raw_Data!R37))))</f>
        <v>1</v>
      </c>
      <c r="V37" s="37">
        <f>IF(OR($A37="",U37=""),"",T37*U37)</f>
        <v>2000</v>
      </c>
      <c r="W37" s="37">
        <f>IF(OR($A37="",V37=""),"",V37*L37)</f>
        <v>899.99999999999989</v>
      </c>
      <c r="X37" s="37">
        <f>IF(OR($A37="",V37=""),"",V37*L37-V37*O37)</f>
        <v>0</v>
      </c>
      <c r="Y37" s="37">
        <f>IF(OR($A37="",V37=""),"",ROUND(V37*O37,IF(Policy_Decisions!$B$11="Whole MAD",0,2)))</f>
        <v>900</v>
      </c>
      <c r="Z37" t="str">
        <f>Raw_Data!T37</f>
        <v>Mohamed-Amine SADKI</v>
      </c>
      <c r="AA37" t="str">
        <f>Raw_Data!U37</f>
        <v>Anas OUAKKAD</v>
      </c>
    </row>
    <row r="38" spans="1:27" ht="14.25" customHeight="1">
      <c r="A38" s="15">
        <f>IF(Raw_Data!A38="","",Raw_Data!A38)</f>
        <v>240747</v>
      </c>
      <c r="B38" s="15" t="str">
        <f>IF(Raw_Data!B38="","",Raw_Data!B38)</f>
        <v>Soufiane ROUH</v>
      </c>
      <c r="C38" s="15" t="str">
        <f>IF(Raw_Data!C38="","",Raw_Data!C38)</f>
        <v>RSA NL</v>
      </c>
      <c r="D38" s="15" t="str">
        <f>IF(Raw_Data!D38="","",Raw_Data!D38)</f>
        <v>2026-07</v>
      </c>
      <c r="E38" s="16">
        <f>IF($A38="","",IF(Raw_Data!E38="",0,IF(KPI_Config!$C$5="L",IF(Raw_Data!E38&lt;=KPI_Config!$E$5,KPI_Config!$D$5,IF(AND(KPI_Config!$F$5&gt;0,Raw_Data!E38&lt;=KPI_Config!$G$5),KPI_Config!$F$5,0)),IF(Raw_Data!E38&gt;=KPI_Config!$E$5,KPI_Config!$D$5,IF(AND(KPI_Config!$F$5&gt;0,Raw_Data!E38&gt;=KPI_Config!$G$5),KPI_Config!$F$5,0)))))</f>
        <v>0</v>
      </c>
      <c r="F38" s="16">
        <f>IF($A38="","",IF(Raw_Data!F38="",0,IF(KPI_Config!$C$6="L",IF(Raw_Data!F38&lt;=KPI_Config!$E$6,KPI_Config!$D$6,IF(AND(KPI_Config!$F$6&gt;0,Raw_Data!F38&lt;=KPI_Config!$G$6),KPI_Config!$F$6,0)),IF(Raw_Data!F38&gt;=KPI_Config!$E$6,KPI_Config!$D$6,IF(AND(KPI_Config!$F$6&gt;0,Raw_Data!F38&gt;=KPI_Config!$G$6),KPI_Config!$F$6,0)))))</f>
        <v>0</v>
      </c>
      <c r="G38" s="16">
        <f>IF($A38="","",IF(Raw_Data!G38="",0,IF(KPI_Config!$C$7="L",IF(Raw_Data!G38&lt;=KPI_Config!$E$7,KPI_Config!$D$7,IF(AND(KPI_Config!$F$7&gt;0,Raw_Data!G38&lt;=KPI_Config!$G$7),KPI_Config!$F$7,0)),IF(Raw_Data!G38&gt;=KPI_Config!$E$7,KPI_Config!$D$7,IF(AND(KPI_Config!$F$7&gt;0,Raw_Data!G38&gt;=KPI_Config!$G$7),KPI_Config!$F$7,0)))))</f>
        <v>0</v>
      </c>
      <c r="H38" s="16">
        <f>IF($A38="","",IF(Raw_Data!H38="",0,IF(KPI_Config!$C$8="L",IF(Raw_Data!H38&lt;=KPI_Config!$E$8,KPI_Config!$D$8,IF(AND(KPI_Config!$F$8&gt;0,Raw_Data!H38&lt;=KPI_Config!$G$8),KPI_Config!$F$8,0)),IF(Raw_Data!H38&gt;=KPI_Config!$E$8,KPI_Config!$D$8,IF(AND(KPI_Config!$F$8&gt;0,Raw_Data!H38&gt;=KPI_Config!$G$8),KPI_Config!$F$8,0)))))</f>
        <v>0</v>
      </c>
      <c r="I38" s="16">
        <f>IF($A38="","",IF(Raw_Data!I38="",0,IF(KPI_Config!$C$9="L",IF(Raw_Data!I38&lt;=KPI_Config!$E$9,KPI_Config!$D$9,IF(AND(KPI_Config!$F$9&gt;0,Raw_Data!I38&lt;=KPI_Config!$G$9),KPI_Config!$F$9,0)),IF(Raw_Data!I38&gt;=KPI_Config!$E$9,KPI_Config!$D$9,IF(AND(KPI_Config!$F$9&gt;0,Raw_Data!I38&gt;=KPI_Config!$G$9),KPI_Config!$F$9,0)))))</f>
        <v>0</v>
      </c>
      <c r="J38" s="16">
        <f>IF($A38="","",IF(Raw_Data!J38="",0,IF(KPI_Config!$C$10="L",IF(Raw_Data!J38&lt;=KPI_Config!$E$10,KPI_Config!$D$10,IF(AND(KPI_Config!$F$10&gt;0,Raw_Data!J38&lt;=KPI_Config!$G$10),KPI_Config!$F$10,0)),IF(Raw_Data!J38&gt;=KPI_Config!$E$10,KPI_Config!$D$10,IF(AND(KPI_Config!$F$10&gt;0,Raw_Data!J38&gt;=KPI_Config!$G$10),KPI_Config!$F$10,0)))))</f>
        <v>0</v>
      </c>
      <c r="K38" s="16">
        <f>IF($A38="","",IF(Raw_Data!G38="",0,IF(KPI_Config!$C$11="L",IF(Raw_Data!G38&lt;=KPI_Config!$E$11,KPI_Config!$D$11,IF(AND(KPI_Config!$F$11&gt;0,Raw_Data!G38&lt;=KPI_Config!$G$11),KPI_Config!$F$11,0)),IF(Raw_Data!G38&gt;=KPI_Config!$E$11,KPI_Config!$D$11,IF(AND(KPI_Config!$F$11&gt;0,Raw_Data!G38&gt;=KPI_Config!$G$11),KPI_Config!$F$11,0)))))</f>
        <v>0</v>
      </c>
      <c r="L38" s="16">
        <f>IF($A38="","",MIN(Policy_Decisions!$B$10,IF(Policy_Decisions!$B$6="Additive",SUM(E38:K38),SUM(E38:J38)-G38+MAX(G38,K38))))</f>
        <v>0</v>
      </c>
      <c r="M38" s="16">
        <f>IF($A38="","",Raw_Data!K38)</f>
        <v>0</v>
      </c>
      <c r="N38" s="16">
        <f>IF($A38="","",IFERROR(VLOOKUP(M38,KPI_Config!$I$5:$J$10,2,FALSE()),0))</f>
        <v>0</v>
      </c>
      <c r="O38" s="16">
        <f>IF($A38="","",IF(Policy_Decisions!$B$5="Percentage points",MAX(0,L38-N38),L38*(1-N38)))</f>
        <v>0</v>
      </c>
      <c r="P38" s="15" t="str">
        <f>IF($A38="","",IF(U38="","Review proration",IF(O38=0,"No payout",IF(N38&gt;0,"Malus applied","Eligible"))))</f>
        <v>No payout</v>
      </c>
      <c r="Q38" s="15" t="str">
        <f>IF($A38="","",Raw_Data!M38)</f>
        <v>MAD</v>
      </c>
      <c r="R38" s="38">
        <f>IF($A38="","",Raw_Data!N38)</f>
        <v>0</v>
      </c>
      <c r="S38" s="38">
        <f>IF($A38="","",Raw_Data!O38)</f>
        <v>0</v>
      </c>
      <c r="T38" s="38">
        <f>IF($A38="","",IF(Raw_Data!P38&gt;0,Raw_Data!P38,Raw_Data!N38*Raw_Data!O38/IF(Policy_Decisions!$B$7="Annual",12,1)))</f>
        <v>2000</v>
      </c>
      <c r="U38" s="38">
        <f>IF($A38="","",IF(OR(Raw_Data!R38="",Raw_Data!R38&lt;=0),"",MIN(1,MAX(0,Raw_Data!Q38/Raw_Data!R38))))</f>
        <v>1</v>
      </c>
      <c r="V38" s="38">
        <f>IF(OR($A38="",U38=""),"",T38*U38)</f>
        <v>2000</v>
      </c>
      <c r="W38" s="38">
        <f>IF(OR($A38="",V38=""),"",V38*L38)</f>
        <v>0</v>
      </c>
      <c r="X38" s="38">
        <f>IF(OR($A38="",V38=""),"",V38*L38-V38*O38)</f>
        <v>0</v>
      </c>
      <c r="Y38" s="38">
        <f>IF(OR($A38="",V38=""),"",ROUND(V38*O38,IF(Policy_Decisions!$B$11="Whole MAD",0,2)))</f>
        <v>0</v>
      </c>
      <c r="Z38" t="str">
        <f>Raw_Data!T38</f>
        <v>EL GHAZI Youssef</v>
      </c>
      <c r="AA38" t="str">
        <f>Raw_Data!U38</f>
        <v>Anas OUAKKAD</v>
      </c>
    </row>
    <row r="39" spans="1:27" ht="14.25" customHeight="1">
      <c r="A39" s="13">
        <f>IF(Raw_Data!A39="","",Raw_Data!A39)</f>
        <v>221751</v>
      </c>
      <c r="B39" s="13" t="str">
        <f>IF(Raw_Data!B39="","",Raw_Data!B39)</f>
        <v>Shaib Hashemi</v>
      </c>
      <c r="C39" s="13" t="str">
        <f>IF(Raw_Data!C39="","",Raw_Data!C39)</f>
        <v>RSA NL</v>
      </c>
      <c r="D39" s="13" t="str">
        <f>IF(Raw_Data!D39="","",Raw_Data!D39)</f>
        <v>2026-07</v>
      </c>
      <c r="E39" s="21">
        <f>IF($A39="","",IF(Raw_Data!E39="",0,IF(KPI_Config!$C$5="L",IF(Raw_Data!E39&lt;=KPI_Config!$E$5,KPI_Config!$D$5,IF(AND(KPI_Config!$F$5&gt;0,Raw_Data!E39&lt;=KPI_Config!$G$5),KPI_Config!$F$5,0)),IF(Raw_Data!E39&gt;=KPI_Config!$E$5,KPI_Config!$D$5,IF(AND(KPI_Config!$F$5&gt;0,Raw_Data!E39&gt;=KPI_Config!$G$5),KPI_Config!$F$5,0)))))</f>
        <v>0.15</v>
      </c>
      <c r="F39" s="21">
        <f>IF($A39="","",IF(Raw_Data!F39="",0,IF(KPI_Config!$C$6="L",IF(Raw_Data!F39&lt;=KPI_Config!$E$6,KPI_Config!$D$6,IF(AND(KPI_Config!$F$6&gt;0,Raw_Data!F39&lt;=KPI_Config!$G$6),KPI_Config!$F$6,0)),IF(Raw_Data!F39&gt;=KPI_Config!$E$6,KPI_Config!$D$6,IF(AND(KPI_Config!$F$6&gt;0,Raw_Data!F39&gt;=KPI_Config!$G$6),KPI_Config!$F$6,0)))))</f>
        <v>0.15</v>
      </c>
      <c r="G39" s="21">
        <f>IF($A39="","",IF(Raw_Data!G39="",0,IF(KPI_Config!$C$7="L",IF(Raw_Data!G39&lt;=KPI_Config!$E$7,KPI_Config!$D$7,IF(AND(KPI_Config!$F$7&gt;0,Raw_Data!G39&lt;=KPI_Config!$G$7),KPI_Config!$F$7,0)),IF(Raw_Data!G39&gt;=KPI_Config!$E$7,KPI_Config!$D$7,IF(AND(KPI_Config!$F$7&gt;0,Raw_Data!G39&gt;=KPI_Config!$G$7),KPI_Config!$F$7,0)))))</f>
        <v>0</v>
      </c>
      <c r="H39" s="21">
        <f>IF($A39="","",IF(Raw_Data!H39="",0,IF(KPI_Config!$C$8="L",IF(Raw_Data!H39&lt;=KPI_Config!$E$8,KPI_Config!$D$8,IF(AND(KPI_Config!$F$8&gt;0,Raw_Data!H39&lt;=KPI_Config!$G$8),KPI_Config!$F$8,0)),IF(Raw_Data!H39&gt;=KPI_Config!$E$8,KPI_Config!$D$8,IF(AND(KPI_Config!$F$8&gt;0,Raw_Data!H39&gt;=KPI_Config!$G$8),KPI_Config!$F$8,0)))))</f>
        <v>0</v>
      </c>
      <c r="I39" s="21">
        <f>IF($A39="","",IF(Raw_Data!I39="",0,IF(KPI_Config!$C$9="L",IF(Raw_Data!I39&lt;=KPI_Config!$E$9,KPI_Config!$D$9,IF(AND(KPI_Config!$F$9&gt;0,Raw_Data!I39&lt;=KPI_Config!$G$9),KPI_Config!$F$9,0)),IF(Raw_Data!I39&gt;=KPI_Config!$E$9,KPI_Config!$D$9,IF(AND(KPI_Config!$F$9&gt;0,Raw_Data!I39&gt;=KPI_Config!$G$9),KPI_Config!$F$9,0)))))</f>
        <v>0</v>
      </c>
      <c r="J39" s="21">
        <f>IF($A39="","",IF(Raw_Data!J39="",0,IF(KPI_Config!$C$10="L",IF(Raw_Data!J39&lt;=KPI_Config!$E$10,KPI_Config!$D$10,IF(AND(KPI_Config!$F$10&gt;0,Raw_Data!J39&lt;=KPI_Config!$G$10),KPI_Config!$F$10,0)),IF(Raw_Data!J39&gt;=KPI_Config!$E$10,KPI_Config!$D$10,IF(AND(KPI_Config!$F$10&gt;0,Raw_Data!J39&gt;=KPI_Config!$G$10),KPI_Config!$F$10,0)))))</f>
        <v>0</v>
      </c>
      <c r="K39" s="21">
        <f>IF($A39="","",IF(Raw_Data!G39="",0,IF(KPI_Config!$C$11="L",IF(Raw_Data!G39&lt;=KPI_Config!$E$11,KPI_Config!$D$11,IF(AND(KPI_Config!$F$11&gt;0,Raw_Data!G39&lt;=KPI_Config!$G$11),KPI_Config!$F$11,0)),IF(Raw_Data!G39&gt;=KPI_Config!$E$11,KPI_Config!$D$11,IF(AND(KPI_Config!$F$11&gt;0,Raw_Data!G39&gt;=KPI_Config!$G$11),KPI_Config!$F$11,0)))))</f>
        <v>0</v>
      </c>
      <c r="L39" s="21">
        <f>IF($A39="","",MIN(Policy_Decisions!$B$10,IF(Policy_Decisions!$B$6="Additive",SUM(E39:K39),SUM(E39:J39)-G39+MAX(G39,K39))))</f>
        <v>0.3</v>
      </c>
      <c r="M39" s="21">
        <f>IF($A39="","",Raw_Data!K39)</f>
        <v>0</v>
      </c>
      <c r="N39" s="21">
        <f>IF($A39="","",IFERROR(VLOOKUP(M39,KPI_Config!$I$5:$J$10,2,FALSE()),0))</f>
        <v>0</v>
      </c>
      <c r="O39" s="21">
        <f>IF($A39="","",IF(Policy_Decisions!$B$5="Percentage points",MAX(0,L39-N39),L39*(1-N39)))</f>
        <v>0.3</v>
      </c>
      <c r="P39" s="13" t="str">
        <f>IF($A39="","",IF(U39="","Review proration",IF(O39=0,"No payout",IF(N39&gt;0,"Malus applied","Eligible"))))</f>
        <v>Eligible</v>
      </c>
      <c r="Q39" s="13" t="str">
        <f>IF($A39="","",Raw_Data!M39)</f>
        <v>MAD</v>
      </c>
      <c r="R39" s="37">
        <f>IF($A39="","",Raw_Data!N39)</f>
        <v>0</v>
      </c>
      <c r="S39" s="37">
        <f>IF($A39="","",Raw_Data!O39)</f>
        <v>0</v>
      </c>
      <c r="T39" s="37">
        <f>IF($A39="","",IF(Raw_Data!P39&gt;0,Raw_Data!P39,Raw_Data!N39*Raw_Data!O39/IF(Policy_Decisions!$B$7="Annual",12,1)))</f>
        <v>2000</v>
      </c>
      <c r="U39" s="37">
        <f>IF($A39="","",IF(OR(Raw_Data!R39="",Raw_Data!R39&lt;=0),"",MIN(1,MAX(0,Raw_Data!Q39/Raw_Data!R39))))</f>
        <v>1</v>
      </c>
      <c r="V39" s="37">
        <f>IF(OR($A39="",U39=""),"",T39*U39)</f>
        <v>2000</v>
      </c>
      <c r="W39" s="37">
        <f>IF(OR($A39="",V39=""),"",V39*L39)</f>
        <v>600</v>
      </c>
      <c r="X39" s="37">
        <f>IF(OR($A39="",V39=""),"",V39*L39-V39*O39)</f>
        <v>0</v>
      </c>
      <c r="Y39" s="37">
        <f>IF(OR($A39="",V39=""),"",ROUND(V39*O39,IF(Policy_Decisions!$B$11="Whole MAD",0,2)))</f>
        <v>600</v>
      </c>
      <c r="Z39" t="str">
        <f>Raw_Data!T39</f>
        <v>JEANNE NKIKIO RWIBUTSO</v>
      </c>
      <c r="AA39" t="str">
        <f>Raw_Data!U39</f>
        <v>Anas OUAKKAD</v>
      </c>
    </row>
    <row r="40" spans="1:27" ht="14.25" customHeight="1">
      <c r="A40" s="15">
        <f>IF(Raw_Data!A40="","",Raw_Data!A40)</f>
        <v>232190</v>
      </c>
      <c r="B40" s="15" t="str">
        <f>IF(Raw_Data!B40="","",Raw_Data!B40)</f>
        <v>SCOTT BAHRU DE COENE</v>
      </c>
      <c r="C40" s="15" t="str">
        <f>IF(Raw_Data!C40="","",Raw_Data!C40)</f>
        <v>RSA VL</v>
      </c>
      <c r="D40" s="15" t="str">
        <f>IF(Raw_Data!D40="","",Raw_Data!D40)</f>
        <v>2026-07</v>
      </c>
      <c r="E40" s="16">
        <f>IF($A40="","",IF(Raw_Data!E40="",0,IF(KPI_Config!$C$5="L",IF(Raw_Data!E40&lt;=KPI_Config!$E$5,KPI_Config!$D$5,IF(AND(KPI_Config!$F$5&gt;0,Raw_Data!E40&lt;=KPI_Config!$G$5),KPI_Config!$F$5,0)),IF(Raw_Data!E40&gt;=KPI_Config!$E$5,KPI_Config!$D$5,IF(AND(KPI_Config!$F$5&gt;0,Raw_Data!E40&gt;=KPI_Config!$G$5),KPI_Config!$F$5,0)))))</f>
        <v>0</v>
      </c>
      <c r="F40" s="16">
        <f>IF($A40="","",IF(Raw_Data!F40="",0,IF(KPI_Config!$C$6="L",IF(Raw_Data!F40&lt;=KPI_Config!$E$6,KPI_Config!$D$6,IF(AND(KPI_Config!$F$6&gt;0,Raw_Data!F40&lt;=KPI_Config!$G$6),KPI_Config!$F$6,0)),IF(Raw_Data!F40&gt;=KPI_Config!$E$6,KPI_Config!$D$6,IF(AND(KPI_Config!$F$6&gt;0,Raw_Data!F40&gt;=KPI_Config!$G$6),KPI_Config!$F$6,0)))))</f>
        <v>0</v>
      </c>
      <c r="G40" s="16">
        <f>IF($A40="","",IF(Raw_Data!G40="",0,IF(KPI_Config!$C$7="L",IF(Raw_Data!G40&lt;=KPI_Config!$E$7,KPI_Config!$D$7,IF(AND(KPI_Config!$F$7&gt;0,Raw_Data!G40&lt;=KPI_Config!$G$7),KPI_Config!$F$7,0)),IF(Raw_Data!G40&gt;=KPI_Config!$E$7,KPI_Config!$D$7,IF(AND(KPI_Config!$F$7&gt;0,Raw_Data!G40&gt;=KPI_Config!$G$7),KPI_Config!$F$7,0)))))</f>
        <v>0</v>
      </c>
      <c r="H40" s="16">
        <f>IF($A40="","",IF(Raw_Data!H40="",0,IF(KPI_Config!$C$8="L",IF(Raw_Data!H40&lt;=KPI_Config!$E$8,KPI_Config!$D$8,IF(AND(KPI_Config!$F$8&gt;0,Raw_Data!H40&lt;=KPI_Config!$G$8),KPI_Config!$F$8,0)),IF(Raw_Data!H40&gt;=KPI_Config!$E$8,KPI_Config!$D$8,IF(AND(KPI_Config!$F$8&gt;0,Raw_Data!H40&gt;=KPI_Config!$G$8),KPI_Config!$F$8,0)))))</f>
        <v>0</v>
      </c>
      <c r="I40" s="16">
        <f>IF($A40="","",IF(Raw_Data!I40="",0,IF(KPI_Config!$C$9="L",IF(Raw_Data!I40&lt;=KPI_Config!$E$9,KPI_Config!$D$9,IF(AND(KPI_Config!$F$9&gt;0,Raw_Data!I40&lt;=KPI_Config!$G$9),KPI_Config!$F$9,0)),IF(Raw_Data!I40&gt;=KPI_Config!$E$9,KPI_Config!$D$9,IF(AND(KPI_Config!$F$9&gt;0,Raw_Data!I40&gt;=KPI_Config!$G$9),KPI_Config!$F$9,0)))))</f>
        <v>0</v>
      </c>
      <c r="J40" s="16">
        <f>IF($A40="","",IF(Raw_Data!J40="",0,IF(KPI_Config!$C$10="L",IF(Raw_Data!J40&lt;=KPI_Config!$E$10,KPI_Config!$D$10,IF(AND(KPI_Config!$F$10&gt;0,Raw_Data!J40&lt;=KPI_Config!$G$10),KPI_Config!$F$10,0)),IF(Raw_Data!J40&gt;=KPI_Config!$E$10,KPI_Config!$D$10,IF(AND(KPI_Config!$F$10&gt;0,Raw_Data!J40&gt;=KPI_Config!$G$10),KPI_Config!$F$10,0)))))</f>
        <v>0.15</v>
      </c>
      <c r="K40" s="16">
        <f>IF($A40="","",IF(Raw_Data!G40="",0,IF(KPI_Config!$C$11="L",IF(Raw_Data!G40&lt;=KPI_Config!$E$11,KPI_Config!$D$11,IF(AND(KPI_Config!$F$11&gt;0,Raw_Data!G40&lt;=KPI_Config!$G$11),KPI_Config!$F$11,0)),IF(Raw_Data!G40&gt;=KPI_Config!$E$11,KPI_Config!$D$11,IF(AND(KPI_Config!$F$11&gt;0,Raw_Data!G40&gt;=KPI_Config!$G$11),KPI_Config!$F$11,0)))))</f>
        <v>0</v>
      </c>
      <c r="L40" s="16">
        <f>IF($A40="","",MIN(Policy_Decisions!$B$10,IF(Policy_Decisions!$B$6="Additive",SUM(E40:K40),SUM(E40:J40)-G40+MAX(G40,K40))))</f>
        <v>0.15</v>
      </c>
      <c r="M40" s="16">
        <f>IF($A40="","",Raw_Data!K40)</f>
        <v>0</v>
      </c>
      <c r="N40" s="16">
        <f>IF($A40="","",IFERROR(VLOOKUP(M40,KPI_Config!$I$5:$J$10,2,FALSE()),0))</f>
        <v>0</v>
      </c>
      <c r="O40" s="16">
        <f>IF($A40="","",IF(Policy_Decisions!$B$5="Percentage points",MAX(0,L40-N40),L40*(1-N40)))</f>
        <v>0.15</v>
      </c>
      <c r="P40" s="15" t="str">
        <f>IF($A40="","",IF(U40="","Review proration",IF(O40=0,"No payout",IF(N40&gt;0,"Malus applied","Eligible"))))</f>
        <v>Eligible</v>
      </c>
      <c r="Q40" s="15" t="str">
        <f>IF($A40="","",Raw_Data!M40)</f>
        <v>MAD</v>
      </c>
      <c r="R40" s="38">
        <f>IF($A40="","",Raw_Data!N40)</f>
        <v>0</v>
      </c>
      <c r="S40" s="38">
        <f>IF($A40="","",Raw_Data!O40)</f>
        <v>0</v>
      </c>
      <c r="T40" s="38">
        <f>IF($A40="","",IF(Raw_Data!P40&gt;0,Raw_Data!P40,Raw_Data!N40*Raw_Data!O40/IF(Policy_Decisions!$B$7="Annual",12,1)))</f>
        <v>2000</v>
      </c>
      <c r="U40" s="38">
        <f>IF($A40="","",IF(OR(Raw_Data!R40="",Raw_Data!R40&lt;=0),"",MIN(1,MAX(0,Raw_Data!Q40/Raw_Data!R40))))</f>
        <v>1</v>
      </c>
      <c r="V40" s="38">
        <f>IF(OR($A40="",U40=""),"",T40*U40)</f>
        <v>2000</v>
      </c>
      <c r="W40" s="38">
        <f>IF(OR($A40="",V40=""),"",V40*L40)</f>
        <v>300</v>
      </c>
      <c r="X40" s="38">
        <f>IF(OR($A40="",V40=""),"",V40*L40-V40*O40)</f>
        <v>0</v>
      </c>
      <c r="Y40" s="38">
        <f>IF(OR($A40="",V40=""),"",ROUND(V40*O40,IF(Policy_Decisions!$B$11="Whole MAD",0,2)))</f>
        <v>300</v>
      </c>
      <c r="Z40" t="str">
        <f>Raw_Data!T40</f>
        <v>Glenn Antoon</v>
      </c>
      <c r="AA40" t="str">
        <f>Raw_Data!U40</f>
        <v>Anas OUAKKAD</v>
      </c>
    </row>
    <row r="41" spans="1:27" ht="14.25" customHeight="1">
      <c r="A41" s="13">
        <f>IF(Raw_Data!A41="","",Raw_Data!A41)</f>
        <v>204045</v>
      </c>
      <c r="B41" s="13" t="str">
        <f>IF(Raw_Data!B41="","",Raw_Data!B41)</f>
        <v>Ait El Bashir Salah Eddine</v>
      </c>
      <c r="C41" s="13" t="str">
        <f>IF(Raw_Data!C41="","",Raw_Data!C41)</f>
        <v>Ford Dutch</v>
      </c>
      <c r="D41" s="13" t="str">
        <f>IF(Raw_Data!D41="","",Raw_Data!D41)</f>
        <v>2026-07</v>
      </c>
      <c r="E41" s="21">
        <f>IF($A41="","",IF(Raw_Data!E41="",0,IF(KPI_Config!$C$5="L",IF(Raw_Data!E41&lt;=KPI_Config!$E$5,KPI_Config!$D$5,IF(AND(KPI_Config!$F$5&gt;0,Raw_Data!E41&lt;=KPI_Config!$G$5),KPI_Config!$F$5,0)),IF(Raw_Data!E41&gt;=KPI_Config!$E$5,KPI_Config!$D$5,IF(AND(KPI_Config!$F$5&gt;0,Raw_Data!E41&gt;=KPI_Config!$G$5),KPI_Config!$F$5,0)))))</f>
        <v>0.15</v>
      </c>
      <c r="F41" s="21">
        <f>IF($A41="","",IF(Raw_Data!F41="",0,IF(KPI_Config!$C$6="L",IF(Raw_Data!F41&lt;=KPI_Config!$E$6,KPI_Config!$D$6,IF(AND(KPI_Config!$F$6&gt;0,Raw_Data!F41&lt;=KPI_Config!$G$6),KPI_Config!$F$6,0)),IF(Raw_Data!F41&gt;=KPI_Config!$E$6,KPI_Config!$D$6,IF(AND(KPI_Config!$F$6&gt;0,Raw_Data!F41&gt;=KPI_Config!$G$6),KPI_Config!$F$6,0)))))</f>
        <v>0.15</v>
      </c>
      <c r="G41" s="21">
        <f>IF($A41="","",IF(Raw_Data!G41="",0,IF(KPI_Config!$C$7="L",IF(Raw_Data!G41&lt;=KPI_Config!$E$7,KPI_Config!$D$7,IF(AND(KPI_Config!$F$7&gt;0,Raw_Data!G41&lt;=KPI_Config!$G$7),KPI_Config!$F$7,0)),IF(Raw_Data!G41&gt;=KPI_Config!$E$7,KPI_Config!$D$7,IF(AND(KPI_Config!$F$7&gt;0,Raw_Data!G41&gt;=KPI_Config!$G$7),KPI_Config!$F$7,0)))))</f>
        <v>0.15</v>
      </c>
      <c r="H41" s="21">
        <f>IF($A41="","",IF(Raw_Data!H41="",0,IF(KPI_Config!$C$8="L",IF(Raw_Data!H41&lt;=KPI_Config!$E$8,KPI_Config!$D$8,IF(AND(KPI_Config!$F$8&gt;0,Raw_Data!H41&lt;=KPI_Config!$G$8),KPI_Config!$F$8,0)),IF(Raw_Data!H41&gt;=KPI_Config!$E$8,KPI_Config!$D$8,IF(AND(KPI_Config!$F$8&gt;0,Raw_Data!H41&gt;=KPI_Config!$G$8),KPI_Config!$F$8,0)))))</f>
        <v>0</v>
      </c>
      <c r="I41" s="21">
        <f>IF($A41="","",IF(Raw_Data!I41="",0,IF(KPI_Config!$C$9="L",IF(Raw_Data!I41&lt;=KPI_Config!$E$9,KPI_Config!$D$9,IF(AND(KPI_Config!$F$9&gt;0,Raw_Data!I41&lt;=KPI_Config!$G$9),KPI_Config!$F$9,0)),IF(Raw_Data!I41&gt;=KPI_Config!$E$9,KPI_Config!$D$9,IF(AND(KPI_Config!$F$9&gt;0,Raw_Data!I41&gt;=KPI_Config!$G$9),KPI_Config!$F$9,0)))))</f>
        <v>0</v>
      </c>
      <c r="J41" s="21">
        <f>IF($A41="","",IF(Raw_Data!J41="",0,IF(KPI_Config!$C$10="L",IF(Raw_Data!J41&lt;=KPI_Config!$E$10,KPI_Config!$D$10,IF(AND(KPI_Config!$F$10&gt;0,Raw_Data!J41&lt;=KPI_Config!$G$10),KPI_Config!$F$10,0)),IF(Raw_Data!J41&gt;=KPI_Config!$E$10,KPI_Config!$D$10,IF(AND(KPI_Config!$F$10&gt;0,Raw_Data!J41&gt;=KPI_Config!$G$10),KPI_Config!$F$10,0)))))</f>
        <v>0.15</v>
      </c>
      <c r="K41" s="21">
        <f>IF($A41="","",IF(Raw_Data!G41="",0,IF(KPI_Config!$C$11="L",IF(Raw_Data!G41&lt;=KPI_Config!$E$11,KPI_Config!$D$11,IF(AND(KPI_Config!$F$11&gt;0,Raw_Data!G41&lt;=KPI_Config!$G$11),KPI_Config!$F$11,0)),IF(Raw_Data!G41&gt;=KPI_Config!$E$11,KPI_Config!$D$11,IF(AND(KPI_Config!$F$11&gt;0,Raw_Data!G41&gt;=KPI_Config!$G$11),KPI_Config!$F$11,0)))))</f>
        <v>0</v>
      </c>
      <c r="L41" s="21">
        <f>IF($A41="","",MIN(Policy_Decisions!$B$10,IF(Policy_Decisions!$B$6="Additive",SUM(E41:K41),SUM(E41:J41)-G41+MAX(G41,K41))))</f>
        <v>0.6</v>
      </c>
      <c r="M41" s="21">
        <f>IF($A41="","",Raw_Data!K41)</f>
        <v>0</v>
      </c>
      <c r="N41" s="21">
        <f>IF($A41="","",IFERROR(VLOOKUP(M41,KPI_Config!$I$5:$J$10,2,FALSE()),0))</f>
        <v>0</v>
      </c>
      <c r="O41" s="21">
        <f>IF($A41="","",IF(Policy_Decisions!$B$5="Percentage points",MAX(0,L41-N41),L41*(1-N41)))</f>
        <v>0.6</v>
      </c>
      <c r="P41" s="13" t="str">
        <f>IF($A41="","",IF(U41="","Review proration",IF(O41=0,"No payout",IF(N41&gt;0,"Malus applied","Eligible"))))</f>
        <v>Eligible</v>
      </c>
      <c r="Q41" s="13" t="str">
        <f>IF($A41="","",Raw_Data!M41)</f>
        <v>MAD</v>
      </c>
      <c r="R41" s="37">
        <f>IF($A41="","",Raw_Data!N41)</f>
        <v>0</v>
      </c>
      <c r="S41" s="37">
        <f>IF($A41="","",Raw_Data!O41)</f>
        <v>0</v>
      </c>
      <c r="T41" s="37">
        <f>IF($A41="","",IF(Raw_Data!P41&gt;0,Raw_Data!P41,Raw_Data!N41*Raw_Data!O41/IF(Policy_Decisions!$B$7="Annual",12,1)))</f>
        <v>2000</v>
      </c>
      <c r="U41" s="37">
        <f>IF($A41="","",IF(OR(Raw_Data!R41="",Raw_Data!R41&lt;=0),"",MIN(1,MAX(0,Raw_Data!Q41/Raw_Data!R41))))</f>
        <v>1</v>
      </c>
      <c r="V41" s="37">
        <f>IF(OR($A41="",U41=""),"",T41*U41)</f>
        <v>2000</v>
      </c>
      <c r="W41" s="37">
        <f>IF(OR($A41="",V41=""),"",V41*L41)</f>
        <v>1200</v>
      </c>
      <c r="X41" s="37">
        <f>IF(OR($A41="",V41=""),"",V41*L41-V41*O41)</f>
        <v>0</v>
      </c>
      <c r="Y41" s="37">
        <f>IF(OR($A41="",V41=""),"",ROUND(V41*O41,IF(Policy_Decisions!$B$11="Whole MAD",0,2)))</f>
        <v>1200</v>
      </c>
      <c r="Z41" t="str">
        <f>Raw_Data!T41</f>
        <v>DERRAZI Ilyasse</v>
      </c>
      <c r="AA41" t="str">
        <f>Raw_Data!U41</f>
        <v>Anas OUAKKAD</v>
      </c>
    </row>
    <row r="42" spans="1:27" ht="14.25" customHeight="1">
      <c r="A42" s="15">
        <f>IF(Raw_Data!A42="","",Raw_Data!A42)</f>
        <v>96457</v>
      </c>
      <c r="B42" s="15" t="str">
        <f>IF(Raw_Data!B42="","",Raw_Data!B42)</f>
        <v>SAMAR Said</v>
      </c>
      <c r="C42" s="15" t="str">
        <f>IF(Raw_Data!C42="","",Raw_Data!C42)</f>
        <v>RSA NL</v>
      </c>
      <c r="D42" s="15" t="str">
        <f>IF(Raw_Data!D42="","",Raw_Data!D42)</f>
        <v>2026-07</v>
      </c>
      <c r="E42" s="16">
        <f>IF($A42="","",IF(Raw_Data!E42="",0,IF(KPI_Config!$C$5="L",IF(Raw_Data!E42&lt;=KPI_Config!$E$5,KPI_Config!$D$5,IF(AND(KPI_Config!$F$5&gt;0,Raw_Data!E42&lt;=KPI_Config!$G$5),KPI_Config!$F$5,0)),IF(Raw_Data!E42&gt;=KPI_Config!$E$5,KPI_Config!$D$5,IF(AND(KPI_Config!$F$5&gt;0,Raw_Data!E42&gt;=KPI_Config!$G$5),KPI_Config!$F$5,0)))))</f>
        <v>0.15</v>
      </c>
      <c r="F42" s="16">
        <f>IF($A42="","",IF(Raw_Data!F42="",0,IF(KPI_Config!$C$6="L",IF(Raw_Data!F42&lt;=KPI_Config!$E$6,KPI_Config!$D$6,IF(AND(KPI_Config!$F$6&gt;0,Raw_Data!F42&lt;=KPI_Config!$G$6),KPI_Config!$F$6,0)),IF(Raw_Data!F42&gt;=KPI_Config!$E$6,KPI_Config!$D$6,IF(AND(KPI_Config!$F$6&gt;0,Raw_Data!F42&gt;=KPI_Config!$G$6),KPI_Config!$F$6,0)))))</f>
        <v>0.15</v>
      </c>
      <c r="G42" s="16">
        <f>IF($A42="","",IF(Raw_Data!G42="",0,IF(KPI_Config!$C$7="L",IF(Raw_Data!G42&lt;=KPI_Config!$E$7,KPI_Config!$D$7,IF(AND(KPI_Config!$F$7&gt;0,Raw_Data!G42&lt;=KPI_Config!$G$7),KPI_Config!$F$7,0)),IF(Raw_Data!G42&gt;=KPI_Config!$E$7,KPI_Config!$D$7,IF(AND(KPI_Config!$F$7&gt;0,Raw_Data!G42&gt;=KPI_Config!$G$7),KPI_Config!$F$7,0)))))</f>
        <v>0</v>
      </c>
      <c r="H42" s="16">
        <f>IF($A42="","",IF(Raw_Data!H42="",0,IF(KPI_Config!$C$8="L",IF(Raw_Data!H42&lt;=KPI_Config!$E$8,KPI_Config!$D$8,IF(AND(KPI_Config!$F$8&gt;0,Raw_Data!H42&lt;=KPI_Config!$G$8),KPI_Config!$F$8,0)),IF(Raw_Data!H42&gt;=KPI_Config!$E$8,KPI_Config!$D$8,IF(AND(KPI_Config!$F$8&gt;0,Raw_Data!H42&gt;=KPI_Config!$G$8),KPI_Config!$F$8,0)))))</f>
        <v>0</v>
      </c>
      <c r="I42" s="16">
        <f>IF($A42="","",IF(Raw_Data!I42="",0,IF(KPI_Config!$C$9="L",IF(Raw_Data!I42&lt;=KPI_Config!$E$9,KPI_Config!$D$9,IF(AND(KPI_Config!$F$9&gt;0,Raw_Data!I42&lt;=KPI_Config!$G$9),KPI_Config!$F$9,0)),IF(Raw_Data!I42&gt;=KPI_Config!$E$9,KPI_Config!$D$9,IF(AND(KPI_Config!$F$9&gt;0,Raw_Data!I42&gt;=KPI_Config!$G$9),KPI_Config!$F$9,0)))))</f>
        <v>0</v>
      </c>
      <c r="J42" s="16">
        <f>IF($A42="","",IF(Raw_Data!J42="",0,IF(KPI_Config!$C$10="L",IF(Raw_Data!J42&lt;=KPI_Config!$E$10,KPI_Config!$D$10,IF(AND(KPI_Config!$F$10&gt;0,Raw_Data!J42&lt;=KPI_Config!$G$10),KPI_Config!$F$10,0)),IF(Raw_Data!J42&gt;=KPI_Config!$E$10,KPI_Config!$D$10,IF(AND(KPI_Config!$F$10&gt;0,Raw_Data!J42&gt;=KPI_Config!$G$10),KPI_Config!$F$10,0)))))</f>
        <v>0</v>
      </c>
      <c r="K42" s="16">
        <f>IF($A42="","",IF(Raw_Data!G42="",0,IF(KPI_Config!$C$11="L",IF(Raw_Data!G42&lt;=KPI_Config!$E$11,KPI_Config!$D$11,IF(AND(KPI_Config!$F$11&gt;0,Raw_Data!G42&lt;=KPI_Config!$G$11),KPI_Config!$F$11,0)),IF(Raw_Data!G42&gt;=KPI_Config!$E$11,KPI_Config!$D$11,IF(AND(KPI_Config!$F$11&gt;0,Raw_Data!G42&gt;=KPI_Config!$G$11),KPI_Config!$F$11,0)))))</f>
        <v>0</v>
      </c>
      <c r="L42" s="16">
        <f>IF($A42="","",MIN(Policy_Decisions!$B$10,IF(Policy_Decisions!$B$6="Additive",SUM(E42:K42),SUM(E42:J42)-G42+MAX(G42,K42))))</f>
        <v>0.3</v>
      </c>
      <c r="M42" s="16">
        <f>IF($A42="","",Raw_Data!K42)</f>
        <v>0</v>
      </c>
      <c r="N42" s="16">
        <f>IF($A42="","",IFERROR(VLOOKUP(M42,KPI_Config!$I$5:$J$10,2,FALSE()),0))</f>
        <v>0</v>
      </c>
      <c r="O42" s="16">
        <f>IF($A42="","",IF(Policy_Decisions!$B$5="Percentage points",MAX(0,L42-N42),L42*(1-N42)))</f>
        <v>0.3</v>
      </c>
      <c r="P42" s="15" t="str">
        <f>IF($A42="","",IF(U42="","Review proration",IF(O42=0,"No payout",IF(N42&gt;0,"Malus applied","Eligible"))))</f>
        <v>Eligible</v>
      </c>
      <c r="Q42" s="15" t="str">
        <f>IF($A42="","",Raw_Data!M42)</f>
        <v>MAD</v>
      </c>
      <c r="R42" s="38">
        <f>IF($A42="","",Raw_Data!N42)</f>
        <v>0</v>
      </c>
      <c r="S42" s="38">
        <f>IF($A42="","",Raw_Data!O42)</f>
        <v>0</v>
      </c>
      <c r="T42" s="38">
        <f>IF($A42="","",IF(Raw_Data!P42&gt;0,Raw_Data!P42,Raw_Data!N42*Raw_Data!O42/IF(Policy_Decisions!$B$7="Annual",12,1)))</f>
        <v>2000</v>
      </c>
      <c r="U42" s="38">
        <f>IF($A42="","",IF(OR(Raw_Data!R42="",Raw_Data!R42&lt;=0),"",MIN(1,MAX(0,Raw_Data!Q42/Raw_Data!R42))))</f>
        <v>1</v>
      </c>
      <c r="V42" s="38">
        <f>IF(OR($A42="",U42=""),"",T42*U42)</f>
        <v>2000</v>
      </c>
      <c r="W42" s="38">
        <f>IF(OR($A42="",V42=""),"",V42*L42)</f>
        <v>600</v>
      </c>
      <c r="X42" s="38">
        <f>IF(OR($A42="",V42=""),"",V42*L42-V42*O42)</f>
        <v>0</v>
      </c>
      <c r="Y42" s="38">
        <f>IF(OR($A42="",V42=""),"",ROUND(V42*O42,IF(Policy_Decisions!$B$11="Whole MAD",0,2)))</f>
        <v>600</v>
      </c>
      <c r="Z42" t="str">
        <f>Raw_Data!T42</f>
        <v>JEANNE NKIKIO RWIBUTSO</v>
      </c>
      <c r="AA42" t="str">
        <f>Raw_Data!U42</f>
        <v>Anas OUAKKAD</v>
      </c>
    </row>
    <row r="43" spans="1:27" ht="14.25" customHeight="1">
      <c r="A43" s="13">
        <f>IF(Raw_Data!A43="","",Raw_Data!A43)</f>
        <v>96526</v>
      </c>
      <c r="B43" s="13" t="str">
        <f>IF(Raw_Data!B43="","",Raw_Data!B43)</f>
        <v>HAJHOUJ Said</v>
      </c>
      <c r="C43" s="13" t="str">
        <f>IF(Raw_Data!C43="","",Raw_Data!C43)</f>
        <v>RSA NL</v>
      </c>
      <c r="D43" s="13" t="str">
        <f>IF(Raw_Data!D43="","",Raw_Data!D43)</f>
        <v>2026-07</v>
      </c>
      <c r="E43" s="21">
        <f>IF($A43="","",IF(Raw_Data!E43="",0,IF(KPI_Config!$C$5="L",IF(Raw_Data!E43&lt;=KPI_Config!$E$5,KPI_Config!$D$5,IF(AND(KPI_Config!$F$5&gt;0,Raw_Data!E43&lt;=KPI_Config!$G$5),KPI_Config!$F$5,0)),IF(Raw_Data!E43&gt;=KPI_Config!$E$5,KPI_Config!$D$5,IF(AND(KPI_Config!$F$5&gt;0,Raw_Data!E43&gt;=KPI_Config!$G$5),KPI_Config!$F$5,0)))))</f>
        <v>0.15</v>
      </c>
      <c r="F43" s="21">
        <f>IF($A43="","",IF(Raw_Data!F43="",0,IF(KPI_Config!$C$6="L",IF(Raw_Data!F43&lt;=KPI_Config!$E$6,KPI_Config!$D$6,IF(AND(KPI_Config!$F$6&gt;0,Raw_Data!F43&lt;=KPI_Config!$G$6),KPI_Config!$F$6,0)),IF(Raw_Data!F43&gt;=KPI_Config!$E$6,KPI_Config!$D$6,IF(AND(KPI_Config!$F$6&gt;0,Raw_Data!F43&gt;=KPI_Config!$G$6),KPI_Config!$F$6,0)))))</f>
        <v>0.15</v>
      </c>
      <c r="G43" s="21">
        <f>IF($A43="","",IF(Raw_Data!G43="",0,IF(KPI_Config!$C$7="L",IF(Raw_Data!G43&lt;=KPI_Config!$E$7,KPI_Config!$D$7,IF(AND(KPI_Config!$F$7&gt;0,Raw_Data!G43&lt;=KPI_Config!$G$7),KPI_Config!$F$7,0)),IF(Raw_Data!G43&gt;=KPI_Config!$E$7,KPI_Config!$D$7,IF(AND(KPI_Config!$F$7&gt;0,Raw_Data!G43&gt;=KPI_Config!$G$7),KPI_Config!$F$7,0)))))</f>
        <v>0</v>
      </c>
      <c r="H43" s="21">
        <f>IF($A43="","",IF(Raw_Data!H43="",0,IF(KPI_Config!$C$8="L",IF(Raw_Data!H43&lt;=KPI_Config!$E$8,KPI_Config!$D$8,IF(AND(KPI_Config!$F$8&gt;0,Raw_Data!H43&lt;=KPI_Config!$G$8),KPI_Config!$F$8,0)),IF(Raw_Data!H43&gt;=KPI_Config!$E$8,KPI_Config!$D$8,IF(AND(KPI_Config!$F$8&gt;0,Raw_Data!H43&gt;=KPI_Config!$G$8),KPI_Config!$F$8,0)))))</f>
        <v>0</v>
      </c>
      <c r="I43" s="21">
        <f>IF($A43="","",IF(Raw_Data!I43="",0,IF(KPI_Config!$C$9="L",IF(Raw_Data!I43&lt;=KPI_Config!$E$9,KPI_Config!$D$9,IF(AND(KPI_Config!$F$9&gt;0,Raw_Data!I43&lt;=KPI_Config!$G$9),KPI_Config!$F$9,0)),IF(Raw_Data!I43&gt;=KPI_Config!$E$9,KPI_Config!$D$9,IF(AND(KPI_Config!$F$9&gt;0,Raw_Data!I43&gt;=KPI_Config!$G$9),KPI_Config!$F$9,0)))))</f>
        <v>0</v>
      </c>
      <c r="J43" s="21">
        <f>IF($A43="","",IF(Raw_Data!J43="",0,IF(KPI_Config!$C$10="L",IF(Raw_Data!J43&lt;=KPI_Config!$E$10,KPI_Config!$D$10,IF(AND(KPI_Config!$F$10&gt;0,Raw_Data!J43&lt;=KPI_Config!$G$10),KPI_Config!$F$10,0)),IF(Raw_Data!J43&gt;=KPI_Config!$E$10,KPI_Config!$D$10,IF(AND(KPI_Config!$F$10&gt;0,Raw_Data!J43&gt;=KPI_Config!$G$10),KPI_Config!$F$10,0)))))</f>
        <v>0</v>
      </c>
      <c r="K43" s="21">
        <f>IF($A43="","",IF(Raw_Data!G43="",0,IF(KPI_Config!$C$11="L",IF(Raw_Data!G43&lt;=KPI_Config!$E$11,KPI_Config!$D$11,IF(AND(KPI_Config!$F$11&gt;0,Raw_Data!G43&lt;=KPI_Config!$G$11),KPI_Config!$F$11,0)),IF(Raw_Data!G43&gt;=KPI_Config!$E$11,KPI_Config!$D$11,IF(AND(KPI_Config!$F$11&gt;0,Raw_Data!G43&gt;=KPI_Config!$G$11),KPI_Config!$F$11,0)))))</f>
        <v>0</v>
      </c>
      <c r="L43" s="21">
        <f>IF($A43="","",MIN(Policy_Decisions!$B$10,IF(Policy_Decisions!$B$6="Additive",SUM(E43:K43),SUM(E43:J43)-G43+MAX(G43,K43))))</f>
        <v>0.3</v>
      </c>
      <c r="M43" s="21">
        <f>IF($A43="","",Raw_Data!K43)</f>
        <v>0</v>
      </c>
      <c r="N43" s="21">
        <f>IF($A43="","",IFERROR(VLOOKUP(M43,KPI_Config!$I$5:$J$10,2,FALSE()),0))</f>
        <v>0</v>
      </c>
      <c r="O43" s="21">
        <f>IF($A43="","",IF(Policy_Decisions!$B$5="Percentage points",MAX(0,L43-N43),L43*(1-N43)))</f>
        <v>0.3</v>
      </c>
      <c r="P43" s="13" t="str">
        <f>IF($A43="","",IF(U43="","Review proration",IF(O43=0,"No payout",IF(N43&gt;0,"Malus applied","Eligible"))))</f>
        <v>Eligible</v>
      </c>
      <c r="Q43" s="13" t="str">
        <f>IF($A43="","",Raw_Data!M43)</f>
        <v>MAD</v>
      </c>
      <c r="R43" s="37">
        <f>IF($A43="","",Raw_Data!N43)</f>
        <v>0</v>
      </c>
      <c r="S43" s="37">
        <f>IF($A43="","",Raw_Data!O43)</f>
        <v>0</v>
      </c>
      <c r="T43" s="37">
        <f>IF($A43="","",IF(Raw_Data!P43&gt;0,Raw_Data!P43,Raw_Data!N43*Raw_Data!O43/IF(Policy_Decisions!$B$7="Annual",12,1)))</f>
        <v>2000</v>
      </c>
      <c r="U43" s="37">
        <f>IF($A43="","",IF(OR(Raw_Data!R43="",Raw_Data!R43&lt;=0),"",MIN(1,MAX(0,Raw_Data!Q43/Raw_Data!R43))))</f>
        <v>1</v>
      </c>
      <c r="V43" s="37">
        <f>IF(OR($A43="",U43=""),"",T43*U43)</f>
        <v>2000</v>
      </c>
      <c r="W43" s="37">
        <f>IF(OR($A43="",V43=""),"",V43*L43)</f>
        <v>600</v>
      </c>
      <c r="X43" s="37">
        <f>IF(OR($A43="",V43=""),"",V43*L43-V43*O43)</f>
        <v>0</v>
      </c>
      <c r="Y43" s="37">
        <f>IF(OR($A43="",V43=""),"",ROUND(V43*O43,IF(Policy_Decisions!$B$11="Whole MAD",0,2)))</f>
        <v>600</v>
      </c>
      <c r="Z43" t="str">
        <f>Raw_Data!T43</f>
        <v>AL TAMIMI Zeynab</v>
      </c>
      <c r="AA43" t="str">
        <f>Raw_Data!U43</f>
        <v>Anas OUAKKAD</v>
      </c>
    </row>
    <row r="44" spans="1:27" ht="14.25" customHeight="1">
      <c r="A44" s="15">
        <f>IF(Raw_Data!A44="","",Raw_Data!A44)</f>
        <v>204049</v>
      </c>
      <c r="B44" s="15" t="str">
        <f>IF(Raw_Data!B44="","",Raw_Data!B44)</f>
        <v>Chantoufi Said</v>
      </c>
      <c r="C44" s="15" t="str">
        <f>IF(Raw_Data!C44="","",Raw_Data!C44)</f>
        <v>Ford Dutch</v>
      </c>
      <c r="D44" s="15" t="str">
        <f>IF(Raw_Data!D44="","",Raw_Data!D44)</f>
        <v>2026-07</v>
      </c>
      <c r="E44" s="16">
        <f>IF($A44="","",IF(Raw_Data!E44="",0,IF(KPI_Config!$C$5="L",IF(Raw_Data!E44&lt;=KPI_Config!$E$5,KPI_Config!$D$5,IF(AND(KPI_Config!$F$5&gt;0,Raw_Data!E44&lt;=KPI_Config!$G$5),KPI_Config!$F$5,0)),IF(Raw_Data!E44&gt;=KPI_Config!$E$5,KPI_Config!$D$5,IF(AND(KPI_Config!$F$5&gt;0,Raw_Data!E44&gt;=KPI_Config!$G$5),KPI_Config!$F$5,0)))))</f>
        <v>0</v>
      </c>
      <c r="F44" s="16">
        <f>IF($A44="","",IF(Raw_Data!F44="",0,IF(KPI_Config!$C$6="L",IF(Raw_Data!F44&lt;=KPI_Config!$E$6,KPI_Config!$D$6,IF(AND(KPI_Config!$F$6&gt;0,Raw_Data!F44&lt;=KPI_Config!$G$6),KPI_Config!$F$6,0)),IF(Raw_Data!F44&gt;=KPI_Config!$E$6,KPI_Config!$D$6,IF(AND(KPI_Config!$F$6&gt;0,Raw_Data!F44&gt;=KPI_Config!$G$6),KPI_Config!$F$6,0)))))</f>
        <v>0.15</v>
      </c>
      <c r="G44" s="16">
        <f>IF($A44="","",IF(Raw_Data!G44="",0,IF(KPI_Config!$C$7="L",IF(Raw_Data!G44&lt;=KPI_Config!$E$7,KPI_Config!$D$7,IF(AND(KPI_Config!$F$7&gt;0,Raw_Data!G44&lt;=KPI_Config!$G$7),KPI_Config!$F$7,0)),IF(Raw_Data!G44&gt;=KPI_Config!$E$7,KPI_Config!$D$7,IF(AND(KPI_Config!$F$7&gt;0,Raw_Data!G44&gt;=KPI_Config!$G$7),KPI_Config!$F$7,0)))))</f>
        <v>0.2</v>
      </c>
      <c r="H44" s="16">
        <f>IF($A44="","",IF(Raw_Data!H44="",0,IF(KPI_Config!$C$8="L",IF(Raw_Data!H44&lt;=KPI_Config!$E$8,KPI_Config!$D$8,IF(AND(KPI_Config!$F$8&gt;0,Raw_Data!H44&lt;=KPI_Config!$G$8),KPI_Config!$F$8,0)),IF(Raw_Data!H44&gt;=KPI_Config!$E$8,KPI_Config!$D$8,IF(AND(KPI_Config!$F$8&gt;0,Raw_Data!H44&gt;=KPI_Config!$G$8),KPI_Config!$F$8,0)))))</f>
        <v>0</v>
      </c>
      <c r="I44" s="16">
        <f>IF($A44="","",IF(Raw_Data!I44="",0,IF(KPI_Config!$C$9="L",IF(Raw_Data!I44&lt;=KPI_Config!$E$9,KPI_Config!$D$9,IF(AND(KPI_Config!$F$9&gt;0,Raw_Data!I44&lt;=KPI_Config!$G$9),KPI_Config!$F$9,0)),IF(Raw_Data!I44&gt;=KPI_Config!$E$9,KPI_Config!$D$9,IF(AND(KPI_Config!$F$9&gt;0,Raw_Data!I44&gt;=KPI_Config!$G$9),KPI_Config!$F$9,0)))))</f>
        <v>0</v>
      </c>
      <c r="J44" s="16">
        <f>IF($A44="","",IF(Raw_Data!J44="",0,IF(KPI_Config!$C$10="L",IF(Raw_Data!J44&lt;=KPI_Config!$E$10,KPI_Config!$D$10,IF(AND(KPI_Config!$F$10&gt;0,Raw_Data!J44&lt;=KPI_Config!$G$10),KPI_Config!$F$10,0)),IF(Raw_Data!J44&gt;=KPI_Config!$E$10,KPI_Config!$D$10,IF(AND(KPI_Config!$F$10&gt;0,Raw_Data!J44&gt;=KPI_Config!$G$10),KPI_Config!$F$10,0)))))</f>
        <v>0</v>
      </c>
      <c r="K44" s="16">
        <f>IF($A44="","",IF(Raw_Data!G44="",0,IF(KPI_Config!$C$11="L",IF(Raw_Data!G44&lt;=KPI_Config!$E$11,KPI_Config!$D$11,IF(AND(KPI_Config!$F$11&gt;0,Raw_Data!G44&lt;=KPI_Config!$G$11),KPI_Config!$F$11,0)),IF(Raw_Data!G44&gt;=KPI_Config!$E$11,KPI_Config!$D$11,IF(AND(KPI_Config!$F$11&gt;0,Raw_Data!G44&gt;=KPI_Config!$G$11),KPI_Config!$F$11,0)))))</f>
        <v>0.2</v>
      </c>
      <c r="L44" s="16">
        <f>IF($A44="","",MIN(Policy_Decisions!$B$10,IF(Policy_Decisions!$B$6="Additive",SUM(E44:K44),SUM(E44:J44)-G44+MAX(G44,K44))))</f>
        <v>0.55000000000000004</v>
      </c>
      <c r="M44" s="16">
        <f>IF($A44="","",Raw_Data!K44)</f>
        <v>0</v>
      </c>
      <c r="N44" s="16">
        <f>IF($A44="","",IFERROR(VLOOKUP(M44,KPI_Config!$I$5:$J$10,2,FALSE()),0))</f>
        <v>0</v>
      </c>
      <c r="O44" s="16">
        <f>IF($A44="","",IF(Policy_Decisions!$B$5="Percentage points",MAX(0,L44-N44),L44*(1-N44)))</f>
        <v>0.55000000000000004</v>
      </c>
      <c r="P44" s="15" t="str">
        <f>IF($A44="","",IF(U44="","Review proration",IF(O44=0,"No payout",IF(N44&gt;0,"Malus applied","Eligible"))))</f>
        <v>Eligible</v>
      </c>
      <c r="Q44" s="15" t="str">
        <f>IF($A44="","",Raw_Data!M44)</f>
        <v>MAD</v>
      </c>
      <c r="R44" s="38">
        <f>IF($A44="","",Raw_Data!N44)</f>
        <v>0</v>
      </c>
      <c r="S44" s="38">
        <f>IF($A44="","",Raw_Data!O44)</f>
        <v>0</v>
      </c>
      <c r="T44" s="38">
        <f>IF($A44="","",IF(Raw_Data!P44&gt;0,Raw_Data!P44,Raw_Data!N44*Raw_Data!O44/IF(Policy_Decisions!$B$7="Annual",12,1)))</f>
        <v>2000</v>
      </c>
      <c r="U44" s="38">
        <f>IF($A44="","",IF(OR(Raw_Data!R44="",Raw_Data!R44&lt;=0),"",MIN(1,MAX(0,Raw_Data!Q44/Raw_Data!R44))))</f>
        <v>1</v>
      </c>
      <c r="V44" s="38">
        <f>IF(OR($A44="",U44=""),"",T44*U44)</f>
        <v>2000</v>
      </c>
      <c r="W44" s="38">
        <f>IF(OR($A44="",V44=""),"",V44*L44)</f>
        <v>1100</v>
      </c>
      <c r="X44" s="38">
        <f>IF(OR($A44="",V44=""),"",V44*L44-V44*O44)</f>
        <v>0</v>
      </c>
      <c r="Y44" s="38">
        <f>IF(OR($A44="",V44=""),"",ROUND(V44*O44,IF(Policy_Decisions!$B$11="Whole MAD",0,2)))</f>
        <v>1100</v>
      </c>
      <c r="Z44" t="str">
        <f>Raw_Data!T44</f>
        <v>EL GHAZI Youssef</v>
      </c>
      <c r="AA44" t="str">
        <f>Raw_Data!U44</f>
        <v>Anas OUAKKAD</v>
      </c>
    </row>
    <row r="45" spans="1:27" ht="14.25" customHeight="1">
      <c r="A45" s="13">
        <f>IF(Raw_Data!A45="","",Raw_Data!A45)</f>
        <v>204047</v>
      </c>
      <c r="B45" s="13" t="str">
        <f>IF(Raw_Data!B45="","",Raw_Data!B45)</f>
        <v>Rhauni Safwane</v>
      </c>
      <c r="C45" s="13" t="str">
        <f>IF(Raw_Data!C45="","",Raw_Data!C45)</f>
        <v>Ford Dutch</v>
      </c>
      <c r="D45" s="13" t="str">
        <f>IF(Raw_Data!D45="","",Raw_Data!D45)</f>
        <v>2026-07</v>
      </c>
      <c r="E45" s="21">
        <f>IF($A45="","",IF(Raw_Data!E45="",0,IF(KPI_Config!$C$5="L",IF(Raw_Data!E45&lt;=KPI_Config!$E$5,KPI_Config!$D$5,IF(AND(KPI_Config!$F$5&gt;0,Raw_Data!E45&lt;=KPI_Config!$G$5),KPI_Config!$F$5,0)),IF(Raw_Data!E45&gt;=KPI_Config!$E$5,KPI_Config!$D$5,IF(AND(KPI_Config!$F$5&gt;0,Raw_Data!E45&gt;=KPI_Config!$G$5),KPI_Config!$F$5,0)))))</f>
        <v>0.15</v>
      </c>
      <c r="F45" s="21">
        <f>IF($A45="","",IF(Raw_Data!F45="",0,IF(KPI_Config!$C$6="L",IF(Raw_Data!F45&lt;=KPI_Config!$E$6,KPI_Config!$D$6,IF(AND(KPI_Config!$F$6&gt;0,Raw_Data!F45&lt;=KPI_Config!$G$6),KPI_Config!$F$6,0)),IF(Raw_Data!F45&gt;=KPI_Config!$E$6,KPI_Config!$D$6,IF(AND(KPI_Config!$F$6&gt;0,Raw_Data!F45&gt;=KPI_Config!$G$6),KPI_Config!$F$6,0)))))</f>
        <v>0.15</v>
      </c>
      <c r="G45" s="21">
        <f>IF($A45="","",IF(Raw_Data!G45="",0,IF(KPI_Config!$C$7="L",IF(Raw_Data!G45&lt;=KPI_Config!$E$7,KPI_Config!$D$7,IF(AND(KPI_Config!$F$7&gt;0,Raw_Data!G45&lt;=KPI_Config!$G$7),KPI_Config!$F$7,0)),IF(Raw_Data!G45&gt;=KPI_Config!$E$7,KPI_Config!$D$7,IF(AND(KPI_Config!$F$7&gt;0,Raw_Data!G45&gt;=KPI_Config!$G$7),KPI_Config!$F$7,0)))))</f>
        <v>0</v>
      </c>
      <c r="H45" s="21">
        <f>IF($A45="","",IF(Raw_Data!H45="",0,IF(KPI_Config!$C$8="L",IF(Raw_Data!H45&lt;=KPI_Config!$E$8,KPI_Config!$D$8,IF(AND(KPI_Config!$F$8&gt;0,Raw_Data!H45&lt;=KPI_Config!$G$8),KPI_Config!$F$8,0)),IF(Raw_Data!H45&gt;=KPI_Config!$E$8,KPI_Config!$D$8,IF(AND(KPI_Config!$F$8&gt;0,Raw_Data!H45&gt;=KPI_Config!$G$8),KPI_Config!$F$8,0)))))</f>
        <v>0</v>
      </c>
      <c r="I45" s="21">
        <f>IF($A45="","",IF(Raw_Data!I45="",0,IF(KPI_Config!$C$9="L",IF(Raw_Data!I45&lt;=KPI_Config!$E$9,KPI_Config!$D$9,IF(AND(KPI_Config!$F$9&gt;0,Raw_Data!I45&lt;=KPI_Config!$G$9),KPI_Config!$F$9,0)),IF(Raw_Data!I45&gt;=KPI_Config!$E$9,KPI_Config!$D$9,IF(AND(KPI_Config!$F$9&gt;0,Raw_Data!I45&gt;=KPI_Config!$G$9),KPI_Config!$F$9,0)))))</f>
        <v>0</v>
      </c>
      <c r="J45" s="21">
        <f>IF($A45="","",IF(Raw_Data!J45="",0,IF(KPI_Config!$C$10="L",IF(Raw_Data!J45&lt;=KPI_Config!$E$10,KPI_Config!$D$10,IF(AND(KPI_Config!$F$10&gt;0,Raw_Data!J45&lt;=KPI_Config!$G$10),KPI_Config!$F$10,0)),IF(Raw_Data!J45&gt;=KPI_Config!$E$10,KPI_Config!$D$10,IF(AND(KPI_Config!$F$10&gt;0,Raw_Data!J45&gt;=KPI_Config!$G$10),KPI_Config!$F$10,0)))))</f>
        <v>0.15</v>
      </c>
      <c r="K45" s="21">
        <f>IF($A45="","",IF(Raw_Data!G45="",0,IF(KPI_Config!$C$11="L",IF(Raw_Data!G45&lt;=KPI_Config!$E$11,KPI_Config!$D$11,IF(AND(KPI_Config!$F$11&gt;0,Raw_Data!G45&lt;=KPI_Config!$G$11),KPI_Config!$F$11,0)),IF(Raw_Data!G45&gt;=KPI_Config!$E$11,KPI_Config!$D$11,IF(AND(KPI_Config!$F$11&gt;0,Raw_Data!G45&gt;=KPI_Config!$G$11),KPI_Config!$F$11,0)))))</f>
        <v>0</v>
      </c>
      <c r="L45" s="21">
        <f>IF($A45="","",MIN(Policy_Decisions!$B$10,IF(Policy_Decisions!$B$6="Additive",SUM(E45:K45),SUM(E45:J45)-G45+MAX(G45,K45))))</f>
        <v>0.44999999999999996</v>
      </c>
      <c r="M45" s="21">
        <f>IF($A45="","",Raw_Data!K45)</f>
        <v>0</v>
      </c>
      <c r="N45" s="21">
        <f>IF($A45="","",IFERROR(VLOOKUP(M45,KPI_Config!$I$5:$J$10,2,FALSE()),0))</f>
        <v>0</v>
      </c>
      <c r="O45" s="21">
        <f>IF($A45="","",IF(Policy_Decisions!$B$5="Percentage points",MAX(0,L45-N45),L45*(1-N45)))</f>
        <v>0.44999999999999996</v>
      </c>
      <c r="P45" s="13" t="str">
        <f>IF($A45="","",IF(U45="","Review proration",IF(O45=0,"No payout",IF(N45&gt;0,"Malus applied","Eligible"))))</f>
        <v>Eligible</v>
      </c>
      <c r="Q45" s="13" t="str">
        <f>IF($A45="","",Raw_Data!M45)</f>
        <v>MAD</v>
      </c>
      <c r="R45" s="37">
        <f>IF($A45="","",Raw_Data!N45)</f>
        <v>0</v>
      </c>
      <c r="S45" s="37">
        <f>IF($A45="","",Raw_Data!O45)</f>
        <v>0</v>
      </c>
      <c r="T45" s="37">
        <f>IF($A45="","",IF(Raw_Data!P45&gt;0,Raw_Data!P45,Raw_Data!N45*Raw_Data!O45/IF(Policy_Decisions!$B$7="Annual",12,1)))</f>
        <v>2000</v>
      </c>
      <c r="U45" s="37">
        <f>IF($A45="","",IF(OR(Raw_Data!R45="",Raw_Data!R45&lt;=0),"",MIN(1,MAX(0,Raw_Data!Q45/Raw_Data!R45))))</f>
        <v>1</v>
      </c>
      <c r="V45" s="37">
        <f>IF(OR($A45="",U45=""),"",T45*U45)</f>
        <v>2000</v>
      </c>
      <c r="W45" s="37">
        <f>IF(OR($A45="",V45=""),"",V45*L45)</f>
        <v>899.99999999999989</v>
      </c>
      <c r="X45" s="37">
        <f>IF(OR($A45="",V45=""),"",V45*L45-V45*O45)</f>
        <v>0</v>
      </c>
      <c r="Y45" s="37">
        <f>IF(OR($A45="",V45=""),"",ROUND(V45*O45,IF(Policy_Decisions!$B$11="Whole MAD",0,2)))</f>
        <v>900</v>
      </c>
      <c r="Z45" t="str">
        <f>Raw_Data!T45</f>
        <v>DERRAZI Ilyasse</v>
      </c>
      <c r="AA45" t="str">
        <f>Raw_Data!U45</f>
        <v>Anas OUAKKAD</v>
      </c>
    </row>
    <row r="46" spans="1:27" ht="14.25" customHeight="1">
      <c r="A46" s="15">
        <f>IF(Raw_Data!A46="","",Raw_Data!A46)</f>
        <v>96516</v>
      </c>
      <c r="B46" s="15" t="str">
        <f>IF(Raw_Data!B46="","",Raw_Data!B46)</f>
        <v>EZZOHARI Saad</v>
      </c>
      <c r="C46" s="15" t="str">
        <f>IF(Raw_Data!C46="","",Raw_Data!C46)</f>
        <v>RSA NL</v>
      </c>
      <c r="D46" s="15" t="str">
        <f>IF(Raw_Data!D46="","",Raw_Data!D46)</f>
        <v>2026-07</v>
      </c>
      <c r="E46" s="16">
        <f>IF($A46="","",IF(Raw_Data!E46="",0,IF(KPI_Config!$C$5="L",IF(Raw_Data!E46&lt;=KPI_Config!$E$5,KPI_Config!$D$5,IF(AND(KPI_Config!$F$5&gt;0,Raw_Data!E46&lt;=KPI_Config!$G$5),KPI_Config!$F$5,0)),IF(Raw_Data!E46&gt;=KPI_Config!$E$5,KPI_Config!$D$5,IF(AND(KPI_Config!$F$5&gt;0,Raw_Data!E46&gt;=KPI_Config!$G$5),KPI_Config!$F$5,0)))))</f>
        <v>0.15</v>
      </c>
      <c r="F46" s="16">
        <f>IF($A46="","",IF(Raw_Data!F46="",0,IF(KPI_Config!$C$6="L",IF(Raw_Data!F46&lt;=KPI_Config!$E$6,KPI_Config!$D$6,IF(AND(KPI_Config!$F$6&gt;0,Raw_Data!F46&lt;=KPI_Config!$G$6),KPI_Config!$F$6,0)),IF(Raw_Data!F46&gt;=KPI_Config!$E$6,KPI_Config!$D$6,IF(AND(KPI_Config!$F$6&gt;0,Raw_Data!F46&gt;=KPI_Config!$G$6),KPI_Config!$F$6,0)))))</f>
        <v>0.15</v>
      </c>
      <c r="G46" s="16">
        <f>IF($A46="","",IF(Raw_Data!G46="",0,IF(KPI_Config!$C$7="L",IF(Raw_Data!G46&lt;=KPI_Config!$E$7,KPI_Config!$D$7,IF(AND(KPI_Config!$F$7&gt;0,Raw_Data!G46&lt;=KPI_Config!$G$7),KPI_Config!$F$7,0)),IF(Raw_Data!G46&gt;=KPI_Config!$E$7,KPI_Config!$D$7,IF(AND(KPI_Config!$F$7&gt;0,Raw_Data!G46&gt;=KPI_Config!$G$7),KPI_Config!$F$7,0)))))</f>
        <v>0</v>
      </c>
      <c r="H46" s="16">
        <f>IF($A46="","",IF(Raw_Data!H46="",0,IF(KPI_Config!$C$8="L",IF(Raw_Data!H46&lt;=KPI_Config!$E$8,KPI_Config!$D$8,IF(AND(KPI_Config!$F$8&gt;0,Raw_Data!H46&lt;=KPI_Config!$G$8),KPI_Config!$F$8,0)),IF(Raw_Data!H46&gt;=KPI_Config!$E$8,KPI_Config!$D$8,IF(AND(KPI_Config!$F$8&gt;0,Raw_Data!H46&gt;=KPI_Config!$G$8),KPI_Config!$F$8,0)))))</f>
        <v>0</v>
      </c>
      <c r="I46" s="16">
        <f>IF($A46="","",IF(Raw_Data!I46="",0,IF(KPI_Config!$C$9="L",IF(Raw_Data!I46&lt;=KPI_Config!$E$9,KPI_Config!$D$9,IF(AND(KPI_Config!$F$9&gt;0,Raw_Data!I46&lt;=KPI_Config!$G$9),KPI_Config!$F$9,0)),IF(Raw_Data!I46&gt;=KPI_Config!$E$9,KPI_Config!$D$9,IF(AND(KPI_Config!$F$9&gt;0,Raw_Data!I46&gt;=KPI_Config!$G$9),KPI_Config!$F$9,0)))))</f>
        <v>0</v>
      </c>
      <c r="J46" s="16">
        <f>IF($A46="","",IF(Raw_Data!J46="",0,IF(KPI_Config!$C$10="L",IF(Raw_Data!J46&lt;=KPI_Config!$E$10,KPI_Config!$D$10,IF(AND(KPI_Config!$F$10&gt;0,Raw_Data!J46&lt;=KPI_Config!$G$10),KPI_Config!$F$10,0)),IF(Raw_Data!J46&gt;=KPI_Config!$E$10,KPI_Config!$D$10,IF(AND(KPI_Config!$F$10&gt;0,Raw_Data!J46&gt;=KPI_Config!$G$10),KPI_Config!$F$10,0)))))</f>
        <v>0.15</v>
      </c>
      <c r="K46" s="16">
        <f>IF($A46="","",IF(Raw_Data!G46="",0,IF(KPI_Config!$C$11="L",IF(Raw_Data!G46&lt;=KPI_Config!$E$11,KPI_Config!$D$11,IF(AND(KPI_Config!$F$11&gt;0,Raw_Data!G46&lt;=KPI_Config!$G$11),KPI_Config!$F$11,0)),IF(Raw_Data!G46&gt;=KPI_Config!$E$11,KPI_Config!$D$11,IF(AND(KPI_Config!$F$11&gt;0,Raw_Data!G46&gt;=KPI_Config!$G$11),KPI_Config!$F$11,0)))))</f>
        <v>0</v>
      </c>
      <c r="L46" s="16">
        <f>IF($A46="","",MIN(Policy_Decisions!$B$10,IF(Policy_Decisions!$B$6="Additive",SUM(E46:K46),SUM(E46:J46)-G46+MAX(G46,K46))))</f>
        <v>0.44999999999999996</v>
      </c>
      <c r="M46" s="16">
        <f>IF($A46="","",Raw_Data!K46)</f>
        <v>0</v>
      </c>
      <c r="N46" s="16">
        <f>IF($A46="","",IFERROR(VLOOKUP(M46,KPI_Config!$I$5:$J$10,2,FALSE()),0))</f>
        <v>0</v>
      </c>
      <c r="O46" s="16">
        <f>IF($A46="","",IF(Policy_Decisions!$B$5="Percentage points",MAX(0,L46-N46),L46*(1-N46)))</f>
        <v>0.44999999999999996</v>
      </c>
      <c r="P46" s="15" t="str">
        <f>IF($A46="","",IF(U46="","Review proration",IF(O46=0,"No payout",IF(N46&gt;0,"Malus applied","Eligible"))))</f>
        <v>Eligible</v>
      </c>
      <c r="Q46" s="15" t="str">
        <f>IF($A46="","",Raw_Data!M46)</f>
        <v>MAD</v>
      </c>
      <c r="R46" s="38">
        <f>IF($A46="","",Raw_Data!N46)</f>
        <v>0</v>
      </c>
      <c r="S46" s="38">
        <f>IF($A46="","",Raw_Data!O46)</f>
        <v>0</v>
      </c>
      <c r="T46" s="38">
        <f>IF($A46="","",IF(Raw_Data!P46&gt;0,Raw_Data!P46,Raw_Data!N46*Raw_Data!O46/IF(Policy_Decisions!$B$7="Annual",12,1)))</f>
        <v>2000</v>
      </c>
      <c r="U46" s="38">
        <f>IF($A46="","",IF(OR(Raw_Data!R46="",Raw_Data!R46&lt;=0),"",MIN(1,MAX(0,Raw_Data!Q46/Raw_Data!R46))))</f>
        <v>1</v>
      </c>
      <c r="V46" s="38">
        <f>IF(OR($A46="",U46=""),"",T46*U46)</f>
        <v>2000</v>
      </c>
      <c r="W46" s="38">
        <f>IF(OR($A46="",V46=""),"",V46*L46)</f>
        <v>899.99999999999989</v>
      </c>
      <c r="X46" s="38">
        <f>IF(OR($A46="",V46=""),"",V46*L46-V46*O46)</f>
        <v>0</v>
      </c>
      <c r="Y46" s="38">
        <f>IF(OR($A46="",V46=""),"",ROUND(V46*O46,IF(Policy_Decisions!$B$11="Whole MAD",0,2)))</f>
        <v>900</v>
      </c>
      <c r="Z46" t="str">
        <f>Raw_Data!T46</f>
        <v>AL TAMIMI Zeynab</v>
      </c>
      <c r="AA46" t="str">
        <f>Raw_Data!U46</f>
        <v>Anas OUAKKAD</v>
      </c>
    </row>
    <row r="47" spans="1:27" ht="14.25" customHeight="1">
      <c r="A47" s="13">
        <f>IF(Raw_Data!A47="","",Raw_Data!A47)</f>
        <v>244553</v>
      </c>
      <c r="B47" s="13" t="str">
        <f>IF(Raw_Data!B47="","",Raw_Data!B47)</f>
        <v>Rim Fatih</v>
      </c>
      <c r="C47" s="13" t="str">
        <f>IF(Raw_Data!C47="","",Raw_Data!C47)</f>
        <v>RSA NL</v>
      </c>
      <c r="D47" s="13" t="str">
        <f>IF(Raw_Data!D47="","",Raw_Data!D47)</f>
        <v>2026-07</v>
      </c>
      <c r="E47" s="21">
        <f>IF($A47="","",IF(Raw_Data!E47="",0,IF(KPI_Config!$C$5="L",IF(Raw_Data!E47&lt;=KPI_Config!$E$5,KPI_Config!$D$5,IF(AND(KPI_Config!$F$5&gt;0,Raw_Data!E47&lt;=KPI_Config!$G$5),KPI_Config!$F$5,0)),IF(Raw_Data!E47&gt;=KPI_Config!$E$5,KPI_Config!$D$5,IF(AND(KPI_Config!$F$5&gt;0,Raw_Data!E47&gt;=KPI_Config!$G$5),KPI_Config!$F$5,0)))))</f>
        <v>0</v>
      </c>
      <c r="F47" s="21">
        <f>IF($A47="","",IF(Raw_Data!F47="",0,IF(KPI_Config!$C$6="L",IF(Raw_Data!F47&lt;=KPI_Config!$E$6,KPI_Config!$D$6,IF(AND(KPI_Config!$F$6&gt;0,Raw_Data!F47&lt;=KPI_Config!$G$6),KPI_Config!$F$6,0)),IF(Raw_Data!F47&gt;=KPI_Config!$E$6,KPI_Config!$D$6,IF(AND(KPI_Config!$F$6&gt;0,Raw_Data!F47&gt;=KPI_Config!$G$6),KPI_Config!$F$6,0)))))</f>
        <v>0</v>
      </c>
      <c r="G47" s="21">
        <f>IF($A47="","",IF(Raw_Data!G47="",0,IF(KPI_Config!$C$7="L",IF(Raw_Data!G47&lt;=KPI_Config!$E$7,KPI_Config!$D$7,IF(AND(KPI_Config!$F$7&gt;0,Raw_Data!G47&lt;=KPI_Config!$G$7),KPI_Config!$F$7,0)),IF(Raw_Data!G47&gt;=KPI_Config!$E$7,KPI_Config!$D$7,IF(AND(KPI_Config!$F$7&gt;0,Raw_Data!G47&gt;=KPI_Config!$G$7),KPI_Config!$F$7,0)))))</f>
        <v>0</v>
      </c>
      <c r="H47" s="21">
        <f>IF($A47="","",IF(Raw_Data!H47="",0,IF(KPI_Config!$C$8="L",IF(Raw_Data!H47&lt;=KPI_Config!$E$8,KPI_Config!$D$8,IF(AND(KPI_Config!$F$8&gt;0,Raw_Data!H47&lt;=KPI_Config!$G$8),KPI_Config!$F$8,0)),IF(Raw_Data!H47&gt;=KPI_Config!$E$8,KPI_Config!$D$8,IF(AND(KPI_Config!$F$8&gt;0,Raw_Data!H47&gt;=KPI_Config!$G$8),KPI_Config!$F$8,0)))))</f>
        <v>0</v>
      </c>
      <c r="I47" s="21">
        <f>IF($A47="","",IF(Raw_Data!I47="",0,IF(KPI_Config!$C$9="L",IF(Raw_Data!I47&lt;=KPI_Config!$E$9,KPI_Config!$D$9,IF(AND(KPI_Config!$F$9&gt;0,Raw_Data!I47&lt;=KPI_Config!$G$9),KPI_Config!$F$9,0)),IF(Raw_Data!I47&gt;=KPI_Config!$E$9,KPI_Config!$D$9,IF(AND(KPI_Config!$F$9&gt;0,Raw_Data!I47&gt;=KPI_Config!$G$9),KPI_Config!$F$9,0)))))</f>
        <v>0</v>
      </c>
      <c r="J47" s="21">
        <f>IF($A47="","",IF(Raw_Data!J47="",0,IF(KPI_Config!$C$10="L",IF(Raw_Data!J47&lt;=KPI_Config!$E$10,KPI_Config!$D$10,IF(AND(KPI_Config!$F$10&gt;0,Raw_Data!J47&lt;=KPI_Config!$G$10),KPI_Config!$F$10,0)),IF(Raw_Data!J47&gt;=KPI_Config!$E$10,KPI_Config!$D$10,IF(AND(KPI_Config!$F$10&gt;0,Raw_Data!J47&gt;=KPI_Config!$G$10),KPI_Config!$F$10,0)))))</f>
        <v>0</v>
      </c>
      <c r="K47" s="21">
        <f>IF($A47="","",IF(Raw_Data!G47="",0,IF(KPI_Config!$C$11="L",IF(Raw_Data!G47&lt;=KPI_Config!$E$11,KPI_Config!$D$11,IF(AND(KPI_Config!$F$11&gt;0,Raw_Data!G47&lt;=KPI_Config!$G$11),KPI_Config!$F$11,0)),IF(Raw_Data!G47&gt;=KPI_Config!$E$11,KPI_Config!$D$11,IF(AND(KPI_Config!$F$11&gt;0,Raw_Data!G47&gt;=KPI_Config!$G$11),KPI_Config!$F$11,0)))))</f>
        <v>0</v>
      </c>
      <c r="L47" s="21">
        <f>IF($A47="","",MIN(Policy_Decisions!$B$10,IF(Policy_Decisions!$B$6="Additive",SUM(E47:K47),SUM(E47:J47)-G47+MAX(G47,K47))))</f>
        <v>0</v>
      </c>
      <c r="M47" s="21">
        <f>IF($A47="","",Raw_Data!K47)</f>
        <v>0</v>
      </c>
      <c r="N47" s="21">
        <f>IF($A47="","",IFERROR(VLOOKUP(M47,KPI_Config!$I$5:$J$10,2,FALSE()),0))</f>
        <v>0</v>
      </c>
      <c r="O47" s="21">
        <f>IF($A47="","",IF(Policy_Decisions!$B$5="Percentage points",MAX(0,L47-N47),L47*(1-N47)))</f>
        <v>0</v>
      </c>
      <c r="P47" s="13" t="str">
        <f>IF($A47="","",IF(U47="","Review proration",IF(O47=0,"No payout",IF(N47&gt;0,"Malus applied","Eligible"))))</f>
        <v>No payout</v>
      </c>
      <c r="Q47" s="13" t="str">
        <f>IF($A47="","",Raw_Data!M47)</f>
        <v>MAD</v>
      </c>
      <c r="R47" s="37">
        <f>IF($A47="","",Raw_Data!N47)</f>
        <v>0</v>
      </c>
      <c r="S47" s="37">
        <f>IF($A47="","",Raw_Data!O47)</f>
        <v>0</v>
      </c>
      <c r="T47" s="37">
        <f>IF($A47="","",IF(Raw_Data!P47&gt;0,Raw_Data!P47,Raw_Data!N47*Raw_Data!O47/IF(Policy_Decisions!$B$7="Annual",12,1)))</f>
        <v>2000</v>
      </c>
      <c r="U47" s="37">
        <f>IF($A47="","",IF(OR(Raw_Data!R47="",Raw_Data!R47&lt;=0),"",MIN(1,MAX(0,Raw_Data!Q47/Raw_Data!R47))))</f>
        <v>1</v>
      </c>
      <c r="V47" s="37">
        <f>IF(OR($A47="",U47=""),"",T47*U47)</f>
        <v>2000</v>
      </c>
      <c r="W47" s="37">
        <f>IF(OR($A47="",V47=""),"",V47*L47)</f>
        <v>0</v>
      </c>
      <c r="X47" s="37">
        <f>IF(OR($A47="",V47=""),"",V47*L47-V47*O47)</f>
        <v>0</v>
      </c>
      <c r="Y47" s="37">
        <f>IF(OR($A47="",V47=""),"",ROUND(V47*O47,IF(Policy_Decisions!$B$11="Whole MAD",0,2)))</f>
        <v>0</v>
      </c>
      <c r="Z47" t="str">
        <f>Raw_Data!T47</f>
        <v>KAIKAI Faissal</v>
      </c>
      <c r="AA47" t="str">
        <f>Raw_Data!U47</f>
        <v>Anas OUAKKAD</v>
      </c>
    </row>
    <row r="48" spans="1:27" ht="14.25" customHeight="1">
      <c r="A48" s="15">
        <f>IF(Raw_Data!A48="","",Raw_Data!A48)</f>
        <v>232188</v>
      </c>
      <c r="B48" s="15" t="str">
        <f>IF(Raw_Data!B48="","",Raw_Data!B48)</f>
        <v>Redwane Ajouaoui</v>
      </c>
      <c r="C48" s="15" t="str">
        <f>IF(Raw_Data!C48="","",Raw_Data!C48)</f>
        <v>RSA VL</v>
      </c>
      <c r="D48" s="15" t="str">
        <f>IF(Raw_Data!D48="","",Raw_Data!D48)</f>
        <v>2026-07</v>
      </c>
      <c r="E48" s="16">
        <f>IF($A48="","",IF(Raw_Data!E48="",0,IF(KPI_Config!$C$5="L",IF(Raw_Data!E48&lt;=KPI_Config!$E$5,KPI_Config!$D$5,IF(AND(KPI_Config!$F$5&gt;0,Raw_Data!E48&lt;=KPI_Config!$G$5),KPI_Config!$F$5,0)),IF(Raw_Data!E48&gt;=KPI_Config!$E$5,KPI_Config!$D$5,IF(AND(KPI_Config!$F$5&gt;0,Raw_Data!E48&gt;=KPI_Config!$G$5),KPI_Config!$F$5,0)))))</f>
        <v>0.15</v>
      </c>
      <c r="F48" s="16">
        <f>IF($A48="","",IF(Raw_Data!F48="",0,IF(KPI_Config!$C$6="L",IF(Raw_Data!F48&lt;=KPI_Config!$E$6,KPI_Config!$D$6,IF(AND(KPI_Config!$F$6&gt;0,Raw_Data!F48&lt;=KPI_Config!$G$6),KPI_Config!$F$6,0)),IF(Raw_Data!F48&gt;=KPI_Config!$E$6,KPI_Config!$D$6,IF(AND(KPI_Config!$F$6&gt;0,Raw_Data!F48&gt;=KPI_Config!$G$6),KPI_Config!$F$6,0)))))</f>
        <v>0.15</v>
      </c>
      <c r="G48" s="16">
        <f>IF($A48="","",IF(Raw_Data!G48="",0,IF(KPI_Config!$C$7="L",IF(Raw_Data!G48&lt;=KPI_Config!$E$7,KPI_Config!$D$7,IF(AND(KPI_Config!$F$7&gt;0,Raw_Data!G48&lt;=KPI_Config!$G$7),KPI_Config!$F$7,0)),IF(Raw_Data!G48&gt;=KPI_Config!$E$7,KPI_Config!$D$7,IF(AND(KPI_Config!$F$7&gt;0,Raw_Data!G48&gt;=KPI_Config!$G$7),KPI_Config!$F$7,0)))))</f>
        <v>0.2</v>
      </c>
      <c r="H48" s="16">
        <f>IF($A48="","",IF(Raw_Data!H48="",0,IF(KPI_Config!$C$8="L",IF(Raw_Data!H48&lt;=KPI_Config!$E$8,KPI_Config!$D$8,IF(AND(KPI_Config!$F$8&gt;0,Raw_Data!H48&lt;=KPI_Config!$G$8),KPI_Config!$F$8,0)),IF(Raw_Data!H48&gt;=KPI_Config!$E$8,KPI_Config!$D$8,IF(AND(KPI_Config!$F$8&gt;0,Raw_Data!H48&gt;=KPI_Config!$G$8),KPI_Config!$F$8,0)))))</f>
        <v>0</v>
      </c>
      <c r="I48" s="16">
        <f>IF($A48="","",IF(Raw_Data!I48="",0,IF(KPI_Config!$C$9="L",IF(Raw_Data!I48&lt;=KPI_Config!$E$9,KPI_Config!$D$9,IF(AND(KPI_Config!$F$9&gt;0,Raw_Data!I48&lt;=KPI_Config!$G$9),KPI_Config!$F$9,0)),IF(Raw_Data!I48&gt;=KPI_Config!$E$9,KPI_Config!$D$9,IF(AND(KPI_Config!$F$9&gt;0,Raw_Data!I48&gt;=KPI_Config!$G$9),KPI_Config!$F$9,0)))))</f>
        <v>0.15</v>
      </c>
      <c r="J48" s="16">
        <f>IF($A48="","",IF(Raw_Data!J48="",0,IF(KPI_Config!$C$10="L",IF(Raw_Data!J48&lt;=KPI_Config!$E$10,KPI_Config!$D$10,IF(AND(KPI_Config!$F$10&gt;0,Raw_Data!J48&lt;=KPI_Config!$G$10),KPI_Config!$F$10,0)),IF(Raw_Data!J48&gt;=KPI_Config!$E$10,KPI_Config!$D$10,IF(AND(KPI_Config!$F$10&gt;0,Raw_Data!J48&gt;=KPI_Config!$G$10),KPI_Config!$F$10,0)))))</f>
        <v>0.15</v>
      </c>
      <c r="K48" s="16">
        <f>IF($A48="","",IF(Raw_Data!G48="",0,IF(KPI_Config!$C$11="L",IF(Raw_Data!G48&lt;=KPI_Config!$E$11,KPI_Config!$D$11,IF(AND(KPI_Config!$F$11&gt;0,Raw_Data!G48&lt;=KPI_Config!$G$11),KPI_Config!$F$11,0)),IF(Raw_Data!G48&gt;=KPI_Config!$E$11,KPI_Config!$D$11,IF(AND(KPI_Config!$F$11&gt;0,Raw_Data!G48&gt;=KPI_Config!$G$11),KPI_Config!$F$11,0)))))</f>
        <v>0.3</v>
      </c>
      <c r="L48" s="16">
        <f>IF($A48="","",MIN(Policy_Decisions!$B$10,IF(Policy_Decisions!$B$6="Additive",SUM(E48:K48),SUM(E48:J48)-G48+MAX(G48,K48))))</f>
        <v>1.1000000000000001</v>
      </c>
      <c r="M48" s="16">
        <f>IF($A48="","",Raw_Data!K48)</f>
        <v>0</v>
      </c>
      <c r="N48" s="16">
        <f>IF($A48="","",IFERROR(VLOOKUP(M48,KPI_Config!$I$5:$J$10,2,FALSE()),0))</f>
        <v>0</v>
      </c>
      <c r="O48" s="16">
        <f>IF($A48="","",IF(Policy_Decisions!$B$5="Percentage points",MAX(0,L48-N48),L48*(1-N48)))</f>
        <v>1.1000000000000001</v>
      </c>
      <c r="P48" s="15" t="str">
        <f>IF($A48="","",IF(U48="","Review proration",IF(O48=0,"No payout",IF(N48&gt;0,"Malus applied","Eligible"))))</f>
        <v>Eligible</v>
      </c>
      <c r="Q48" s="15" t="str">
        <f>IF($A48="","",Raw_Data!M48)</f>
        <v>MAD</v>
      </c>
      <c r="R48" s="38">
        <f>IF($A48="","",Raw_Data!N48)</f>
        <v>0</v>
      </c>
      <c r="S48" s="38">
        <f>IF($A48="","",Raw_Data!O48)</f>
        <v>0</v>
      </c>
      <c r="T48" s="38">
        <f>IF($A48="","",IF(Raw_Data!P48&gt;0,Raw_Data!P48,Raw_Data!N48*Raw_Data!O48/IF(Policy_Decisions!$B$7="Annual",12,1)))</f>
        <v>2000</v>
      </c>
      <c r="U48" s="38">
        <f>IF($A48="","",IF(OR(Raw_Data!R48="",Raw_Data!R48&lt;=0),"",MIN(1,MAX(0,Raw_Data!Q48/Raw_Data!R48))))</f>
        <v>1</v>
      </c>
      <c r="V48" s="38">
        <f>IF(OR($A48="",U48=""),"",T48*U48)</f>
        <v>2000</v>
      </c>
      <c r="W48" s="38">
        <f>IF(OR($A48="",V48=""),"",V48*L48)</f>
        <v>2200</v>
      </c>
      <c r="X48" s="38">
        <f>IF(OR($A48="",V48=""),"",V48*L48-V48*O48)</f>
        <v>0</v>
      </c>
      <c r="Y48" s="38">
        <f>IF(OR($A48="",V48=""),"",ROUND(V48*O48,IF(Policy_Decisions!$B$11="Whole MAD",0,2)))</f>
        <v>2200</v>
      </c>
      <c r="Z48" t="str">
        <f>Raw_Data!T48</f>
        <v>Glenn Antoon</v>
      </c>
      <c r="AA48" t="str">
        <f>Raw_Data!U48</f>
        <v>Anas OUAKKAD</v>
      </c>
    </row>
    <row r="49" spans="1:27" ht="14.25" customHeight="1">
      <c r="A49" s="13">
        <f>IF(Raw_Data!A49="","",Raw_Data!A49)</f>
        <v>205224</v>
      </c>
      <c r="B49" s="13" t="str">
        <f>IF(Raw_Data!B49="","",Raw_Data!B49)</f>
        <v>Ghalbi Redouane</v>
      </c>
      <c r="C49" s="13" t="str">
        <f>IF(Raw_Data!C49="","",Raw_Data!C49)</f>
        <v>Ford Dutch</v>
      </c>
      <c r="D49" s="13" t="str">
        <f>IF(Raw_Data!D49="","",Raw_Data!D49)</f>
        <v>2026-07</v>
      </c>
      <c r="E49" s="21">
        <f>IF($A49="","",IF(Raw_Data!E49="",0,IF(KPI_Config!$C$5="L",IF(Raw_Data!E49&lt;=KPI_Config!$E$5,KPI_Config!$D$5,IF(AND(KPI_Config!$F$5&gt;0,Raw_Data!E49&lt;=KPI_Config!$G$5),KPI_Config!$F$5,0)),IF(Raw_Data!E49&gt;=KPI_Config!$E$5,KPI_Config!$D$5,IF(AND(KPI_Config!$F$5&gt;0,Raw_Data!E49&gt;=KPI_Config!$G$5),KPI_Config!$F$5,0)))))</f>
        <v>0.15</v>
      </c>
      <c r="F49" s="21">
        <f>IF($A49="","",IF(Raw_Data!F49="",0,IF(KPI_Config!$C$6="L",IF(Raw_Data!F49&lt;=KPI_Config!$E$6,KPI_Config!$D$6,IF(AND(KPI_Config!$F$6&gt;0,Raw_Data!F49&lt;=KPI_Config!$G$6),KPI_Config!$F$6,0)),IF(Raw_Data!F49&gt;=KPI_Config!$E$6,KPI_Config!$D$6,IF(AND(KPI_Config!$F$6&gt;0,Raw_Data!F49&gt;=KPI_Config!$G$6),KPI_Config!$F$6,0)))))</f>
        <v>0.15</v>
      </c>
      <c r="G49" s="21">
        <f>IF($A49="","",IF(Raw_Data!G49="",0,IF(KPI_Config!$C$7="L",IF(Raw_Data!G49&lt;=KPI_Config!$E$7,KPI_Config!$D$7,IF(AND(KPI_Config!$F$7&gt;0,Raw_Data!G49&lt;=KPI_Config!$G$7),KPI_Config!$F$7,0)),IF(Raw_Data!G49&gt;=KPI_Config!$E$7,KPI_Config!$D$7,IF(AND(KPI_Config!$F$7&gt;0,Raw_Data!G49&gt;=KPI_Config!$G$7),KPI_Config!$F$7,0)))))</f>
        <v>0.15</v>
      </c>
      <c r="H49" s="21">
        <f>IF($A49="","",IF(Raw_Data!H49="",0,IF(KPI_Config!$C$8="L",IF(Raw_Data!H49&lt;=KPI_Config!$E$8,KPI_Config!$D$8,IF(AND(KPI_Config!$F$8&gt;0,Raw_Data!H49&lt;=KPI_Config!$G$8),KPI_Config!$F$8,0)),IF(Raw_Data!H49&gt;=KPI_Config!$E$8,KPI_Config!$D$8,IF(AND(KPI_Config!$F$8&gt;0,Raw_Data!H49&gt;=KPI_Config!$G$8),KPI_Config!$F$8,0)))))</f>
        <v>0</v>
      </c>
      <c r="I49" s="21">
        <f>IF($A49="","",IF(Raw_Data!I49="",0,IF(KPI_Config!$C$9="L",IF(Raw_Data!I49&lt;=KPI_Config!$E$9,KPI_Config!$D$9,IF(AND(KPI_Config!$F$9&gt;0,Raw_Data!I49&lt;=KPI_Config!$G$9),KPI_Config!$F$9,0)),IF(Raw_Data!I49&gt;=KPI_Config!$E$9,KPI_Config!$D$9,IF(AND(KPI_Config!$F$9&gt;0,Raw_Data!I49&gt;=KPI_Config!$G$9),KPI_Config!$F$9,0)))))</f>
        <v>0</v>
      </c>
      <c r="J49" s="21">
        <f>IF($A49="","",IF(Raw_Data!J49="",0,IF(KPI_Config!$C$10="L",IF(Raw_Data!J49&lt;=KPI_Config!$E$10,KPI_Config!$D$10,IF(AND(KPI_Config!$F$10&gt;0,Raw_Data!J49&lt;=KPI_Config!$G$10),KPI_Config!$F$10,0)),IF(Raw_Data!J49&gt;=KPI_Config!$E$10,KPI_Config!$D$10,IF(AND(KPI_Config!$F$10&gt;0,Raw_Data!J49&gt;=KPI_Config!$G$10),KPI_Config!$F$10,0)))))</f>
        <v>0</v>
      </c>
      <c r="K49" s="21">
        <f>IF($A49="","",IF(Raw_Data!G49="",0,IF(KPI_Config!$C$11="L",IF(Raw_Data!G49&lt;=KPI_Config!$E$11,KPI_Config!$D$11,IF(AND(KPI_Config!$F$11&gt;0,Raw_Data!G49&lt;=KPI_Config!$G$11),KPI_Config!$F$11,0)),IF(Raw_Data!G49&gt;=KPI_Config!$E$11,KPI_Config!$D$11,IF(AND(KPI_Config!$F$11&gt;0,Raw_Data!G49&gt;=KPI_Config!$G$11),KPI_Config!$F$11,0)))))</f>
        <v>0</v>
      </c>
      <c r="L49" s="21">
        <f>IF($A49="","",MIN(Policy_Decisions!$B$10,IF(Policy_Decisions!$B$6="Additive",SUM(E49:K49),SUM(E49:J49)-G49+MAX(G49,K49))))</f>
        <v>0.44999999999999996</v>
      </c>
      <c r="M49" s="21">
        <f>IF($A49="","",Raw_Data!K49)</f>
        <v>0</v>
      </c>
      <c r="N49" s="21">
        <f>IF($A49="","",IFERROR(VLOOKUP(M49,KPI_Config!$I$5:$J$10,2,FALSE()),0))</f>
        <v>0</v>
      </c>
      <c r="O49" s="21">
        <f>IF($A49="","",IF(Policy_Decisions!$B$5="Percentage points",MAX(0,L49-N49),L49*(1-N49)))</f>
        <v>0.44999999999999996</v>
      </c>
      <c r="P49" s="13" t="str">
        <f>IF($A49="","",IF(U49="","Review proration",IF(O49=0,"No payout",IF(N49&gt;0,"Malus applied","Eligible"))))</f>
        <v>Eligible</v>
      </c>
      <c r="Q49" s="13" t="str">
        <f>IF($A49="","",Raw_Data!M49)</f>
        <v>MAD</v>
      </c>
      <c r="R49" s="37">
        <f>IF($A49="","",Raw_Data!N49)</f>
        <v>0</v>
      </c>
      <c r="S49" s="37">
        <f>IF($A49="","",Raw_Data!O49)</f>
        <v>0</v>
      </c>
      <c r="T49" s="37">
        <f>IF($A49="","",IF(Raw_Data!P49&gt;0,Raw_Data!P49,Raw_Data!N49*Raw_Data!O49/IF(Policy_Decisions!$B$7="Annual",12,1)))</f>
        <v>2000</v>
      </c>
      <c r="U49" s="37">
        <f>IF($A49="","",IF(OR(Raw_Data!R49="",Raw_Data!R49&lt;=0),"",MIN(1,MAX(0,Raw_Data!Q49/Raw_Data!R49))))</f>
        <v>1</v>
      </c>
      <c r="V49" s="37">
        <f>IF(OR($A49="",U49=""),"",T49*U49)</f>
        <v>2000</v>
      </c>
      <c r="W49" s="37">
        <f>IF(OR($A49="",V49=""),"",V49*L49)</f>
        <v>899.99999999999989</v>
      </c>
      <c r="X49" s="37">
        <f>IF(OR($A49="",V49=""),"",V49*L49-V49*O49)</f>
        <v>0</v>
      </c>
      <c r="Y49" s="37">
        <f>IF(OR($A49="",V49=""),"",ROUND(V49*O49,IF(Policy_Decisions!$B$11="Whole MAD",0,2)))</f>
        <v>900</v>
      </c>
      <c r="Z49" t="str">
        <f>Raw_Data!T49</f>
        <v>EL GHAZI Youssef</v>
      </c>
      <c r="AA49" t="str">
        <f>Raw_Data!U49</f>
        <v>Anas OUAKKAD</v>
      </c>
    </row>
    <row r="50" spans="1:27" ht="14.25" customHeight="1">
      <c r="A50" s="15">
        <f>IF(Raw_Data!A50="","",Raw_Data!A50)</f>
        <v>96462</v>
      </c>
      <c r="B50" s="15" t="str">
        <f>IF(Raw_Data!B50="","",Raw_Data!B50)</f>
        <v>OUASKIOT Rachida</v>
      </c>
      <c r="C50" s="15" t="str">
        <f>IF(Raw_Data!C50="","",Raw_Data!C50)</f>
        <v>RSA NL</v>
      </c>
      <c r="D50" s="15" t="str">
        <f>IF(Raw_Data!D50="","",Raw_Data!D50)</f>
        <v>2026-07</v>
      </c>
      <c r="E50" s="16">
        <f>IF($A50="","",IF(Raw_Data!E50="",0,IF(KPI_Config!$C$5="L",IF(Raw_Data!E50&lt;=KPI_Config!$E$5,KPI_Config!$D$5,IF(AND(KPI_Config!$F$5&gt;0,Raw_Data!E50&lt;=KPI_Config!$G$5),KPI_Config!$F$5,0)),IF(Raw_Data!E50&gt;=KPI_Config!$E$5,KPI_Config!$D$5,IF(AND(KPI_Config!$F$5&gt;0,Raw_Data!E50&gt;=KPI_Config!$G$5),KPI_Config!$F$5,0)))))</f>
        <v>0.15</v>
      </c>
      <c r="F50" s="16">
        <f>IF($A50="","",IF(Raw_Data!F50="",0,IF(KPI_Config!$C$6="L",IF(Raw_Data!F50&lt;=KPI_Config!$E$6,KPI_Config!$D$6,IF(AND(KPI_Config!$F$6&gt;0,Raw_Data!F50&lt;=KPI_Config!$G$6),KPI_Config!$F$6,0)),IF(Raw_Data!F50&gt;=KPI_Config!$E$6,KPI_Config!$D$6,IF(AND(KPI_Config!$F$6&gt;0,Raw_Data!F50&gt;=KPI_Config!$G$6),KPI_Config!$F$6,0)))))</f>
        <v>0.15</v>
      </c>
      <c r="G50" s="16">
        <f>IF($A50="","",IF(Raw_Data!G50="",0,IF(KPI_Config!$C$7="L",IF(Raw_Data!G50&lt;=KPI_Config!$E$7,KPI_Config!$D$7,IF(AND(KPI_Config!$F$7&gt;0,Raw_Data!G50&lt;=KPI_Config!$G$7),KPI_Config!$F$7,0)),IF(Raw_Data!G50&gt;=KPI_Config!$E$7,KPI_Config!$D$7,IF(AND(KPI_Config!$F$7&gt;0,Raw_Data!G50&gt;=KPI_Config!$G$7),KPI_Config!$F$7,0)))))</f>
        <v>0</v>
      </c>
      <c r="H50" s="16">
        <f>IF($A50="","",IF(Raw_Data!H50="",0,IF(KPI_Config!$C$8="L",IF(Raw_Data!H50&lt;=KPI_Config!$E$8,KPI_Config!$D$8,IF(AND(KPI_Config!$F$8&gt;0,Raw_Data!H50&lt;=KPI_Config!$G$8),KPI_Config!$F$8,0)),IF(Raw_Data!H50&gt;=KPI_Config!$E$8,KPI_Config!$D$8,IF(AND(KPI_Config!$F$8&gt;0,Raw_Data!H50&gt;=KPI_Config!$G$8),KPI_Config!$F$8,0)))))</f>
        <v>0</v>
      </c>
      <c r="I50" s="16">
        <f>IF($A50="","",IF(Raw_Data!I50="",0,IF(KPI_Config!$C$9="L",IF(Raw_Data!I50&lt;=KPI_Config!$E$9,KPI_Config!$D$9,IF(AND(KPI_Config!$F$9&gt;0,Raw_Data!I50&lt;=KPI_Config!$G$9),KPI_Config!$F$9,0)),IF(Raw_Data!I50&gt;=KPI_Config!$E$9,KPI_Config!$D$9,IF(AND(KPI_Config!$F$9&gt;0,Raw_Data!I50&gt;=KPI_Config!$G$9),KPI_Config!$F$9,0)))))</f>
        <v>0.15</v>
      </c>
      <c r="J50" s="16">
        <f>IF($A50="","",IF(Raw_Data!J50="",0,IF(KPI_Config!$C$10="L",IF(Raw_Data!J50&lt;=KPI_Config!$E$10,KPI_Config!$D$10,IF(AND(KPI_Config!$F$10&gt;0,Raw_Data!J50&lt;=KPI_Config!$G$10),KPI_Config!$F$10,0)),IF(Raw_Data!J50&gt;=KPI_Config!$E$10,KPI_Config!$D$10,IF(AND(KPI_Config!$F$10&gt;0,Raw_Data!J50&gt;=KPI_Config!$G$10),KPI_Config!$F$10,0)))))</f>
        <v>0.15</v>
      </c>
      <c r="K50" s="16">
        <f>IF($A50="","",IF(Raw_Data!G50="",0,IF(KPI_Config!$C$11="L",IF(Raw_Data!G50&lt;=KPI_Config!$E$11,KPI_Config!$D$11,IF(AND(KPI_Config!$F$11&gt;0,Raw_Data!G50&lt;=KPI_Config!$G$11),KPI_Config!$F$11,0)),IF(Raw_Data!G50&gt;=KPI_Config!$E$11,KPI_Config!$D$11,IF(AND(KPI_Config!$F$11&gt;0,Raw_Data!G50&gt;=KPI_Config!$G$11),KPI_Config!$F$11,0)))))</f>
        <v>0</v>
      </c>
      <c r="L50" s="16">
        <f>IF($A50="","",MIN(Policy_Decisions!$B$10,IF(Policy_Decisions!$B$6="Additive",SUM(E50:K50),SUM(E50:J50)-G50+MAX(G50,K50))))</f>
        <v>0.6</v>
      </c>
      <c r="M50" s="16">
        <f>IF($A50="","",Raw_Data!K50)</f>
        <v>0</v>
      </c>
      <c r="N50" s="16">
        <f>IF($A50="","",IFERROR(VLOOKUP(M50,KPI_Config!$I$5:$J$10,2,FALSE()),0))</f>
        <v>0</v>
      </c>
      <c r="O50" s="16">
        <f>IF($A50="","",IF(Policy_Decisions!$B$5="Percentage points",MAX(0,L50-N50),L50*(1-N50)))</f>
        <v>0.6</v>
      </c>
      <c r="P50" s="15" t="str">
        <f>IF($A50="","",IF(U50="","Review proration",IF(O50=0,"No payout",IF(N50&gt;0,"Malus applied","Eligible"))))</f>
        <v>Eligible</v>
      </c>
      <c r="Q50" s="15" t="str">
        <f>IF($A50="","",Raw_Data!M50)</f>
        <v>MAD</v>
      </c>
      <c r="R50" s="38">
        <f>IF($A50="","",Raw_Data!N50)</f>
        <v>0</v>
      </c>
      <c r="S50" s="38">
        <f>IF($A50="","",Raw_Data!O50)</f>
        <v>0</v>
      </c>
      <c r="T50" s="38">
        <f>IF($A50="","",IF(Raw_Data!P50&gt;0,Raw_Data!P50,Raw_Data!N50*Raw_Data!O50/IF(Policy_Decisions!$B$7="Annual",12,1)))</f>
        <v>2000</v>
      </c>
      <c r="U50" s="38">
        <f>IF($A50="","",IF(OR(Raw_Data!R50="",Raw_Data!R50&lt;=0),"",MIN(1,MAX(0,Raw_Data!Q50/Raw_Data!R50))))</f>
        <v>1</v>
      </c>
      <c r="V50" s="38">
        <f>IF(OR($A50="",U50=""),"",T50*U50)</f>
        <v>2000</v>
      </c>
      <c r="W50" s="38">
        <f>IF(OR($A50="",V50=""),"",V50*L50)</f>
        <v>1200</v>
      </c>
      <c r="X50" s="38">
        <f>IF(OR($A50="",V50=""),"",V50*L50-V50*O50)</f>
        <v>0</v>
      </c>
      <c r="Y50" s="38">
        <f>IF(OR($A50="",V50=""),"",ROUND(V50*O50,IF(Policy_Decisions!$B$11="Whole MAD",0,2)))</f>
        <v>1200</v>
      </c>
      <c r="Z50" t="str">
        <f>Raw_Data!T50</f>
        <v>JEANNE NKIKIO RWIBUTSO</v>
      </c>
      <c r="AA50" t="str">
        <f>Raw_Data!U50</f>
        <v>Anas OUAKKAD</v>
      </c>
    </row>
    <row r="51" spans="1:27" ht="14.25" customHeight="1">
      <c r="A51" s="13">
        <f>IF(Raw_Data!A51="","",Raw_Data!A51)</f>
        <v>134404</v>
      </c>
      <c r="B51" s="13" t="str">
        <f>IF(Raw_Data!B51="","",Raw_Data!B51)</f>
        <v>Rachid  Mourad</v>
      </c>
      <c r="C51" s="13" t="str">
        <f>IF(Raw_Data!C51="","",Raw_Data!C51)</f>
        <v>RSA NL</v>
      </c>
      <c r="D51" s="13" t="str">
        <f>IF(Raw_Data!D51="","",Raw_Data!D51)</f>
        <v>2026-07</v>
      </c>
      <c r="E51" s="21">
        <f>IF($A51="","",IF(Raw_Data!E51="",0,IF(KPI_Config!$C$5="L",IF(Raw_Data!E51&lt;=KPI_Config!$E$5,KPI_Config!$D$5,IF(AND(KPI_Config!$F$5&gt;0,Raw_Data!E51&lt;=KPI_Config!$G$5),KPI_Config!$F$5,0)),IF(Raw_Data!E51&gt;=KPI_Config!$E$5,KPI_Config!$D$5,IF(AND(KPI_Config!$F$5&gt;0,Raw_Data!E51&gt;=KPI_Config!$G$5),KPI_Config!$F$5,0)))))</f>
        <v>0</v>
      </c>
      <c r="F51" s="21">
        <f>IF($A51="","",IF(Raw_Data!F51="",0,IF(KPI_Config!$C$6="L",IF(Raw_Data!F51&lt;=KPI_Config!$E$6,KPI_Config!$D$6,IF(AND(KPI_Config!$F$6&gt;0,Raw_Data!F51&lt;=KPI_Config!$G$6),KPI_Config!$F$6,0)),IF(Raw_Data!F51&gt;=KPI_Config!$E$6,KPI_Config!$D$6,IF(AND(KPI_Config!$F$6&gt;0,Raw_Data!F51&gt;=KPI_Config!$G$6),KPI_Config!$F$6,0)))))</f>
        <v>0</v>
      </c>
      <c r="G51" s="21">
        <f>IF($A51="","",IF(Raw_Data!G51="",0,IF(KPI_Config!$C$7="L",IF(Raw_Data!G51&lt;=KPI_Config!$E$7,KPI_Config!$D$7,IF(AND(KPI_Config!$F$7&gt;0,Raw_Data!G51&lt;=KPI_Config!$G$7),KPI_Config!$F$7,0)),IF(Raw_Data!G51&gt;=KPI_Config!$E$7,KPI_Config!$D$7,IF(AND(KPI_Config!$F$7&gt;0,Raw_Data!G51&gt;=KPI_Config!$G$7),KPI_Config!$F$7,0)))))</f>
        <v>0</v>
      </c>
      <c r="H51" s="21">
        <f>IF($A51="","",IF(Raw_Data!H51="",0,IF(KPI_Config!$C$8="L",IF(Raw_Data!H51&lt;=KPI_Config!$E$8,KPI_Config!$D$8,IF(AND(KPI_Config!$F$8&gt;0,Raw_Data!H51&lt;=KPI_Config!$G$8),KPI_Config!$F$8,0)),IF(Raw_Data!H51&gt;=KPI_Config!$E$8,KPI_Config!$D$8,IF(AND(KPI_Config!$F$8&gt;0,Raw_Data!H51&gt;=KPI_Config!$G$8),KPI_Config!$F$8,0)))))</f>
        <v>0</v>
      </c>
      <c r="I51" s="21">
        <f>IF($A51="","",IF(Raw_Data!I51="",0,IF(KPI_Config!$C$9="L",IF(Raw_Data!I51&lt;=KPI_Config!$E$9,KPI_Config!$D$9,IF(AND(KPI_Config!$F$9&gt;0,Raw_Data!I51&lt;=KPI_Config!$G$9),KPI_Config!$F$9,0)),IF(Raw_Data!I51&gt;=KPI_Config!$E$9,KPI_Config!$D$9,IF(AND(KPI_Config!$F$9&gt;0,Raw_Data!I51&gt;=KPI_Config!$G$9),KPI_Config!$F$9,0)))))</f>
        <v>0</v>
      </c>
      <c r="J51" s="21">
        <f>IF($A51="","",IF(Raw_Data!J51="",0,IF(KPI_Config!$C$10="L",IF(Raw_Data!J51&lt;=KPI_Config!$E$10,KPI_Config!$D$10,IF(AND(KPI_Config!$F$10&gt;0,Raw_Data!J51&lt;=KPI_Config!$G$10),KPI_Config!$F$10,0)),IF(Raw_Data!J51&gt;=KPI_Config!$E$10,KPI_Config!$D$10,IF(AND(KPI_Config!$F$10&gt;0,Raw_Data!J51&gt;=KPI_Config!$G$10),KPI_Config!$F$10,0)))))</f>
        <v>0</v>
      </c>
      <c r="K51" s="21">
        <f>IF($A51="","",IF(Raw_Data!G51="",0,IF(KPI_Config!$C$11="L",IF(Raw_Data!G51&lt;=KPI_Config!$E$11,KPI_Config!$D$11,IF(AND(KPI_Config!$F$11&gt;0,Raw_Data!G51&lt;=KPI_Config!$G$11),KPI_Config!$F$11,0)),IF(Raw_Data!G51&gt;=KPI_Config!$E$11,KPI_Config!$D$11,IF(AND(KPI_Config!$F$11&gt;0,Raw_Data!G51&gt;=KPI_Config!$G$11),KPI_Config!$F$11,0)))))</f>
        <v>0</v>
      </c>
      <c r="L51" s="21">
        <f>IF($A51="","",MIN(Policy_Decisions!$B$10,IF(Policy_Decisions!$B$6="Additive",SUM(E51:K51),SUM(E51:J51)-G51+MAX(G51,K51))))</f>
        <v>0</v>
      </c>
      <c r="M51" s="21">
        <f>IF($A51="","",Raw_Data!K51)</f>
        <v>0</v>
      </c>
      <c r="N51" s="21">
        <f>IF($A51="","",IFERROR(VLOOKUP(M51,KPI_Config!$I$5:$J$10,2,FALSE()),0))</f>
        <v>0</v>
      </c>
      <c r="O51" s="21">
        <f>IF($A51="","",IF(Policy_Decisions!$B$5="Percentage points",MAX(0,L51-N51),L51*(1-N51)))</f>
        <v>0</v>
      </c>
      <c r="P51" s="13" t="str">
        <f>IF($A51="","",IF(U51="","Review proration",IF(O51=0,"No payout",IF(N51&gt;0,"Malus applied","Eligible"))))</f>
        <v>No payout</v>
      </c>
      <c r="Q51" s="13" t="str">
        <f>IF($A51="","",Raw_Data!M51)</f>
        <v>MAD</v>
      </c>
      <c r="R51" s="37">
        <f>IF($A51="","",Raw_Data!N51)</f>
        <v>0</v>
      </c>
      <c r="S51" s="37">
        <f>IF($A51="","",Raw_Data!O51)</f>
        <v>0</v>
      </c>
      <c r="T51" s="37">
        <f>IF($A51="","",IF(Raw_Data!P51&gt;0,Raw_Data!P51,Raw_Data!N51*Raw_Data!O51/IF(Policy_Decisions!$B$7="Annual",12,1)))</f>
        <v>2000</v>
      </c>
      <c r="U51" s="37">
        <f>IF($A51="","",IF(OR(Raw_Data!R51="",Raw_Data!R51&lt;=0),"",MIN(1,MAX(0,Raw_Data!Q51/Raw_Data!R51))))</f>
        <v>1</v>
      </c>
      <c r="V51" s="37">
        <f>IF(OR($A51="",U51=""),"",T51*U51)</f>
        <v>2000</v>
      </c>
      <c r="W51" s="37">
        <f>IF(OR($A51="",V51=""),"",V51*L51)</f>
        <v>0</v>
      </c>
      <c r="X51" s="37">
        <f>IF(OR($A51="",V51=""),"",V51*L51-V51*O51)</f>
        <v>0</v>
      </c>
      <c r="Y51" s="37">
        <f>IF(OR($A51="",V51=""),"",ROUND(V51*O51,IF(Policy_Decisions!$B$11="Whole MAD",0,2)))</f>
        <v>0</v>
      </c>
      <c r="Z51" t="str">
        <f>Raw_Data!T51</f>
        <v>Glenn Antoon</v>
      </c>
      <c r="AA51" t="str">
        <f>Raw_Data!U51</f>
        <v>Anas OUAKKAD</v>
      </c>
    </row>
    <row r="52" spans="1:27" ht="14.25" customHeight="1">
      <c r="A52" s="15">
        <f>IF(Raw_Data!A52="","",Raw_Data!A52)</f>
        <v>96523</v>
      </c>
      <c r="B52" s="15" t="str">
        <f>IF(Raw_Data!B52="","",Raw_Data!B52)</f>
        <v>EL HARRAK Rachid</v>
      </c>
      <c r="C52" s="15" t="str">
        <f>IF(Raw_Data!C52="","",Raw_Data!C52)</f>
        <v>RSA NL</v>
      </c>
      <c r="D52" s="15" t="str">
        <f>IF(Raw_Data!D52="","",Raw_Data!D52)</f>
        <v>2026-07</v>
      </c>
      <c r="E52" s="16">
        <f>IF($A52="","",IF(Raw_Data!E52="",0,IF(KPI_Config!$C$5="L",IF(Raw_Data!E52&lt;=KPI_Config!$E$5,KPI_Config!$D$5,IF(AND(KPI_Config!$F$5&gt;0,Raw_Data!E52&lt;=KPI_Config!$G$5),KPI_Config!$F$5,0)),IF(Raw_Data!E52&gt;=KPI_Config!$E$5,KPI_Config!$D$5,IF(AND(KPI_Config!$F$5&gt;0,Raw_Data!E52&gt;=KPI_Config!$G$5),KPI_Config!$F$5,0)))))</f>
        <v>0.15</v>
      </c>
      <c r="F52" s="16">
        <f>IF($A52="","",IF(Raw_Data!F52="",0,IF(KPI_Config!$C$6="L",IF(Raw_Data!F52&lt;=KPI_Config!$E$6,KPI_Config!$D$6,IF(AND(KPI_Config!$F$6&gt;0,Raw_Data!F52&lt;=KPI_Config!$G$6),KPI_Config!$F$6,0)),IF(Raw_Data!F52&gt;=KPI_Config!$E$6,KPI_Config!$D$6,IF(AND(KPI_Config!$F$6&gt;0,Raw_Data!F52&gt;=KPI_Config!$G$6),KPI_Config!$F$6,0)))))</f>
        <v>0.15</v>
      </c>
      <c r="G52" s="16">
        <f>IF($A52="","",IF(Raw_Data!G52="",0,IF(KPI_Config!$C$7="L",IF(Raw_Data!G52&lt;=KPI_Config!$E$7,KPI_Config!$D$7,IF(AND(KPI_Config!$F$7&gt;0,Raw_Data!G52&lt;=KPI_Config!$G$7),KPI_Config!$F$7,0)),IF(Raw_Data!G52&gt;=KPI_Config!$E$7,KPI_Config!$D$7,IF(AND(KPI_Config!$F$7&gt;0,Raw_Data!G52&gt;=KPI_Config!$G$7),KPI_Config!$F$7,0)))))</f>
        <v>0</v>
      </c>
      <c r="H52" s="16">
        <f>IF($A52="","",IF(Raw_Data!H52="",0,IF(KPI_Config!$C$8="L",IF(Raw_Data!H52&lt;=KPI_Config!$E$8,KPI_Config!$D$8,IF(AND(KPI_Config!$F$8&gt;0,Raw_Data!H52&lt;=KPI_Config!$G$8),KPI_Config!$F$8,0)),IF(Raw_Data!H52&gt;=KPI_Config!$E$8,KPI_Config!$D$8,IF(AND(KPI_Config!$F$8&gt;0,Raw_Data!H52&gt;=KPI_Config!$G$8),KPI_Config!$F$8,0)))))</f>
        <v>0</v>
      </c>
      <c r="I52" s="16">
        <f>IF($A52="","",IF(Raw_Data!I52="",0,IF(KPI_Config!$C$9="L",IF(Raw_Data!I52&lt;=KPI_Config!$E$9,KPI_Config!$D$9,IF(AND(KPI_Config!$F$9&gt;0,Raw_Data!I52&lt;=KPI_Config!$G$9),KPI_Config!$F$9,0)),IF(Raw_Data!I52&gt;=KPI_Config!$E$9,KPI_Config!$D$9,IF(AND(KPI_Config!$F$9&gt;0,Raw_Data!I52&gt;=KPI_Config!$G$9),KPI_Config!$F$9,0)))))</f>
        <v>0</v>
      </c>
      <c r="J52" s="16">
        <f>IF($A52="","",IF(Raw_Data!J52="",0,IF(KPI_Config!$C$10="L",IF(Raw_Data!J52&lt;=KPI_Config!$E$10,KPI_Config!$D$10,IF(AND(KPI_Config!$F$10&gt;0,Raw_Data!J52&lt;=KPI_Config!$G$10),KPI_Config!$F$10,0)),IF(Raw_Data!J52&gt;=KPI_Config!$E$10,KPI_Config!$D$10,IF(AND(KPI_Config!$F$10&gt;0,Raw_Data!J52&gt;=KPI_Config!$G$10),KPI_Config!$F$10,0)))))</f>
        <v>0</v>
      </c>
      <c r="K52" s="16">
        <f>IF($A52="","",IF(Raw_Data!G52="",0,IF(KPI_Config!$C$11="L",IF(Raw_Data!G52&lt;=KPI_Config!$E$11,KPI_Config!$D$11,IF(AND(KPI_Config!$F$11&gt;0,Raw_Data!G52&lt;=KPI_Config!$G$11),KPI_Config!$F$11,0)),IF(Raw_Data!G52&gt;=KPI_Config!$E$11,KPI_Config!$D$11,IF(AND(KPI_Config!$F$11&gt;0,Raw_Data!G52&gt;=KPI_Config!$G$11),KPI_Config!$F$11,0)))))</f>
        <v>0</v>
      </c>
      <c r="L52" s="16">
        <f>IF($A52="","",MIN(Policy_Decisions!$B$10,IF(Policy_Decisions!$B$6="Additive",SUM(E52:K52),SUM(E52:J52)-G52+MAX(G52,K52))))</f>
        <v>0.3</v>
      </c>
      <c r="M52" s="16">
        <f>IF($A52="","",Raw_Data!K52)</f>
        <v>0</v>
      </c>
      <c r="N52" s="16">
        <f>IF($A52="","",IFERROR(VLOOKUP(M52,KPI_Config!$I$5:$J$10,2,FALSE()),0))</f>
        <v>0</v>
      </c>
      <c r="O52" s="16">
        <f>IF($A52="","",IF(Policy_Decisions!$B$5="Percentage points",MAX(0,L52-N52),L52*(1-N52)))</f>
        <v>0.3</v>
      </c>
      <c r="P52" s="15" t="str">
        <f>IF($A52="","",IF(U52="","Review proration",IF(O52=0,"No payout",IF(N52&gt;0,"Malus applied","Eligible"))))</f>
        <v>Eligible</v>
      </c>
      <c r="Q52" s="15" t="str">
        <f>IF($A52="","",Raw_Data!M52)</f>
        <v>MAD</v>
      </c>
      <c r="R52" s="38">
        <f>IF($A52="","",Raw_Data!N52)</f>
        <v>0</v>
      </c>
      <c r="S52" s="38">
        <f>IF($A52="","",Raw_Data!O52)</f>
        <v>0</v>
      </c>
      <c r="T52" s="38">
        <f>IF($A52="","",IF(Raw_Data!P52&gt;0,Raw_Data!P52,Raw_Data!N52*Raw_Data!O52/IF(Policy_Decisions!$B$7="Annual",12,1)))</f>
        <v>2000</v>
      </c>
      <c r="U52" s="38">
        <f>IF($A52="","",IF(OR(Raw_Data!R52="",Raw_Data!R52&lt;=0),"",MIN(1,MAX(0,Raw_Data!Q52/Raw_Data!R52))))</f>
        <v>1</v>
      </c>
      <c r="V52" s="38">
        <f>IF(OR($A52="",U52=""),"",T52*U52)</f>
        <v>2000</v>
      </c>
      <c r="W52" s="38">
        <f>IF(OR($A52="",V52=""),"",V52*L52)</f>
        <v>600</v>
      </c>
      <c r="X52" s="38">
        <f>IF(OR($A52="",V52=""),"",V52*L52-V52*O52)</f>
        <v>0</v>
      </c>
      <c r="Y52" s="38">
        <f>IF(OR($A52="",V52=""),"",ROUND(V52*O52,IF(Policy_Decisions!$B$11="Whole MAD",0,2)))</f>
        <v>600</v>
      </c>
      <c r="Z52" t="str">
        <f>Raw_Data!T52</f>
        <v>AL TAMIMI Zeynab</v>
      </c>
      <c r="AA52" t="str">
        <f>Raw_Data!U52</f>
        <v>Anas OUAKKAD</v>
      </c>
    </row>
    <row r="53" spans="1:27" ht="14.25" customHeight="1">
      <c r="A53" s="13">
        <f>IF(Raw_Data!A53="","",Raw_Data!A53)</f>
        <v>203627</v>
      </c>
      <c r="B53" s="13" t="str">
        <f>IF(Raw_Data!B53="","",Raw_Data!B53)</f>
        <v>Sy Ousmane</v>
      </c>
      <c r="C53" s="13" t="str">
        <f>IF(Raw_Data!C53="","",Raw_Data!C53)</f>
        <v>OEM FR</v>
      </c>
      <c r="D53" s="13" t="str">
        <f>IF(Raw_Data!D53="","",Raw_Data!D53)</f>
        <v>2026-07</v>
      </c>
      <c r="E53" s="21">
        <f>IF($A53="","",IF(Raw_Data!E53="",0,IF(KPI_Config!$C$5="L",IF(Raw_Data!E53&lt;=KPI_Config!$E$5,KPI_Config!$D$5,IF(AND(KPI_Config!$F$5&gt;0,Raw_Data!E53&lt;=KPI_Config!$G$5),KPI_Config!$F$5,0)),IF(Raw_Data!E53&gt;=KPI_Config!$E$5,KPI_Config!$D$5,IF(AND(KPI_Config!$F$5&gt;0,Raw_Data!E53&gt;=KPI_Config!$G$5),KPI_Config!$F$5,0)))))</f>
        <v>0</v>
      </c>
      <c r="F53" s="21">
        <f>IF($A53="","",IF(Raw_Data!F53="",0,IF(KPI_Config!$C$6="L",IF(Raw_Data!F53&lt;=KPI_Config!$E$6,KPI_Config!$D$6,IF(AND(KPI_Config!$F$6&gt;0,Raw_Data!F53&lt;=KPI_Config!$G$6),KPI_Config!$F$6,0)),IF(Raw_Data!F53&gt;=KPI_Config!$E$6,KPI_Config!$D$6,IF(AND(KPI_Config!$F$6&gt;0,Raw_Data!F53&gt;=KPI_Config!$G$6),KPI_Config!$F$6,0)))))</f>
        <v>0</v>
      </c>
      <c r="G53" s="21">
        <f>IF($A53="","",IF(Raw_Data!G53="",0,IF(KPI_Config!$C$7="L",IF(Raw_Data!G53&lt;=KPI_Config!$E$7,KPI_Config!$D$7,IF(AND(KPI_Config!$F$7&gt;0,Raw_Data!G53&lt;=KPI_Config!$G$7),KPI_Config!$F$7,0)),IF(Raw_Data!G53&gt;=KPI_Config!$E$7,KPI_Config!$D$7,IF(AND(KPI_Config!$F$7&gt;0,Raw_Data!G53&gt;=KPI_Config!$G$7),KPI_Config!$F$7,0)))))</f>
        <v>0.2</v>
      </c>
      <c r="H53" s="21">
        <f>IF($A53="","",IF(Raw_Data!H53="",0,IF(KPI_Config!$C$8="L",IF(Raw_Data!H53&lt;=KPI_Config!$E$8,KPI_Config!$D$8,IF(AND(KPI_Config!$F$8&gt;0,Raw_Data!H53&lt;=KPI_Config!$G$8),KPI_Config!$F$8,0)),IF(Raw_Data!H53&gt;=KPI_Config!$E$8,KPI_Config!$D$8,IF(AND(KPI_Config!$F$8&gt;0,Raw_Data!H53&gt;=KPI_Config!$G$8),KPI_Config!$F$8,0)))))</f>
        <v>0</v>
      </c>
      <c r="I53" s="21">
        <f>IF($A53="","",IF(Raw_Data!I53="",0,IF(KPI_Config!$C$9="L",IF(Raw_Data!I53&lt;=KPI_Config!$E$9,KPI_Config!$D$9,IF(AND(KPI_Config!$F$9&gt;0,Raw_Data!I53&lt;=KPI_Config!$G$9),KPI_Config!$F$9,0)),IF(Raw_Data!I53&gt;=KPI_Config!$E$9,KPI_Config!$D$9,IF(AND(KPI_Config!$F$9&gt;0,Raw_Data!I53&gt;=KPI_Config!$G$9),KPI_Config!$F$9,0)))))</f>
        <v>0</v>
      </c>
      <c r="J53" s="21">
        <f>IF($A53="","",IF(Raw_Data!J53="",0,IF(KPI_Config!$C$10="L",IF(Raw_Data!J53&lt;=KPI_Config!$E$10,KPI_Config!$D$10,IF(AND(KPI_Config!$F$10&gt;0,Raw_Data!J53&lt;=KPI_Config!$G$10),KPI_Config!$F$10,0)),IF(Raw_Data!J53&gt;=KPI_Config!$E$10,KPI_Config!$D$10,IF(AND(KPI_Config!$F$10&gt;0,Raw_Data!J53&gt;=KPI_Config!$G$10),KPI_Config!$F$10,0)))))</f>
        <v>0.15</v>
      </c>
      <c r="K53" s="21">
        <f>IF($A53="","",IF(Raw_Data!G53="",0,IF(KPI_Config!$C$11="L",IF(Raw_Data!G53&lt;=KPI_Config!$E$11,KPI_Config!$D$11,IF(AND(KPI_Config!$F$11&gt;0,Raw_Data!G53&lt;=KPI_Config!$G$11),KPI_Config!$F$11,0)),IF(Raw_Data!G53&gt;=KPI_Config!$E$11,KPI_Config!$D$11,IF(AND(KPI_Config!$F$11&gt;0,Raw_Data!G53&gt;=KPI_Config!$G$11),KPI_Config!$F$11,0)))))</f>
        <v>0.3</v>
      </c>
      <c r="L53" s="21">
        <f>IF($A53="","",MIN(Policy_Decisions!$B$10,IF(Policy_Decisions!$B$6="Additive",SUM(E53:K53),SUM(E53:J53)-G53+MAX(G53,K53))))</f>
        <v>0.64999999999999991</v>
      </c>
      <c r="M53" s="21">
        <f>IF($A53="","",Raw_Data!K53)</f>
        <v>0</v>
      </c>
      <c r="N53" s="21">
        <f>IF($A53="","",IFERROR(VLOOKUP(M53,KPI_Config!$I$5:$J$10,2,FALSE()),0))</f>
        <v>0</v>
      </c>
      <c r="O53" s="21">
        <f>IF($A53="","",IF(Policy_Decisions!$B$5="Percentage points",MAX(0,L53-N53),L53*(1-N53)))</f>
        <v>0.64999999999999991</v>
      </c>
      <c r="P53" s="13" t="str">
        <f>IF($A53="","",IF(U53="","Review proration",IF(O53=0,"No payout",IF(N53&gt;0,"Malus applied","Eligible"))))</f>
        <v>Eligible</v>
      </c>
      <c r="Q53" s="13" t="str">
        <f>IF($A53="","",Raw_Data!M53)</f>
        <v>MAD</v>
      </c>
      <c r="R53" s="37">
        <f>IF($A53="","",Raw_Data!N53)</f>
        <v>0</v>
      </c>
      <c r="S53" s="37">
        <f>IF($A53="","",Raw_Data!O53)</f>
        <v>0</v>
      </c>
      <c r="T53" s="37">
        <f>IF($A53="","",IF(Raw_Data!P53&gt;0,Raw_Data!P53,Raw_Data!N53*Raw_Data!O53/IF(Policy_Decisions!$B$7="Annual",12,1)))</f>
        <v>2000</v>
      </c>
      <c r="U53" s="37">
        <f>IF($A53="","",IF(OR(Raw_Data!R53="",Raw_Data!R53&lt;=0),"",MIN(1,MAX(0,Raw_Data!Q53/Raw_Data!R53))))</f>
        <v>1</v>
      </c>
      <c r="V53" s="37">
        <f>IF(OR($A53="",U53=""),"",T53*U53)</f>
        <v>2000</v>
      </c>
      <c r="W53" s="37">
        <f>IF(OR($A53="",V53=""),"",V53*L53)</f>
        <v>1299.9999999999998</v>
      </c>
      <c r="X53" s="37">
        <f>IF(OR($A53="",V53=""),"",V53*L53-V53*O53)</f>
        <v>0</v>
      </c>
      <c r="Y53" s="37">
        <f>IF(OR($A53="",V53=""),"",ROUND(V53*O53,IF(Policy_Decisions!$B$11="Whole MAD",0,2)))</f>
        <v>1300</v>
      </c>
      <c r="Z53" t="str">
        <f>Raw_Data!T53</f>
        <v>Kenza EL MOUMNI</v>
      </c>
      <c r="AA53" t="str">
        <f>Raw_Data!U53</f>
        <v>Anas OUAKKAD</v>
      </c>
    </row>
    <row r="54" spans="1:27" ht="14.25" customHeight="1">
      <c r="A54" s="15">
        <f>IF(Raw_Data!A54="","",Raw_Data!A54)</f>
        <v>249777</v>
      </c>
      <c r="B54" s="15" t="str">
        <f>IF(Raw_Data!B54="","",Raw_Data!B54)</f>
        <v>Oumaima LARIANI</v>
      </c>
      <c r="C54" s="15" t="str">
        <f>IF(Raw_Data!C54="","",Raw_Data!C54)</f>
        <v>RSA FR</v>
      </c>
      <c r="D54" s="15" t="str">
        <f>IF(Raw_Data!D54="","",Raw_Data!D54)</f>
        <v>2026-07</v>
      </c>
      <c r="E54" s="16">
        <f>IF($A54="","",IF(Raw_Data!E54="",0,IF(KPI_Config!$C$5="L",IF(Raw_Data!E54&lt;=KPI_Config!$E$5,KPI_Config!$D$5,IF(AND(KPI_Config!$F$5&gt;0,Raw_Data!E54&lt;=KPI_Config!$G$5),KPI_Config!$F$5,0)),IF(Raw_Data!E54&gt;=KPI_Config!$E$5,KPI_Config!$D$5,IF(AND(KPI_Config!$F$5&gt;0,Raw_Data!E54&gt;=KPI_Config!$G$5),KPI_Config!$F$5,0)))))</f>
        <v>0</v>
      </c>
      <c r="F54" s="16">
        <f>IF($A54="","",IF(Raw_Data!F54="",0,IF(KPI_Config!$C$6="L",IF(Raw_Data!F54&lt;=KPI_Config!$E$6,KPI_Config!$D$6,IF(AND(KPI_Config!$F$6&gt;0,Raw_Data!F54&lt;=KPI_Config!$G$6),KPI_Config!$F$6,0)),IF(Raw_Data!F54&gt;=KPI_Config!$E$6,KPI_Config!$D$6,IF(AND(KPI_Config!$F$6&gt;0,Raw_Data!F54&gt;=KPI_Config!$G$6),KPI_Config!$F$6,0)))))</f>
        <v>0</v>
      </c>
      <c r="G54" s="16">
        <f>IF($A54="","",IF(Raw_Data!G54="",0,IF(KPI_Config!$C$7="L",IF(Raw_Data!G54&lt;=KPI_Config!$E$7,KPI_Config!$D$7,IF(AND(KPI_Config!$F$7&gt;0,Raw_Data!G54&lt;=KPI_Config!$G$7),KPI_Config!$F$7,0)),IF(Raw_Data!G54&gt;=KPI_Config!$E$7,KPI_Config!$D$7,IF(AND(KPI_Config!$F$7&gt;0,Raw_Data!G54&gt;=KPI_Config!$G$7),KPI_Config!$F$7,0)))))</f>
        <v>0</v>
      </c>
      <c r="H54" s="16">
        <f>IF($A54="","",IF(Raw_Data!H54="",0,IF(KPI_Config!$C$8="L",IF(Raw_Data!H54&lt;=KPI_Config!$E$8,KPI_Config!$D$8,IF(AND(KPI_Config!$F$8&gt;0,Raw_Data!H54&lt;=KPI_Config!$G$8),KPI_Config!$F$8,0)),IF(Raw_Data!H54&gt;=KPI_Config!$E$8,KPI_Config!$D$8,IF(AND(KPI_Config!$F$8&gt;0,Raw_Data!H54&gt;=KPI_Config!$G$8),KPI_Config!$F$8,0)))))</f>
        <v>0</v>
      </c>
      <c r="I54" s="16">
        <f>IF($A54="","",IF(Raw_Data!I54="",0,IF(KPI_Config!$C$9="L",IF(Raw_Data!I54&lt;=KPI_Config!$E$9,KPI_Config!$D$9,IF(AND(KPI_Config!$F$9&gt;0,Raw_Data!I54&lt;=KPI_Config!$G$9),KPI_Config!$F$9,0)),IF(Raw_Data!I54&gt;=KPI_Config!$E$9,KPI_Config!$D$9,IF(AND(KPI_Config!$F$9&gt;0,Raw_Data!I54&gt;=KPI_Config!$G$9),KPI_Config!$F$9,0)))))</f>
        <v>0</v>
      </c>
      <c r="J54" s="16">
        <f>IF($A54="","",IF(Raw_Data!J54="",0,IF(KPI_Config!$C$10="L",IF(Raw_Data!J54&lt;=KPI_Config!$E$10,KPI_Config!$D$10,IF(AND(KPI_Config!$F$10&gt;0,Raw_Data!J54&lt;=KPI_Config!$G$10),KPI_Config!$F$10,0)),IF(Raw_Data!J54&gt;=KPI_Config!$E$10,KPI_Config!$D$10,IF(AND(KPI_Config!$F$10&gt;0,Raw_Data!J54&gt;=KPI_Config!$G$10),KPI_Config!$F$10,0)))))</f>
        <v>0.15</v>
      </c>
      <c r="K54" s="16">
        <f>IF($A54="","",IF(Raw_Data!G54="",0,IF(KPI_Config!$C$11="L",IF(Raw_Data!G54&lt;=KPI_Config!$E$11,KPI_Config!$D$11,IF(AND(KPI_Config!$F$11&gt;0,Raw_Data!G54&lt;=KPI_Config!$G$11),KPI_Config!$F$11,0)),IF(Raw_Data!G54&gt;=KPI_Config!$E$11,KPI_Config!$D$11,IF(AND(KPI_Config!$F$11&gt;0,Raw_Data!G54&gt;=KPI_Config!$G$11),KPI_Config!$F$11,0)))))</f>
        <v>0</v>
      </c>
      <c r="L54" s="16">
        <f>IF($A54="","",MIN(Policy_Decisions!$B$10,IF(Policy_Decisions!$B$6="Additive",SUM(E54:K54),SUM(E54:J54)-G54+MAX(G54,K54))))</f>
        <v>0.15</v>
      </c>
      <c r="M54" s="16">
        <f>IF($A54="","",Raw_Data!K54)</f>
        <v>0</v>
      </c>
      <c r="N54" s="16">
        <f>IF($A54="","",IFERROR(VLOOKUP(M54,KPI_Config!$I$5:$J$10,2,FALSE()),0))</f>
        <v>0</v>
      </c>
      <c r="O54" s="16">
        <f>IF($A54="","",IF(Policy_Decisions!$B$5="Percentage points",MAX(0,L54-N54),L54*(1-N54)))</f>
        <v>0.15</v>
      </c>
      <c r="P54" s="15" t="str">
        <f>IF($A54="","",IF(U54="","Review proration",IF(O54=0,"No payout",IF(N54&gt;0,"Malus applied","Eligible"))))</f>
        <v>Eligible</v>
      </c>
      <c r="Q54" s="15" t="str">
        <f>IF($A54="","",Raw_Data!M54)</f>
        <v>MAD</v>
      </c>
      <c r="R54" s="38">
        <f>IF($A54="","",Raw_Data!N54)</f>
        <v>0</v>
      </c>
      <c r="S54" s="38">
        <f>IF($A54="","",Raw_Data!O54)</f>
        <v>0</v>
      </c>
      <c r="T54" s="38">
        <f>IF($A54="","",IF(Raw_Data!P54&gt;0,Raw_Data!P54,Raw_Data!N54*Raw_Data!O54/IF(Policy_Decisions!$B$7="Annual",12,1)))</f>
        <v>2000</v>
      </c>
      <c r="U54" s="38">
        <f>IF($A54="","",IF(OR(Raw_Data!R54="",Raw_Data!R54&lt;=0),"",MIN(1,MAX(0,Raw_Data!Q54/Raw_Data!R54))))</f>
        <v>1</v>
      </c>
      <c r="V54" s="38">
        <f>IF(OR($A54="",U54=""),"",T54*U54)</f>
        <v>2000</v>
      </c>
      <c r="W54" s="38">
        <f>IF(OR($A54="",V54=""),"",V54*L54)</f>
        <v>300</v>
      </c>
      <c r="X54" s="38">
        <f>IF(OR($A54="",V54=""),"",V54*L54-V54*O54)</f>
        <v>0</v>
      </c>
      <c r="Y54" s="38">
        <f>IF(OR($A54="",V54=""),"",ROUND(V54*O54,IF(Policy_Decisions!$B$11="Whole MAD",0,2)))</f>
        <v>300</v>
      </c>
      <c r="Z54" t="str">
        <f>Raw_Data!T54</f>
        <v>Farouk BOUAZZAOUI</v>
      </c>
      <c r="AA54" t="str">
        <f>Raw_Data!U54</f>
        <v>Anas OUAKKAD</v>
      </c>
    </row>
    <row r="55" spans="1:27" ht="14.25" customHeight="1">
      <c r="A55" s="13">
        <f>IF(Raw_Data!A55="","",Raw_Data!A55)</f>
        <v>207051</v>
      </c>
      <c r="B55" s="13" t="str">
        <f>IF(Raw_Data!B55="","",Raw_Data!B55)</f>
        <v>Fifadji Orphélia Yvelines</v>
      </c>
      <c r="C55" s="13" t="str">
        <f>IF(Raw_Data!C55="","",Raw_Data!C55)</f>
        <v>OEM FR</v>
      </c>
      <c r="D55" s="13" t="str">
        <f>IF(Raw_Data!D55="","",Raw_Data!D55)</f>
        <v>2026-07</v>
      </c>
      <c r="E55" s="21">
        <f>IF($A55="","",IF(Raw_Data!E55="",0,IF(KPI_Config!$C$5="L",IF(Raw_Data!E55&lt;=KPI_Config!$E$5,KPI_Config!$D$5,IF(AND(KPI_Config!$F$5&gt;0,Raw_Data!E55&lt;=KPI_Config!$G$5),KPI_Config!$F$5,0)),IF(Raw_Data!E55&gt;=KPI_Config!$E$5,KPI_Config!$D$5,IF(AND(KPI_Config!$F$5&gt;0,Raw_Data!E55&gt;=KPI_Config!$G$5),KPI_Config!$F$5,0)))))</f>
        <v>0</v>
      </c>
      <c r="F55" s="21">
        <f>IF($A55="","",IF(Raw_Data!F55="",0,IF(KPI_Config!$C$6="L",IF(Raw_Data!F55&lt;=KPI_Config!$E$6,KPI_Config!$D$6,IF(AND(KPI_Config!$F$6&gt;0,Raw_Data!F55&lt;=KPI_Config!$G$6),KPI_Config!$F$6,0)),IF(Raw_Data!F55&gt;=KPI_Config!$E$6,KPI_Config!$D$6,IF(AND(KPI_Config!$F$6&gt;0,Raw_Data!F55&gt;=KPI_Config!$G$6),KPI_Config!$F$6,0)))))</f>
        <v>0</v>
      </c>
      <c r="G55" s="21">
        <f>IF($A55="","",IF(Raw_Data!G55="",0,IF(KPI_Config!$C$7="L",IF(Raw_Data!G55&lt;=KPI_Config!$E$7,KPI_Config!$D$7,IF(AND(KPI_Config!$F$7&gt;0,Raw_Data!G55&lt;=KPI_Config!$G$7),KPI_Config!$F$7,0)),IF(Raw_Data!G55&gt;=KPI_Config!$E$7,KPI_Config!$D$7,IF(AND(KPI_Config!$F$7&gt;0,Raw_Data!G55&gt;=KPI_Config!$G$7),KPI_Config!$F$7,0)))))</f>
        <v>0.2</v>
      </c>
      <c r="H55" s="21">
        <f>IF($A55="","",IF(Raw_Data!H55="",0,IF(KPI_Config!$C$8="L",IF(Raw_Data!H55&lt;=KPI_Config!$E$8,KPI_Config!$D$8,IF(AND(KPI_Config!$F$8&gt;0,Raw_Data!H55&lt;=KPI_Config!$G$8),KPI_Config!$F$8,0)),IF(Raw_Data!H55&gt;=KPI_Config!$E$8,KPI_Config!$D$8,IF(AND(KPI_Config!$F$8&gt;0,Raw_Data!H55&gt;=KPI_Config!$G$8),KPI_Config!$F$8,0)))))</f>
        <v>0</v>
      </c>
      <c r="I55" s="21">
        <f>IF($A55="","",IF(Raw_Data!I55="",0,IF(KPI_Config!$C$9="L",IF(Raw_Data!I55&lt;=KPI_Config!$E$9,KPI_Config!$D$9,IF(AND(KPI_Config!$F$9&gt;0,Raw_Data!I55&lt;=KPI_Config!$G$9),KPI_Config!$F$9,0)),IF(Raw_Data!I55&gt;=KPI_Config!$E$9,KPI_Config!$D$9,IF(AND(KPI_Config!$F$9&gt;0,Raw_Data!I55&gt;=KPI_Config!$G$9),KPI_Config!$F$9,0)))))</f>
        <v>0</v>
      </c>
      <c r="J55" s="21">
        <f>IF($A55="","",IF(Raw_Data!J55="",0,IF(KPI_Config!$C$10="L",IF(Raw_Data!J55&lt;=KPI_Config!$E$10,KPI_Config!$D$10,IF(AND(KPI_Config!$F$10&gt;0,Raw_Data!J55&lt;=KPI_Config!$G$10),KPI_Config!$F$10,0)),IF(Raw_Data!J55&gt;=KPI_Config!$E$10,KPI_Config!$D$10,IF(AND(KPI_Config!$F$10&gt;0,Raw_Data!J55&gt;=KPI_Config!$G$10),KPI_Config!$F$10,0)))))</f>
        <v>0.15</v>
      </c>
      <c r="K55" s="21">
        <f>IF($A55="","",IF(Raw_Data!G55="",0,IF(KPI_Config!$C$11="L",IF(Raw_Data!G55&lt;=KPI_Config!$E$11,KPI_Config!$D$11,IF(AND(KPI_Config!$F$11&gt;0,Raw_Data!G55&lt;=KPI_Config!$G$11),KPI_Config!$F$11,0)),IF(Raw_Data!G55&gt;=KPI_Config!$E$11,KPI_Config!$D$11,IF(AND(KPI_Config!$F$11&gt;0,Raw_Data!G55&gt;=KPI_Config!$G$11),KPI_Config!$F$11,0)))))</f>
        <v>0.3</v>
      </c>
      <c r="L55" s="21">
        <f>IF($A55="","",MIN(Policy_Decisions!$B$10,IF(Policy_Decisions!$B$6="Additive",SUM(E55:K55),SUM(E55:J55)-G55+MAX(G55,K55))))</f>
        <v>0.64999999999999991</v>
      </c>
      <c r="M55" s="21">
        <f>IF($A55="","",Raw_Data!K55)</f>
        <v>0</v>
      </c>
      <c r="N55" s="21">
        <f>IF($A55="","",IFERROR(VLOOKUP(M55,KPI_Config!$I$5:$J$10,2,FALSE()),0))</f>
        <v>0</v>
      </c>
      <c r="O55" s="21">
        <f>IF($A55="","",IF(Policy_Decisions!$B$5="Percentage points",MAX(0,L55-N55),L55*(1-N55)))</f>
        <v>0.64999999999999991</v>
      </c>
      <c r="P55" s="13" t="str">
        <f>IF($A55="","",IF(U55="","Review proration",IF(O55=0,"No payout",IF(N55&gt;0,"Malus applied","Eligible"))))</f>
        <v>Eligible</v>
      </c>
      <c r="Q55" s="13" t="str">
        <f>IF($A55="","",Raw_Data!M55)</f>
        <v>MAD</v>
      </c>
      <c r="R55" s="37">
        <f>IF($A55="","",Raw_Data!N55)</f>
        <v>0</v>
      </c>
      <c r="S55" s="37">
        <f>IF($A55="","",Raw_Data!O55)</f>
        <v>0</v>
      </c>
      <c r="T55" s="37">
        <f>IF($A55="","",IF(Raw_Data!P55&gt;0,Raw_Data!P55,Raw_Data!N55*Raw_Data!O55/IF(Policy_Decisions!$B$7="Annual",12,1)))</f>
        <v>2000</v>
      </c>
      <c r="U55" s="37">
        <f>IF($A55="","",IF(OR(Raw_Data!R55="",Raw_Data!R55&lt;=0),"",MIN(1,MAX(0,Raw_Data!Q55/Raw_Data!R55))))</f>
        <v>1</v>
      </c>
      <c r="V55" s="37">
        <f>IF(OR($A55="",U55=""),"",T55*U55)</f>
        <v>2000</v>
      </c>
      <c r="W55" s="37">
        <f>IF(OR($A55="",V55=""),"",V55*L55)</f>
        <v>1299.9999999999998</v>
      </c>
      <c r="X55" s="37">
        <f>IF(OR($A55="",V55=""),"",V55*L55-V55*O55)</f>
        <v>0</v>
      </c>
      <c r="Y55" s="37">
        <f>IF(OR($A55="",V55=""),"",ROUND(V55*O55,IF(Policy_Decisions!$B$11="Whole MAD",0,2)))</f>
        <v>1300</v>
      </c>
      <c r="Z55" t="str">
        <f>Raw_Data!T55</f>
        <v>Zineb MOUFID</v>
      </c>
      <c r="AA55" t="str">
        <f>Raw_Data!U55</f>
        <v>Anas OUAKKAD</v>
      </c>
    </row>
    <row r="56" spans="1:27" ht="14.25" customHeight="1">
      <c r="A56" s="15">
        <f>IF(Raw_Data!A56="","",Raw_Data!A56)</f>
        <v>144565</v>
      </c>
      <c r="B56" s="15" t="str">
        <f>IF(Raw_Data!B56="","",Raw_Data!B56)</f>
        <v>NABAT Nouhaila</v>
      </c>
      <c r="C56" s="15" t="str">
        <f>IF(Raw_Data!C56="","",Raw_Data!C56)</f>
        <v>RSA FR</v>
      </c>
      <c r="D56" s="15" t="str">
        <f>IF(Raw_Data!D56="","",Raw_Data!D56)</f>
        <v>2026-07</v>
      </c>
      <c r="E56" s="16">
        <f>IF($A56="","",IF(Raw_Data!E56="",0,IF(KPI_Config!$C$5="L",IF(Raw_Data!E56&lt;=KPI_Config!$E$5,KPI_Config!$D$5,IF(AND(KPI_Config!$F$5&gt;0,Raw_Data!E56&lt;=KPI_Config!$G$5),KPI_Config!$F$5,0)),IF(Raw_Data!E56&gt;=KPI_Config!$E$5,KPI_Config!$D$5,IF(AND(KPI_Config!$F$5&gt;0,Raw_Data!E56&gt;=KPI_Config!$G$5),KPI_Config!$F$5,0)))))</f>
        <v>0.15</v>
      </c>
      <c r="F56" s="16">
        <f>IF($A56="","",IF(Raw_Data!F56="",0,IF(KPI_Config!$C$6="L",IF(Raw_Data!F56&lt;=KPI_Config!$E$6,KPI_Config!$D$6,IF(AND(KPI_Config!$F$6&gt;0,Raw_Data!F56&lt;=KPI_Config!$G$6),KPI_Config!$F$6,0)),IF(Raw_Data!F56&gt;=KPI_Config!$E$6,KPI_Config!$D$6,IF(AND(KPI_Config!$F$6&gt;0,Raw_Data!F56&gt;=KPI_Config!$G$6),KPI_Config!$F$6,0)))))</f>
        <v>0.15</v>
      </c>
      <c r="G56" s="16">
        <f>IF($A56="","",IF(Raw_Data!G56="",0,IF(KPI_Config!$C$7="L",IF(Raw_Data!G56&lt;=KPI_Config!$E$7,KPI_Config!$D$7,IF(AND(KPI_Config!$F$7&gt;0,Raw_Data!G56&lt;=KPI_Config!$G$7),KPI_Config!$F$7,0)),IF(Raw_Data!G56&gt;=KPI_Config!$E$7,KPI_Config!$D$7,IF(AND(KPI_Config!$F$7&gt;0,Raw_Data!G56&gt;=KPI_Config!$G$7),KPI_Config!$F$7,0)))))</f>
        <v>0</v>
      </c>
      <c r="H56" s="16">
        <f>IF($A56="","",IF(Raw_Data!H56="",0,IF(KPI_Config!$C$8="L",IF(Raw_Data!H56&lt;=KPI_Config!$E$8,KPI_Config!$D$8,IF(AND(KPI_Config!$F$8&gt;0,Raw_Data!H56&lt;=KPI_Config!$G$8),KPI_Config!$F$8,0)),IF(Raw_Data!H56&gt;=KPI_Config!$E$8,KPI_Config!$D$8,IF(AND(KPI_Config!$F$8&gt;0,Raw_Data!H56&gt;=KPI_Config!$G$8),KPI_Config!$F$8,0)))))</f>
        <v>0</v>
      </c>
      <c r="I56" s="16">
        <f>IF($A56="","",IF(Raw_Data!I56="",0,IF(KPI_Config!$C$9="L",IF(Raw_Data!I56&lt;=KPI_Config!$E$9,KPI_Config!$D$9,IF(AND(KPI_Config!$F$9&gt;0,Raw_Data!I56&lt;=KPI_Config!$G$9),KPI_Config!$F$9,0)),IF(Raw_Data!I56&gt;=KPI_Config!$E$9,KPI_Config!$D$9,IF(AND(KPI_Config!$F$9&gt;0,Raw_Data!I56&gt;=KPI_Config!$G$9),KPI_Config!$F$9,0)))))</f>
        <v>0.2</v>
      </c>
      <c r="J56" s="16">
        <f>IF($A56="","",IF(Raw_Data!J56="",0,IF(KPI_Config!$C$10="L",IF(Raw_Data!J56&lt;=KPI_Config!$E$10,KPI_Config!$D$10,IF(AND(KPI_Config!$F$10&gt;0,Raw_Data!J56&lt;=KPI_Config!$G$10),KPI_Config!$F$10,0)),IF(Raw_Data!J56&gt;=KPI_Config!$E$10,KPI_Config!$D$10,IF(AND(KPI_Config!$F$10&gt;0,Raw_Data!J56&gt;=KPI_Config!$G$10),KPI_Config!$F$10,0)))))</f>
        <v>0.15</v>
      </c>
      <c r="K56" s="16">
        <f>IF($A56="","",IF(Raw_Data!G56="",0,IF(KPI_Config!$C$11="L",IF(Raw_Data!G56&lt;=KPI_Config!$E$11,KPI_Config!$D$11,IF(AND(KPI_Config!$F$11&gt;0,Raw_Data!G56&lt;=KPI_Config!$G$11),KPI_Config!$F$11,0)),IF(Raw_Data!G56&gt;=KPI_Config!$E$11,KPI_Config!$D$11,IF(AND(KPI_Config!$F$11&gt;0,Raw_Data!G56&gt;=KPI_Config!$G$11),KPI_Config!$F$11,0)))))</f>
        <v>0</v>
      </c>
      <c r="L56" s="16">
        <f>IF($A56="","",MIN(Policy_Decisions!$B$10,IF(Policy_Decisions!$B$6="Additive",SUM(E56:K56),SUM(E56:J56)-G56+MAX(G56,K56))))</f>
        <v>0.65</v>
      </c>
      <c r="M56" s="16">
        <f>IF($A56="","",Raw_Data!K56)</f>
        <v>0</v>
      </c>
      <c r="N56" s="16">
        <f>IF($A56="","",IFERROR(VLOOKUP(M56,KPI_Config!$I$5:$J$10,2,FALSE()),0))</f>
        <v>0</v>
      </c>
      <c r="O56" s="16">
        <f>IF($A56="","",IF(Policy_Decisions!$B$5="Percentage points",MAX(0,L56-N56),L56*(1-N56)))</f>
        <v>0.65</v>
      </c>
      <c r="P56" s="15" t="str">
        <f>IF($A56="","",IF(U56="","Review proration",IF(O56=0,"No payout",IF(N56&gt;0,"Malus applied","Eligible"))))</f>
        <v>Eligible</v>
      </c>
      <c r="Q56" s="15" t="str">
        <f>IF($A56="","",Raw_Data!M56)</f>
        <v>MAD</v>
      </c>
      <c r="R56" s="38">
        <f>IF($A56="","",Raw_Data!N56)</f>
        <v>0</v>
      </c>
      <c r="S56" s="38">
        <f>IF($A56="","",Raw_Data!O56)</f>
        <v>0</v>
      </c>
      <c r="T56" s="38">
        <f>IF($A56="","",IF(Raw_Data!P56&gt;0,Raw_Data!P56,Raw_Data!N56*Raw_Data!O56/IF(Policy_Decisions!$B$7="Annual",12,1)))</f>
        <v>2000</v>
      </c>
      <c r="U56" s="38">
        <f>IF($A56="","",IF(OR(Raw_Data!R56="",Raw_Data!R56&lt;=0),"",MIN(1,MAX(0,Raw_Data!Q56/Raw_Data!R56))))</f>
        <v>1</v>
      </c>
      <c r="V56" s="38">
        <f>IF(OR($A56="",U56=""),"",T56*U56)</f>
        <v>2000</v>
      </c>
      <c r="W56" s="38">
        <f>IF(OR($A56="",V56=""),"",V56*L56)</f>
        <v>1300</v>
      </c>
      <c r="X56" s="38">
        <f>IF(OR($A56="",V56=""),"",V56*L56-V56*O56)</f>
        <v>0</v>
      </c>
      <c r="Y56" s="38">
        <f>IF(OR($A56="",V56=""),"",ROUND(V56*O56,IF(Policy_Decisions!$B$11="Whole MAD",0,2)))</f>
        <v>1300</v>
      </c>
      <c r="Z56" t="str">
        <f>Raw_Data!T56</f>
        <v>Mohamed-Amine SADKI</v>
      </c>
      <c r="AA56" t="str">
        <f>Raw_Data!U56</f>
        <v>Anas OUAKKAD</v>
      </c>
    </row>
    <row r="57" spans="1:27" ht="14.25" customHeight="1">
      <c r="A57" s="13">
        <f>IF(Raw_Data!A57="","",Raw_Data!A57)</f>
        <v>203080</v>
      </c>
      <c r="B57" s="13" t="str">
        <f>IF(Raw_Data!B57="","",Raw_Data!B57)</f>
        <v>Lamtibbou Nizar</v>
      </c>
      <c r="C57" s="13" t="str">
        <f>IF(Raw_Data!C57="","",Raw_Data!C57)</f>
        <v>RSA FR</v>
      </c>
      <c r="D57" s="13" t="str">
        <f>IF(Raw_Data!D57="","",Raw_Data!D57)</f>
        <v>2026-07</v>
      </c>
      <c r="E57" s="21">
        <f>IF($A57="","",IF(Raw_Data!E57="",0,IF(KPI_Config!$C$5="L",IF(Raw_Data!E57&lt;=KPI_Config!$E$5,KPI_Config!$D$5,IF(AND(KPI_Config!$F$5&gt;0,Raw_Data!E57&lt;=KPI_Config!$G$5),KPI_Config!$F$5,0)),IF(Raw_Data!E57&gt;=KPI_Config!$E$5,KPI_Config!$D$5,IF(AND(KPI_Config!$F$5&gt;0,Raw_Data!E57&gt;=KPI_Config!$G$5),KPI_Config!$F$5,0)))))</f>
        <v>0.15</v>
      </c>
      <c r="F57" s="21">
        <f>IF($A57="","",IF(Raw_Data!F57="",0,IF(KPI_Config!$C$6="L",IF(Raw_Data!F57&lt;=KPI_Config!$E$6,KPI_Config!$D$6,IF(AND(KPI_Config!$F$6&gt;0,Raw_Data!F57&lt;=KPI_Config!$G$6),KPI_Config!$F$6,0)),IF(Raw_Data!F57&gt;=KPI_Config!$E$6,KPI_Config!$D$6,IF(AND(KPI_Config!$F$6&gt;0,Raw_Data!F57&gt;=KPI_Config!$G$6),KPI_Config!$F$6,0)))))</f>
        <v>0.15</v>
      </c>
      <c r="G57" s="21">
        <f>IF($A57="","",IF(Raw_Data!G57="",0,IF(KPI_Config!$C$7="L",IF(Raw_Data!G57&lt;=KPI_Config!$E$7,KPI_Config!$D$7,IF(AND(KPI_Config!$F$7&gt;0,Raw_Data!G57&lt;=KPI_Config!$G$7),KPI_Config!$F$7,0)),IF(Raw_Data!G57&gt;=KPI_Config!$E$7,KPI_Config!$D$7,IF(AND(KPI_Config!$F$7&gt;0,Raw_Data!G57&gt;=KPI_Config!$G$7),KPI_Config!$F$7,0)))))</f>
        <v>0</v>
      </c>
      <c r="H57" s="21">
        <f>IF($A57="","",IF(Raw_Data!H57="",0,IF(KPI_Config!$C$8="L",IF(Raw_Data!H57&lt;=KPI_Config!$E$8,KPI_Config!$D$8,IF(AND(KPI_Config!$F$8&gt;0,Raw_Data!H57&lt;=KPI_Config!$G$8),KPI_Config!$F$8,0)),IF(Raw_Data!H57&gt;=KPI_Config!$E$8,KPI_Config!$D$8,IF(AND(KPI_Config!$F$8&gt;0,Raw_Data!H57&gt;=KPI_Config!$G$8),KPI_Config!$F$8,0)))))</f>
        <v>0</v>
      </c>
      <c r="I57" s="21">
        <f>IF($A57="","",IF(Raw_Data!I57="",0,IF(KPI_Config!$C$9="L",IF(Raw_Data!I57&lt;=KPI_Config!$E$9,KPI_Config!$D$9,IF(AND(KPI_Config!$F$9&gt;0,Raw_Data!I57&lt;=KPI_Config!$G$9),KPI_Config!$F$9,0)),IF(Raw_Data!I57&gt;=KPI_Config!$E$9,KPI_Config!$D$9,IF(AND(KPI_Config!$F$9&gt;0,Raw_Data!I57&gt;=KPI_Config!$G$9),KPI_Config!$F$9,0)))))</f>
        <v>0</v>
      </c>
      <c r="J57" s="21">
        <f>IF($A57="","",IF(Raw_Data!J57="",0,IF(KPI_Config!$C$10="L",IF(Raw_Data!J57&lt;=KPI_Config!$E$10,KPI_Config!$D$10,IF(AND(KPI_Config!$F$10&gt;0,Raw_Data!J57&lt;=KPI_Config!$G$10),KPI_Config!$F$10,0)),IF(Raw_Data!J57&gt;=KPI_Config!$E$10,KPI_Config!$D$10,IF(AND(KPI_Config!$F$10&gt;0,Raw_Data!J57&gt;=KPI_Config!$G$10),KPI_Config!$F$10,0)))))</f>
        <v>0</v>
      </c>
      <c r="K57" s="21">
        <f>IF($A57="","",IF(Raw_Data!G57="",0,IF(KPI_Config!$C$11="L",IF(Raw_Data!G57&lt;=KPI_Config!$E$11,KPI_Config!$D$11,IF(AND(KPI_Config!$F$11&gt;0,Raw_Data!G57&lt;=KPI_Config!$G$11),KPI_Config!$F$11,0)),IF(Raw_Data!G57&gt;=KPI_Config!$E$11,KPI_Config!$D$11,IF(AND(KPI_Config!$F$11&gt;0,Raw_Data!G57&gt;=KPI_Config!$G$11),KPI_Config!$F$11,0)))))</f>
        <v>0</v>
      </c>
      <c r="L57" s="21">
        <f>IF($A57="","",MIN(Policy_Decisions!$B$10,IF(Policy_Decisions!$B$6="Additive",SUM(E57:K57),SUM(E57:J57)-G57+MAX(G57,K57))))</f>
        <v>0.3</v>
      </c>
      <c r="M57" s="21">
        <f>IF($A57="","",Raw_Data!K57)</f>
        <v>0</v>
      </c>
      <c r="N57" s="21">
        <f>IF($A57="","",IFERROR(VLOOKUP(M57,KPI_Config!$I$5:$J$10,2,FALSE()),0))</f>
        <v>0</v>
      </c>
      <c r="O57" s="21">
        <f>IF($A57="","",IF(Policy_Decisions!$B$5="Percentage points",MAX(0,L57-N57),L57*(1-N57)))</f>
        <v>0.3</v>
      </c>
      <c r="P57" s="13" t="str">
        <f>IF($A57="","",IF(U57="","Review proration",IF(O57=0,"No payout",IF(N57&gt;0,"Malus applied","Eligible"))))</f>
        <v>Eligible</v>
      </c>
      <c r="Q57" s="13" t="str">
        <f>IF($A57="","",Raw_Data!M57)</f>
        <v>MAD</v>
      </c>
      <c r="R57" s="37">
        <f>IF($A57="","",Raw_Data!N57)</f>
        <v>0</v>
      </c>
      <c r="S57" s="37">
        <f>IF($A57="","",Raw_Data!O57)</f>
        <v>0</v>
      </c>
      <c r="T57" s="37">
        <f>IF($A57="","",IF(Raw_Data!P57&gt;0,Raw_Data!P57,Raw_Data!N57*Raw_Data!O57/IF(Policy_Decisions!$B$7="Annual",12,1)))</f>
        <v>2000</v>
      </c>
      <c r="U57" s="37">
        <f>IF($A57="","",IF(OR(Raw_Data!R57="",Raw_Data!R57&lt;=0),"",MIN(1,MAX(0,Raw_Data!Q57/Raw_Data!R57))))</f>
        <v>1</v>
      </c>
      <c r="V57" s="37">
        <f>IF(OR($A57="",U57=""),"",T57*U57)</f>
        <v>2000</v>
      </c>
      <c r="W57" s="37">
        <f>IF(OR($A57="",V57=""),"",V57*L57)</f>
        <v>600</v>
      </c>
      <c r="X57" s="37">
        <f>IF(OR($A57="",V57=""),"",V57*L57-V57*O57)</f>
        <v>0</v>
      </c>
      <c r="Y57" s="37">
        <f>IF(OR($A57="",V57=""),"",ROUND(V57*O57,IF(Policy_Decisions!$B$11="Whole MAD",0,2)))</f>
        <v>600</v>
      </c>
      <c r="Z57" t="str">
        <f>Raw_Data!T57</f>
        <v>Mohamed-Amine SADKI</v>
      </c>
      <c r="AA57" t="str">
        <f>Raw_Data!U57</f>
        <v>Anas OUAKKAD</v>
      </c>
    </row>
    <row r="58" spans="1:27" ht="14.25" customHeight="1">
      <c r="A58" s="15">
        <f>IF(Raw_Data!A58="","",Raw_Data!A58)</f>
        <v>223882</v>
      </c>
      <c r="B58" s="15" t="str">
        <f>IF(Raw_Data!B58="","",Raw_Data!B58)</f>
        <v>Nassim Abdelrzak STITOU</v>
      </c>
      <c r="C58" s="15" t="str">
        <f>IF(Raw_Data!C58="","",Raw_Data!C58)</f>
        <v>RSA VL</v>
      </c>
      <c r="D58" s="15" t="str">
        <f>IF(Raw_Data!D58="","",Raw_Data!D58)</f>
        <v>2026-07</v>
      </c>
      <c r="E58" s="16">
        <f>IF($A58="","",IF(Raw_Data!E58="",0,IF(KPI_Config!$C$5="L",IF(Raw_Data!E58&lt;=KPI_Config!$E$5,KPI_Config!$D$5,IF(AND(KPI_Config!$F$5&gt;0,Raw_Data!E58&lt;=KPI_Config!$G$5),KPI_Config!$F$5,0)),IF(Raw_Data!E58&gt;=KPI_Config!$E$5,KPI_Config!$D$5,IF(AND(KPI_Config!$F$5&gt;0,Raw_Data!E58&gt;=KPI_Config!$G$5),KPI_Config!$F$5,0)))))</f>
        <v>0.15</v>
      </c>
      <c r="F58" s="16">
        <f>IF($A58="","",IF(Raw_Data!F58="",0,IF(KPI_Config!$C$6="L",IF(Raw_Data!F58&lt;=KPI_Config!$E$6,KPI_Config!$D$6,IF(AND(KPI_Config!$F$6&gt;0,Raw_Data!F58&lt;=KPI_Config!$G$6),KPI_Config!$F$6,0)),IF(Raw_Data!F58&gt;=KPI_Config!$E$6,KPI_Config!$D$6,IF(AND(KPI_Config!$F$6&gt;0,Raw_Data!F58&gt;=KPI_Config!$G$6),KPI_Config!$F$6,0)))))</f>
        <v>0.15</v>
      </c>
      <c r="G58" s="16">
        <f>IF($A58="","",IF(Raw_Data!G58="",0,IF(KPI_Config!$C$7="L",IF(Raw_Data!G58&lt;=KPI_Config!$E$7,KPI_Config!$D$7,IF(AND(KPI_Config!$F$7&gt;0,Raw_Data!G58&lt;=KPI_Config!$G$7),KPI_Config!$F$7,0)),IF(Raw_Data!G58&gt;=KPI_Config!$E$7,KPI_Config!$D$7,IF(AND(KPI_Config!$F$7&gt;0,Raw_Data!G58&gt;=KPI_Config!$G$7),KPI_Config!$F$7,0)))))</f>
        <v>0</v>
      </c>
      <c r="H58" s="16">
        <f>IF($A58="","",IF(Raw_Data!H58="",0,IF(KPI_Config!$C$8="L",IF(Raw_Data!H58&lt;=KPI_Config!$E$8,KPI_Config!$D$8,IF(AND(KPI_Config!$F$8&gt;0,Raw_Data!H58&lt;=KPI_Config!$G$8),KPI_Config!$F$8,0)),IF(Raw_Data!H58&gt;=KPI_Config!$E$8,KPI_Config!$D$8,IF(AND(KPI_Config!$F$8&gt;0,Raw_Data!H58&gt;=KPI_Config!$G$8),KPI_Config!$F$8,0)))))</f>
        <v>0</v>
      </c>
      <c r="I58" s="16">
        <f>IF($A58="","",IF(Raw_Data!I58="",0,IF(KPI_Config!$C$9="L",IF(Raw_Data!I58&lt;=KPI_Config!$E$9,KPI_Config!$D$9,IF(AND(KPI_Config!$F$9&gt;0,Raw_Data!I58&lt;=KPI_Config!$G$9),KPI_Config!$F$9,0)),IF(Raw_Data!I58&gt;=KPI_Config!$E$9,KPI_Config!$D$9,IF(AND(KPI_Config!$F$9&gt;0,Raw_Data!I58&gt;=KPI_Config!$G$9),KPI_Config!$F$9,0)))))</f>
        <v>0</v>
      </c>
      <c r="J58" s="16">
        <f>IF($A58="","",IF(Raw_Data!J58="",0,IF(KPI_Config!$C$10="L",IF(Raw_Data!J58&lt;=KPI_Config!$E$10,KPI_Config!$D$10,IF(AND(KPI_Config!$F$10&gt;0,Raw_Data!J58&lt;=KPI_Config!$G$10),KPI_Config!$F$10,0)),IF(Raw_Data!J58&gt;=KPI_Config!$E$10,KPI_Config!$D$10,IF(AND(KPI_Config!$F$10&gt;0,Raw_Data!J58&gt;=KPI_Config!$G$10),KPI_Config!$F$10,0)))))</f>
        <v>0</v>
      </c>
      <c r="K58" s="16">
        <f>IF($A58="","",IF(Raw_Data!G58="",0,IF(KPI_Config!$C$11="L",IF(Raw_Data!G58&lt;=KPI_Config!$E$11,KPI_Config!$D$11,IF(AND(KPI_Config!$F$11&gt;0,Raw_Data!G58&lt;=KPI_Config!$G$11),KPI_Config!$F$11,0)),IF(Raw_Data!G58&gt;=KPI_Config!$E$11,KPI_Config!$D$11,IF(AND(KPI_Config!$F$11&gt;0,Raw_Data!G58&gt;=KPI_Config!$G$11),KPI_Config!$F$11,0)))))</f>
        <v>0</v>
      </c>
      <c r="L58" s="16">
        <f>IF($A58="","",MIN(Policy_Decisions!$B$10,IF(Policy_Decisions!$B$6="Additive",SUM(E58:K58),SUM(E58:J58)-G58+MAX(G58,K58))))</f>
        <v>0.3</v>
      </c>
      <c r="M58" s="16">
        <f>IF($A58="","",Raw_Data!K58)</f>
        <v>0</v>
      </c>
      <c r="N58" s="16">
        <f>IF($A58="","",IFERROR(VLOOKUP(M58,KPI_Config!$I$5:$J$10,2,FALSE()),0))</f>
        <v>0</v>
      </c>
      <c r="O58" s="16">
        <f>IF($A58="","",IF(Policy_Decisions!$B$5="Percentage points",MAX(0,L58-N58),L58*(1-N58)))</f>
        <v>0.3</v>
      </c>
      <c r="P58" s="15" t="str">
        <f>IF($A58="","",IF(U58="","Review proration",IF(O58=0,"No payout",IF(N58&gt;0,"Malus applied","Eligible"))))</f>
        <v>Eligible</v>
      </c>
      <c r="Q58" s="15" t="str">
        <f>IF($A58="","",Raw_Data!M58)</f>
        <v>MAD</v>
      </c>
      <c r="R58" s="38">
        <f>IF($A58="","",Raw_Data!N58)</f>
        <v>0</v>
      </c>
      <c r="S58" s="38">
        <f>IF($A58="","",Raw_Data!O58)</f>
        <v>0</v>
      </c>
      <c r="T58" s="38">
        <f>IF($A58="","",IF(Raw_Data!P58&gt;0,Raw_Data!P58,Raw_Data!N58*Raw_Data!O58/IF(Policy_Decisions!$B$7="Annual",12,1)))</f>
        <v>2000</v>
      </c>
      <c r="U58" s="38">
        <f>IF($A58="","",IF(OR(Raw_Data!R58="",Raw_Data!R58&lt;=0),"",MIN(1,MAX(0,Raw_Data!Q58/Raw_Data!R58))))</f>
        <v>1</v>
      </c>
      <c r="V58" s="38">
        <f>IF(OR($A58="",U58=""),"",T58*U58)</f>
        <v>2000</v>
      </c>
      <c r="W58" s="38">
        <f>IF(OR($A58="",V58=""),"",V58*L58)</f>
        <v>600</v>
      </c>
      <c r="X58" s="38">
        <f>IF(OR($A58="",V58=""),"",V58*L58-V58*O58)</f>
        <v>0</v>
      </c>
      <c r="Y58" s="38">
        <f>IF(OR($A58="",V58=""),"",ROUND(V58*O58,IF(Policy_Decisions!$B$11="Whole MAD",0,2)))</f>
        <v>600</v>
      </c>
      <c r="Z58" t="str">
        <f>Raw_Data!T58</f>
        <v>Glenn Antoon</v>
      </c>
      <c r="AA58" t="str">
        <f>Raw_Data!U58</f>
        <v>Anas OUAKKAD</v>
      </c>
    </row>
    <row r="59" spans="1:27" ht="14.25" customHeight="1">
      <c r="A59" s="13">
        <f>IF(Raw_Data!A59="","",Raw_Data!A59)</f>
        <v>123229</v>
      </c>
      <c r="B59" s="13" t="str">
        <f>IF(Raw_Data!B59="","",Raw_Data!B59)</f>
        <v>EL ARKOUBI Nasseri</v>
      </c>
      <c r="C59" s="13" t="str">
        <f>IF(Raw_Data!C59="","",Raw_Data!C59)</f>
        <v>RSA NL</v>
      </c>
      <c r="D59" s="13" t="str">
        <f>IF(Raw_Data!D59="","",Raw_Data!D59)</f>
        <v>2026-07</v>
      </c>
      <c r="E59" s="21">
        <f>IF($A59="","",IF(Raw_Data!E59="",0,IF(KPI_Config!$C$5="L",IF(Raw_Data!E59&lt;=KPI_Config!$E$5,KPI_Config!$D$5,IF(AND(KPI_Config!$F$5&gt;0,Raw_Data!E59&lt;=KPI_Config!$G$5),KPI_Config!$F$5,0)),IF(Raw_Data!E59&gt;=KPI_Config!$E$5,KPI_Config!$D$5,IF(AND(KPI_Config!$F$5&gt;0,Raw_Data!E59&gt;=KPI_Config!$G$5),KPI_Config!$F$5,0)))))</f>
        <v>0.15</v>
      </c>
      <c r="F59" s="21">
        <f>IF($A59="","",IF(Raw_Data!F59="",0,IF(KPI_Config!$C$6="L",IF(Raw_Data!F59&lt;=KPI_Config!$E$6,KPI_Config!$D$6,IF(AND(KPI_Config!$F$6&gt;0,Raw_Data!F59&lt;=KPI_Config!$G$6),KPI_Config!$F$6,0)),IF(Raw_Data!F59&gt;=KPI_Config!$E$6,KPI_Config!$D$6,IF(AND(KPI_Config!$F$6&gt;0,Raw_Data!F59&gt;=KPI_Config!$G$6),KPI_Config!$F$6,0)))))</f>
        <v>0.15</v>
      </c>
      <c r="G59" s="21">
        <f>IF($A59="","",IF(Raw_Data!G59="",0,IF(KPI_Config!$C$7="L",IF(Raw_Data!G59&lt;=KPI_Config!$E$7,KPI_Config!$D$7,IF(AND(KPI_Config!$F$7&gt;0,Raw_Data!G59&lt;=KPI_Config!$G$7),KPI_Config!$F$7,0)),IF(Raw_Data!G59&gt;=KPI_Config!$E$7,KPI_Config!$D$7,IF(AND(KPI_Config!$F$7&gt;0,Raw_Data!G59&gt;=KPI_Config!$G$7),KPI_Config!$F$7,0)))))</f>
        <v>0.2</v>
      </c>
      <c r="H59" s="21">
        <f>IF($A59="","",IF(Raw_Data!H59="",0,IF(KPI_Config!$C$8="L",IF(Raw_Data!H59&lt;=KPI_Config!$E$8,KPI_Config!$D$8,IF(AND(KPI_Config!$F$8&gt;0,Raw_Data!H59&lt;=KPI_Config!$G$8),KPI_Config!$F$8,0)),IF(Raw_Data!H59&gt;=KPI_Config!$E$8,KPI_Config!$D$8,IF(AND(KPI_Config!$F$8&gt;0,Raw_Data!H59&gt;=KPI_Config!$G$8),KPI_Config!$F$8,0)))))</f>
        <v>0</v>
      </c>
      <c r="I59" s="21">
        <f>IF($A59="","",IF(Raw_Data!I59="",0,IF(KPI_Config!$C$9="L",IF(Raw_Data!I59&lt;=KPI_Config!$E$9,KPI_Config!$D$9,IF(AND(KPI_Config!$F$9&gt;0,Raw_Data!I59&lt;=KPI_Config!$G$9),KPI_Config!$F$9,0)),IF(Raw_Data!I59&gt;=KPI_Config!$E$9,KPI_Config!$D$9,IF(AND(KPI_Config!$F$9&gt;0,Raw_Data!I59&gt;=KPI_Config!$G$9),KPI_Config!$F$9,0)))))</f>
        <v>0.2</v>
      </c>
      <c r="J59" s="21">
        <f>IF($A59="","",IF(Raw_Data!J59="",0,IF(KPI_Config!$C$10="L",IF(Raw_Data!J59&lt;=KPI_Config!$E$10,KPI_Config!$D$10,IF(AND(KPI_Config!$F$10&gt;0,Raw_Data!J59&lt;=KPI_Config!$G$10),KPI_Config!$F$10,0)),IF(Raw_Data!J59&gt;=KPI_Config!$E$10,KPI_Config!$D$10,IF(AND(KPI_Config!$F$10&gt;0,Raw_Data!J59&gt;=KPI_Config!$G$10),KPI_Config!$F$10,0)))))</f>
        <v>0.15</v>
      </c>
      <c r="K59" s="21">
        <f>IF($A59="","",IF(Raw_Data!G59="",0,IF(KPI_Config!$C$11="L",IF(Raw_Data!G59&lt;=KPI_Config!$E$11,KPI_Config!$D$11,IF(AND(KPI_Config!$F$11&gt;0,Raw_Data!G59&lt;=KPI_Config!$G$11),KPI_Config!$F$11,0)),IF(Raw_Data!G59&gt;=KPI_Config!$E$11,KPI_Config!$D$11,IF(AND(KPI_Config!$F$11&gt;0,Raw_Data!G59&gt;=KPI_Config!$G$11),KPI_Config!$F$11,0)))))</f>
        <v>0.2</v>
      </c>
      <c r="L59" s="21">
        <f>IF($A59="","",MIN(Policy_Decisions!$B$10,IF(Policy_Decisions!$B$6="Additive",SUM(E59:K59),SUM(E59:J59)-G59+MAX(G59,K59))))</f>
        <v>1.05</v>
      </c>
      <c r="M59" s="21">
        <f>IF($A59="","",Raw_Data!K59)</f>
        <v>0</v>
      </c>
      <c r="N59" s="21">
        <f>IF($A59="","",IFERROR(VLOOKUP(M59,KPI_Config!$I$5:$J$10,2,FALSE()),0))</f>
        <v>0</v>
      </c>
      <c r="O59" s="21">
        <f>IF($A59="","",IF(Policy_Decisions!$B$5="Percentage points",MAX(0,L59-N59),L59*(1-N59)))</f>
        <v>1.05</v>
      </c>
      <c r="P59" s="13" t="str">
        <f>IF($A59="","",IF(U59="","Review proration",IF(O59=0,"No payout",IF(N59&gt;0,"Malus applied","Eligible"))))</f>
        <v>Eligible</v>
      </c>
      <c r="Q59" s="13" t="str">
        <f>IF($A59="","",Raw_Data!M59)</f>
        <v>MAD</v>
      </c>
      <c r="R59" s="37">
        <f>IF($A59="","",Raw_Data!N59)</f>
        <v>0</v>
      </c>
      <c r="S59" s="37">
        <f>IF($A59="","",Raw_Data!O59)</f>
        <v>0</v>
      </c>
      <c r="T59" s="37">
        <f>IF($A59="","",IF(Raw_Data!P59&gt;0,Raw_Data!P59,Raw_Data!N59*Raw_Data!O59/IF(Policy_Decisions!$B$7="Annual",12,1)))</f>
        <v>2000</v>
      </c>
      <c r="U59" s="37">
        <f>IF($A59="","",IF(OR(Raw_Data!R59="",Raw_Data!R59&lt;=0),"",MIN(1,MAX(0,Raw_Data!Q59/Raw_Data!R59))))</f>
        <v>1</v>
      </c>
      <c r="V59" s="37">
        <f>IF(OR($A59="",U59=""),"",T59*U59)</f>
        <v>2000</v>
      </c>
      <c r="W59" s="37">
        <f>IF(OR($A59="",V59=""),"",V59*L59)</f>
        <v>2100</v>
      </c>
      <c r="X59" s="37">
        <f>IF(OR($A59="",V59=""),"",V59*L59-V59*O59)</f>
        <v>0</v>
      </c>
      <c r="Y59" s="37">
        <f>IF(OR($A59="",V59=""),"",ROUND(V59*O59,IF(Policy_Decisions!$B$11="Whole MAD",0,2)))</f>
        <v>2100</v>
      </c>
      <c r="Z59" t="str">
        <f>Raw_Data!T59</f>
        <v>AL TAMIMI Zeynab</v>
      </c>
      <c r="AA59" t="str">
        <f>Raw_Data!U59</f>
        <v>Anas OUAKKAD</v>
      </c>
    </row>
    <row r="60" spans="1:27" ht="14.25" customHeight="1">
      <c r="A60" s="15">
        <f>IF(Raw_Data!A60="","",Raw_Data!A60)</f>
        <v>228668</v>
      </c>
      <c r="B60" s="15" t="str">
        <f>IF(Raw_Data!B60="","",Raw_Data!B60)</f>
        <v>Najib  Abdelhadi</v>
      </c>
      <c r="C60" s="15" t="str">
        <f>IF(Raw_Data!C60="","",Raw_Data!C60)</f>
        <v>OEM FR</v>
      </c>
      <c r="D60" s="15" t="str">
        <f>IF(Raw_Data!D60="","",Raw_Data!D60)</f>
        <v>2026-07</v>
      </c>
      <c r="E60" s="16">
        <f>IF($A60="","",IF(Raw_Data!E60="",0,IF(KPI_Config!$C$5="L",IF(Raw_Data!E60&lt;=KPI_Config!$E$5,KPI_Config!$D$5,IF(AND(KPI_Config!$F$5&gt;0,Raw_Data!E60&lt;=KPI_Config!$G$5),KPI_Config!$F$5,0)),IF(Raw_Data!E60&gt;=KPI_Config!$E$5,KPI_Config!$D$5,IF(AND(KPI_Config!$F$5&gt;0,Raw_Data!E60&gt;=KPI_Config!$G$5),KPI_Config!$F$5,0)))))</f>
        <v>0</v>
      </c>
      <c r="F60" s="16">
        <f>IF($A60="","",IF(Raw_Data!F60="",0,IF(KPI_Config!$C$6="L",IF(Raw_Data!F60&lt;=KPI_Config!$E$6,KPI_Config!$D$6,IF(AND(KPI_Config!$F$6&gt;0,Raw_Data!F60&lt;=KPI_Config!$G$6),KPI_Config!$F$6,0)),IF(Raw_Data!F60&gt;=KPI_Config!$E$6,KPI_Config!$D$6,IF(AND(KPI_Config!$F$6&gt;0,Raw_Data!F60&gt;=KPI_Config!$G$6),KPI_Config!$F$6,0)))))</f>
        <v>0</v>
      </c>
      <c r="G60" s="16">
        <f>IF($A60="","",IF(Raw_Data!G60="",0,IF(KPI_Config!$C$7="L",IF(Raw_Data!G60&lt;=KPI_Config!$E$7,KPI_Config!$D$7,IF(AND(KPI_Config!$F$7&gt;0,Raw_Data!G60&lt;=KPI_Config!$G$7),KPI_Config!$F$7,0)),IF(Raw_Data!G60&gt;=KPI_Config!$E$7,KPI_Config!$D$7,IF(AND(KPI_Config!$F$7&gt;0,Raw_Data!G60&gt;=KPI_Config!$G$7),KPI_Config!$F$7,0)))))</f>
        <v>0.2</v>
      </c>
      <c r="H60" s="16">
        <f>IF($A60="","",IF(Raw_Data!H60="",0,IF(KPI_Config!$C$8="L",IF(Raw_Data!H60&lt;=KPI_Config!$E$8,KPI_Config!$D$8,IF(AND(KPI_Config!$F$8&gt;0,Raw_Data!H60&lt;=KPI_Config!$G$8),KPI_Config!$F$8,0)),IF(Raw_Data!H60&gt;=KPI_Config!$E$8,KPI_Config!$D$8,IF(AND(KPI_Config!$F$8&gt;0,Raw_Data!H60&gt;=KPI_Config!$G$8),KPI_Config!$F$8,0)))))</f>
        <v>0</v>
      </c>
      <c r="I60" s="16">
        <f>IF($A60="","",IF(Raw_Data!I60="",0,IF(KPI_Config!$C$9="L",IF(Raw_Data!I60&lt;=KPI_Config!$E$9,KPI_Config!$D$9,IF(AND(KPI_Config!$F$9&gt;0,Raw_Data!I60&lt;=KPI_Config!$G$9),KPI_Config!$F$9,0)),IF(Raw_Data!I60&gt;=KPI_Config!$E$9,KPI_Config!$D$9,IF(AND(KPI_Config!$F$9&gt;0,Raw_Data!I60&gt;=KPI_Config!$G$9),KPI_Config!$F$9,0)))))</f>
        <v>0</v>
      </c>
      <c r="J60" s="16">
        <f>IF($A60="","",IF(Raw_Data!J60="",0,IF(KPI_Config!$C$10="L",IF(Raw_Data!J60&lt;=KPI_Config!$E$10,KPI_Config!$D$10,IF(AND(KPI_Config!$F$10&gt;0,Raw_Data!J60&lt;=KPI_Config!$G$10),KPI_Config!$F$10,0)),IF(Raw_Data!J60&gt;=KPI_Config!$E$10,KPI_Config!$D$10,IF(AND(KPI_Config!$F$10&gt;0,Raw_Data!J60&gt;=KPI_Config!$G$10),KPI_Config!$F$10,0)))))</f>
        <v>0.15</v>
      </c>
      <c r="K60" s="16">
        <f>IF($A60="","",IF(Raw_Data!G60="",0,IF(KPI_Config!$C$11="L",IF(Raw_Data!G60&lt;=KPI_Config!$E$11,KPI_Config!$D$11,IF(AND(KPI_Config!$F$11&gt;0,Raw_Data!G60&lt;=KPI_Config!$G$11),KPI_Config!$F$11,0)),IF(Raw_Data!G60&gt;=KPI_Config!$E$11,KPI_Config!$D$11,IF(AND(KPI_Config!$F$11&gt;0,Raw_Data!G60&gt;=KPI_Config!$G$11),KPI_Config!$F$11,0)))))</f>
        <v>0.2</v>
      </c>
      <c r="L60" s="16">
        <f>IF($A60="","",MIN(Policy_Decisions!$B$10,IF(Policy_Decisions!$B$6="Additive",SUM(E60:K60),SUM(E60:J60)-G60+MAX(G60,K60))))</f>
        <v>0.55000000000000004</v>
      </c>
      <c r="M60" s="16">
        <f>IF($A60="","",Raw_Data!K60)</f>
        <v>0</v>
      </c>
      <c r="N60" s="16">
        <f>IF($A60="","",IFERROR(VLOOKUP(M60,KPI_Config!$I$5:$J$10,2,FALSE()),0))</f>
        <v>0</v>
      </c>
      <c r="O60" s="16">
        <f>IF($A60="","",IF(Policy_Decisions!$B$5="Percentage points",MAX(0,L60-N60),L60*(1-N60)))</f>
        <v>0.55000000000000004</v>
      </c>
      <c r="P60" s="15" t="str">
        <f>IF($A60="","",IF(U60="","Review proration",IF(O60=0,"No payout",IF(N60&gt;0,"Malus applied","Eligible"))))</f>
        <v>Eligible</v>
      </c>
      <c r="Q60" s="15" t="str">
        <f>IF($A60="","",Raw_Data!M60)</f>
        <v>MAD</v>
      </c>
      <c r="R60" s="38">
        <f>IF($A60="","",Raw_Data!N60)</f>
        <v>0</v>
      </c>
      <c r="S60" s="38">
        <f>IF($A60="","",Raw_Data!O60)</f>
        <v>0</v>
      </c>
      <c r="T60" s="38">
        <f>IF($A60="","",IF(Raw_Data!P60&gt;0,Raw_Data!P60,Raw_Data!N60*Raw_Data!O60/IF(Policy_Decisions!$B$7="Annual",12,1)))</f>
        <v>2000</v>
      </c>
      <c r="U60" s="38">
        <f>IF($A60="","",IF(OR(Raw_Data!R60="",Raw_Data!R60&lt;=0),"",MIN(1,MAX(0,Raw_Data!Q60/Raw_Data!R60))))</f>
        <v>1</v>
      </c>
      <c r="V60" s="38">
        <f>IF(OR($A60="",U60=""),"",T60*U60)</f>
        <v>2000</v>
      </c>
      <c r="W60" s="38">
        <f>IF(OR($A60="",V60=""),"",V60*L60)</f>
        <v>1100</v>
      </c>
      <c r="X60" s="38">
        <f>IF(OR($A60="",V60=""),"",V60*L60-V60*O60)</f>
        <v>0</v>
      </c>
      <c r="Y60" s="38">
        <f>IF(OR($A60="",V60=""),"",ROUND(V60*O60,IF(Policy_Decisions!$B$11="Whole MAD",0,2)))</f>
        <v>1100</v>
      </c>
      <c r="Z60" t="str">
        <f>Raw_Data!T60</f>
        <v>Zineb MOUFID</v>
      </c>
      <c r="AA60" t="str">
        <f>Raw_Data!U60</f>
        <v>Anas OUAKKAD</v>
      </c>
    </row>
    <row r="61" spans="1:27" ht="14.25" customHeight="1">
      <c r="A61" s="13">
        <f>IF(Raw_Data!A61="","",Raw_Data!A61)</f>
        <v>96164</v>
      </c>
      <c r="B61" s="13" t="str">
        <f>IF(Raw_Data!B61="","",Raw_Data!B61)</f>
        <v>ERRAIT Najia</v>
      </c>
      <c r="C61" s="13" t="str">
        <f>IF(Raw_Data!C61="","",Raw_Data!C61)</f>
        <v>RSA VL</v>
      </c>
      <c r="D61" s="13" t="str">
        <f>IF(Raw_Data!D61="","",Raw_Data!D61)</f>
        <v>2026-07</v>
      </c>
      <c r="E61" s="21">
        <f>IF($A61="","",IF(Raw_Data!E61="",0,IF(KPI_Config!$C$5="L",IF(Raw_Data!E61&lt;=KPI_Config!$E$5,KPI_Config!$D$5,IF(AND(KPI_Config!$F$5&gt;0,Raw_Data!E61&lt;=KPI_Config!$G$5),KPI_Config!$F$5,0)),IF(Raw_Data!E61&gt;=KPI_Config!$E$5,KPI_Config!$D$5,IF(AND(KPI_Config!$F$5&gt;0,Raw_Data!E61&gt;=KPI_Config!$G$5),KPI_Config!$F$5,0)))))</f>
        <v>0</v>
      </c>
      <c r="F61" s="21">
        <f>IF($A61="","",IF(Raw_Data!F61="",0,IF(KPI_Config!$C$6="L",IF(Raw_Data!F61&lt;=KPI_Config!$E$6,KPI_Config!$D$6,IF(AND(KPI_Config!$F$6&gt;0,Raw_Data!F61&lt;=KPI_Config!$G$6),KPI_Config!$F$6,0)),IF(Raw_Data!F61&gt;=KPI_Config!$E$6,KPI_Config!$D$6,IF(AND(KPI_Config!$F$6&gt;0,Raw_Data!F61&gt;=KPI_Config!$G$6),KPI_Config!$F$6,0)))))</f>
        <v>0</v>
      </c>
      <c r="G61" s="21">
        <f>IF($A61="","",IF(Raw_Data!G61="",0,IF(KPI_Config!$C$7="L",IF(Raw_Data!G61&lt;=KPI_Config!$E$7,KPI_Config!$D$7,IF(AND(KPI_Config!$F$7&gt;0,Raw_Data!G61&lt;=KPI_Config!$G$7),KPI_Config!$F$7,0)),IF(Raw_Data!G61&gt;=KPI_Config!$E$7,KPI_Config!$D$7,IF(AND(KPI_Config!$F$7&gt;0,Raw_Data!G61&gt;=KPI_Config!$G$7),KPI_Config!$F$7,0)))))</f>
        <v>0.15</v>
      </c>
      <c r="H61" s="21">
        <f>IF($A61="","",IF(Raw_Data!H61="",0,IF(KPI_Config!$C$8="L",IF(Raw_Data!H61&lt;=KPI_Config!$E$8,KPI_Config!$D$8,IF(AND(KPI_Config!$F$8&gt;0,Raw_Data!H61&lt;=KPI_Config!$G$8),KPI_Config!$F$8,0)),IF(Raw_Data!H61&gt;=KPI_Config!$E$8,KPI_Config!$D$8,IF(AND(KPI_Config!$F$8&gt;0,Raw_Data!H61&gt;=KPI_Config!$G$8),KPI_Config!$F$8,0)))))</f>
        <v>0</v>
      </c>
      <c r="I61" s="21">
        <f>IF($A61="","",IF(Raw_Data!I61="",0,IF(KPI_Config!$C$9="L",IF(Raw_Data!I61&lt;=KPI_Config!$E$9,KPI_Config!$D$9,IF(AND(KPI_Config!$F$9&gt;0,Raw_Data!I61&lt;=KPI_Config!$G$9),KPI_Config!$F$9,0)),IF(Raw_Data!I61&gt;=KPI_Config!$E$9,KPI_Config!$D$9,IF(AND(KPI_Config!$F$9&gt;0,Raw_Data!I61&gt;=KPI_Config!$G$9),KPI_Config!$F$9,0)))))</f>
        <v>0</v>
      </c>
      <c r="J61" s="21">
        <f>IF($A61="","",IF(Raw_Data!J61="",0,IF(KPI_Config!$C$10="L",IF(Raw_Data!J61&lt;=KPI_Config!$E$10,KPI_Config!$D$10,IF(AND(KPI_Config!$F$10&gt;0,Raw_Data!J61&lt;=KPI_Config!$G$10),KPI_Config!$F$10,0)),IF(Raw_Data!J61&gt;=KPI_Config!$E$10,KPI_Config!$D$10,IF(AND(KPI_Config!$F$10&gt;0,Raw_Data!J61&gt;=KPI_Config!$G$10),KPI_Config!$F$10,0)))))</f>
        <v>0.15</v>
      </c>
      <c r="K61" s="21">
        <f>IF($A61="","",IF(Raw_Data!G61="",0,IF(KPI_Config!$C$11="L",IF(Raw_Data!G61&lt;=KPI_Config!$E$11,KPI_Config!$D$11,IF(AND(KPI_Config!$F$11&gt;0,Raw_Data!G61&lt;=KPI_Config!$G$11),KPI_Config!$F$11,0)),IF(Raw_Data!G61&gt;=KPI_Config!$E$11,KPI_Config!$D$11,IF(AND(KPI_Config!$F$11&gt;0,Raw_Data!G61&gt;=KPI_Config!$G$11),KPI_Config!$F$11,0)))))</f>
        <v>0</v>
      </c>
      <c r="L61" s="21">
        <f>IF($A61="","",MIN(Policy_Decisions!$B$10,IF(Policy_Decisions!$B$6="Additive",SUM(E61:K61),SUM(E61:J61)-G61+MAX(G61,K61))))</f>
        <v>0.3</v>
      </c>
      <c r="M61" s="21">
        <f>IF($A61="","",Raw_Data!K61)</f>
        <v>0</v>
      </c>
      <c r="N61" s="21">
        <f>IF($A61="","",IFERROR(VLOOKUP(M61,KPI_Config!$I$5:$J$10,2,FALSE()),0))</f>
        <v>0</v>
      </c>
      <c r="O61" s="21">
        <f>IF($A61="","",IF(Policy_Decisions!$B$5="Percentage points",MAX(0,L61-N61),L61*(1-N61)))</f>
        <v>0.3</v>
      </c>
      <c r="P61" s="13" t="str">
        <f>IF($A61="","",IF(U61="","Review proration",IF(O61=0,"No payout",IF(N61&gt;0,"Malus applied","Eligible"))))</f>
        <v>Eligible</v>
      </c>
      <c r="Q61" s="13" t="str">
        <f>IF($A61="","",Raw_Data!M61)</f>
        <v>MAD</v>
      </c>
      <c r="R61" s="37">
        <f>IF($A61="","",Raw_Data!N61)</f>
        <v>0</v>
      </c>
      <c r="S61" s="37">
        <f>IF($A61="","",Raw_Data!O61)</f>
        <v>0</v>
      </c>
      <c r="T61" s="37">
        <f>IF($A61="","",IF(Raw_Data!P61&gt;0,Raw_Data!P61,Raw_Data!N61*Raw_Data!O61/IF(Policy_Decisions!$B$7="Annual",12,1)))</f>
        <v>2000</v>
      </c>
      <c r="U61" s="37">
        <f>IF($A61="","",IF(OR(Raw_Data!R61="",Raw_Data!R61&lt;=0),"",MIN(1,MAX(0,Raw_Data!Q61/Raw_Data!R61))))</f>
        <v>1</v>
      </c>
      <c r="V61" s="37">
        <f>IF(OR($A61="",U61=""),"",T61*U61)</f>
        <v>2000</v>
      </c>
      <c r="W61" s="37">
        <f>IF(OR($A61="",V61=""),"",V61*L61)</f>
        <v>600</v>
      </c>
      <c r="X61" s="37">
        <f>IF(OR($A61="",V61=""),"",V61*L61-V61*O61)</f>
        <v>0</v>
      </c>
      <c r="Y61" s="37">
        <f>IF(OR($A61="",V61=""),"",ROUND(V61*O61,IF(Policy_Decisions!$B$11="Whole MAD",0,2)))</f>
        <v>600</v>
      </c>
      <c r="Z61" t="str">
        <f>Raw_Data!T61</f>
        <v>Glenn Antoon</v>
      </c>
      <c r="AA61" t="str">
        <f>Raw_Data!U61</f>
        <v>Anas OUAKKAD</v>
      </c>
    </row>
    <row r="62" spans="1:27" ht="14.25" customHeight="1">
      <c r="A62" s="15">
        <f>IF(Raw_Data!A62="","",Raw_Data!A62)</f>
        <v>203606</v>
      </c>
      <c r="B62" s="15" t="str">
        <f>IF(Raw_Data!B62="","",Raw_Data!B62)</f>
        <v>Ennajari Naima</v>
      </c>
      <c r="C62" s="15" t="str">
        <f>IF(Raw_Data!C62="","",Raw_Data!C62)</f>
        <v>OEM FR</v>
      </c>
      <c r="D62" s="15" t="str">
        <f>IF(Raw_Data!D62="","",Raw_Data!D62)</f>
        <v>2026-07</v>
      </c>
      <c r="E62" s="16">
        <f>IF($A62="","",IF(Raw_Data!E62="",0,IF(KPI_Config!$C$5="L",IF(Raw_Data!E62&lt;=KPI_Config!$E$5,KPI_Config!$D$5,IF(AND(KPI_Config!$F$5&gt;0,Raw_Data!E62&lt;=KPI_Config!$G$5),KPI_Config!$F$5,0)),IF(Raw_Data!E62&gt;=KPI_Config!$E$5,KPI_Config!$D$5,IF(AND(KPI_Config!$F$5&gt;0,Raw_Data!E62&gt;=KPI_Config!$G$5),KPI_Config!$F$5,0)))))</f>
        <v>0.15</v>
      </c>
      <c r="F62" s="16">
        <f>IF($A62="","",IF(Raw_Data!F62="",0,IF(KPI_Config!$C$6="L",IF(Raw_Data!F62&lt;=KPI_Config!$E$6,KPI_Config!$D$6,IF(AND(KPI_Config!$F$6&gt;0,Raw_Data!F62&lt;=KPI_Config!$G$6),KPI_Config!$F$6,0)),IF(Raw_Data!F62&gt;=KPI_Config!$E$6,KPI_Config!$D$6,IF(AND(KPI_Config!$F$6&gt;0,Raw_Data!F62&gt;=KPI_Config!$G$6),KPI_Config!$F$6,0)))))</f>
        <v>0.15</v>
      </c>
      <c r="G62" s="16">
        <f>IF($A62="","",IF(Raw_Data!G62="",0,IF(KPI_Config!$C$7="L",IF(Raw_Data!G62&lt;=KPI_Config!$E$7,KPI_Config!$D$7,IF(AND(KPI_Config!$F$7&gt;0,Raw_Data!G62&lt;=KPI_Config!$G$7),KPI_Config!$F$7,0)),IF(Raw_Data!G62&gt;=KPI_Config!$E$7,KPI_Config!$D$7,IF(AND(KPI_Config!$F$7&gt;0,Raw_Data!G62&gt;=KPI_Config!$G$7),KPI_Config!$F$7,0)))))</f>
        <v>0.2</v>
      </c>
      <c r="H62" s="16">
        <f>IF($A62="","",IF(Raw_Data!H62="",0,IF(KPI_Config!$C$8="L",IF(Raw_Data!H62&lt;=KPI_Config!$E$8,KPI_Config!$D$8,IF(AND(KPI_Config!$F$8&gt;0,Raw_Data!H62&lt;=KPI_Config!$G$8),KPI_Config!$F$8,0)),IF(Raw_Data!H62&gt;=KPI_Config!$E$8,KPI_Config!$D$8,IF(AND(KPI_Config!$F$8&gt;0,Raw_Data!H62&gt;=KPI_Config!$G$8),KPI_Config!$F$8,0)))))</f>
        <v>0</v>
      </c>
      <c r="I62" s="16">
        <f>IF($A62="","",IF(Raw_Data!I62="",0,IF(KPI_Config!$C$9="L",IF(Raw_Data!I62&lt;=KPI_Config!$E$9,KPI_Config!$D$9,IF(AND(KPI_Config!$F$9&gt;0,Raw_Data!I62&lt;=KPI_Config!$G$9),KPI_Config!$F$9,0)),IF(Raw_Data!I62&gt;=KPI_Config!$E$9,KPI_Config!$D$9,IF(AND(KPI_Config!$F$9&gt;0,Raw_Data!I62&gt;=KPI_Config!$G$9),KPI_Config!$F$9,0)))))</f>
        <v>0</v>
      </c>
      <c r="J62" s="16">
        <f>IF($A62="","",IF(Raw_Data!J62="",0,IF(KPI_Config!$C$10="L",IF(Raw_Data!J62&lt;=KPI_Config!$E$10,KPI_Config!$D$10,IF(AND(KPI_Config!$F$10&gt;0,Raw_Data!J62&lt;=KPI_Config!$G$10),KPI_Config!$F$10,0)),IF(Raw_Data!J62&gt;=KPI_Config!$E$10,KPI_Config!$D$10,IF(AND(KPI_Config!$F$10&gt;0,Raw_Data!J62&gt;=KPI_Config!$G$10),KPI_Config!$F$10,0)))))</f>
        <v>0.15</v>
      </c>
      <c r="K62" s="16">
        <f>IF($A62="","",IF(Raw_Data!G62="",0,IF(KPI_Config!$C$11="L",IF(Raw_Data!G62&lt;=KPI_Config!$E$11,KPI_Config!$D$11,IF(AND(KPI_Config!$F$11&gt;0,Raw_Data!G62&lt;=KPI_Config!$G$11),KPI_Config!$F$11,0)),IF(Raw_Data!G62&gt;=KPI_Config!$E$11,KPI_Config!$D$11,IF(AND(KPI_Config!$F$11&gt;0,Raw_Data!G62&gt;=KPI_Config!$G$11),KPI_Config!$F$11,0)))))</f>
        <v>0.3</v>
      </c>
      <c r="L62" s="16">
        <f>IF($A62="","",MIN(Policy_Decisions!$B$10,IF(Policy_Decisions!$B$6="Additive",SUM(E62:K62),SUM(E62:J62)-G62+MAX(G62,K62))))</f>
        <v>0.95</v>
      </c>
      <c r="M62" s="16">
        <f>IF($A62="","",Raw_Data!K62)</f>
        <v>0</v>
      </c>
      <c r="N62" s="16">
        <f>IF($A62="","",IFERROR(VLOOKUP(M62,KPI_Config!$I$5:$J$10,2,FALSE()),0))</f>
        <v>0</v>
      </c>
      <c r="O62" s="16">
        <f>IF($A62="","",IF(Policy_Decisions!$B$5="Percentage points",MAX(0,L62-N62),L62*(1-N62)))</f>
        <v>0.95</v>
      </c>
      <c r="P62" s="15" t="str">
        <f>IF($A62="","",IF(U62="","Review proration",IF(O62=0,"No payout",IF(N62&gt;0,"Malus applied","Eligible"))))</f>
        <v>Eligible</v>
      </c>
      <c r="Q62" s="15" t="str">
        <f>IF($A62="","",Raw_Data!M62)</f>
        <v>MAD</v>
      </c>
      <c r="R62" s="38">
        <f>IF($A62="","",Raw_Data!N62)</f>
        <v>0</v>
      </c>
      <c r="S62" s="38">
        <f>IF($A62="","",Raw_Data!O62)</f>
        <v>0</v>
      </c>
      <c r="T62" s="38">
        <f>IF($A62="","",IF(Raw_Data!P62&gt;0,Raw_Data!P62,Raw_Data!N62*Raw_Data!O62/IF(Policy_Decisions!$B$7="Annual",12,1)))</f>
        <v>2000</v>
      </c>
      <c r="U62" s="38">
        <f>IF($A62="","",IF(OR(Raw_Data!R62="",Raw_Data!R62&lt;=0),"",MIN(1,MAX(0,Raw_Data!Q62/Raw_Data!R62))))</f>
        <v>1</v>
      </c>
      <c r="V62" s="38">
        <f>IF(OR($A62="",U62=""),"",T62*U62)</f>
        <v>2000</v>
      </c>
      <c r="W62" s="38">
        <f>IF(OR($A62="",V62=""),"",V62*L62)</f>
        <v>1900</v>
      </c>
      <c r="X62" s="38">
        <f>IF(OR($A62="",V62=""),"",V62*L62-V62*O62)</f>
        <v>0</v>
      </c>
      <c r="Y62" s="38">
        <f>IF(OR($A62="",V62=""),"",ROUND(V62*O62,IF(Policy_Decisions!$B$11="Whole MAD",0,2)))</f>
        <v>1900</v>
      </c>
      <c r="Z62" t="str">
        <f>Raw_Data!T62</f>
        <v>Malak AZERKI</v>
      </c>
      <c r="AA62" t="str">
        <f>Raw_Data!U62</f>
        <v>Anas OUAKKAD</v>
      </c>
    </row>
    <row r="63" spans="1:27" ht="14.25" customHeight="1">
      <c r="A63" s="13">
        <f>IF(Raw_Data!A63="","",Raw_Data!A63)</f>
        <v>224096</v>
      </c>
      <c r="B63" s="13" t="str">
        <f>IF(Raw_Data!B63="","",Raw_Data!B63)</f>
        <v>Nahid TALLIH</v>
      </c>
      <c r="C63" s="13" t="str">
        <f>IF(Raw_Data!C63="","",Raw_Data!C63)</f>
        <v>RSA NL</v>
      </c>
      <c r="D63" s="13" t="str">
        <f>IF(Raw_Data!D63="","",Raw_Data!D63)</f>
        <v>2026-07</v>
      </c>
      <c r="E63" s="21">
        <f>IF($A63="","",IF(Raw_Data!E63="",0,IF(KPI_Config!$C$5="L",IF(Raw_Data!E63&lt;=KPI_Config!$E$5,KPI_Config!$D$5,IF(AND(KPI_Config!$F$5&gt;0,Raw_Data!E63&lt;=KPI_Config!$G$5),KPI_Config!$F$5,0)),IF(Raw_Data!E63&gt;=KPI_Config!$E$5,KPI_Config!$D$5,IF(AND(KPI_Config!$F$5&gt;0,Raw_Data!E63&gt;=KPI_Config!$G$5),KPI_Config!$F$5,0)))))</f>
        <v>0.15</v>
      </c>
      <c r="F63" s="21">
        <f>IF($A63="","",IF(Raw_Data!F63="",0,IF(KPI_Config!$C$6="L",IF(Raw_Data!F63&lt;=KPI_Config!$E$6,KPI_Config!$D$6,IF(AND(KPI_Config!$F$6&gt;0,Raw_Data!F63&lt;=KPI_Config!$G$6),KPI_Config!$F$6,0)),IF(Raw_Data!F63&gt;=KPI_Config!$E$6,KPI_Config!$D$6,IF(AND(KPI_Config!$F$6&gt;0,Raw_Data!F63&gt;=KPI_Config!$G$6),KPI_Config!$F$6,0)))))</f>
        <v>0.15</v>
      </c>
      <c r="G63" s="21">
        <f>IF($A63="","",IF(Raw_Data!G63="",0,IF(KPI_Config!$C$7="L",IF(Raw_Data!G63&lt;=KPI_Config!$E$7,KPI_Config!$D$7,IF(AND(KPI_Config!$F$7&gt;0,Raw_Data!G63&lt;=KPI_Config!$G$7),KPI_Config!$F$7,0)),IF(Raw_Data!G63&gt;=KPI_Config!$E$7,KPI_Config!$D$7,IF(AND(KPI_Config!$F$7&gt;0,Raw_Data!G63&gt;=KPI_Config!$G$7),KPI_Config!$F$7,0)))))</f>
        <v>0</v>
      </c>
      <c r="H63" s="21">
        <f>IF($A63="","",IF(Raw_Data!H63="",0,IF(KPI_Config!$C$8="L",IF(Raw_Data!H63&lt;=KPI_Config!$E$8,KPI_Config!$D$8,IF(AND(KPI_Config!$F$8&gt;0,Raw_Data!H63&lt;=KPI_Config!$G$8),KPI_Config!$F$8,0)),IF(Raw_Data!H63&gt;=KPI_Config!$E$8,KPI_Config!$D$8,IF(AND(KPI_Config!$F$8&gt;0,Raw_Data!H63&gt;=KPI_Config!$G$8),KPI_Config!$F$8,0)))))</f>
        <v>0</v>
      </c>
      <c r="I63" s="21">
        <f>IF($A63="","",IF(Raw_Data!I63="",0,IF(KPI_Config!$C$9="L",IF(Raw_Data!I63&lt;=KPI_Config!$E$9,KPI_Config!$D$9,IF(AND(KPI_Config!$F$9&gt;0,Raw_Data!I63&lt;=KPI_Config!$G$9),KPI_Config!$F$9,0)),IF(Raw_Data!I63&gt;=KPI_Config!$E$9,KPI_Config!$D$9,IF(AND(KPI_Config!$F$9&gt;0,Raw_Data!I63&gt;=KPI_Config!$G$9),KPI_Config!$F$9,0)))))</f>
        <v>0</v>
      </c>
      <c r="J63" s="21">
        <f>IF($A63="","",IF(Raw_Data!J63="",0,IF(KPI_Config!$C$10="L",IF(Raw_Data!J63&lt;=KPI_Config!$E$10,KPI_Config!$D$10,IF(AND(KPI_Config!$F$10&gt;0,Raw_Data!J63&lt;=KPI_Config!$G$10),KPI_Config!$F$10,0)),IF(Raw_Data!J63&gt;=KPI_Config!$E$10,KPI_Config!$D$10,IF(AND(KPI_Config!$F$10&gt;0,Raw_Data!J63&gt;=KPI_Config!$G$10),KPI_Config!$F$10,0)))))</f>
        <v>0.15</v>
      </c>
      <c r="K63" s="21">
        <f>IF($A63="","",IF(Raw_Data!G63="",0,IF(KPI_Config!$C$11="L",IF(Raw_Data!G63&lt;=KPI_Config!$E$11,KPI_Config!$D$11,IF(AND(KPI_Config!$F$11&gt;0,Raw_Data!G63&lt;=KPI_Config!$G$11),KPI_Config!$F$11,0)),IF(Raw_Data!G63&gt;=KPI_Config!$E$11,KPI_Config!$D$11,IF(AND(KPI_Config!$F$11&gt;0,Raw_Data!G63&gt;=KPI_Config!$G$11),KPI_Config!$F$11,0)))))</f>
        <v>0</v>
      </c>
      <c r="L63" s="21">
        <f>IF($A63="","",MIN(Policy_Decisions!$B$10,IF(Policy_Decisions!$B$6="Additive",SUM(E63:K63),SUM(E63:J63)-G63+MAX(G63,K63))))</f>
        <v>0.44999999999999996</v>
      </c>
      <c r="M63" s="21">
        <f>IF($A63="","",Raw_Data!K63)</f>
        <v>0</v>
      </c>
      <c r="N63" s="21">
        <f>IF($A63="","",IFERROR(VLOOKUP(M63,KPI_Config!$I$5:$J$10,2,FALSE()),0))</f>
        <v>0</v>
      </c>
      <c r="O63" s="21">
        <f>IF($A63="","",IF(Policy_Decisions!$B$5="Percentage points",MAX(0,L63-N63),L63*(1-N63)))</f>
        <v>0.44999999999999996</v>
      </c>
      <c r="P63" s="13" t="str">
        <f>IF($A63="","",IF(U63="","Review proration",IF(O63=0,"No payout",IF(N63&gt;0,"Malus applied","Eligible"))))</f>
        <v>Eligible</v>
      </c>
      <c r="Q63" s="13" t="str">
        <f>IF($A63="","",Raw_Data!M63)</f>
        <v>MAD</v>
      </c>
      <c r="R63" s="37">
        <f>IF($A63="","",Raw_Data!N63)</f>
        <v>0</v>
      </c>
      <c r="S63" s="37">
        <f>IF($A63="","",Raw_Data!O63)</f>
        <v>0</v>
      </c>
      <c r="T63" s="37">
        <f>IF($A63="","",IF(Raw_Data!P63&gt;0,Raw_Data!P63,Raw_Data!N63*Raw_Data!O63/IF(Policy_Decisions!$B$7="Annual",12,1)))</f>
        <v>2000</v>
      </c>
      <c r="U63" s="37">
        <f>IF($A63="","",IF(OR(Raw_Data!R63="",Raw_Data!R63&lt;=0),"",MIN(1,MAX(0,Raw_Data!Q63/Raw_Data!R63))))</f>
        <v>1</v>
      </c>
      <c r="V63" s="37">
        <f>IF(OR($A63="",U63=""),"",T63*U63)</f>
        <v>2000</v>
      </c>
      <c r="W63" s="37">
        <f>IF(OR($A63="",V63=""),"",V63*L63)</f>
        <v>899.99999999999989</v>
      </c>
      <c r="X63" s="37">
        <f>IF(OR($A63="",V63=""),"",V63*L63-V63*O63)</f>
        <v>0</v>
      </c>
      <c r="Y63" s="37">
        <f>IF(OR($A63="",V63=""),"",ROUND(V63*O63,IF(Policy_Decisions!$B$11="Whole MAD",0,2)))</f>
        <v>900</v>
      </c>
      <c r="Z63" t="str">
        <f>Raw_Data!T63</f>
        <v>JEANNE NKIKIO RWIBUTSO</v>
      </c>
      <c r="AA63" t="str">
        <f>Raw_Data!U63</f>
        <v>Anas OUAKKAD</v>
      </c>
    </row>
    <row r="64" spans="1:27" ht="14.25" customHeight="1">
      <c r="A64" s="15">
        <f>IF(Raw_Data!A64="","",Raw_Data!A64)</f>
        <v>203591</v>
      </c>
      <c r="B64" s="15" t="str">
        <f>IF(Raw_Data!B64="","",Raw_Data!B64)</f>
        <v>El Mornaki Mustapha</v>
      </c>
      <c r="C64" s="15" t="str">
        <f>IF(Raw_Data!C64="","",Raw_Data!C64)</f>
        <v>OEM FR</v>
      </c>
      <c r="D64" s="15" t="str">
        <f>IF(Raw_Data!D64="","",Raw_Data!D64)</f>
        <v>2026-07</v>
      </c>
      <c r="E64" s="16">
        <f>IF($A64="","",IF(Raw_Data!E64="",0,IF(KPI_Config!$C$5="L",IF(Raw_Data!E64&lt;=KPI_Config!$E$5,KPI_Config!$D$5,IF(AND(KPI_Config!$F$5&gt;0,Raw_Data!E64&lt;=KPI_Config!$G$5),KPI_Config!$F$5,0)),IF(Raw_Data!E64&gt;=KPI_Config!$E$5,KPI_Config!$D$5,IF(AND(KPI_Config!$F$5&gt;0,Raw_Data!E64&gt;=KPI_Config!$G$5),KPI_Config!$F$5,0)))))</f>
        <v>0</v>
      </c>
      <c r="F64" s="16">
        <f>IF($A64="","",IF(Raw_Data!F64="",0,IF(KPI_Config!$C$6="L",IF(Raw_Data!F64&lt;=KPI_Config!$E$6,KPI_Config!$D$6,IF(AND(KPI_Config!$F$6&gt;0,Raw_Data!F64&lt;=KPI_Config!$G$6),KPI_Config!$F$6,0)),IF(Raw_Data!F64&gt;=KPI_Config!$E$6,KPI_Config!$D$6,IF(AND(KPI_Config!$F$6&gt;0,Raw_Data!F64&gt;=KPI_Config!$G$6),KPI_Config!$F$6,0)))))</f>
        <v>0</v>
      </c>
      <c r="G64" s="16">
        <f>IF($A64="","",IF(Raw_Data!G64="",0,IF(KPI_Config!$C$7="L",IF(Raw_Data!G64&lt;=KPI_Config!$E$7,KPI_Config!$D$7,IF(AND(KPI_Config!$F$7&gt;0,Raw_Data!G64&lt;=KPI_Config!$G$7),KPI_Config!$F$7,0)),IF(Raw_Data!G64&gt;=KPI_Config!$E$7,KPI_Config!$D$7,IF(AND(KPI_Config!$F$7&gt;0,Raw_Data!G64&gt;=KPI_Config!$G$7),KPI_Config!$F$7,0)))))</f>
        <v>0</v>
      </c>
      <c r="H64" s="16">
        <f>IF($A64="","",IF(Raw_Data!H64="",0,IF(KPI_Config!$C$8="L",IF(Raw_Data!H64&lt;=KPI_Config!$E$8,KPI_Config!$D$8,IF(AND(KPI_Config!$F$8&gt;0,Raw_Data!H64&lt;=KPI_Config!$G$8),KPI_Config!$F$8,0)),IF(Raw_Data!H64&gt;=KPI_Config!$E$8,KPI_Config!$D$8,IF(AND(KPI_Config!$F$8&gt;0,Raw_Data!H64&gt;=KPI_Config!$G$8),KPI_Config!$F$8,0)))))</f>
        <v>0</v>
      </c>
      <c r="I64" s="16">
        <f>IF($A64="","",IF(Raw_Data!I64="",0,IF(KPI_Config!$C$9="L",IF(Raw_Data!I64&lt;=KPI_Config!$E$9,KPI_Config!$D$9,IF(AND(KPI_Config!$F$9&gt;0,Raw_Data!I64&lt;=KPI_Config!$G$9),KPI_Config!$F$9,0)),IF(Raw_Data!I64&gt;=KPI_Config!$E$9,KPI_Config!$D$9,IF(AND(KPI_Config!$F$9&gt;0,Raw_Data!I64&gt;=KPI_Config!$G$9),KPI_Config!$F$9,0)))))</f>
        <v>0</v>
      </c>
      <c r="J64" s="16">
        <f>IF($A64="","",IF(Raw_Data!J64="",0,IF(KPI_Config!$C$10="L",IF(Raw_Data!J64&lt;=KPI_Config!$E$10,KPI_Config!$D$10,IF(AND(KPI_Config!$F$10&gt;0,Raw_Data!J64&lt;=KPI_Config!$G$10),KPI_Config!$F$10,0)),IF(Raw_Data!J64&gt;=KPI_Config!$E$10,KPI_Config!$D$10,IF(AND(KPI_Config!$F$10&gt;0,Raw_Data!J64&gt;=KPI_Config!$G$10),KPI_Config!$F$10,0)))))</f>
        <v>0.15</v>
      </c>
      <c r="K64" s="16">
        <f>IF($A64="","",IF(Raw_Data!G64="",0,IF(KPI_Config!$C$11="L",IF(Raw_Data!G64&lt;=KPI_Config!$E$11,KPI_Config!$D$11,IF(AND(KPI_Config!$F$11&gt;0,Raw_Data!G64&lt;=KPI_Config!$G$11),KPI_Config!$F$11,0)),IF(Raw_Data!G64&gt;=KPI_Config!$E$11,KPI_Config!$D$11,IF(AND(KPI_Config!$F$11&gt;0,Raw_Data!G64&gt;=KPI_Config!$G$11),KPI_Config!$F$11,0)))))</f>
        <v>0</v>
      </c>
      <c r="L64" s="16">
        <f>IF($A64="","",MIN(Policy_Decisions!$B$10,IF(Policy_Decisions!$B$6="Additive",SUM(E64:K64),SUM(E64:J64)-G64+MAX(G64,K64))))</f>
        <v>0.15</v>
      </c>
      <c r="M64" s="16">
        <f>IF($A64="","",Raw_Data!K64)</f>
        <v>0</v>
      </c>
      <c r="N64" s="16">
        <f>IF($A64="","",IFERROR(VLOOKUP(M64,KPI_Config!$I$5:$J$10,2,FALSE()),0))</f>
        <v>0</v>
      </c>
      <c r="O64" s="16">
        <f>IF($A64="","",IF(Policy_Decisions!$B$5="Percentage points",MAX(0,L64-N64),L64*(1-N64)))</f>
        <v>0.15</v>
      </c>
      <c r="P64" s="15" t="str">
        <f>IF($A64="","",IF(U64="","Review proration",IF(O64=0,"No payout",IF(N64&gt;0,"Malus applied","Eligible"))))</f>
        <v>Eligible</v>
      </c>
      <c r="Q64" s="15" t="str">
        <f>IF($A64="","",Raw_Data!M64)</f>
        <v>MAD</v>
      </c>
      <c r="R64" s="38">
        <f>IF($A64="","",Raw_Data!N64)</f>
        <v>0</v>
      </c>
      <c r="S64" s="38">
        <f>IF($A64="","",Raw_Data!O64)</f>
        <v>0</v>
      </c>
      <c r="T64" s="38">
        <f>IF($A64="","",IF(Raw_Data!P64&gt;0,Raw_Data!P64,Raw_Data!N64*Raw_Data!O64/IF(Policy_Decisions!$B$7="Annual",12,1)))</f>
        <v>2000</v>
      </c>
      <c r="U64" s="38">
        <f>IF($A64="","",IF(OR(Raw_Data!R64="",Raw_Data!R64&lt;=0),"",MIN(1,MAX(0,Raw_Data!Q64/Raw_Data!R64))))</f>
        <v>1</v>
      </c>
      <c r="V64" s="38">
        <f>IF(OR($A64="",U64=""),"",T64*U64)</f>
        <v>2000</v>
      </c>
      <c r="W64" s="38">
        <f>IF(OR($A64="",V64=""),"",V64*L64)</f>
        <v>300</v>
      </c>
      <c r="X64" s="38">
        <f>IF(OR($A64="",V64=""),"",V64*L64-V64*O64)</f>
        <v>0</v>
      </c>
      <c r="Y64" s="38">
        <f>IF(OR($A64="",V64=""),"",ROUND(V64*O64,IF(Policy_Decisions!$B$11="Whole MAD",0,2)))</f>
        <v>300</v>
      </c>
      <c r="Z64" t="str">
        <f>Raw_Data!T64</f>
        <v>Farouk BOUAZZAOUI</v>
      </c>
      <c r="AA64" t="str">
        <f>Raw_Data!U64</f>
        <v>Anas OUAKKAD</v>
      </c>
    </row>
    <row r="65" spans="1:27" ht="14.25" customHeight="1">
      <c r="A65" s="13">
        <f>IF(Raw_Data!A65="","",Raw_Data!A65)</f>
        <v>203575</v>
      </c>
      <c r="B65" s="13" t="str">
        <f>IF(Raw_Data!B65="","",Raw_Data!B65)</f>
        <v>Diallo Mustapha Salam</v>
      </c>
      <c r="C65" s="13" t="str">
        <f>IF(Raw_Data!C65="","",Raw_Data!C65)</f>
        <v>OEM FR</v>
      </c>
      <c r="D65" s="13" t="str">
        <f>IF(Raw_Data!D65="","",Raw_Data!D65)</f>
        <v>2026-07</v>
      </c>
      <c r="E65" s="21">
        <f>IF($A65="","",IF(Raw_Data!E65="",0,IF(KPI_Config!$C$5="L",IF(Raw_Data!E65&lt;=KPI_Config!$E$5,KPI_Config!$D$5,IF(AND(KPI_Config!$F$5&gt;0,Raw_Data!E65&lt;=KPI_Config!$G$5),KPI_Config!$F$5,0)),IF(Raw_Data!E65&gt;=KPI_Config!$E$5,KPI_Config!$D$5,IF(AND(KPI_Config!$F$5&gt;0,Raw_Data!E65&gt;=KPI_Config!$G$5),KPI_Config!$F$5,0)))))</f>
        <v>0</v>
      </c>
      <c r="F65" s="21">
        <f>IF($A65="","",IF(Raw_Data!F65="",0,IF(KPI_Config!$C$6="L",IF(Raw_Data!F65&lt;=KPI_Config!$E$6,KPI_Config!$D$6,IF(AND(KPI_Config!$F$6&gt;0,Raw_Data!F65&lt;=KPI_Config!$G$6),KPI_Config!$F$6,0)),IF(Raw_Data!F65&gt;=KPI_Config!$E$6,KPI_Config!$D$6,IF(AND(KPI_Config!$F$6&gt;0,Raw_Data!F65&gt;=KPI_Config!$G$6),KPI_Config!$F$6,0)))))</f>
        <v>0</v>
      </c>
      <c r="G65" s="21">
        <f>IF($A65="","",IF(Raw_Data!G65="",0,IF(KPI_Config!$C$7="L",IF(Raw_Data!G65&lt;=KPI_Config!$E$7,KPI_Config!$D$7,IF(AND(KPI_Config!$F$7&gt;0,Raw_Data!G65&lt;=KPI_Config!$G$7),KPI_Config!$F$7,0)),IF(Raw_Data!G65&gt;=KPI_Config!$E$7,KPI_Config!$D$7,IF(AND(KPI_Config!$F$7&gt;0,Raw_Data!G65&gt;=KPI_Config!$G$7),KPI_Config!$F$7,0)))))</f>
        <v>0</v>
      </c>
      <c r="H65" s="21">
        <f>IF($A65="","",IF(Raw_Data!H65="",0,IF(KPI_Config!$C$8="L",IF(Raw_Data!H65&lt;=KPI_Config!$E$8,KPI_Config!$D$8,IF(AND(KPI_Config!$F$8&gt;0,Raw_Data!H65&lt;=KPI_Config!$G$8),KPI_Config!$F$8,0)),IF(Raw_Data!H65&gt;=KPI_Config!$E$8,KPI_Config!$D$8,IF(AND(KPI_Config!$F$8&gt;0,Raw_Data!H65&gt;=KPI_Config!$G$8),KPI_Config!$F$8,0)))))</f>
        <v>0</v>
      </c>
      <c r="I65" s="21">
        <f>IF($A65="","",IF(Raw_Data!I65="",0,IF(KPI_Config!$C$9="L",IF(Raw_Data!I65&lt;=KPI_Config!$E$9,KPI_Config!$D$9,IF(AND(KPI_Config!$F$9&gt;0,Raw_Data!I65&lt;=KPI_Config!$G$9),KPI_Config!$F$9,0)),IF(Raw_Data!I65&gt;=KPI_Config!$E$9,KPI_Config!$D$9,IF(AND(KPI_Config!$F$9&gt;0,Raw_Data!I65&gt;=KPI_Config!$G$9),KPI_Config!$F$9,0)))))</f>
        <v>0.15</v>
      </c>
      <c r="J65" s="21">
        <f>IF($A65="","",IF(Raw_Data!J65="",0,IF(KPI_Config!$C$10="L",IF(Raw_Data!J65&lt;=KPI_Config!$E$10,KPI_Config!$D$10,IF(AND(KPI_Config!$F$10&gt;0,Raw_Data!J65&lt;=KPI_Config!$G$10),KPI_Config!$F$10,0)),IF(Raw_Data!J65&gt;=KPI_Config!$E$10,KPI_Config!$D$10,IF(AND(KPI_Config!$F$10&gt;0,Raw_Data!J65&gt;=KPI_Config!$G$10),KPI_Config!$F$10,0)))))</f>
        <v>0.15</v>
      </c>
      <c r="K65" s="21">
        <f>IF($A65="","",IF(Raw_Data!G65="",0,IF(KPI_Config!$C$11="L",IF(Raw_Data!G65&lt;=KPI_Config!$E$11,KPI_Config!$D$11,IF(AND(KPI_Config!$F$11&gt;0,Raw_Data!G65&lt;=KPI_Config!$G$11),KPI_Config!$F$11,0)),IF(Raw_Data!G65&gt;=KPI_Config!$E$11,KPI_Config!$D$11,IF(AND(KPI_Config!$F$11&gt;0,Raw_Data!G65&gt;=KPI_Config!$G$11),KPI_Config!$F$11,0)))))</f>
        <v>0</v>
      </c>
      <c r="L65" s="21">
        <f>IF($A65="","",MIN(Policy_Decisions!$B$10,IF(Policy_Decisions!$B$6="Additive",SUM(E65:K65),SUM(E65:J65)-G65+MAX(G65,K65))))</f>
        <v>0.3</v>
      </c>
      <c r="M65" s="21">
        <f>IF($A65="","",Raw_Data!K65)</f>
        <v>0</v>
      </c>
      <c r="N65" s="21">
        <f>IF($A65="","",IFERROR(VLOOKUP(M65,KPI_Config!$I$5:$J$10,2,FALSE()),0))</f>
        <v>0</v>
      </c>
      <c r="O65" s="21">
        <f>IF($A65="","",IF(Policy_Decisions!$B$5="Percentage points",MAX(0,L65-N65),L65*(1-N65)))</f>
        <v>0.3</v>
      </c>
      <c r="P65" s="13" t="str">
        <f>IF($A65="","",IF(U65="","Review proration",IF(O65=0,"No payout",IF(N65&gt;0,"Malus applied","Eligible"))))</f>
        <v>Eligible</v>
      </c>
      <c r="Q65" s="13" t="str">
        <f>IF($A65="","",Raw_Data!M65)</f>
        <v>MAD</v>
      </c>
      <c r="R65" s="37">
        <f>IF($A65="","",Raw_Data!N65)</f>
        <v>0</v>
      </c>
      <c r="S65" s="37">
        <f>IF($A65="","",Raw_Data!O65)</f>
        <v>0</v>
      </c>
      <c r="T65" s="37">
        <f>IF($A65="","",IF(Raw_Data!P65&gt;0,Raw_Data!P65,Raw_Data!N65*Raw_Data!O65/IF(Policy_Decisions!$B$7="Annual",12,1)))</f>
        <v>2000</v>
      </c>
      <c r="U65" s="37">
        <f>IF($A65="","",IF(OR(Raw_Data!R65="",Raw_Data!R65&lt;=0),"",MIN(1,MAX(0,Raw_Data!Q65/Raw_Data!R65))))</f>
        <v>1</v>
      </c>
      <c r="V65" s="37">
        <f>IF(OR($A65="",U65=""),"",T65*U65)</f>
        <v>2000</v>
      </c>
      <c r="W65" s="37">
        <f>IF(OR($A65="",V65=""),"",V65*L65)</f>
        <v>600</v>
      </c>
      <c r="X65" s="37">
        <f>IF(OR($A65="",V65=""),"",V65*L65-V65*O65)</f>
        <v>0</v>
      </c>
      <c r="Y65" s="37">
        <f>IF(OR($A65="",V65=""),"",ROUND(V65*O65,IF(Policy_Decisions!$B$11="Whole MAD",0,2)))</f>
        <v>600</v>
      </c>
      <c r="Z65" t="str">
        <f>Raw_Data!T65</f>
        <v>Kenza EL MOUMNI</v>
      </c>
      <c r="AA65" t="str">
        <f>Raw_Data!U65</f>
        <v>Anas OUAKKAD</v>
      </c>
    </row>
    <row r="66" spans="1:27" ht="14.25" customHeight="1">
      <c r="A66" s="15">
        <f>IF(Raw_Data!A66="","",Raw_Data!A66)</f>
        <v>250747</v>
      </c>
      <c r="B66" s="15" t="str">
        <f>IF(Raw_Data!B66="","",Raw_Data!B66)</f>
        <v>Mouna  SAHIL</v>
      </c>
      <c r="C66" s="15" t="str">
        <f>IF(Raw_Data!C66="","",Raw_Data!C66)</f>
        <v>OEM FR</v>
      </c>
      <c r="D66" s="15" t="str">
        <f>IF(Raw_Data!D66="","",Raw_Data!D66)</f>
        <v>2026-07</v>
      </c>
      <c r="E66" s="16">
        <f>IF($A66="","",IF(Raw_Data!E66="",0,IF(KPI_Config!$C$5="L",IF(Raw_Data!E66&lt;=KPI_Config!$E$5,KPI_Config!$D$5,IF(AND(KPI_Config!$F$5&gt;0,Raw_Data!E66&lt;=KPI_Config!$G$5),KPI_Config!$F$5,0)),IF(Raw_Data!E66&gt;=KPI_Config!$E$5,KPI_Config!$D$5,IF(AND(KPI_Config!$F$5&gt;0,Raw_Data!E66&gt;=KPI_Config!$G$5),KPI_Config!$F$5,0)))))</f>
        <v>0</v>
      </c>
      <c r="F66" s="16">
        <f>IF($A66="","",IF(Raw_Data!F66="",0,IF(KPI_Config!$C$6="L",IF(Raw_Data!F66&lt;=KPI_Config!$E$6,KPI_Config!$D$6,IF(AND(KPI_Config!$F$6&gt;0,Raw_Data!F66&lt;=KPI_Config!$G$6),KPI_Config!$F$6,0)),IF(Raw_Data!F66&gt;=KPI_Config!$E$6,KPI_Config!$D$6,IF(AND(KPI_Config!$F$6&gt;0,Raw_Data!F66&gt;=KPI_Config!$G$6),KPI_Config!$F$6,0)))))</f>
        <v>0</v>
      </c>
      <c r="G66" s="16">
        <f>IF($A66="","",IF(Raw_Data!G66="",0,IF(KPI_Config!$C$7="L",IF(Raw_Data!G66&lt;=KPI_Config!$E$7,KPI_Config!$D$7,IF(AND(KPI_Config!$F$7&gt;0,Raw_Data!G66&lt;=KPI_Config!$G$7),KPI_Config!$F$7,0)),IF(Raw_Data!G66&gt;=KPI_Config!$E$7,KPI_Config!$D$7,IF(AND(KPI_Config!$F$7&gt;0,Raw_Data!G66&gt;=KPI_Config!$G$7),KPI_Config!$F$7,0)))))</f>
        <v>0</v>
      </c>
      <c r="H66" s="16">
        <f>IF($A66="","",IF(Raw_Data!H66="",0,IF(KPI_Config!$C$8="L",IF(Raw_Data!H66&lt;=KPI_Config!$E$8,KPI_Config!$D$8,IF(AND(KPI_Config!$F$8&gt;0,Raw_Data!H66&lt;=KPI_Config!$G$8),KPI_Config!$F$8,0)),IF(Raw_Data!H66&gt;=KPI_Config!$E$8,KPI_Config!$D$8,IF(AND(KPI_Config!$F$8&gt;0,Raw_Data!H66&gt;=KPI_Config!$G$8),KPI_Config!$F$8,0)))))</f>
        <v>0</v>
      </c>
      <c r="I66" s="16">
        <f>IF($A66="","",IF(Raw_Data!I66="",0,IF(KPI_Config!$C$9="L",IF(Raw_Data!I66&lt;=KPI_Config!$E$9,KPI_Config!$D$9,IF(AND(KPI_Config!$F$9&gt;0,Raw_Data!I66&lt;=KPI_Config!$G$9),KPI_Config!$F$9,0)),IF(Raw_Data!I66&gt;=KPI_Config!$E$9,KPI_Config!$D$9,IF(AND(KPI_Config!$F$9&gt;0,Raw_Data!I66&gt;=KPI_Config!$G$9),KPI_Config!$F$9,0)))))</f>
        <v>0</v>
      </c>
      <c r="J66" s="16">
        <f>IF($A66="","",IF(Raw_Data!J66="",0,IF(KPI_Config!$C$10="L",IF(Raw_Data!J66&lt;=KPI_Config!$E$10,KPI_Config!$D$10,IF(AND(KPI_Config!$F$10&gt;0,Raw_Data!J66&lt;=KPI_Config!$G$10),KPI_Config!$F$10,0)),IF(Raw_Data!J66&gt;=KPI_Config!$E$10,KPI_Config!$D$10,IF(AND(KPI_Config!$F$10&gt;0,Raw_Data!J66&gt;=KPI_Config!$G$10),KPI_Config!$F$10,0)))))</f>
        <v>0.15</v>
      </c>
      <c r="K66" s="16">
        <f>IF($A66="","",IF(Raw_Data!G66="",0,IF(KPI_Config!$C$11="L",IF(Raw_Data!G66&lt;=KPI_Config!$E$11,KPI_Config!$D$11,IF(AND(KPI_Config!$F$11&gt;0,Raw_Data!G66&lt;=KPI_Config!$G$11),KPI_Config!$F$11,0)),IF(Raw_Data!G66&gt;=KPI_Config!$E$11,KPI_Config!$D$11,IF(AND(KPI_Config!$F$11&gt;0,Raw_Data!G66&gt;=KPI_Config!$G$11),KPI_Config!$F$11,0)))))</f>
        <v>0</v>
      </c>
      <c r="L66" s="16">
        <f>IF($A66="","",MIN(Policy_Decisions!$B$10,IF(Policy_Decisions!$B$6="Additive",SUM(E66:K66),SUM(E66:J66)-G66+MAX(G66,K66))))</f>
        <v>0.15</v>
      </c>
      <c r="M66" s="16">
        <f>IF($A66="","",Raw_Data!K66)</f>
        <v>0</v>
      </c>
      <c r="N66" s="16">
        <f>IF($A66="","",IFERROR(VLOOKUP(M66,KPI_Config!$I$5:$J$10,2,FALSE()),0))</f>
        <v>0</v>
      </c>
      <c r="O66" s="16">
        <f>IF($A66="","",IF(Policy_Decisions!$B$5="Percentage points",MAX(0,L66-N66),L66*(1-N66)))</f>
        <v>0.15</v>
      </c>
      <c r="P66" s="15" t="str">
        <f>IF($A66="","",IF(U66="","Review proration",IF(O66=0,"No payout",IF(N66&gt;0,"Malus applied","Eligible"))))</f>
        <v>Eligible</v>
      </c>
      <c r="Q66" s="15" t="str">
        <f>IF($A66="","",Raw_Data!M66)</f>
        <v>MAD</v>
      </c>
      <c r="R66" s="38">
        <f>IF($A66="","",Raw_Data!N66)</f>
        <v>0</v>
      </c>
      <c r="S66" s="38">
        <f>IF($A66="","",Raw_Data!O66)</f>
        <v>0</v>
      </c>
      <c r="T66" s="38">
        <f>IF($A66="","",IF(Raw_Data!P66&gt;0,Raw_Data!P66,Raw_Data!N66*Raw_Data!O66/IF(Policy_Decisions!$B$7="Annual",12,1)))</f>
        <v>2000</v>
      </c>
      <c r="U66" s="38">
        <f>IF($A66="","",IF(OR(Raw_Data!R66="",Raw_Data!R66&lt;=0),"",MIN(1,MAX(0,Raw_Data!Q66/Raw_Data!R66))))</f>
        <v>1</v>
      </c>
      <c r="V66" s="38">
        <f>IF(OR($A66="",U66=""),"",T66*U66)</f>
        <v>2000</v>
      </c>
      <c r="W66" s="38">
        <f>IF(OR($A66="",V66=""),"",V66*L66)</f>
        <v>300</v>
      </c>
      <c r="X66" s="38">
        <f>IF(OR($A66="",V66=""),"",V66*L66-V66*O66)</f>
        <v>0</v>
      </c>
      <c r="Y66" s="38">
        <f>IF(OR($A66="",V66=""),"",ROUND(V66*O66,IF(Policy_Decisions!$B$11="Whole MAD",0,2)))</f>
        <v>300</v>
      </c>
      <c r="Z66" t="str">
        <f>Raw_Data!T66</f>
        <v>Malak AZERKI</v>
      </c>
      <c r="AA66" t="str">
        <f>Raw_Data!U66</f>
        <v>Anas OUAKKAD</v>
      </c>
    </row>
    <row r="67" spans="1:27" ht="14.25" customHeight="1">
      <c r="A67" s="13">
        <f>IF(Raw_Data!A67="","",Raw_Data!A67)</f>
        <v>203607</v>
      </c>
      <c r="B67" s="13" t="str">
        <f>IF(Raw_Data!B67="","",Raw_Data!B67)</f>
        <v>Nissaoui Morad</v>
      </c>
      <c r="C67" s="13" t="str">
        <f>IF(Raw_Data!C67="","",Raw_Data!C67)</f>
        <v>OEM FR</v>
      </c>
      <c r="D67" s="13" t="str">
        <f>IF(Raw_Data!D67="","",Raw_Data!D67)</f>
        <v>2026-07</v>
      </c>
      <c r="E67" s="21">
        <f>IF($A67="","",IF(Raw_Data!E67="",0,IF(KPI_Config!$C$5="L",IF(Raw_Data!E67&lt;=KPI_Config!$E$5,KPI_Config!$D$5,IF(AND(KPI_Config!$F$5&gt;0,Raw_Data!E67&lt;=KPI_Config!$G$5),KPI_Config!$F$5,0)),IF(Raw_Data!E67&gt;=KPI_Config!$E$5,KPI_Config!$D$5,IF(AND(KPI_Config!$F$5&gt;0,Raw_Data!E67&gt;=KPI_Config!$G$5),KPI_Config!$F$5,0)))))</f>
        <v>0</v>
      </c>
      <c r="F67" s="21">
        <f>IF($A67="","",IF(Raw_Data!F67="",0,IF(KPI_Config!$C$6="L",IF(Raw_Data!F67&lt;=KPI_Config!$E$6,KPI_Config!$D$6,IF(AND(KPI_Config!$F$6&gt;0,Raw_Data!F67&lt;=KPI_Config!$G$6),KPI_Config!$F$6,0)),IF(Raw_Data!F67&gt;=KPI_Config!$E$6,KPI_Config!$D$6,IF(AND(KPI_Config!$F$6&gt;0,Raw_Data!F67&gt;=KPI_Config!$G$6),KPI_Config!$F$6,0)))))</f>
        <v>0.15</v>
      </c>
      <c r="G67" s="21">
        <f>IF($A67="","",IF(Raw_Data!G67="",0,IF(KPI_Config!$C$7="L",IF(Raw_Data!G67&lt;=KPI_Config!$E$7,KPI_Config!$D$7,IF(AND(KPI_Config!$F$7&gt;0,Raw_Data!G67&lt;=KPI_Config!$G$7),KPI_Config!$F$7,0)),IF(Raw_Data!G67&gt;=KPI_Config!$E$7,KPI_Config!$D$7,IF(AND(KPI_Config!$F$7&gt;0,Raw_Data!G67&gt;=KPI_Config!$G$7),KPI_Config!$F$7,0)))))</f>
        <v>0.2</v>
      </c>
      <c r="H67" s="21">
        <f>IF($A67="","",IF(Raw_Data!H67="",0,IF(KPI_Config!$C$8="L",IF(Raw_Data!H67&lt;=KPI_Config!$E$8,KPI_Config!$D$8,IF(AND(KPI_Config!$F$8&gt;0,Raw_Data!H67&lt;=KPI_Config!$G$8),KPI_Config!$F$8,0)),IF(Raw_Data!H67&gt;=KPI_Config!$E$8,KPI_Config!$D$8,IF(AND(KPI_Config!$F$8&gt;0,Raw_Data!H67&gt;=KPI_Config!$G$8),KPI_Config!$F$8,0)))))</f>
        <v>0</v>
      </c>
      <c r="I67" s="21">
        <f>IF($A67="","",IF(Raw_Data!I67="",0,IF(KPI_Config!$C$9="L",IF(Raw_Data!I67&lt;=KPI_Config!$E$9,KPI_Config!$D$9,IF(AND(KPI_Config!$F$9&gt;0,Raw_Data!I67&lt;=KPI_Config!$G$9),KPI_Config!$F$9,0)),IF(Raw_Data!I67&gt;=KPI_Config!$E$9,KPI_Config!$D$9,IF(AND(KPI_Config!$F$9&gt;0,Raw_Data!I67&gt;=KPI_Config!$G$9),KPI_Config!$F$9,0)))))</f>
        <v>0</v>
      </c>
      <c r="J67" s="21">
        <f>IF($A67="","",IF(Raw_Data!J67="",0,IF(KPI_Config!$C$10="L",IF(Raw_Data!J67&lt;=KPI_Config!$E$10,KPI_Config!$D$10,IF(AND(KPI_Config!$F$10&gt;0,Raw_Data!J67&lt;=KPI_Config!$G$10),KPI_Config!$F$10,0)),IF(Raw_Data!J67&gt;=KPI_Config!$E$10,KPI_Config!$D$10,IF(AND(KPI_Config!$F$10&gt;0,Raw_Data!J67&gt;=KPI_Config!$G$10),KPI_Config!$F$10,0)))))</f>
        <v>0.15</v>
      </c>
      <c r="K67" s="21">
        <f>IF($A67="","",IF(Raw_Data!G67="",0,IF(KPI_Config!$C$11="L",IF(Raw_Data!G67&lt;=KPI_Config!$E$11,KPI_Config!$D$11,IF(AND(KPI_Config!$F$11&gt;0,Raw_Data!G67&lt;=KPI_Config!$G$11),KPI_Config!$F$11,0)),IF(Raw_Data!G67&gt;=KPI_Config!$E$11,KPI_Config!$D$11,IF(AND(KPI_Config!$F$11&gt;0,Raw_Data!G67&gt;=KPI_Config!$G$11),KPI_Config!$F$11,0)))))</f>
        <v>0.3</v>
      </c>
      <c r="L67" s="21">
        <f>IF($A67="","",MIN(Policy_Decisions!$B$10,IF(Policy_Decisions!$B$6="Additive",SUM(E67:K67),SUM(E67:J67)-G67+MAX(G67,K67))))</f>
        <v>0.8</v>
      </c>
      <c r="M67" s="21">
        <f>IF($A67="","",Raw_Data!K67)</f>
        <v>0</v>
      </c>
      <c r="N67" s="21">
        <f>IF($A67="","",IFERROR(VLOOKUP(M67,KPI_Config!$I$5:$J$10,2,FALSE()),0))</f>
        <v>0</v>
      </c>
      <c r="O67" s="21">
        <f>IF($A67="","",IF(Policy_Decisions!$B$5="Percentage points",MAX(0,L67-N67),L67*(1-N67)))</f>
        <v>0.8</v>
      </c>
      <c r="P67" s="13" t="str">
        <f>IF($A67="","",IF(U67="","Review proration",IF(O67=0,"No payout",IF(N67&gt;0,"Malus applied","Eligible"))))</f>
        <v>Eligible</v>
      </c>
      <c r="Q67" s="13" t="str">
        <f>IF($A67="","",Raw_Data!M67)</f>
        <v>MAD</v>
      </c>
      <c r="R67" s="37">
        <f>IF($A67="","",Raw_Data!N67)</f>
        <v>0</v>
      </c>
      <c r="S67" s="37">
        <f>IF($A67="","",Raw_Data!O67)</f>
        <v>0</v>
      </c>
      <c r="T67" s="37">
        <f>IF($A67="","",IF(Raw_Data!P67&gt;0,Raw_Data!P67,Raw_Data!N67*Raw_Data!O67/IF(Policy_Decisions!$B$7="Annual",12,1)))</f>
        <v>2000</v>
      </c>
      <c r="U67" s="37">
        <f>IF($A67="","",IF(OR(Raw_Data!R67="",Raw_Data!R67&lt;=0),"",MIN(1,MAX(0,Raw_Data!Q67/Raw_Data!R67))))</f>
        <v>1</v>
      </c>
      <c r="V67" s="37">
        <f>IF(OR($A67="",U67=""),"",T67*U67)</f>
        <v>2000</v>
      </c>
      <c r="W67" s="37">
        <f>IF(OR($A67="",V67=""),"",V67*L67)</f>
        <v>1600</v>
      </c>
      <c r="X67" s="37">
        <f>IF(OR($A67="",V67=""),"",V67*L67-V67*O67)</f>
        <v>0</v>
      </c>
      <c r="Y67" s="37">
        <f>IF(OR($A67="",V67=""),"",ROUND(V67*O67,IF(Policy_Decisions!$B$11="Whole MAD",0,2)))</f>
        <v>1600</v>
      </c>
      <c r="Z67" t="str">
        <f>Raw_Data!T67</f>
        <v>Malak AZERKI</v>
      </c>
      <c r="AA67" t="str">
        <f>Raw_Data!U67</f>
        <v>Anas OUAKKAD</v>
      </c>
    </row>
    <row r="68" spans="1:27" ht="14.25" customHeight="1">
      <c r="A68" s="15">
        <f>IF(Raw_Data!A68="","",Raw_Data!A68)</f>
        <v>224101</v>
      </c>
      <c r="B68" s="15" t="str">
        <f>IF(Raw_Data!B68="","",Raw_Data!B68)</f>
        <v>Monir Chouhaibi</v>
      </c>
      <c r="C68" s="15" t="str">
        <f>IF(Raw_Data!C68="","",Raw_Data!C68)</f>
        <v>RSA NL</v>
      </c>
      <c r="D68" s="15" t="str">
        <f>IF(Raw_Data!D68="","",Raw_Data!D68)</f>
        <v>2026-07</v>
      </c>
      <c r="E68" s="16">
        <f>IF($A68="","",IF(Raw_Data!E68="",0,IF(KPI_Config!$C$5="L",IF(Raw_Data!E68&lt;=KPI_Config!$E$5,KPI_Config!$D$5,IF(AND(KPI_Config!$F$5&gt;0,Raw_Data!E68&lt;=KPI_Config!$G$5),KPI_Config!$F$5,0)),IF(Raw_Data!E68&gt;=KPI_Config!$E$5,KPI_Config!$D$5,IF(AND(KPI_Config!$F$5&gt;0,Raw_Data!E68&gt;=KPI_Config!$G$5),KPI_Config!$F$5,0)))))</f>
        <v>0.15</v>
      </c>
      <c r="F68" s="16">
        <f>IF($A68="","",IF(Raw_Data!F68="",0,IF(KPI_Config!$C$6="L",IF(Raw_Data!F68&lt;=KPI_Config!$E$6,KPI_Config!$D$6,IF(AND(KPI_Config!$F$6&gt;0,Raw_Data!F68&lt;=KPI_Config!$G$6),KPI_Config!$F$6,0)),IF(Raw_Data!F68&gt;=KPI_Config!$E$6,KPI_Config!$D$6,IF(AND(KPI_Config!$F$6&gt;0,Raw_Data!F68&gt;=KPI_Config!$G$6),KPI_Config!$F$6,0)))))</f>
        <v>0.15</v>
      </c>
      <c r="G68" s="16">
        <f>IF($A68="","",IF(Raw_Data!G68="",0,IF(KPI_Config!$C$7="L",IF(Raw_Data!G68&lt;=KPI_Config!$E$7,KPI_Config!$D$7,IF(AND(KPI_Config!$F$7&gt;0,Raw_Data!G68&lt;=KPI_Config!$G$7),KPI_Config!$F$7,0)),IF(Raw_Data!G68&gt;=KPI_Config!$E$7,KPI_Config!$D$7,IF(AND(KPI_Config!$F$7&gt;0,Raw_Data!G68&gt;=KPI_Config!$G$7),KPI_Config!$F$7,0)))))</f>
        <v>0</v>
      </c>
      <c r="H68" s="16">
        <f>IF($A68="","",IF(Raw_Data!H68="",0,IF(KPI_Config!$C$8="L",IF(Raw_Data!H68&lt;=KPI_Config!$E$8,KPI_Config!$D$8,IF(AND(KPI_Config!$F$8&gt;0,Raw_Data!H68&lt;=KPI_Config!$G$8),KPI_Config!$F$8,0)),IF(Raw_Data!H68&gt;=KPI_Config!$E$8,KPI_Config!$D$8,IF(AND(KPI_Config!$F$8&gt;0,Raw_Data!H68&gt;=KPI_Config!$G$8),KPI_Config!$F$8,0)))))</f>
        <v>0</v>
      </c>
      <c r="I68" s="16">
        <f>IF($A68="","",IF(Raw_Data!I68="",0,IF(KPI_Config!$C$9="L",IF(Raw_Data!I68&lt;=KPI_Config!$E$9,KPI_Config!$D$9,IF(AND(KPI_Config!$F$9&gt;0,Raw_Data!I68&lt;=KPI_Config!$G$9),KPI_Config!$F$9,0)),IF(Raw_Data!I68&gt;=KPI_Config!$E$9,KPI_Config!$D$9,IF(AND(KPI_Config!$F$9&gt;0,Raw_Data!I68&gt;=KPI_Config!$G$9),KPI_Config!$F$9,0)))))</f>
        <v>0</v>
      </c>
      <c r="J68" s="16">
        <f>IF($A68="","",IF(Raw_Data!J68="",0,IF(KPI_Config!$C$10="L",IF(Raw_Data!J68&lt;=KPI_Config!$E$10,KPI_Config!$D$10,IF(AND(KPI_Config!$F$10&gt;0,Raw_Data!J68&lt;=KPI_Config!$G$10),KPI_Config!$F$10,0)),IF(Raw_Data!J68&gt;=KPI_Config!$E$10,KPI_Config!$D$10,IF(AND(KPI_Config!$F$10&gt;0,Raw_Data!J68&gt;=KPI_Config!$G$10),KPI_Config!$F$10,0)))))</f>
        <v>0</v>
      </c>
      <c r="K68" s="16">
        <f>IF($A68="","",IF(Raw_Data!G68="",0,IF(KPI_Config!$C$11="L",IF(Raw_Data!G68&lt;=KPI_Config!$E$11,KPI_Config!$D$11,IF(AND(KPI_Config!$F$11&gt;0,Raw_Data!G68&lt;=KPI_Config!$G$11),KPI_Config!$F$11,0)),IF(Raw_Data!G68&gt;=KPI_Config!$E$11,KPI_Config!$D$11,IF(AND(KPI_Config!$F$11&gt;0,Raw_Data!G68&gt;=KPI_Config!$G$11),KPI_Config!$F$11,0)))))</f>
        <v>0</v>
      </c>
      <c r="L68" s="16">
        <f>IF($A68="","",MIN(Policy_Decisions!$B$10,IF(Policy_Decisions!$B$6="Additive",SUM(E68:K68),SUM(E68:J68)-G68+MAX(G68,K68))))</f>
        <v>0.3</v>
      </c>
      <c r="M68" s="16">
        <f>IF($A68="","",Raw_Data!K68)</f>
        <v>0</v>
      </c>
      <c r="N68" s="16">
        <f>IF($A68="","",IFERROR(VLOOKUP(M68,KPI_Config!$I$5:$J$10,2,FALSE()),0))</f>
        <v>0</v>
      </c>
      <c r="O68" s="16">
        <f>IF($A68="","",IF(Policy_Decisions!$B$5="Percentage points",MAX(0,L68-N68),L68*(1-N68)))</f>
        <v>0.3</v>
      </c>
      <c r="P68" s="15" t="str">
        <f>IF($A68="","",IF(U68="","Review proration",IF(O68=0,"No payout",IF(N68&gt;0,"Malus applied","Eligible"))))</f>
        <v>Eligible</v>
      </c>
      <c r="Q68" s="15" t="str">
        <f>IF($A68="","",Raw_Data!M68)</f>
        <v>MAD</v>
      </c>
      <c r="R68" s="38">
        <f>IF($A68="","",Raw_Data!N68)</f>
        <v>0</v>
      </c>
      <c r="S68" s="38">
        <f>IF($A68="","",Raw_Data!O68)</f>
        <v>0</v>
      </c>
      <c r="T68" s="38">
        <f>IF($A68="","",IF(Raw_Data!P68&gt;0,Raw_Data!P68,Raw_Data!N68*Raw_Data!O68/IF(Policy_Decisions!$B$7="Annual",12,1)))</f>
        <v>2000</v>
      </c>
      <c r="U68" s="38">
        <f>IF($A68="","",IF(OR(Raw_Data!R68="",Raw_Data!R68&lt;=0),"",MIN(1,MAX(0,Raw_Data!Q68/Raw_Data!R68))))</f>
        <v>1</v>
      </c>
      <c r="V68" s="38">
        <f>IF(OR($A68="",U68=""),"",T68*U68)</f>
        <v>2000</v>
      </c>
      <c r="W68" s="38">
        <f>IF(OR($A68="",V68=""),"",V68*L68)</f>
        <v>600</v>
      </c>
      <c r="X68" s="38">
        <f>IF(OR($A68="",V68=""),"",V68*L68-V68*O68)</f>
        <v>0</v>
      </c>
      <c r="Y68" s="38">
        <f>IF(OR($A68="",V68=""),"",ROUND(V68*O68,IF(Policy_Decisions!$B$11="Whole MAD",0,2)))</f>
        <v>600</v>
      </c>
      <c r="Z68" t="str">
        <f>Raw_Data!T68</f>
        <v>JEANNE NKIKIO RWIBUTSO</v>
      </c>
      <c r="AA68" t="str">
        <f>Raw_Data!U68</f>
        <v>Anas OUAKKAD</v>
      </c>
    </row>
    <row r="69" spans="1:27" ht="14.25" customHeight="1">
      <c r="A69" s="13">
        <f>IF(Raw_Data!A69="","",Raw_Data!A69)</f>
        <v>96499</v>
      </c>
      <c r="B69" s="13" t="str">
        <f>IF(Raw_Data!B69="","",Raw_Data!B69)</f>
        <v>VERMEIRE Monique</v>
      </c>
      <c r="C69" s="13" t="str">
        <f>IF(Raw_Data!C69="","",Raw_Data!C69)</f>
        <v>RSA NL</v>
      </c>
      <c r="D69" s="13" t="str">
        <f>IF(Raw_Data!D69="","",Raw_Data!D69)</f>
        <v>2026-07</v>
      </c>
      <c r="E69" s="21">
        <f>IF($A69="","",IF(Raw_Data!E69="",0,IF(KPI_Config!$C$5="L",IF(Raw_Data!E69&lt;=KPI_Config!$E$5,KPI_Config!$D$5,IF(AND(KPI_Config!$F$5&gt;0,Raw_Data!E69&lt;=KPI_Config!$G$5),KPI_Config!$F$5,0)),IF(Raw_Data!E69&gt;=KPI_Config!$E$5,KPI_Config!$D$5,IF(AND(KPI_Config!$F$5&gt;0,Raw_Data!E69&gt;=KPI_Config!$G$5),KPI_Config!$F$5,0)))))</f>
        <v>0.15</v>
      </c>
      <c r="F69" s="21">
        <f>IF($A69="","",IF(Raw_Data!F69="",0,IF(KPI_Config!$C$6="L",IF(Raw_Data!F69&lt;=KPI_Config!$E$6,KPI_Config!$D$6,IF(AND(KPI_Config!$F$6&gt;0,Raw_Data!F69&lt;=KPI_Config!$G$6),KPI_Config!$F$6,0)),IF(Raw_Data!F69&gt;=KPI_Config!$E$6,KPI_Config!$D$6,IF(AND(KPI_Config!$F$6&gt;0,Raw_Data!F69&gt;=KPI_Config!$G$6),KPI_Config!$F$6,0)))))</f>
        <v>0.15</v>
      </c>
      <c r="G69" s="21">
        <f>IF($A69="","",IF(Raw_Data!G69="",0,IF(KPI_Config!$C$7="L",IF(Raw_Data!G69&lt;=KPI_Config!$E$7,KPI_Config!$D$7,IF(AND(KPI_Config!$F$7&gt;0,Raw_Data!G69&lt;=KPI_Config!$G$7),KPI_Config!$F$7,0)),IF(Raw_Data!G69&gt;=KPI_Config!$E$7,KPI_Config!$D$7,IF(AND(KPI_Config!$F$7&gt;0,Raw_Data!G69&gt;=KPI_Config!$G$7),KPI_Config!$F$7,0)))))</f>
        <v>0</v>
      </c>
      <c r="H69" s="21">
        <f>IF($A69="","",IF(Raw_Data!H69="",0,IF(KPI_Config!$C$8="L",IF(Raw_Data!H69&lt;=KPI_Config!$E$8,KPI_Config!$D$8,IF(AND(KPI_Config!$F$8&gt;0,Raw_Data!H69&lt;=KPI_Config!$G$8),KPI_Config!$F$8,0)),IF(Raw_Data!H69&gt;=KPI_Config!$E$8,KPI_Config!$D$8,IF(AND(KPI_Config!$F$8&gt;0,Raw_Data!H69&gt;=KPI_Config!$G$8),KPI_Config!$F$8,0)))))</f>
        <v>0</v>
      </c>
      <c r="I69" s="21">
        <f>IF($A69="","",IF(Raw_Data!I69="",0,IF(KPI_Config!$C$9="L",IF(Raw_Data!I69&lt;=KPI_Config!$E$9,KPI_Config!$D$9,IF(AND(KPI_Config!$F$9&gt;0,Raw_Data!I69&lt;=KPI_Config!$G$9),KPI_Config!$F$9,0)),IF(Raw_Data!I69&gt;=KPI_Config!$E$9,KPI_Config!$D$9,IF(AND(KPI_Config!$F$9&gt;0,Raw_Data!I69&gt;=KPI_Config!$G$9),KPI_Config!$F$9,0)))))</f>
        <v>0.15</v>
      </c>
      <c r="J69" s="21">
        <f>IF($A69="","",IF(Raw_Data!J69="",0,IF(KPI_Config!$C$10="L",IF(Raw_Data!J69&lt;=KPI_Config!$E$10,KPI_Config!$D$10,IF(AND(KPI_Config!$F$10&gt;0,Raw_Data!J69&lt;=KPI_Config!$G$10),KPI_Config!$F$10,0)),IF(Raw_Data!J69&gt;=KPI_Config!$E$10,KPI_Config!$D$10,IF(AND(KPI_Config!$F$10&gt;0,Raw_Data!J69&gt;=KPI_Config!$G$10),KPI_Config!$F$10,0)))))</f>
        <v>0.15</v>
      </c>
      <c r="K69" s="21">
        <f>IF($A69="","",IF(Raw_Data!G69="",0,IF(KPI_Config!$C$11="L",IF(Raw_Data!G69&lt;=KPI_Config!$E$11,KPI_Config!$D$11,IF(AND(KPI_Config!$F$11&gt;0,Raw_Data!G69&lt;=KPI_Config!$G$11),KPI_Config!$F$11,0)),IF(Raw_Data!G69&gt;=KPI_Config!$E$11,KPI_Config!$D$11,IF(AND(KPI_Config!$F$11&gt;0,Raw_Data!G69&gt;=KPI_Config!$G$11),KPI_Config!$F$11,0)))))</f>
        <v>0</v>
      </c>
      <c r="L69" s="21">
        <f>IF($A69="","",MIN(Policy_Decisions!$B$10,IF(Policy_Decisions!$B$6="Additive",SUM(E69:K69),SUM(E69:J69)-G69+MAX(G69,K69))))</f>
        <v>0.6</v>
      </c>
      <c r="M69" s="21">
        <f>IF($A69="","",Raw_Data!K69)</f>
        <v>0</v>
      </c>
      <c r="N69" s="21">
        <f>IF($A69="","",IFERROR(VLOOKUP(M69,KPI_Config!$I$5:$J$10,2,FALSE()),0))</f>
        <v>0</v>
      </c>
      <c r="O69" s="21">
        <f>IF($A69="","",IF(Policy_Decisions!$B$5="Percentage points",MAX(0,L69-N69),L69*(1-N69)))</f>
        <v>0.6</v>
      </c>
      <c r="P69" s="13" t="str">
        <f>IF($A69="","",IF(U69="","Review proration",IF(O69=0,"No payout",IF(N69&gt;0,"Malus applied","Eligible"))))</f>
        <v>Eligible</v>
      </c>
      <c r="Q69" s="13" t="str">
        <f>IF($A69="","",Raw_Data!M69)</f>
        <v>MAD</v>
      </c>
      <c r="R69" s="37">
        <f>IF($A69="","",Raw_Data!N69)</f>
        <v>0</v>
      </c>
      <c r="S69" s="37">
        <f>IF($A69="","",Raw_Data!O69)</f>
        <v>0</v>
      </c>
      <c r="T69" s="37">
        <f>IF($A69="","",IF(Raw_Data!P69&gt;0,Raw_Data!P69,Raw_Data!N69*Raw_Data!O69/IF(Policy_Decisions!$B$7="Annual",12,1)))</f>
        <v>2000</v>
      </c>
      <c r="U69" s="37">
        <f>IF($A69="","",IF(OR(Raw_Data!R69="",Raw_Data!R69&lt;=0),"",MIN(1,MAX(0,Raw_Data!Q69/Raw_Data!R69))))</f>
        <v>1</v>
      </c>
      <c r="V69" s="37">
        <f>IF(OR($A69="",U69=""),"",T69*U69)</f>
        <v>2000</v>
      </c>
      <c r="W69" s="37">
        <f>IF(OR($A69="",V69=""),"",V69*L69)</f>
        <v>1200</v>
      </c>
      <c r="X69" s="37">
        <f>IF(OR($A69="",V69=""),"",V69*L69-V69*O69)</f>
        <v>0</v>
      </c>
      <c r="Y69" s="37">
        <f>IF(OR($A69="",V69=""),"",ROUND(V69*O69,IF(Policy_Decisions!$B$11="Whole MAD",0,2)))</f>
        <v>1200</v>
      </c>
      <c r="Z69" t="str">
        <f>Raw_Data!T69</f>
        <v>AL TAMIMI Zeynab</v>
      </c>
      <c r="AA69" t="str">
        <f>Raw_Data!U69</f>
        <v>Anas OUAKKAD</v>
      </c>
    </row>
    <row r="70" spans="1:27" ht="14.25" customHeight="1">
      <c r="A70" s="15">
        <f>IF(Raw_Data!A70="","",Raw_Data!A70)</f>
        <v>96452</v>
      </c>
      <c r="B70" s="15" t="str">
        <f>IF(Raw_Data!B70="","",Raw_Data!B70)</f>
        <v>QNICHER Mohammed Ali</v>
      </c>
      <c r="C70" s="15" t="str">
        <f>IF(Raw_Data!C70="","",Raw_Data!C70)</f>
        <v>RSA NL</v>
      </c>
      <c r="D70" s="15" t="str">
        <f>IF(Raw_Data!D70="","",Raw_Data!D70)</f>
        <v>2026-07</v>
      </c>
      <c r="E70" s="16">
        <f>IF($A70="","",IF(Raw_Data!E70="",0,IF(KPI_Config!$C$5="L",IF(Raw_Data!E70&lt;=KPI_Config!$E$5,KPI_Config!$D$5,IF(AND(KPI_Config!$F$5&gt;0,Raw_Data!E70&lt;=KPI_Config!$G$5),KPI_Config!$F$5,0)),IF(Raw_Data!E70&gt;=KPI_Config!$E$5,KPI_Config!$D$5,IF(AND(KPI_Config!$F$5&gt;0,Raw_Data!E70&gt;=KPI_Config!$G$5),KPI_Config!$F$5,0)))))</f>
        <v>0.15</v>
      </c>
      <c r="F70" s="16">
        <f>IF($A70="","",IF(Raw_Data!F70="",0,IF(KPI_Config!$C$6="L",IF(Raw_Data!F70&lt;=KPI_Config!$E$6,KPI_Config!$D$6,IF(AND(KPI_Config!$F$6&gt;0,Raw_Data!F70&lt;=KPI_Config!$G$6),KPI_Config!$F$6,0)),IF(Raw_Data!F70&gt;=KPI_Config!$E$6,KPI_Config!$D$6,IF(AND(KPI_Config!$F$6&gt;0,Raw_Data!F70&gt;=KPI_Config!$G$6),KPI_Config!$F$6,0)))))</f>
        <v>0.15</v>
      </c>
      <c r="G70" s="16">
        <f>IF($A70="","",IF(Raw_Data!G70="",0,IF(KPI_Config!$C$7="L",IF(Raw_Data!G70&lt;=KPI_Config!$E$7,KPI_Config!$D$7,IF(AND(KPI_Config!$F$7&gt;0,Raw_Data!G70&lt;=KPI_Config!$G$7),KPI_Config!$F$7,0)),IF(Raw_Data!G70&gt;=KPI_Config!$E$7,KPI_Config!$D$7,IF(AND(KPI_Config!$F$7&gt;0,Raw_Data!G70&gt;=KPI_Config!$G$7),KPI_Config!$F$7,0)))))</f>
        <v>0</v>
      </c>
      <c r="H70" s="16">
        <f>IF($A70="","",IF(Raw_Data!H70="",0,IF(KPI_Config!$C$8="L",IF(Raw_Data!H70&lt;=KPI_Config!$E$8,KPI_Config!$D$8,IF(AND(KPI_Config!$F$8&gt;0,Raw_Data!H70&lt;=KPI_Config!$G$8),KPI_Config!$F$8,0)),IF(Raw_Data!H70&gt;=KPI_Config!$E$8,KPI_Config!$D$8,IF(AND(KPI_Config!$F$8&gt;0,Raw_Data!H70&gt;=KPI_Config!$G$8),KPI_Config!$F$8,0)))))</f>
        <v>0</v>
      </c>
      <c r="I70" s="16">
        <f>IF($A70="","",IF(Raw_Data!I70="",0,IF(KPI_Config!$C$9="L",IF(Raw_Data!I70&lt;=KPI_Config!$E$9,KPI_Config!$D$9,IF(AND(KPI_Config!$F$9&gt;0,Raw_Data!I70&lt;=KPI_Config!$G$9),KPI_Config!$F$9,0)),IF(Raw_Data!I70&gt;=KPI_Config!$E$9,KPI_Config!$D$9,IF(AND(KPI_Config!$F$9&gt;0,Raw_Data!I70&gt;=KPI_Config!$G$9),KPI_Config!$F$9,0)))))</f>
        <v>0</v>
      </c>
      <c r="J70" s="16">
        <f>IF($A70="","",IF(Raw_Data!J70="",0,IF(KPI_Config!$C$10="L",IF(Raw_Data!J70&lt;=KPI_Config!$E$10,KPI_Config!$D$10,IF(AND(KPI_Config!$F$10&gt;0,Raw_Data!J70&lt;=KPI_Config!$G$10),KPI_Config!$F$10,0)),IF(Raw_Data!J70&gt;=KPI_Config!$E$10,KPI_Config!$D$10,IF(AND(KPI_Config!$F$10&gt;0,Raw_Data!J70&gt;=KPI_Config!$G$10),KPI_Config!$F$10,0)))))</f>
        <v>0.15</v>
      </c>
      <c r="K70" s="16">
        <f>IF($A70="","",IF(Raw_Data!G70="",0,IF(KPI_Config!$C$11="L",IF(Raw_Data!G70&lt;=KPI_Config!$E$11,KPI_Config!$D$11,IF(AND(KPI_Config!$F$11&gt;0,Raw_Data!G70&lt;=KPI_Config!$G$11),KPI_Config!$F$11,0)),IF(Raw_Data!G70&gt;=KPI_Config!$E$11,KPI_Config!$D$11,IF(AND(KPI_Config!$F$11&gt;0,Raw_Data!G70&gt;=KPI_Config!$G$11),KPI_Config!$F$11,0)))))</f>
        <v>0</v>
      </c>
      <c r="L70" s="16">
        <f>IF($A70="","",MIN(Policy_Decisions!$B$10,IF(Policy_Decisions!$B$6="Additive",SUM(E70:K70),SUM(E70:J70)-G70+MAX(G70,K70))))</f>
        <v>0.44999999999999996</v>
      </c>
      <c r="M70" s="16">
        <f>IF($A70="","",Raw_Data!K70)</f>
        <v>0</v>
      </c>
      <c r="N70" s="16">
        <f>IF($A70="","",IFERROR(VLOOKUP(M70,KPI_Config!$I$5:$J$10,2,FALSE()),0))</f>
        <v>0</v>
      </c>
      <c r="O70" s="16">
        <f>IF($A70="","",IF(Policy_Decisions!$B$5="Percentage points",MAX(0,L70-N70),L70*(1-N70)))</f>
        <v>0.44999999999999996</v>
      </c>
      <c r="P70" s="15" t="str">
        <f>IF($A70="","",IF(U70="","Review proration",IF(O70=0,"No payout",IF(N70&gt;0,"Malus applied","Eligible"))))</f>
        <v>Eligible</v>
      </c>
      <c r="Q70" s="15" t="str">
        <f>IF($A70="","",Raw_Data!M70)</f>
        <v>MAD</v>
      </c>
      <c r="R70" s="38">
        <f>IF($A70="","",Raw_Data!N70)</f>
        <v>0</v>
      </c>
      <c r="S70" s="38">
        <f>IF($A70="","",Raw_Data!O70)</f>
        <v>0</v>
      </c>
      <c r="T70" s="38">
        <f>IF($A70="","",IF(Raw_Data!P70&gt;0,Raw_Data!P70,Raw_Data!N70*Raw_Data!O70/IF(Policy_Decisions!$B$7="Annual",12,1)))</f>
        <v>2000</v>
      </c>
      <c r="U70" s="38">
        <f>IF($A70="","",IF(OR(Raw_Data!R70="",Raw_Data!R70&lt;=0),"",MIN(1,MAX(0,Raw_Data!Q70/Raw_Data!R70))))</f>
        <v>1</v>
      </c>
      <c r="V70" s="38">
        <f>IF(OR($A70="",U70=""),"",T70*U70)</f>
        <v>2000</v>
      </c>
      <c r="W70" s="38">
        <f>IF(OR($A70="",V70=""),"",V70*L70)</f>
        <v>899.99999999999989</v>
      </c>
      <c r="X70" s="38">
        <f>IF(OR($A70="",V70=""),"",V70*L70-V70*O70)</f>
        <v>0</v>
      </c>
      <c r="Y70" s="38">
        <f>IF(OR($A70="",V70=""),"",ROUND(V70*O70,IF(Policy_Decisions!$B$11="Whole MAD",0,2)))</f>
        <v>900</v>
      </c>
      <c r="Z70" t="str">
        <f>Raw_Data!T70</f>
        <v>JEANNE NKIKIO RWIBUTSO</v>
      </c>
      <c r="AA70" t="str">
        <f>Raw_Data!U70</f>
        <v>Anas OUAKKAD</v>
      </c>
    </row>
    <row r="71" spans="1:27" ht="14.25" customHeight="1">
      <c r="A71" s="13">
        <f>IF(Raw_Data!A71="","",Raw_Data!A71)</f>
        <v>244549</v>
      </c>
      <c r="B71" s="13" t="str">
        <f>IF(Raw_Data!B71="","",Raw_Data!B71)</f>
        <v>Amine Bensid</v>
      </c>
      <c r="C71" s="13" t="str">
        <f>IF(Raw_Data!C71="","",Raw_Data!C71)</f>
        <v>RSA NL</v>
      </c>
      <c r="D71" s="13" t="str">
        <f>IF(Raw_Data!D71="","",Raw_Data!D71)</f>
        <v>2026-07</v>
      </c>
      <c r="E71" s="21">
        <f>IF($A71="","",IF(Raw_Data!E71="",0,IF(KPI_Config!$C$5="L",IF(Raw_Data!E71&lt;=KPI_Config!$E$5,KPI_Config!$D$5,IF(AND(KPI_Config!$F$5&gt;0,Raw_Data!E71&lt;=KPI_Config!$G$5),KPI_Config!$F$5,0)),IF(Raw_Data!E71&gt;=KPI_Config!$E$5,KPI_Config!$D$5,IF(AND(KPI_Config!$F$5&gt;0,Raw_Data!E71&gt;=KPI_Config!$G$5),KPI_Config!$F$5,0)))))</f>
        <v>0</v>
      </c>
      <c r="F71" s="21">
        <f>IF($A71="","",IF(Raw_Data!F71="",0,IF(KPI_Config!$C$6="L",IF(Raw_Data!F71&lt;=KPI_Config!$E$6,KPI_Config!$D$6,IF(AND(KPI_Config!$F$6&gt;0,Raw_Data!F71&lt;=KPI_Config!$G$6),KPI_Config!$F$6,0)),IF(Raw_Data!F71&gt;=KPI_Config!$E$6,KPI_Config!$D$6,IF(AND(KPI_Config!$F$6&gt;0,Raw_Data!F71&gt;=KPI_Config!$G$6),KPI_Config!$F$6,0)))))</f>
        <v>0</v>
      </c>
      <c r="G71" s="21">
        <f>IF($A71="","",IF(Raw_Data!G71="",0,IF(KPI_Config!$C$7="L",IF(Raw_Data!G71&lt;=KPI_Config!$E$7,KPI_Config!$D$7,IF(AND(KPI_Config!$F$7&gt;0,Raw_Data!G71&lt;=KPI_Config!$G$7),KPI_Config!$F$7,0)),IF(Raw_Data!G71&gt;=KPI_Config!$E$7,KPI_Config!$D$7,IF(AND(KPI_Config!$F$7&gt;0,Raw_Data!G71&gt;=KPI_Config!$G$7),KPI_Config!$F$7,0)))))</f>
        <v>0</v>
      </c>
      <c r="H71" s="21">
        <f>IF($A71="","",IF(Raw_Data!H71="",0,IF(KPI_Config!$C$8="L",IF(Raw_Data!H71&lt;=KPI_Config!$E$8,KPI_Config!$D$8,IF(AND(KPI_Config!$F$8&gt;0,Raw_Data!H71&lt;=KPI_Config!$G$8),KPI_Config!$F$8,0)),IF(Raw_Data!H71&gt;=KPI_Config!$E$8,KPI_Config!$D$8,IF(AND(KPI_Config!$F$8&gt;0,Raw_Data!H71&gt;=KPI_Config!$G$8),KPI_Config!$F$8,0)))))</f>
        <v>0</v>
      </c>
      <c r="I71" s="21">
        <f>IF($A71="","",IF(Raw_Data!I71="",0,IF(KPI_Config!$C$9="L",IF(Raw_Data!I71&lt;=KPI_Config!$E$9,KPI_Config!$D$9,IF(AND(KPI_Config!$F$9&gt;0,Raw_Data!I71&lt;=KPI_Config!$G$9),KPI_Config!$F$9,0)),IF(Raw_Data!I71&gt;=KPI_Config!$E$9,KPI_Config!$D$9,IF(AND(KPI_Config!$F$9&gt;0,Raw_Data!I71&gt;=KPI_Config!$G$9),KPI_Config!$F$9,0)))))</f>
        <v>0</v>
      </c>
      <c r="J71" s="21">
        <f>IF($A71="","",IF(Raw_Data!J71="",0,IF(KPI_Config!$C$10="L",IF(Raw_Data!J71&lt;=KPI_Config!$E$10,KPI_Config!$D$10,IF(AND(KPI_Config!$F$10&gt;0,Raw_Data!J71&lt;=KPI_Config!$G$10),KPI_Config!$F$10,0)),IF(Raw_Data!J71&gt;=KPI_Config!$E$10,KPI_Config!$D$10,IF(AND(KPI_Config!$F$10&gt;0,Raw_Data!J71&gt;=KPI_Config!$G$10),KPI_Config!$F$10,0)))))</f>
        <v>0</v>
      </c>
      <c r="K71" s="21">
        <f>IF($A71="","",IF(Raw_Data!G71="",0,IF(KPI_Config!$C$11="L",IF(Raw_Data!G71&lt;=KPI_Config!$E$11,KPI_Config!$D$11,IF(AND(KPI_Config!$F$11&gt;0,Raw_Data!G71&lt;=KPI_Config!$G$11),KPI_Config!$F$11,0)),IF(Raw_Data!G71&gt;=KPI_Config!$E$11,KPI_Config!$D$11,IF(AND(KPI_Config!$F$11&gt;0,Raw_Data!G71&gt;=KPI_Config!$G$11),KPI_Config!$F$11,0)))))</f>
        <v>0</v>
      </c>
      <c r="L71" s="21">
        <f>IF($A71="","",MIN(Policy_Decisions!$B$10,IF(Policy_Decisions!$B$6="Additive",SUM(E71:K71),SUM(E71:J71)-G71+MAX(G71,K71))))</f>
        <v>0</v>
      </c>
      <c r="M71" s="21">
        <f>IF($A71="","",Raw_Data!K71)</f>
        <v>0</v>
      </c>
      <c r="N71" s="21">
        <f>IF($A71="","",IFERROR(VLOOKUP(M71,KPI_Config!$I$5:$J$10,2,FALSE()),0))</f>
        <v>0</v>
      </c>
      <c r="O71" s="21">
        <f>IF($A71="","",IF(Policy_Decisions!$B$5="Percentage points",MAX(0,L71-N71),L71*(1-N71)))</f>
        <v>0</v>
      </c>
      <c r="P71" s="13" t="str">
        <f>IF($A71="","",IF(U71="","Review proration",IF(O71=0,"No payout",IF(N71&gt;0,"Malus applied","Eligible"))))</f>
        <v>No payout</v>
      </c>
      <c r="Q71" s="13" t="str">
        <f>IF($A71="","",Raw_Data!M71)</f>
        <v>MAD</v>
      </c>
      <c r="R71" s="37">
        <f>IF($A71="","",Raw_Data!N71)</f>
        <v>0</v>
      </c>
      <c r="S71" s="37">
        <f>IF($A71="","",Raw_Data!O71)</f>
        <v>0</v>
      </c>
      <c r="T71" s="37">
        <f>IF($A71="","",IF(Raw_Data!P71&gt;0,Raw_Data!P71,Raw_Data!N71*Raw_Data!O71/IF(Policy_Decisions!$B$7="Annual",12,1)))</f>
        <v>2000</v>
      </c>
      <c r="U71" s="37">
        <f>IF($A71="","",IF(OR(Raw_Data!R71="",Raw_Data!R71&lt;=0),"",MIN(1,MAX(0,Raw_Data!Q71/Raw_Data!R71))))</f>
        <v>1</v>
      </c>
      <c r="V71" s="37">
        <f>IF(OR($A71="",U71=""),"",T71*U71)</f>
        <v>2000</v>
      </c>
      <c r="W71" s="37">
        <f>IF(OR($A71="",V71=""),"",V71*L71)</f>
        <v>0</v>
      </c>
      <c r="X71" s="37">
        <f>IF(OR($A71="",V71=""),"",V71*L71-V71*O71)</f>
        <v>0</v>
      </c>
      <c r="Y71" s="37">
        <f>IF(OR($A71="",V71=""),"",ROUND(V71*O71,IF(Policy_Decisions!$B$11="Whole MAD",0,2)))</f>
        <v>0</v>
      </c>
      <c r="Z71" t="str">
        <f>Raw_Data!T71</f>
        <v>KAIKAI Faissal</v>
      </c>
      <c r="AA71" t="str">
        <f>Raw_Data!U71</f>
        <v>Anas OUAKKAD</v>
      </c>
    </row>
    <row r="72" spans="1:27" ht="14.25" customHeight="1">
      <c r="A72" s="15">
        <f>IF(Raw_Data!A72="","",Raw_Data!A72)</f>
        <v>262905</v>
      </c>
      <c r="B72" s="15" t="str">
        <f>IF(Raw_Data!B72="","",Raw_Data!B72)</f>
        <v>Mohamed ALHABIB AIT HAMID</v>
      </c>
      <c r="C72" s="15" t="str">
        <f>IF(Raw_Data!C72="","",Raw_Data!C72)</f>
        <v>OEM FR</v>
      </c>
      <c r="D72" s="15" t="str">
        <f>IF(Raw_Data!D72="","",Raw_Data!D72)</f>
        <v>2026-07</v>
      </c>
      <c r="E72" s="16">
        <f>IF($A72="","",IF(Raw_Data!E72="",0,IF(KPI_Config!$C$5="L",IF(Raw_Data!E72&lt;=KPI_Config!$E$5,KPI_Config!$D$5,IF(AND(KPI_Config!$F$5&gt;0,Raw_Data!E72&lt;=KPI_Config!$G$5),KPI_Config!$F$5,0)),IF(Raw_Data!E72&gt;=KPI_Config!$E$5,KPI_Config!$D$5,IF(AND(KPI_Config!$F$5&gt;0,Raw_Data!E72&gt;=KPI_Config!$G$5),KPI_Config!$F$5,0)))))</f>
        <v>0</v>
      </c>
      <c r="F72" s="16">
        <f>IF($A72="","",IF(Raw_Data!F72="",0,IF(KPI_Config!$C$6="L",IF(Raw_Data!F72&lt;=KPI_Config!$E$6,KPI_Config!$D$6,IF(AND(KPI_Config!$F$6&gt;0,Raw_Data!F72&lt;=KPI_Config!$G$6),KPI_Config!$F$6,0)),IF(Raw_Data!F72&gt;=KPI_Config!$E$6,KPI_Config!$D$6,IF(AND(KPI_Config!$F$6&gt;0,Raw_Data!F72&gt;=KPI_Config!$G$6),KPI_Config!$F$6,0)))))</f>
        <v>0</v>
      </c>
      <c r="G72" s="16">
        <f>IF($A72="","",IF(Raw_Data!G72="",0,IF(KPI_Config!$C$7="L",IF(Raw_Data!G72&lt;=KPI_Config!$E$7,KPI_Config!$D$7,IF(AND(KPI_Config!$F$7&gt;0,Raw_Data!G72&lt;=KPI_Config!$G$7),KPI_Config!$F$7,0)),IF(Raw_Data!G72&gt;=KPI_Config!$E$7,KPI_Config!$D$7,IF(AND(KPI_Config!$F$7&gt;0,Raw_Data!G72&gt;=KPI_Config!$G$7),KPI_Config!$F$7,0)))))</f>
        <v>0</v>
      </c>
      <c r="H72" s="16">
        <f>IF($A72="","",IF(Raw_Data!H72="",0,IF(KPI_Config!$C$8="L",IF(Raw_Data!H72&lt;=KPI_Config!$E$8,KPI_Config!$D$8,IF(AND(KPI_Config!$F$8&gt;0,Raw_Data!H72&lt;=KPI_Config!$G$8),KPI_Config!$F$8,0)),IF(Raw_Data!H72&gt;=KPI_Config!$E$8,KPI_Config!$D$8,IF(AND(KPI_Config!$F$8&gt;0,Raw_Data!H72&gt;=KPI_Config!$G$8),KPI_Config!$F$8,0)))))</f>
        <v>0</v>
      </c>
      <c r="I72" s="16">
        <f>IF($A72="","",IF(Raw_Data!I72="",0,IF(KPI_Config!$C$9="L",IF(Raw_Data!I72&lt;=KPI_Config!$E$9,KPI_Config!$D$9,IF(AND(KPI_Config!$F$9&gt;0,Raw_Data!I72&lt;=KPI_Config!$G$9),KPI_Config!$F$9,0)),IF(Raw_Data!I72&gt;=KPI_Config!$E$9,KPI_Config!$D$9,IF(AND(KPI_Config!$F$9&gt;0,Raw_Data!I72&gt;=KPI_Config!$G$9),KPI_Config!$F$9,0)))))</f>
        <v>0</v>
      </c>
      <c r="J72" s="16">
        <f>IF($A72="","",IF(Raw_Data!J72="",0,IF(KPI_Config!$C$10="L",IF(Raw_Data!J72&lt;=KPI_Config!$E$10,KPI_Config!$D$10,IF(AND(KPI_Config!$F$10&gt;0,Raw_Data!J72&lt;=KPI_Config!$G$10),KPI_Config!$F$10,0)),IF(Raw_Data!J72&gt;=KPI_Config!$E$10,KPI_Config!$D$10,IF(AND(KPI_Config!$F$10&gt;0,Raw_Data!J72&gt;=KPI_Config!$G$10),KPI_Config!$F$10,0)))))</f>
        <v>0.15</v>
      </c>
      <c r="K72" s="16">
        <f>IF($A72="","",IF(Raw_Data!G72="",0,IF(KPI_Config!$C$11="L",IF(Raw_Data!G72&lt;=KPI_Config!$E$11,KPI_Config!$D$11,IF(AND(KPI_Config!$F$11&gt;0,Raw_Data!G72&lt;=KPI_Config!$G$11),KPI_Config!$F$11,0)),IF(Raw_Data!G72&gt;=KPI_Config!$E$11,KPI_Config!$D$11,IF(AND(KPI_Config!$F$11&gt;0,Raw_Data!G72&gt;=KPI_Config!$G$11),KPI_Config!$F$11,0)))))</f>
        <v>0</v>
      </c>
      <c r="L72" s="16">
        <f>IF($A72="","",MIN(Policy_Decisions!$B$10,IF(Policy_Decisions!$B$6="Additive",SUM(E72:K72),SUM(E72:J72)-G72+MAX(G72,K72))))</f>
        <v>0.15</v>
      </c>
      <c r="M72" s="16">
        <f>IF($A72="","",Raw_Data!K72)</f>
        <v>0</v>
      </c>
      <c r="N72" s="16">
        <f>IF($A72="","",IFERROR(VLOOKUP(M72,KPI_Config!$I$5:$J$10,2,FALSE()),0))</f>
        <v>0</v>
      </c>
      <c r="O72" s="16">
        <f>IF($A72="","",IF(Policy_Decisions!$B$5="Percentage points",MAX(0,L72-N72),L72*(1-N72)))</f>
        <v>0.15</v>
      </c>
      <c r="P72" s="15" t="str">
        <f>IF($A72="","",IF(U72="","Review proration",IF(O72=0,"No payout",IF(N72&gt;0,"Malus applied","Eligible"))))</f>
        <v>Eligible</v>
      </c>
      <c r="Q72" s="15" t="str">
        <f>IF($A72="","",Raw_Data!M72)</f>
        <v>MAD</v>
      </c>
      <c r="R72" s="38">
        <f>IF($A72="","",Raw_Data!N72)</f>
        <v>0</v>
      </c>
      <c r="S72" s="38">
        <f>IF($A72="","",Raw_Data!O72)</f>
        <v>0</v>
      </c>
      <c r="T72" s="38">
        <f>IF($A72="","",IF(Raw_Data!P72&gt;0,Raw_Data!P72,Raw_Data!N72*Raw_Data!O72/IF(Policy_Decisions!$B$7="Annual",12,1)))</f>
        <v>2000</v>
      </c>
      <c r="U72" s="38">
        <f>IF($A72="","",IF(OR(Raw_Data!R72="",Raw_Data!R72&lt;=0),"",MIN(1,MAX(0,Raw_Data!Q72/Raw_Data!R72))))</f>
        <v>1</v>
      </c>
      <c r="V72" s="38">
        <f>IF(OR($A72="",U72=""),"",T72*U72)</f>
        <v>2000</v>
      </c>
      <c r="W72" s="38">
        <f>IF(OR($A72="",V72=""),"",V72*L72)</f>
        <v>300</v>
      </c>
      <c r="X72" s="38">
        <f>IF(OR($A72="",V72=""),"",V72*L72-V72*O72)</f>
        <v>0</v>
      </c>
      <c r="Y72" s="38">
        <f>IF(OR($A72="",V72=""),"",ROUND(V72*O72,IF(Policy_Decisions!$B$11="Whole MAD",0,2)))</f>
        <v>300</v>
      </c>
      <c r="Z72" t="str">
        <f>Raw_Data!T72</f>
        <v>Malak AZERKI</v>
      </c>
      <c r="AA72" t="str">
        <f>Raw_Data!U72</f>
        <v>Anas OUAKKAD</v>
      </c>
    </row>
    <row r="73" spans="1:27" ht="14.25" customHeight="1">
      <c r="A73" s="13">
        <f>IF(Raw_Data!A73="","",Raw_Data!A73)</f>
        <v>228200</v>
      </c>
      <c r="B73" s="13" t="str">
        <f>IF(Raw_Data!B73="","",Raw_Data!B73)</f>
        <v>Mohamed ABOURHAZAOUAT</v>
      </c>
      <c r="C73" s="13" t="str">
        <f>IF(Raw_Data!C73="","",Raw_Data!C73)</f>
        <v>OEM FR</v>
      </c>
      <c r="D73" s="13" t="str">
        <f>IF(Raw_Data!D73="","",Raw_Data!D73)</f>
        <v>2026-07</v>
      </c>
      <c r="E73" s="21">
        <f>IF($A73="","",IF(Raw_Data!E73="",0,IF(KPI_Config!$C$5="L",IF(Raw_Data!E73&lt;=KPI_Config!$E$5,KPI_Config!$D$5,IF(AND(KPI_Config!$F$5&gt;0,Raw_Data!E73&lt;=KPI_Config!$G$5),KPI_Config!$F$5,0)),IF(Raw_Data!E73&gt;=KPI_Config!$E$5,KPI_Config!$D$5,IF(AND(KPI_Config!$F$5&gt;0,Raw_Data!E73&gt;=KPI_Config!$G$5),KPI_Config!$F$5,0)))))</f>
        <v>0</v>
      </c>
      <c r="F73" s="21">
        <f>IF($A73="","",IF(Raw_Data!F73="",0,IF(KPI_Config!$C$6="L",IF(Raw_Data!F73&lt;=KPI_Config!$E$6,KPI_Config!$D$6,IF(AND(KPI_Config!$F$6&gt;0,Raw_Data!F73&lt;=KPI_Config!$G$6),KPI_Config!$F$6,0)),IF(Raw_Data!F73&gt;=KPI_Config!$E$6,KPI_Config!$D$6,IF(AND(KPI_Config!$F$6&gt;0,Raw_Data!F73&gt;=KPI_Config!$G$6),KPI_Config!$F$6,0)))))</f>
        <v>0</v>
      </c>
      <c r="G73" s="21">
        <f>IF($A73="","",IF(Raw_Data!G73="",0,IF(KPI_Config!$C$7="L",IF(Raw_Data!G73&lt;=KPI_Config!$E$7,KPI_Config!$D$7,IF(AND(KPI_Config!$F$7&gt;0,Raw_Data!G73&lt;=KPI_Config!$G$7),KPI_Config!$F$7,0)),IF(Raw_Data!G73&gt;=KPI_Config!$E$7,KPI_Config!$D$7,IF(AND(KPI_Config!$F$7&gt;0,Raw_Data!G73&gt;=KPI_Config!$G$7),KPI_Config!$F$7,0)))))</f>
        <v>0.2</v>
      </c>
      <c r="H73" s="21">
        <f>IF($A73="","",IF(Raw_Data!H73="",0,IF(KPI_Config!$C$8="L",IF(Raw_Data!H73&lt;=KPI_Config!$E$8,KPI_Config!$D$8,IF(AND(KPI_Config!$F$8&gt;0,Raw_Data!H73&lt;=KPI_Config!$G$8),KPI_Config!$F$8,0)),IF(Raw_Data!H73&gt;=KPI_Config!$E$8,KPI_Config!$D$8,IF(AND(KPI_Config!$F$8&gt;0,Raw_Data!H73&gt;=KPI_Config!$G$8),KPI_Config!$F$8,0)))))</f>
        <v>0</v>
      </c>
      <c r="I73" s="21">
        <f>IF($A73="","",IF(Raw_Data!I73="",0,IF(KPI_Config!$C$9="L",IF(Raw_Data!I73&lt;=KPI_Config!$E$9,KPI_Config!$D$9,IF(AND(KPI_Config!$F$9&gt;0,Raw_Data!I73&lt;=KPI_Config!$G$9),KPI_Config!$F$9,0)),IF(Raw_Data!I73&gt;=KPI_Config!$E$9,KPI_Config!$D$9,IF(AND(KPI_Config!$F$9&gt;0,Raw_Data!I73&gt;=KPI_Config!$G$9),KPI_Config!$F$9,0)))))</f>
        <v>0</v>
      </c>
      <c r="J73" s="21">
        <f>IF($A73="","",IF(Raw_Data!J73="",0,IF(KPI_Config!$C$10="L",IF(Raw_Data!J73&lt;=KPI_Config!$E$10,KPI_Config!$D$10,IF(AND(KPI_Config!$F$10&gt;0,Raw_Data!J73&lt;=KPI_Config!$G$10),KPI_Config!$F$10,0)),IF(Raw_Data!J73&gt;=KPI_Config!$E$10,KPI_Config!$D$10,IF(AND(KPI_Config!$F$10&gt;0,Raw_Data!J73&gt;=KPI_Config!$G$10),KPI_Config!$F$10,0)))))</f>
        <v>0.15</v>
      </c>
      <c r="K73" s="21">
        <f>IF($A73="","",IF(Raw_Data!G73="",0,IF(KPI_Config!$C$11="L",IF(Raw_Data!G73&lt;=KPI_Config!$E$11,KPI_Config!$D$11,IF(AND(KPI_Config!$F$11&gt;0,Raw_Data!G73&lt;=KPI_Config!$G$11),KPI_Config!$F$11,0)),IF(Raw_Data!G73&gt;=KPI_Config!$E$11,KPI_Config!$D$11,IF(AND(KPI_Config!$F$11&gt;0,Raw_Data!G73&gt;=KPI_Config!$G$11),KPI_Config!$F$11,0)))))</f>
        <v>0.3</v>
      </c>
      <c r="L73" s="21">
        <f>IF($A73="","",MIN(Policy_Decisions!$B$10,IF(Policy_Decisions!$B$6="Additive",SUM(E73:K73),SUM(E73:J73)-G73+MAX(G73,K73))))</f>
        <v>0.64999999999999991</v>
      </c>
      <c r="M73" s="21">
        <f>IF($A73="","",Raw_Data!K73)</f>
        <v>0</v>
      </c>
      <c r="N73" s="21">
        <f>IF($A73="","",IFERROR(VLOOKUP(M73,KPI_Config!$I$5:$J$10,2,FALSE()),0))</f>
        <v>0</v>
      </c>
      <c r="O73" s="21">
        <f>IF($A73="","",IF(Policy_Decisions!$B$5="Percentage points",MAX(0,L73-N73),L73*(1-N73)))</f>
        <v>0.64999999999999991</v>
      </c>
      <c r="P73" s="13" t="str">
        <f>IF($A73="","",IF(U73="","Review proration",IF(O73=0,"No payout",IF(N73&gt;0,"Malus applied","Eligible"))))</f>
        <v>Eligible</v>
      </c>
      <c r="Q73" s="13" t="str">
        <f>IF($A73="","",Raw_Data!M73)</f>
        <v>MAD</v>
      </c>
      <c r="R73" s="37">
        <f>IF($A73="","",Raw_Data!N73)</f>
        <v>0</v>
      </c>
      <c r="S73" s="37">
        <f>IF($A73="","",Raw_Data!O73)</f>
        <v>0</v>
      </c>
      <c r="T73" s="37">
        <f>IF($A73="","",IF(Raw_Data!P73&gt;0,Raw_Data!P73,Raw_Data!N73*Raw_Data!O73/IF(Policy_Decisions!$B$7="Annual",12,1)))</f>
        <v>2000</v>
      </c>
      <c r="U73" s="37">
        <f>IF($A73="","",IF(OR(Raw_Data!R73="",Raw_Data!R73&lt;=0),"",MIN(1,MAX(0,Raw_Data!Q73/Raw_Data!R73))))</f>
        <v>1</v>
      </c>
      <c r="V73" s="37">
        <f>IF(OR($A73="",U73=""),"",T73*U73)</f>
        <v>2000</v>
      </c>
      <c r="W73" s="37">
        <f>IF(OR($A73="",V73=""),"",V73*L73)</f>
        <v>1299.9999999999998</v>
      </c>
      <c r="X73" s="37">
        <f>IF(OR($A73="",V73=""),"",V73*L73-V73*O73)</f>
        <v>0</v>
      </c>
      <c r="Y73" s="37">
        <f>IF(OR($A73="",V73=""),"",ROUND(V73*O73,IF(Policy_Decisions!$B$11="Whole MAD",0,2)))</f>
        <v>1300</v>
      </c>
      <c r="Z73" t="str">
        <f>Raw_Data!T73</f>
        <v>Zineb MOUFID</v>
      </c>
      <c r="AA73" t="str">
        <f>Raw_Data!U73</f>
        <v>Anas OUAKKAD</v>
      </c>
    </row>
    <row r="74" spans="1:27" ht="14.25" customHeight="1">
      <c r="A74" s="15">
        <f>IF(Raw_Data!A74="","",Raw_Data!A74)</f>
        <v>244552</v>
      </c>
      <c r="B74" s="15" t="str">
        <f>IF(Raw_Data!B74="","",Raw_Data!B74)</f>
        <v xml:space="preserve">Mohamed Mansour  El hassnaoui </v>
      </c>
      <c r="C74" s="15" t="str">
        <f>IF(Raw_Data!C74="","",Raw_Data!C74)</f>
        <v>RSA NL</v>
      </c>
      <c r="D74" s="15" t="str">
        <f>IF(Raw_Data!D74="","",Raw_Data!D74)</f>
        <v>2026-07</v>
      </c>
      <c r="E74" s="16">
        <f>IF($A74="","",IF(Raw_Data!E74="",0,IF(KPI_Config!$C$5="L",IF(Raw_Data!E74&lt;=KPI_Config!$E$5,KPI_Config!$D$5,IF(AND(KPI_Config!$F$5&gt;0,Raw_Data!E74&lt;=KPI_Config!$G$5),KPI_Config!$F$5,0)),IF(Raw_Data!E74&gt;=KPI_Config!$E$5,KPI_Config!$D$5,IF(AND(KPI_Config!$F$5&gt;0,Raw_Data!E74&gt;=KPI_Config!$G$5),KPI_Config!$F$5,0)))))</f>
        <v>0</v>
      </c>
      <c r="F74" s="16">
        <f>IF($A74="","",IF(Raw_Data!F74="",0,IF(KPI_Config!$C$6="L",IF(Raw_Data!F74&lt;=KPI_Config!$E$6,KPI_Config!$D$6,IF(AND(KPI_Config!$F$6&gt;0,Raw_Data!F74&lt;=KPI_Config!$G$6),KPI_Config!$F$6,0)),IF(Raw_Data!F74&gt;=KPI_Config!$E$6,KPI_Config!$D$6,IF(AND(KPI_Config!$F$6&gt;0,Raw_Data!F74&gt;=KPI_Config!$G$6),KPI_Config!$F$6,0)))))</f>
        <v>0</v>
      </c>
      <c r="G74" s="16">
        <f>IF($A74="","",IF(Raw_Data!G74="",0,IF(KPI_Config!$C$7="L",IF(Raw_Data!G74&lt;=KPI_Config!$E$7,KPI_Config!$D$7,IF(AND(KPI_Config!$F$7&gt;0,Raw_Data!G74&lt;=KPI_Config!$G$7),KPI_Config!$F$7,0)),IF(Raw_Data!G74&gt;=KPI_Config!$E$7,KPI_Config!$D$7,IF(AND(KPI_Config!$F$7&gt;0,Raw_Data!G74&gt;=KPI_Config!$G$7),KPI_Config!$F$7,0)))))</f>
        <v>0</v>
      </c>
      <c r="H74" s="16">
        <f>IF($A74="","",IF(Raw_Data!H74="",0,IF(KPI_Config!$C$8="L",IF(Raw_Data!H74&lt;=KPI_Config!$E$8,KPI_Config!$D$8,IF(AND(KPI_Config!$F$8&gt;0,Raw_Data!H74&lt;=KPI_Config!$G$8),KPI_Config!$F$8,0)),IF(Raw_Data!H74&gt;=KPI_Config!$E$8,KPI_Config!$D$8,IF(AND(KPI_Config!$F$8&gt;0,Raw_Data!H74&gt;=KPI_Config!$G$8),KPI_Config!$F$8,0)))))</f>
        <v>0</v>
      </c>
      <c r="I74" s="16">
        <f>IF($A74="","",IF(Raw_Data!I74="",0,IF(KPI_Config!$C$9="L",IF(Raw_Data!I74&lt;=KPI_Config!$E$9,KPI_Config!$D$9,IF(AND(KPI_Config!$F$9&gt;0,Raw_Data!I74&lt;=KPI_Config!$G$9),KPI_Config!$F$9,0)),IF(Raw_Data!I74&gt;=KPI_Config!$E$9,KPI_Config!$D$9,IF(AND(KPI_Config!$F$9&gt;0,Raw_Data!I74&gt;=KPI_Config!$G$9),KPI_Config!$F$9,0)))))</f>
        <v>0</v>
      </c>
      <c r="J74" s="16">
        <f>IF($A74="","",IF(Raw_Data!J74="",0,IF(KPI_Config!$C$10="L",IF(Raw_Data!J74&lt;=KPI_Config!$E$10,KPI_Config!$D$10,IF(AND(KPI_Config!$F$10&gt;0,Raw_Data!J74&lt;=KPI_Config!$G$10),KPI_Config!$F$10,0)),IF(Raw_Data!J74&gt;=KPI_Config!$E$10,KPI_Config!$D$10,IF(AND(KPI_Config!$F$10&gt;0,Raw_Data!J74&gt;=KPI_Config!$G$10),KPI_Config!$F$10,0)))))</f>
        <v>0</v>
      </c>
      <c r="K74" s="16">
        <f>IF($A74="","",IF(Raw_Data!G74="",0,IF(KPI_Config!$C$11="L",IF(Raw_Data!G74&lt;=KPI_Config!$E$11,KPI_Config!$D$11,IF(AND(KPI_Config!$F$11&gt;0,Raw_Data!G74&lt;=KPI_Config!$G$11),KPI_Config!$F$11,0)),IF(Raw_Data!G74&gt;=KPI_Config!$E$11,KPI_Config!$D$11,IF(AND(KPI_Config!$F$11&gt;0,Raw_Data!G74&gt;=KPI_Config!$G$11),KPI_Config!$F$11,0)))))</f>
        <v>0</v>
      </c>
      <c r="L74" s="16">
        <f>IF($A74="","",MIN(Policy_Decisions!$B$10,IF(Policy_Decisions!$B$6="Additive",SUM(E74:K74),SUM(E74:J74)-G74+MAX(G74,K74))))</f>
        <v>0</v>
      </c>
      <c r="M74" s="16">
        <f>IF($A74="","",Raw_Data!K74)</f>
        <v>0</v>
      </c>
      <c r="N74" s="16">
        <f>IF($A74="","",IFERROR(VLOOKUP(M74,KPI_Config!$I$5:$J$10,2,FALSE()),0))</f>
        <v>0</v>
      </c>
      <c r="O74" s="16">
        <f>IF($A74="","",IF(Policy_Decisions!$B$5="Percentage points",MAX(0,L74-N74),L74*(1-N74)))</f>
        <v>0</v>
      </c>
      <c r="P74" s="15" t="str">
        <f>IF($A74="","",IF(U74="","Review proration",IF(O74=0,"No payout",IF(N74&gt;0,"Malus applied","Eligible"))))</f>
        <v>No payout</v>
      </c>
      <c r="Q74" s="15" t="str">
        <f>IF($A74="","",Raw_Data!M74)</f>
        <v>MAD</v>
      </c>
      <c r="R74" s="38">
        <f>IF($A74="","",Raw_Data!N74)</f>
        <v>0</v>
      </c>
      <c r="S74" s="38">
        <f>IF($A74="","",Raw_Data!O74)</f>
        <v>0</v>
      </c>
      <c r="T74" s="38">
        <f>IF($A74="","",IF(Raw_Data!P74&gt;0,Raw_Data!P74,Raw_Data!N74*Raw_Data!O74/IF(Policy_Decisions!$B$7="Annual",12,1)))</f>
        <v>2000</v>
      </c>
      <c r="U74" s="38">
        <f>IF($A74="","",IF(OR(Raw_Data!R74="",Raw_Data!R74&lt;=0),"",MIN(1,MAX(0,Raw_Data!Q74/Raw_Data!R74))))</f>
        <v>1</v>
      </c>
      <c r="V74" s="38">
        <f>IF(OR($A74="",U74=""),"",T74*U74)</f>
        <v>2000</v>
      </c>
      <c r="W74" s="38">
        <f>IF(OR($A74="",V74=""),"",V74*L74)</f>
        <v>0</v>
      </c>
      <c r="X74" s="38">
        <f>IF(OR($A74="",V74=""),"",V74*L74-V74*O74)</f>
        <v>0</v>
      </c>
      <c r="Y74" s="38">
        <f>IF(OR($A74="",V74=""),"",ROUND(V74*O74,IF(Policy_Decisions!$B$11="Whole MAD",0,2)))</f>
        <v>0</v>
      </c>
      <c r="Z74" t="str">
        <f>Raw_Data!T74</f>
        <v>KAIKAI Faissal</v>
      </c>
      <c r="AA74" t="str">
        <f>Raw_Data!U74</f>
        <v>Anas OUAKKAD</v>
      </c>
    </row>
    <row r="75" spans="1:27" ht="14.25" customHeight="1">
      <c r="A75" s="13">
        <f>IF(Raw_Data!A75="","",Raw_Data!A75)</f>
        <v>228672</v>
      </c>
      <c r="B75" s="13" t="str">
        <f>IF(Raw_Data!B75="","",Raw_Data!B75)</f>
        <v>Mohamed Ali Dreif</v>
      </c>
      <c r="C75" s="13" t="str">
        <f>IF(Raw_Data!C75="","",Raw_Data!C75)</f>
        <v>OEM FR</v>
      </c>
      <c r="D75" s="13" t="str">
        <f>IF(Raw_Data!D75="","",Raw_Data!D75)</f>
        <v>2026-07</v>
      </c>
      <c r="E75" s="21">
        <f>IF($A75="","",IF(Raw_Data!E75="",0,IF(KPI_Config!$C$5="L",IF(Raw_Data!E75&lt;=KPI_Config!$E$5,KPI_Config!$D$5,IF(AND(KPI_Config!$F$5&gt;0,Raw_Data!E75&lt;=KPI_Config!$G$5),KPI_Config!$F$5,0)),IF(Raw_Data!E75&gt;=KPI_Config!$E$5,KPI_Config!$D$5,IF(AND(KPI_Config!$F$5&gt;0,Raw_Data!E75&gt;=KPI_Config!$G$5),KPI_Config!$F$5,0)))))</f>
        <v>0.15</v>
      </c>
      <c r="F75" s="21">
        <f>IF($A75="","",IF(Raw_Data!F75="",0,IF(KPI_Config!$C$6="L",IF(Raw_Data!F75&lt;=KPI_Config!$E$6,KPI_Config!$D$6,IF(AND(KPI_Config!$F$6&gt;0,Raw_Data!F75&lt;=KPI_Config!$G$6),KPI_Config!$F$6,0)),IF(Raw_Data!F75&gt;=KPI_Config!$E$6,KPI_Config!$D$6,IF(AND(KPI_Config!$F$6&gt;0,Raw_Data!F75&gt;=KPI_Config!$G$6),KPI_Config!$F$6,0)))))</f>
        <v>0.15</v>
      </c>
      <c r="G75" s="21">
        <f>IF($A75="","",IF(Raw_Data!G75="",0,IF(KPI_Config!$C$7="L",IF(Raw_Data!G75&lt;=KPI_Config!$E$7,KPI_Config!$D$7,IF(AND(KPI_Config!$F$7&gt;0,Raw_Data!G75&lt;=KPI_Config!$G$7),KPI_Config!$F$7,0)),IF(Raw_Data!G75&gt;=KPI_Config!$E$7,KPI_Config!$D$7,IF(AND(KPI_Config!$F$7&gt;0,Raw_Data!G75&gt;=KPI_Config!$G$7),KPI_Config!$F$7,0)))))</f>
        <v>0.2</v>
      </c>
      <c r="H75" s="21">
        <f>IF($A75="","",IF(Raw_Data!H75="",0,IF(KPI_Config!$C$8="L",IF(Raw_Data!H75&lt;=KPI_Config!$E$8,KPI_Config!$D$8,IF(AND(KPI_Config!$F$8&gt;0,Raw_Data!H75&lt;=KPI_Config!$G$8),KPI_Config!$F$8,0)),IF(Raw_Data!H75&gt;=KPI_Config!$E$8,KPI_Config!$D$8,IF(AND(KPI_Config!$F$8&gt;0,Raw_Data!H75&gt;=KPI_Config!$G$8),KPI_Config!$F$8,0)))))</f>
        <v>0</v>
      </c>
      <c r="I75" s="21">
        <f>IF($A75="","",IF(Raw_Data!I75="",0,IF(KPI_Config!$C$9="L",IF(Raw_Data!I75&lt;=KPI_Config!$E$9,KPI_Config!$D$9,IF(AND(KPI_Config!$F$9&gt;0,Raw_Data!I75&lt;=KPI_Config!$G$9),KPI_Config!$F$9,0)),IF(Raw_Data!I75&gt;=KPI_Config!$E$9,KPI_Config!$D$9,IF(AND(KPI_Config!$F$9&gt;0,Raw_Data!I75&gt;=KPI_Config!$G$9),KPI_Config!$F$9,0)))))</f>
        <v>0</v>
      </c>
      <c r="J75" s="21">
        <f>IF($A75="","",IF(Raw_Data!J75="",0,IF(KPI_Config!$C$10="L",IF(Raw_Data!J75&lt;=KPI_Config!$E$10,KPI_Config!$D$10,IF(AND(KPI_Config!$F$10&gt;0,Raw_Data!J75&lt;=KPI_Config!$G$10),KPI_Config!$F$10,0)),IF(Raw_Data!J75&gt;=KPI_Config!$E$10,KPI_Config!$D$10,IF(AND(KPI_Config!$F$10&gt;0,Raw_Data!J75&gt;=KPI_Config!$G$10),KPI_Config!$F$10,0)))))</f>
        <v>0.15</v>
      </c>
      <c r="K75" s="21">
        <f>IF($A75="","",IF(Raw_Data!G75="",0,IF(KPI_Config!$C$11="L",IF(Raw_Data!G75&lt;=KPI_Config!$E$11,KPI_Config!$D$11,IF(AND(KPI_Config!$F$11&gt;0,Raw_Data!G75&lt;=KPI_Config!$G$11),KPI_Config!$F$11,0)),IF(Raw_Data!G75&gt;=KPI_Config!$E$11,KPI_Config!$D$11,IF(AND(KPI_Config!$F$11&gt;0,Raw_Data!G75&gt;=KPI_Config!$G$11),KPI_Config!$F$11,0)))))</f>
        <v>0.2</v>
      </c>
      <c r="L75" s="21">
        <f>IF($A75="","",MIN(Policy_Decisions!$B$10,IF(Policy_Decisions!$B$6="Additive",SUM(E75:K75),SUM(E75:J75)-G75+MAX(G75,K75))))</f>
        <v>0.85000000000000009</v>
      </c>
      <c r="M75" s="21">
        <f>IF($A75="","",Raw_Data!K75)</f>
        <v>0</v>
      </c>
      <c r="N75" s="21">
        <f>IF($A75="","",IFERROR(VLOOKUP(M75,KPI_Config!$I$5:$J$10,2,FALSE()),0))</f>
        <v>0</v>
      </c>
      <c r="O75" s="21">
        <f>IF($A75="","",IF(Policy_Decisions!$B$5="Percentage points",MAX(0,L75-N75),L75*(1-N75)))</f>
        <v>0.85000000000000009</v>
      </c>
      <c r="P75" s="13" t="str">
        <f>IF($A75="","",IF(U75="","Review proration",IF(O75=0,"No payout",IF(N75&gt;0,"Malus applied","Eligible"))))</f>
        <v>Eligible</v>
      </c>
      <c r="Q75" s="13" t="str">
        <f>IF($A75="","",Raw_Data!M75)</f>
        <v>MAD</v>
      </c>
      <c r="R75" s="37">
        <f>IF($A75="","",Raw_Data!N75)</f>
        <v>0</v>
      </c>
      <c r="S75" s="37">
        <f>IF($A75="","",Raw_Data!O75)</f>
        <v>0</v>
      </c>
      <c r="T75" s="37">
        <f>IF($A75="","",IF(Raw_Data!P75&gt;0,Raw_Data!P75,Raw_Data!N75*Raw_Data!O75/IF(Policy_Decisions!$B$7="Annual",12,1)))</f>
        <v>2000</v>
      </c>
      <c r="U75" s="37">
        <f>IF($A75="","",IF(OR(Raw_Data!R75="",Raw_Data!R75&lt;=0),"",MIN(1,MAX(0,Raw_Data!Q75/Raw_Data!R75))))</f>
        <v>1</v>
      </c>
      <c r="V75" s="37">
        <f>IF(OR($A75="",U75=""),"",T75*U75)</f>
        <v>2000</v>
      </c>
      <c r="W75" s="37">
        <f>IF(OR($A75="",V75=""),"",V75*L75)</f>
        <v>1700.0000000000002</v>
      </c>
      <c r="X75" s="37">
        <f>IF(OR($A75="",V75=""),"",V75*L75-V75*O75)</f>
        <v>0</v>
      </c>
      <c r="Y75" s="37">
        <f>IF(OR($A75="",V75=""),"",ROUND(V75*O75,IF(Policy_Decisions!$B$11="Whole MAD",0,2)))</f>
        <v>1700</v>
      </c>
      <c r="Z75" t="str">
        <f>Raw_Data!T75</f>
        <v>Zineb MOUFID</v>
      </c>
      <c r="AA75" t="str">
        <f>Raw_Data!U75</f>
        <v>Anas OUAKKAD</v>
      </c>
    </row>
    <row r="76" spans="1:27" ht="14.25" customHeight="1">
      <c r="A76" s="15">
        <f>IF(Raw_Data!A76="","",Raw_Data!A76)</f>
        <v>232191</v>
      </c>
      <c r="B76" s="15" t="str">
        <f>IF(Raw_Data!B76="","",Raw_Data!B76)</f>
        <v>Mohamed adnane saidi</v>
      </c>
      <c r="C76" s="15" t="str">
        <f>IF(Raw_Data!C76="","",Raw_Data!C76)</f>
        <v>RSA FR</v>
      </c>
      <c r="D76" s="15" t="str">
        <f>IF(Raw_Data!D76="","",Raw_Data!D76)</f>
        <v>2026-07</v>
      </c>
      <c r="E76" s="16">
        <f>IF($A76="","",IF(Raw_Data!E76="",0,IF(KPI_Config!$C$5="L",IF(Raw_Data!E76&lt;=KPI_Config!$E$5,KPI_Config!$D$5,IF(AND(KPI_Config!$F$5&gt;0,Raw_Data!E76&lt;=KPI_Config!$G$5),KPI_Config!$F$5,0)),IF(Raw_Data!E76&gt;=KPI_Config!$E$5,KPI_Config!$D$5,IF(AND(KPI_Config!$F$5&gt;0,Raw_Data!E76&gt;=KPI_Config!$G$5),KPI_Config!$F$5,0)))))</f>
        <v>0</v>
      </c>
      <c r="F76" s="16">
        <f>IF($A76="","",IF(Raw_Data!F76="",0,IF(KPI_Config!$C$6="L",IF(Raw_Data!F76&lt;=KPI_Config!$E$6,KPI_Config!$D$6,IF(AND(KPI_Config!$F$6&gt;0,Raw_Data!F76&lt;=KPI_Config!$G$6),KPI_Config!$F$6,0)),IF(Raw_Data!F76&gt;=KPI_Config!$E$6,KPI_Config!$D$6,IF(AND(KPI_Config!$F$6&gt;0,Raw_Data!F76&gt;=KPI_Config!$G$6),KPI_Config!$F$6,0)))))</f>
        <v>0</v>
      </c>
      <c r="G76" s="16">
        <f>IF($A76="","",IF(Raw_Data!G76="",0,IF(KPI_Config!$C$7="L",IF(Raw_Data!G76&lt;=KPI_Config!$E$7,KPI_Config!$D$7,IF(AND(KPI_Config!$F$7&gt;0,Raw_Data!G76&lt;=KPI_Config!$G$7),KPI_Config!$F$7,0)),IF(Raw_Data!G76&gt;=KPI_Config!$E$7,KPI_Config!$D$7,IF(AND(KPI_Config!$F$7&gt;0,Raw_Data!G76&gt;=KPI_Config!$G$7),KPI_Config!$F$7,0)))))</f>
        <v>0</v>
      </c>
      <c r="H76" s="16">
        <f>IF($A76="","",IF(Raw_Data!H76="",0,IF(KPI_Config!$C$8="L",IF(Raw_Data!H76&lt;=KPI_Config!$E$8,KPI_Config!$D$8,IF(AND(KPI_Config!$F$8&gt;0,Raw_Data!H76&lt;=KPI_Config!$G$8),KPI_Config!$F$8,0)),IF(Raw_Data!H76&gt;=KPI_Config!$E$8,KPI_Config!$D$8,IF(AND(KPI_Config!$F$8&gt;0,Raw_Data!H76&gt;=KPI_Config!$G$8),KPI_Config!$F$8,0)))))</f>
        <v>0</v>
      </c>
      <c r="I76" s="16">
        <f>IF($A76="","",IF(Raw_Data!I76="",0,IF(KPI_Config!$C$9="L",IF(Raw_Data!I76&lt;=KPI_Config!$E$9,KPI_Config!$D$9,IF(AND(KPI_Config!$F$9&gt;0,Raw_Data!I76&lt;=KPI_Config!$G$9),KPI_Config!$F$9,0)),IF(Raw_Data!I76&gt;=KPI_Config!$E$9,KPI_Config!$D$9,IF(AND(KPI_Config!$F$9&gt;0,Raw_Data!I76&gt;=KPI_Config!$G$9),KPI_Config!$F$9,0)))))</f>
        <v>0</v>
      </c>
      <c r="J76" s="16">
        <f>IF($A76="","",IF(Raw_Data!J76="",0,IF(KPI_Config!$C$10="L",IF(Raw_Data!J76&lt;=KPI_Config!$E$10,KPI_Config!$D$10,IF(AND(KPI_Config!$F$10&gt;0,Raw_Data!J76&lt;=KPI_Config!$G$10),KPI_Config!$F$10,0)),IF(Raw_Data!J76&gt;=KPI_Config!$E$10,KPI_Config!$D$10,IF(AND(KPI_Config!$F$10&gt;0,Raw_Data!J76&gt;=KPI_Config!$G$10),KPI_Config!$F$10,0)))))</f>
        <v>0.15</v>
      </c>
      <c r="K76" s="16">
        <f>IF($A76="","",IF(Raw_Data!G76="",0,IF(KPI_Config!$C$11="L",IF(Raw_Data!G76&lt;=KPI_Config!$E$11,KPI_Config!$D$11,IF(AND(KPI_Config!$F$11&gt;0,Raw_Data!G76&lt;=KPI_Config!$G$11),KPI_Config!$F$11,0)),IF(Raw_Data!G76&gt;=KPI_Config!$E$11,KPI_Config!$D$11,IF(AND(KPI_Config!$F$11&gt;0,Raw_Data!G76&gt;=KPI_Config!$G$11),KPI_Config!$F$11,0)))))</f>
        <v>0</v>
      </c>
      <c r="L76" s="16">
        <f>IF($A76="","",MIN(Policy_Decisions!$B$10,IF(Policy_Decisions!$B$6="Additive",SUM(E76:K76),SUM(E76:J76)-G76+MAX(G76,K76))))</f>
        <v>0.15</v>
      </c>
      <c r="M76" s="16">
        <f>IF($A76="","",Raw_Data!K76)</f>
        <v>0</v>
      </c>
      <c r="N76" s="16">
        <f>IF($A76="","",IFERROR(VLOOKUP(M76,KPI_Config!$I$5:$J$10,2,FALSE()),0))</f>
        <v>0</v>
      </c>
      <c r="O76" s="16">
        <f>IF($A76="","",IF(Policy_Decisions!$B$5="Percentage points",MAX(0,L76-N76),L76*(1-N76)))</f>
        <v>0.15</v>
      </c>
      <c r="P76" s="15" t="str">
        <f>IF($A76="","",IF(U76="","Review proration",IF(O76=0,"No payout",IF(N76&gt;0,"Malus applied","Eligible"))))</f>
        <v>Eligible</v>
      </c>
      <c r="Q76" s="15" t="str">
        <f>IF($A76="","",Raw_Data!M76)</f>
        <v>MAD</v>
      </c>
      <c r="R76" s="38">
        <f>IF($A76="","",Raw_Data!N76)</f>
        <v>0</v>
      </c>
      <c r="S76" s="38">
        <f>IF($A76="","",Raw_Data!O76)</f>
        <v>0</v>
      </c>
      <c r="T76" s="38">
        <f>IF($A76="","",IF(Raw_Data!P76&gt;0,Raw_Data!P76,Raw_Data!N76*Raw_Data!O76/IF(Policy_Decisions!$B$7="Annual",12,1)))</f>
        <v>2000</v>
      </c>
      <c r="U76" s="38">
        <f>IF($A76="","",IF(OR(Raw_Data!R76="",Raw_Data!R76&lt;=0),"",MIN(1,MAX(0,Raw_Data!Q76/Raw_Data!R76))))</f>
        <v>1</v>
      </c>
      <c r="V76" s="38">
        <f>IF(OR($A76="",U76=""),"",T76*U76)</f>
        <v>2000</v>
      </c>
      <c r="W76" s="38">
        <f>IF(OR($A76="",V76=""),"",V76*L76)</f>
        <v>300</v>
      </c>
      <c r="X76" s="38">
        <f>IF(OR($A76="",V76=""),"",V76*L76-V76*O76)</f>
        <v>0</v>
      </c>
      <c r="Y76" s="38">
        <f>IF(OR($A76="",V76=""),"",ROUND(V76*O76,IF(Policy_Decisions!$B$11="Whole MAD",0,2)))</f>
        <v>300</v>
      </c>
      <c r="Z76" t="str">
        <f>Raw_Data!T76</f>
        <v>Mohamed-Amine SADKI</v>
      </c>
      <c r="AA76" t="str">
        <f>Raw_Data!U76</f>
        <v>Anas OUAKKAD</v>
      </c>
    </row>
    <row r="77" spans="1:27" ht="14.25" customHeight="1">
      <c r="A77" s="13">
        <f>IF(Raw_Data!A77="","",Raw_Data!A77)</f>
        <v>228663</v>
      </c>
      <c r="B77" s="13" t="str">
        <f>IF(Raw_Data!B77="","",Raw_Data!B77)</f>
        <v>M’hammed BELLOUARAK</v>
      </c>
      <c r="C77" s="13" t="str">
        <f>IF(Raw_Data!C77="","",Raw_Data!C77)</f>
        <v>OEM FR</v>
      </c>
      <c r="D77" s="13" t="str">
        <f>IF(Raw_Data!D77="","",Raw_Data!D77)</f>
        <v>2026-07</v>
      </c>
      <c r="E77" s="21">
        <f>IF($A77="","",IF(Raw_Data!E77="",0,IF(KPI_Config!$C$5="L",IF(Raw_Data!E77&lt;=KPI_Config!$E$5,KPI_Config!$D$5,IF(AND(KPI_Config!$F$5&gt;0,Raw_Data!E77&lt;=KPI_Config!$G$5),KPI_Config!$F$5,0)),IF(Raw_Data!E77&gt;=KPI_Config!$E$5,KPI_Config!$D$5,IF(AND(KPI_Config!$F$5&gt;0,Raw_Data!E77&gt;=KPI_Config!$G$5),KPI_Config!$F$5,0)))))</f>
        <v>0.15</v>
      </c>
      <c r="F77" s="21">
        <f>IF($A77="","",IF(Raw_Data!F77="",0,IF(KPI_Config!$C$6="L",IF(Raw_Data!F77&lt;=KPI_Config!$E$6,KPI_Config!$D$6,IF(AND(KPI_Config!$F$6&gt;0,Raw_Data!F77&lt;=KPI_Config!$G$6),KPI_Config!$F$6,0)),IF(Raw_Data!F77&gt;=KPI_Config!$E$6,KPI_Config!$D$6,IF(AND(KPI_Config!$F$6&gt;0,Raw_Data!F77&gt;=KPI_Config!$G$6),KPI_Config!$F$6,0)))))</f>
        <v>0.15</v>
      </c>
      <c r="G77" s="21">
        <f>IF($A77="","",IF(Raw_Data!G77="",0,IF(KPI_Config!$C$7="L",IF(Raw_Data!G77&lt;=KPI_Config!$E$7,KPI_Config!$D$7,IF(AND(KPI_Config!$F$7&gt;0,Raw_Data!G77&lt;=KPI_Config!$G$7),KPI_Config!$F$7,0)),IF(Raw_Data!G77&gt;=KPI_Config!$E$7,KPI_Config!$D$7,IF(AND(KPI_Config!$F$7&gt;0,Raw_Data!G77&gt;=KPI_Config!$G$7),KPI_Config!$F$7,0)))))</f>
        <v>0.15</v>
      </c>
      <c r="H77" s="21">
        <f>IF($A77="","",IF(Raw_Data!H77="",0,IF(KPI_Config!$C$8="L",IF(Raw_Data!H77&lt;=KPI_Config!$E$8,KPI_Config!$D$8,IF(AND(KPI_Config!$F$8&gt;0,Raw_Data!H77&lt;=KPI_Config!$G$8),KPI_Config!$F$8,0)),IF(Raw_Data!H77&gt;=KPI_Config!$E$8,KPI_Config!$D$8,IF(AND(KPI_Config!$F$8&gt;0,Raw_Data!H77&gt;=KPI_Config!$G$8),KPI_Config!$F$8,0)))))</f>
        <v>0</v>
      </c>
      <c r="I77" s="21">
        <f>IF($A77="","",IF(Raw_Data!I77="",0,IF(KPI_Config!$C$9="L",IF(Raw_Data!I77&lt;=KPI_Config!$E$9,KPI_Config!$D$9,IF(AND(KPI_Config!$F$9&gt;0,Raw_Data!I77&lt;=KPI_Config!$G$9),KPI_Config!$F$9,0)),IF(Raw_Data!I77&gt;=KPI_Config!$E$9,KPI_Config!$D$9,IF(AND(KPI_Config!$F$9&gt;0,Raw_Data!I77&gt;=KPI_Config!$G$9),KPI_Config!$F$9,0)))))</f>
        <v>0</v>
      </c>
      <c r="J77" s="21">
        <f>IF($A77="","",IF(Raw_Data!J77="",0,IF(KPI_Config!$C$10="L",IF(Raw_Data!J77&lt;=KPI_Config!$E$10,KPI_Config!$D$10,IF(AND(KPI_Config!$F$10&gt;0,Raw_Data!J77&lt;=KPI_Config!$G$10),KPI_Config!$F$10,0)),IF(Raw_Data!J77&gt;=KPI_Config!$E$10,KPI_Config!$D$10,IF(AND(KPI_Config!$F$10&gt;0,Raw_Data!J77&gt;=KPI_Config!$G$10),KPI_Config!$F$10,0)))))</f>
        <v>0.15</v>
      </c>
      <c r="K77" s="21">
        <f>IF($A77="","",IF(Raw_Data!G77="",0,IF(KPI_Config!$C$11="L",IF(Raw_Data!G77&lt;=KPI_Config!$E$11,KPI_Config!$D$11,IF(AND(KPI_Config!$F$11&gt;0,Raw_Data!G77&lt;=KPI_Config!$G$11),KPI_Config!$F$11,0)),IF(Raw_Data!G77&gt;=KPI_Config!$E$11,KPI_Config!$D$11,IF(AND(KPI_Config!$F$11&gt;0,Raw_Data!G77&gt;=KPI_Config!$G$11),KPI_Config!$F$11,0)))))</f>
        <v>0</v>
      </c>
      <c r="L77" s="21">
        <f>IF($A77="","",MIN(Policy_Decisions!$B$10,IF(Policy_Decisions!$B$6="Additive",SUM(E77:K77),SUM(E77:J77)-G77+MAX(G77,K77))))</f>
        <v>0.6</v>
      </c>
      <c r="M77" s="21">
        <f>IF($A77="","",Raw_Data!K77)</f>
        <v>0</v>
      </c>
      <c r="N77" s="21">
        <f>IF($A77="","",IFERROR(VLOOKUP(M77,KPI_Config!$I$5:$J$10,2,FALSE()),0))</f>
        <v>0</v>
      </c>
      <c r="O77" s="21">
        <f>IF($A77="","",IF(Policy_Decisions!$B$5="Percentage points",MAX(0,L77-N77),L77*(1-N77)))</f>
        <v>0.6</v>
      </c>
      <c r="P77" s="13" t="str">
        <f>IF($A77="","",IF(U77="","Review proration",IF(O77=0,"No payout",IF(N77&gt;0,"Malus applied","Eligible"))))</f>
        <v>Eligible</v>
      </c>
      <c r="Q77" s="13" t="str">
        <f>IF($A77="","",Raw_Data!M77)</f>
        <v>MAD</v>
      </c>
      <c r="R77" s="37">
        <f>IF($A77="","",Raw_Data!N77)</f>
        <v>0</v>
      </c>
      <c r="S77" s="37">
        <f>IF($A77="","",Raw_Data!O77)</f>
        <v>0</v>
      </c>
      <c r="T77" s="37">
        <f>IF($A77="","",IF(Raw_Data!P77&gt;0,Raw_Data!P77,Raw_Data!N77*Raw_Data!O77/IF(Policy_Decisions!$B$7="Annual",12,1)))</f>
        <v>2000</v>
      </c>
      <c r="U77" s="37">
        <f>IF($A77="","",IF(OR(Raw_Data!R77="",Raw_Data!R77&lt;=0),"",MIN(1,MAX(0,Raw_Data!Q77/Raw_Data!R77))))</f>
        <v>1</v>
      </c>
      <c r="V77" s="37">
        <f>IF(OR($A77="",U77=""),"",T77*U77)</f>
        <v>2000</v>
      </c>
      <c r="W77" s="37">
        <f>IF(OR($A77="",V77=""),"",V77*L77)</f>
        <v>1200</v>
      </c>
      <c r="X77" s="37">
        <f>IF(OR($A77="",V77=""),"",V77*L77-V77*O77)</f>
        <v>0</v>
      </c>
      <c r="Y77" s="37">
        <f>IF(OR($A77="",V77=""),"",ROUND(V77*O77,IF(Policy_Decisions!$B$11="Whole MAD",0,2)))</f>
        <v>1200</v>
      </c>
      <c r="Z77" t="str">
        <f>Raw_Data!T77</f>
        <v>Kenza EL MOUMNI</v>
      </c>
      <c r="AA77" t="str">
        <f>Raw_Data!U77</f>
        <v>Anas OUAKKAD</v>
      </c>
    </row>
    <row r="78" spans="1:27" ht="14.25" customHeight="1">
      <c r="A78" s="15">
        <f>IF(Raw_Data!A78="","",Raw_Data!A78)</f>
        <v>96527</v>
      </c>
      <c r="B78" s="15" t="str">
        <f>IF(Raw_Data!B78="","",Raw_Data!B78)</f>
        <v>NASSER Meryem</v>
      </c>
      <c r="C78" s="15" t="str">
        <f>IF(Raw_Data!C78="","",Raw_Data!C78)</f>
        <v>RSA FR</v>
      </c>
      <c r="D78" s="15" t="str">
        <f>IF(Raw_Data!D78="","",Raw_Data!D78)</f>
        <v>2026-07</v>
      </c>
      <c r="E78" s="16">
        <f>IF($A78="","",IF(Raw_Data!E78="",0,IF(KPI_Config!$C$5="L",IF(Raw_Data!E78&lt;=KPI_Config!$E$5,KPI_Config!$D$5,IF(AND(KPI_Config!$F$5&gt;0,Raw_Data!E78&lt;=KPI_Config!$G$5),KPI_Config!$F$5,0)),IF(Raw_Data!E78&gt;=KPI_Config!$E$5,KPI_Config!$D$5,IF(AND(KPI_Config!$F$5&gt;0,Raw_Data!E78&gt;=KPI_Config!$G$5),KPI_Config!$F$5,0)))))</f>
        <v>0.15</v>
      </c>
      <c r="F78" s="16">
        <f>IF($A78="","",IF(Raw_Data!F78="",0,IF(KPI_Config!$C$6="L",IF(Raw_Data!F78&lt;=KPI_Config!$E$6,KPI_Config!$D$6,IF(AND(KPI_Config!$F$6&gt;0,Raw_Data!F78&lt;=KPI_Config!$G$6),KPI_Config!$F$6,0)),IF(Raw_Data!F78&gt;=KPI_Config!$E$6,KPI_Config!$D$6,IF(AND(KPI_Config!$F$6&gt;0,Raw_Data!F78&gt;=KPI_Config!$G$6),KPI_Config!$F$6,0)))))</f>
        <v>0.15</v>
      </c>
      <c r="G78" s="16">
        <f>IF($A78="","",IF(Raw_Data!G78="",0,IF(KPI_Config!$C$7="L",IF(Raw_Data!G78&lt;=KPI_Config!$E$7,KPI_Config!$D$7,IF(AND(KPI_Config!$F$7&gt;0,Raw_Data!G78&lt;=KPI_Config!$G$7),KPI_Config!$F$7,0)),IF(Raw_Data!G78&gt;=KPI_Config!$E$7,KPI_Config!$D$7,IF(AND(KPI_Config!$F$7&gt;0,Raw_Data!G78&gt;=KPI_Config!$G$7),KPI_Config!$F$7,0)))))</f>
        <v>0</v>
      </c>
      <c r="H78" s="16">
        <f>IF($A78="","",IF(Raw_Data!H78="",0,IF(KPI_Config!$C$8="L",IF(Raw_Data!H78&lt;=KPI_Config!$E$8,KPI_Config!$D$8,IF(AND(KPI_Config!$F$8&gt;0,Raw_Data!H78&lt;=KPI_Config!$G$8),KPI_Config!$F$8,0)),IF(Raw_Data!H78&gt;=KPI_Config!$E$8,KPI_Config!$D$8,IF(AND(KPI_Config!$F$8&gt;0,Raw_Data!H78&gt;=KPI_Config!$G$8),KPI_Config!$F$8,0)))))</f>
        <v>0</v>
      </c>
      <c r="I78" s="16">
        <f>IF($A78="","",IF(Raw_Data!I78="",0,IF(KPI_Config!$C$9="L",IF(Raw_Data!I78&lt;=KPI_Config!$E$9,KPI_Config!$D$9,IF(AND(KPI_Config!$F$9&gt;0,Raw_Data!I78&lt;=KPI_Config!$G$9),KPI_Config!$F$9,0)),IF(Raw_Data!I78&gt;=KPI_Config!$E$9,KPI_Config!$D$9,IF(AND(KPI_Config!$F$9&gt;0,Raw_Data!I78&gt;=KPI_Config!$G$9),KPI_Config!$F$9,0)))))</f>
        <v>0.2</v>
      </c>
      <c r="J78" s="16">
        <f>IF($A78="","",IF(Raw_Data!J78="",0,IF(KPI_Config!$C$10="L",IF(Raw_Data!J78&lt;=KPI_Config!$E$10,KPI_Config!$D$10,IF(AND(KPI_Config!$F$10&gt;0,Raw_Data!J78&lt;=KPI_Config!$G$10),KPI_Config!$F$10,0)),IF(Raw_Data!J78&gt;=KPI_Config!$E$10,KPI_Config!$D$10,IF(AND(KPI_Config!$F$10&gt;0,Raw_Data!J78&gt;=KPI_Config!$G$10),KPI_Config!$F$10,0)))))</f>
        <v>0.15</v>
      </c>
      <c r="K78" s="16">
        <f>IF($A78="","",IF(Raw_Data!G78="",0,IF(KPI_Config!$C$11="L",IF(Raw_Data!G78&lt;=KPI_Config!$E$11,KPI_Config!$D$11,IF(AND(KPI_Config!$F$11&gt;0,Raw_Data!G78&lt;=KPI_Config!$G$11),KPI_Config!$F$11,0)),IF(Raw_Data!G78&gt;=KPI_Config!$E$11,KPI_Config!$D$11,IF(AND(KPI_Config!$F$11&gt;0,Raw_Data!G78&gt;=KPI_Config!$G$11),KPI_Config!$F$11,0)))))</f>
        <v>0</v>
      </c>
      <c r="L78" s="16">
        <f>IF($A78="","",MIN(Policy_Decisions!$B$10,IF(Policy_Decisions!$B$6="Additive",SUM(E78:K78),SUM(E78:J78)-G78+MAX(G78,K78))))</f>
        <v>0.65</v>
      </c>
      <c r="M78" s="16">
        <f>IF($A78="","",Raw_Data!K78)</f>
        <v>0</v>
      </c>
      <c r="N78" s="16">
        <f>IF($A78="","",IFERROR(VLOOKUP(M78,KPI_Config!$I$5:$J$10,2,FALSE()),0))</f>
        <v>0</v>
      </c>
      <c r="O78" s="16">
        <f>IF($A78="","",IF(Policy_Decisions!$B$5="Percentage points",MAX(0,L78-N78),L78*(1-N78)))</f>
        <v>0.65</v>
      </c>
      <c r="P78" s="15" t="str">
        <f>IF($A78="","",IF(U78="","Review proration",IF(O78=0,"No payout",IF(N78&gt;0,"Malus applied","Eligible"))))</f>
        <v>Eligible</v>
      </c>
      <c r="Q78" s="15" t="str">
        <f>IF($A78="","",Raw_Data!M78)</f>
        <v>MAD</v>
      </c>
      <c r="R78" s="38">
        <f>IF($A78="","",Raw_Data!N78)</f>
        <v>0</v>
      </c>
      <c r="S78" s="38">
        <f>IF($A78="","",Raw_Data!O78)</f>
        <v>0</v>
      </c>
      <c r="T78" s="38">
        <f>IF($A78="","",IF(Raw_Data!P78&gt;0,Raw_Data!P78,Raw_Data!N78*Raw_Data!O78/IF(Policy_Decisions!$B$7="Annual",12,1)))</f>
        <v>2000</v>
      </c>
      <c r="U78" s="38">
        <f>IF($A78="","",IF(OR(Raw_Data!R78="",Raw_Data!R78&lt;=0),"",MIN(1,MAX(0,Raw_Data!Q78/Raw_Data!R78))))</f>
        <v>1</v>
      </c>
      <c r="V78" s="38">
        <f>IF(OR($A78="",U78=""),"",T78*U78)</f>
        <v>2000</v>
      </c>
      <c r="W78" s="38">
        <f>IF(OR($A78="",V78=""),"",V78*L78)</f>
        <v>1300</v>
      </c>
      <c r="X78" s="38">
        <f>IF(OR($A78="",V78=""),"",V78*L78-V78*O78)</f>
        <v>0</v>
      </c>
      <c r="Y78" s="38">
        <f>IF(OR($A78="",V78=""),"",ROUND(V78*O78,IF(Policy_Decisions!$B$11="Whole MAD",0,2)))</f>
        <v>1300</v>
      </c>
      <c r="Z78" t="str">
        <f>Raw_Data!T78</f>
        <v>Mohamed-Amine SADKI</v>
      </c>
      <c r="AA78" t="str">
        <f>Raw_Data!U78</f>
        <v>Anas OUAKKAD</v>
      </c>
    </row>
    <row r="79" spans="1:27" ht="14.25" customHeight="1">
      <c r="A79" s="13">
        <f>IF(Raw_Data!A79="","",Raw_Data!A79)</f>
        <v>96472</v>
      </c>
      <c r="B79" s="13" t="str">
        <f>IF(Raw_Data!B79="","",Raw_Data!B79)</f>
        <v>LAOOUINA Meryem</v>
      </c>
      <c r="C79" s="13" t="str">
        <f>IF(Raw_Data!C79="","",Raw_Data!C79)</f>
        <v>RSA FR</v>
      </c>
      <c r="D79" s="13" t="str">
        <f>IF(Raw_Data!D79="","",Raw_Data!D79)</f>
        <v>2026-07</v>
      </c>
      <c r="E79" s="21">
        <f>IF($A79="","",IF(Raw_Data!E79="",0,IF(KPI_Config!$C$5="L",IF(Raw_Data!E79&lt;=KPI_Config!$E$5,KPI_Config!$D$5,IF(AND(KPI_Config!$F$5&gt;0,Raw_Data!E79&lt;=KPI_Config!$G$5),KPI_Config!$F$5,0)),IF(Raw_Data!E79&gt;=KPI_Config!$E$5,KPI_Config!$D$5,IF(AND(KPI_Config!$F$5&gt;0,Raw_Data!E79&gt;=KPI_Config!$G$5),KPI_Config!$F$5,0)))))</f>
        <v>0.15</v>
      </c>
      <c r="F79" s="21">
        <f>IF($A79="","",IF(Raw_Data!F79="",0,IF(KPI_Config!$C$6="L",IF(Raw_Data!F79&lt;=KPI_Config!$E$6,KPI_Config!$D$6,IF(AND(KPI_Config!$F$6&gt;0,Raw_Data!F79&lt;=KPI_Config!$G$6),KPI_Config!$F$6,0)),IF(Raw_Data!F79&gt;=KPI_Config!$E$6,KPI_Config!$D$6,IF(AND(KPI_Config!$F$6&gt;0,Raw_Data!F79&gt;=KPI_Config!$G$6),KPI_Config!$F$6,0)))))</f>
        <v>0.15</v>
      </c>
      <c r="G79" s="21">
        <f>IF($A79="","",IF(Raw_Data!G79="",0,IF(KPI_Config!$C$7="L",IF(Raw_Data!G79&lt;=KPI_Config!$E$7,KPI_Config!$D$7,IF(AND(KPI_Config!$F$7&gt;0,Raw_Data!G79&lt;=KPI_Config!$G$7),KPI_Config!$F$7,0)),IF(Raw_Data!G79&gt;=KPI_Config!$E$7,KPI_Config!$D$7,IF(AND(KPI_Config!$F$7&gt;0,Raw_Data!G79&gt;=KPI_Config!$G$7),KPI_Config!$F$7,0)))))</f>
        <v>0</v>
      </c>
      <c r="H79" s="21">
        <f>IF($A79="","",IF(Raw_Data!H79="",0,IF(KPI_Config!$C$8="L",IF(Raw_Data!H79&lt;=KPI_Config!$E$8,KPI_Config!$D$8,IF(AND(KPI_Config!$F$8&gt;0,Raw_Data!H79&lt;=KPI_Config!$G$8),KPI_Config!$F$8,0)),IF(Raw_Data!H79&gt;=KPI_Config!$E$8,KPI_Config!$D$8,IF(AND(KPI_Config!$F$8&gt;0,Raw_Data!H79&gt;=KPI_Config!$G$8),KPI_Config!$F$8,0)))))</f>
        <v>0</v>
      </c>
      <c r="I79" s="21">
        <f>IF($A79="","",IF(Raw_Data!I79="",0,IF(KPI_Config!$C$9="L",IF(Raw_Data!I79&lt;=KPI_Config!$E$9,KPI_Config!$D$9,IF(AND(KPI_Config!$F$9&gt;0,Raw_Data!I79&lt;=KPI_Config!$G$9),KPI_Config!$F$9,0)),IF(Raw_Data!I79&gt;=KPI_Config!$E$9,KPI_Config!$D$9,IF(AND(KPI_Config!$F$9&gt;0,Raw_Data!I79&gt;=KPI_Config!$G$9),KPI_Config!$F$9,0)))))</f>
        <v>0.2</v>
      </c>
      <c r="J79" s="21">
        <f>IF($A79="","",IF(Raw_Data!J79="",0,IF(KPI_Config!$C$10="L",IF(Raw_Data!J79&lt;=KPI_Config!$E$10,KPI_Config!$D$10,IF(AND(KPI_Config!$F$10&gt;0,Raw_Data!J79&lt;=KPI_Config!$G$10),KPI_Config!$F$10,0)),IF(Raw_Data!J79&gt;=KPI_Config!$E$10,KPI_Config!$D$10,IF(AND(KPI_Config!$F$10&gt;0,Raw_Data!J79&gt;=KPI_Config!$G$10),KPI_Config!$F$10,0)))))</f>
        <v>0</v>
      </c>
      <c r="K79" s="21">
        <f>IF($A79="","",IF(Raw_Data!G79="",0,IF(KPI_Config!$C$11="L",IF(Raw_Data!G79&lt;=KPI_Config!$E$11,KPI_Config!$D$11,IF(AND(KPI_Config!$F$11&gt;0,Raw_Data!G79&lt;=KPI_Config!$G$11),KPI_Config!$F$11,0)),IF(Raw_Data!G79&gt;=KPI_Config!$E$11,KPI_Config!$D$11,IF(AND(KPI_Config!$F$11&gt;0,Raw_Data!G79&gt;=KPI_Config!$G$11),KPI_Config!$F$11,0)))))</f>
        <v>0</v>
      </c>
      <c r="L79" s="21">
        <f>IF($A79="","",MIN(Policy_Decisions!$B$10,IF(Policy_Decisions!$B$6="Additive",SUM(E79:K79),SUM(E79:J79)-G79+MAX(G79,K79))))</f>
        <v>0.5</v>
      </c>
      <c r="M79" s="21">
        <f>IF($A79="","",Raw_Data!K79)</f>
        <v>0</v>
      </c>
      <c r="N79" s="21">
        <f>IF($A79="","",IFERROR(VLOOKUP(M79,KPI_Config!$I$5:$J$10,2,FALSE()),0))</f>
        <v>0</v>
      </c>
      <c r="O79" s="21">
        <f>IF($A79="","",IF(Policy_Decisions!$B$5="Percentage points",MAX(0,L79-N79),L79*(1-N79)))</f>
        <v>0.5</v>
      </c>
      <c r="P79" s="13" t="str">
        <f>IF($A79="","",IF(U79="","Review proration",IF(O79=0,"No payout",IF(N79&gt;0,"Malus applied","Eligible"))))</f>
        <v>Eligible</v>
      </c>
      <c r="Q79" s="13" t="str">
        <f>IF($A79="","",Raw_Data!M79)</f>
        <v>MAD</v>
      </c>
      <c r="R79" s="37">
        <f>IF($A79="","",Raw_Data!N79)</f>
        <v>0</v>
      </c>
      <c r="S79" s="37">
        <f>IF($A79="","",Raw_Data!O79)</f>
        <v>0</v>
      </c>
      <c r="T79" s="37">
        <f>IF($A79="","",IF(Raw_Data!P79&gt;0,Raw_Data!P79,Raw_Data!N79*Raw_Data!O79/IF(Policy_Decisions!$B$7="Annual",12,1)))</f>
        <v>2000</v>
      </c>
      <c r="U79" s="37">
        <f>IF($A79="","",IF(OR(Raw_Data!R79="",Raw_Data!R79&lt;=0),"",MIN(1,MAX(0,Raw_Data!Q79/Raw_Data!R79))))</f>
        <v>1</v>
      </c>
      <c r="V79" s="37">
        <f>IF(OR($A79="",U79=""),"",T79*U79)</f>
        <v>2000</v>
      </c>
      <c r="W79" s="37">
        <f>IF(OR($A79="",V79=""),"",V79*L79)</f>
        <v>1000</v>
      </c>
      <c r="X79" s="37">
        <f>IF(OR($A79="",V79=""),"",V79*L79-V79*O79)</f>
        <v>0</v>
      </c>
      <c r="Y79" s="37">
        <f>IF(OR($A79="",V79=""),"",ROUND(V79*O79,IF(Policy_Decisions!$B$11="Whole MAD",0,2)))</f>
        <v>1000</v>
      </c>
      <c r="Z79" t="str">
        <f>Raw_Data!T79</f>
        <v>Mohamed-Amine SADKI</v>
      </c>
      <c r="AA79" t="str">
        <f>Raw_Data!U79</f>
        <v>Anas OUAKKAD</v>
      </c>
    </row>
    <row r="80" spans="1:27" ht="14.25" customHeight="1">
      <c r="A80" s="15">
        <f>IF(Raw_Data!A80="","",Raw_Data!A80)</f>
        <v>250743</v>
      </c>
      <c r="B80" s="15" t="str">
        <f>IF(Raw_Data!B80="","",Raw_Data!B80)</f>
        <v>Meryem GHAYOR</v>
      </c>
      <c r="C80" s="15" t="str">
        <f>IF(Raw_Data!C80="","",Raw_Data!C80)</f>
        <v>OEM FR</v>
      </c>
      <c r="D80" s="15" t="str">
        <f>IF(Raw_Data!D80="","",Raw_Data!D80)</f>
        <v>2026-07</v>
      </c>
      <c r="E80" s="16">
        <f>IF($A80="","",IF(Raw_Data!E80="",0,IF(KPI_Config!$C$5="L",IF(Raw_Data!E80&lt;=KPI_Config!$E$5,KPI_Config!$D$5,IF(AND(KPI_Config!$F$5&gt;0,Raw_Data!E80&lt;=KPI_Config!$G$5),KPI_Config!$F$5,0)),IF(Raw_Data!E80&gt;=KPI_Config!$E$5,KPI_Config!$D$5,IF(AND(KPI_Config!$F$5&gt;0,Raw_Data!E80&gt;=KPI_Config!$G$5),KPI_Config!$F$5,0)))))</f>
        <v>0</v>
      </c>
      <c r="F80" s="16">
        <f>IF($A80="","",IF(Raw_Data!F80="",0,IF(KPI_Config!$C$6="L",IF(Raw_Data!F80&lt;=KPI_Config!$E$6,KPI_Config!$D$6,IF(AND(KPI_Config!$F$6&gt;0,Raw_Data!F80&lt;=KPI_Config!$G$6),KPI_Config!$F$6,0)),IF(Raw_Data!F80&gt;=KPI_Config!$E$6,KPI_Config!$D$6,IF(AND(KPI_Config!$F$6&gt;0,Raw_Data!F80&gt;=KPI_Config!$G$6),KPI_Config!$F$6,0)))))</f>
        <v>0</v>
      </c>
      <c r="G80" s="16">
        <f>IF($A80="","",IF(Raw_Data!G80="",0,IF(KPI_Config!$C$7="L",IF(Raw_Data!G80&lt;=KPI_Config!$E$7,KPI_Config!$D$7,IF(AND(KPI_Config!$F$7&gt;0,Raw_Data!G80&lt;=KPI_Config!$G$7),KPI_Config!$F$7,0)),IF(Raw_Data!G80&gt;=KPI_Config!$E$7,KPI_Config!$D$7,IF(AND(KPI_Config!$F$7&gt;0,Raw_Data!G80&gt;=KPI_Config!$G$7),KPI_Config!$F$7,0)))))</f>
        <v>0</v>
      </c>
      <c r="H80" s="16">
        <f>IF($A80="","",IF(Raw_Data!H80="",0,IF(KPI_Config!$C$8="L",IF(Raw_Data!H80&lt;=KPI_Config!$E$8,KPI_Config!$D$8,IF(AND(KPI_Config!$F$8&gt;0,Raw_Data!H80&lt;=KPI_Config!$G$8),KPI_Config!$F$8,0)),IF(Raw_Data!H80&gt;=KPI_Config!$E$8,KPI_Config!$D$8,IF(AND(KPI_Config!$F$8&gt;0,Raw_Data!H80&gt;=KPI_Config!$G$8),KPI_Config!$F$8,0)))))</f>
        <v>0</v>
      </c>
      <c r="I80" s="16">
        <f>IF($A80="","",IF(Raw_Data!I80="",0,IF(KPI_Config!$C$9="L",IF(Raw_Data!I80&lt;=KPI_Config!$E$9,KPI_Config!$D$9,IF(AND(KPI_Config!$F$9&gt;0,Raw_Data!I80&lt;=KPI_Config!$G$9),KPI_Config!$F$9,0)),IF(Raw_Data!I80&gt;=KPI_Config!$E$9,KPI_Config!$D$9,IF(AND(KPI_Config!$F$9&gt;0,Raw_Data!I80&gt;=KPI_Config!$G$9),KPI_Config!$F$9,0)))))</f>
        <v>0</v>
      </c>
      <c r="J80" s="16">
        <f>IF($A80="","",IF(Raw_Data!J80="",0,IF(KPI_Config!$C$10="L",IF(Raw_Data!J80&lt;=KPI_Config!$E$10,KPI_Config!$D$10,IF(AND(KPI_Config!$F$10&gt;0,Raw_Data!J80&lt;=KPI_Config!$G$10),KPI_Config!$F$10,0)),IF(Raw_Data!J80&gt;=KPI_Config!$E$10,KPI_Config!$D$10,IF(AND(KPI_Config!$F$10&gt;0,Raw_Data!J80&gt;=KPI_Config!$G$10),KPI_Config!$F$10,0)))))</f>
        <v>0.15</v>
      </c>
      <c r="K80" s="16">
        <f>IF($A80="","",IF(Raw_Data!G80="",0,IF(KPI_Config!$C$11="L",IF(Raw_Data!G80&lt;=KPI_Config!$E$11,KPI_Config!$D$11,IF(AND(KPI_Config!$F$11&gt;0,Raw_Data!G80&lt;=KPI_Config!$G$11),KPI_Config!$F$11,0)),IF(Raw_Data!G80&gt;=KPI_Config!$E$11,KPI_Config!$D$11,IF(AND(KPI_Config!$F$11&gt;0,Raw_Data!G80&gt;=KPI_Config!$G$11),KPI_Config!$F$11,0)))))</f>
        <v>0</v>
      </c>
      <c r="L80" s="16">
        <f>IF($A80="","",MIN(Policy_Decisions!$B$10,IF(Policy_Decisions!$B$6="Additive",SUM(E80:K80),SUM(E80:J80)-G80+MAX(G80,K80))))</f>
        <v>0.15</v>
      </c>
      <c r="M80" s="16">
        <f>IF($A80="","",Raw_Data!K80)</f>
        <v>0</v>
      </c>
      <c r="N80" s="16">
        <f>IF($A80="","",IFERROR(VLOOKUP(M80,KPI_Config!$I$5:$J$10,2,FALSE()),0))</f>
        <v>0</v>
      </c>
      <c r="O80" s="16">
        <f>IF($A80="","",IF(Policy_Decisions!$B$5="Percentage points",MAX(0,L80-N80),L80*(1-N80)))</f>
        <v>0.15</v>
      </c>
      <c r="P80" s="15" t="str">
        <f>IF($A80="","",IF(U80="","Review proration",IF(O80=0,"No payout",IF(N80&gt;0,"Malus applied","Eligible"))))</f>
        <v>Eligible</v>
      </c>
      <c r="Q80" s="15" t="str">
        <f>IF($A80="","",Raw_Data!M80)</f>
        <v>MAD</v>
      </c>
      <c r="R80" s="38">
        <f>IF($A80="","",Raw_Data!N80)</f>
        <v>0</v>
      </c>
      <c r="S80" s="38">
        <f>IF($A80="","",Raw_Data!O80)</f>
        <v>0</v>
      </c>
      <c r="T80" s="38">
        <f>IF($A80="","",IF(Raw_Data!P80&gt;0,Raw_Data!P80,Raw_Data!N80*Raw_Data!O80/IF(Policy_Decisions!$B$7="Annual",12,1)))</f>
        <v>2000</v>
      </c>
      <c r="U80" s="38">
        <f>IF($A80="","",IF(OR(Raw_Data!R80="",Raw_Data!R80&lt;=0),"",MIN(1,MAX(0,Raw_Data!Q80/Raw_Data!R80))))</f>
        <v>1</v>
      </c>
      <c r="V80" s="38">
        <f>IF(OR($A80="",U80=""),"",T80*U80)</f>
        <v>2000</v>
      </c>
      <c r="W80" s="38">
        <f>IF(OR($A80="",V80=""),"",V80*L80)</f>
        <v>300</v>
      </c>
      <c r="X80" s="38">
        <f>IF(OR($A80="",V80=""),"",V80*L80-V80*O80)</f>
        <v>0</v>
      </c>
      <c r="Y80" s="38">
        <f>IF(OR($A80="",V80=""),"",ROUND(V80*O80,IF(Policy_Decisions!$B$11="Whole MAD",0,2)))</f>
        <v>300</v>
      </c>
      <c r="Z80" t="str">
        <f>Raw_Data!T80</f>
        <v>Malak AZERKI</v>
      </c>
      <c r="AA80" t="str">
        <f>Raw_Data!U80</f>
        <v>Anas OUAKKAD</v>
      </c>
    </row>
    <row r="81" spans="1:27" ht="14.25" customHeight="1">
      <c r="A81" s="13">
        <f>IF(Raw_Data!A81="","",Raw_Data!A81)</f>
        <v>96468</v>
      </c>
      <c r="B81" s="13" t="str">
        <f>IF(Raw_Data!B81="","",Raw_Data!B81)</f>
        <v>MADHLOUM Mehdi</v>
      </c>
      <c r="C81" s="13" t="str">
        <f>IF(Raw_Data!C81="","",Raw_Data!C81)</f>
        <v>RSA NL</v>
      </c>
      <c r="D81" s="13" t="str">
        <f>IF(Raw_Data!D81="","",Raw_Data!D81)</f>
        <v>2026-07</v>
      </c>
      <c r="E81" s="21">
        <f>IF($A81="","",IF(Raw_Data!E81="",0,IF(KPI_Config!$C$5="L",IF(Raw_Data!E81&lt;=KPI_Config!$E$5,KPI_Config!$D$5,IF(AND(KPI_Config!$F$5&gt;0,Raw_Data!E81&lt;=KPI_Config!$G$5),KPI_Config!$F$5,0)),IF(Raw_Data!E81&gt;=KPI_Config!$E$5,KPI_Config!$D$5,IF(AND(KPI_Config!$F$5&gt;0,Raw_Data!E81&gt;=KPI_Config!$G$5),KPI_Config!$F$5,0)))))</f>
        <v>0.15</v>
      </c>
      <c r="F81" s="21">
        <f>IF($A81="","",IF(Raw_Data!F81="",0,IF(KPI_Config!$C$6="L",IF(Raw_Data!F81&lt;=KPI_Config!$E$6,KPI_Config!$D$6,IF(AND(KPI_Config!$F$6&gt;0,Raw_Data!F81&lt;=KPI_Config!$G$6),KPI_Config!$F$6,0)),IF(Raw_Data!F81&gt;=KPI_Config!$E$6,KPI_Config!$D$6,IF(AND(KPI_Config!$F$6&gt;0,Raw_Data!F81&gt;=KPI_Config!$G$6),KPI_Config!$F$6,0)))))</f>
        <v>0.15</v>
      </c>
      <c r="G81" s="21">
        <f>IF($A81="","",IF(Raw_Data!G81="",0,IF(KPI_Config!$C$7="L",IF(Raw_Data!G81&lt;=KPI_Config!$E$7,KPI_Config!$D$7,IF(AND(KPI_Config!$F$7&gt;0,Raw_Data!G81&lt;=KPI_Config!$G$7),KPI_Config!$F$7,0)),IF(Raw_Data!G81&gt;=KPI_Config!$E$7,KPI_Config!$D$7,IF(AND(KPI_Config!$F$7&gt;0,Raw_Data!G81&gt;=KPI_Config!$G$7),KPI_Config!$F$7,0)))))</f>
        <v>0</v>
      </c>
      <c r="H81" s="21">
        <f>IF($A81="","",IF(Raw_Data!H81="",0,IF(KPI_Config!$C$8="L",IF(Raw_Data!H81&lt;=KPI_Config!$E$8,KPI_Config!$D$8,IF(AND(KPI_Config!$F$8&gt;0,Raw_Data!H81&lt;=KPI_Config!$G$8),KPI_Config!$F$8,0)),IF(Raw_Data!H81&gt;=KPI_Config!$E$8,KPI_Config!$D$8,IF(AND(KPI_Config!$F$8&gt;0,Raw_Data!H81&gt;=KPI_Config!$G$8),KPI_Config!$F$8,0)))))</f>
        <v>0</v>
      </c>
      <c r="I81" s="21">
        <f>IF($A81="","",IF(Raw_Data!I81="",0,IF(KPI_Config!$C$9="L",IF(Raw_Data!I81&lt;=KPI_Config!$E$9,KPI_Config!$D$9,IF(AND(KPI_Config!$F$9&gt;0,Raw_Data!I81&lt;=KPI_Config!$G$9),KPI_Config!$F$9,0)),IF(Raw_Data!I81&gt;=KPI_Config!$E$9,KPI_Config!$D$9,IF(AND(KPI_Config!$F$9&gt;0,Raw_Data!I81&gt;=KPI_Config!$G$9),KPI_Config!$F$9,0)))))</f>
        <v>0</v>
      </c>
      <c r="J81" s="21">
        <f>IF($A81="","",IF(Raw_Data!J81="",0,IF(KPI_Config!$C$10="L",IF(Raw_Data!J81&lt;=KPI_Config!$E$10,KPI_Config!$D$10,IF(AND(KPI_Config!$F$10&gt;0,Raw_Data!J81&lt;=KPI_Config!$G$10),KPI_Config!$F$10,0)),IF(Raw_Data!J81&gt;=KPI_Config!$E$10,KPI_Config!$D$10,IF(AND(KPI_Config!$F$10&gt;0,Raw_Data!J81&gt;=KPI_Config!$G$10),KPI_Config!$F$10,0)))))</f>
        <v>0</v>
      </c>
      <c r="K81" s="21">
        <f>IF($A81="","",IF(Raw_Data!G81="",0,IF(KPI_Config!$C$11="L",IF(Raw_Data!G81&lt;=KPI_Config!$E$11,KPI_Config!$D$11,IF(AND(KPI_Config!$F$11&gt;0,Raw_Data!G81&lt;=KPI_Config!$G$11),KPI_Config!$F$11,0)),IF(Raw_Data!G81&gt;=KPI_Config!$E$11,KPI_Config!$D$11,IF(AND(KPI_Config!$F$11&gt;0,Raw_Data!G81&gt;=KPI_Config!$G$11),KPI_Config!$F$11,0)))))</f>
        <v>0</v>
      </c>
      <c r="L81" s="21">
        <f>IF($A81="","",MIN(Policy_Decisions!$B$10,IF(Policy_Decisions!$B$6="Additive",SUM(E81:K81),SUM(E81:J81)-G81+MAX(G81,K81))))</f>
        <v>0.3</v>
      </c>
      <c r="M81" s="21">
        <f>IF($A81="","",Raw_Data!K81)</f>
        <v>0</v>
      </c>
      <c r="N81" s="21">
        <f>IF($A81="","",IFERROR(VLOOKUP(M81,KPI_Config!$I$5:$J$10,2,FALSE()),0))</f>
        <v>0</v>
      </c>
      <c r="O81" s="21">
        <f>IF($A81="","",IF(Policy_Decisions!$B$5="Percentage points",MAX(0,L81-N81),L81*(1-N81)))</f>
        <v>0.3</v>
      </c>
      <c r="P81" s="13" t="str">
        <f>IF($A81="","",IF(U81="","Review proration",IF(O81=0,"No payout",IF(N81&gt;0,"Malus applied","Eligible"))))</f>
        <v>Eligible</v>
      </c>
      <c r="Q81" s="13" t="str">
        <f>IF($A81="","",Raw_Data!M81)</f>
        <v>MAD</v>
      </c>
      <c r="R81" s="37">
        <f>IF($A81="","",Raw_Data!N81)</f>
        <v>0</v>
      </c>
      <c r="S81" s="37">
        <f>IF($A81="","",Raw_Data!O81)</f>
        <v>0</v>
      </c>
      <c r="T81" s="37">
        <f>IF($A81="","",IF(Raw_Data!P81&gt;0,Raw_Data!P81,Raw_Data!N81*Raw_Data!O81/IF(Policy_Decisions!$B$7="Annual",12,1)))</f>
        <v>2000</v>
      </c>
      <c r="U81" s="37">
        <f>IF($A81="","",IF(OR(Raw_Data!R81="",Raw_Data!R81&lt;=0),"",MIN(1,MAX(0,Raw_Data!Q81/Raw_Data!R81))))</f>
        <v>1</v>
      </c>
      <c r="V81" s="37">
        <f>IF(OR($A81="",U81=""),"",T81*U81)</f>
        <v>2000</v>
      </c>
      <c r="W81" s="37">
        <f>IF(OR($A81="",V81=""),"",V81*L81)</f>
        <v>600</v>
      </c>
      <c r="X81" s="37">
        <f>IF(OR($A81="",V81=""),"",V81*L81-V81*O81)</f>
        <v>0</v>
      </c>
      <c r="Y81" s="37">
        <f>IF(OR($A81="",V81=""),"",ROUND(V81*O81,IF(Policy_Decisions!$B$11="Whole MAD",0,2)))</f>
        <v>600</v>
      </c>
      <c r="Z81" t="str">
        <f>Raw_Data!T81</f>
        <v>JEANNE NKIKIO RWIBUTSO</v>
      </c>
      <c r="AA81" t="str">
        <f>Raw_Data!U81</f>
        <v>Anas OUAKKAD</v>
      </c>
    </row>
    <row r="82" spans="1:27" ht="14.25" customHeight="1">
      <c r="A82" s="15">
        <f>IF(Raw_Data!A82="","",Raw_Data!A82)</f>
        <v>203629</v>
      </c>
      <c r="B82" s="15" t="str">
        <f>IF(Raw_Data!B82="","",Raw_Data!B82)</f>
        <v>Serigne Mouhamadou Mansour Sy Gueye</v>
      </c>
      <c r="C82" s="15" t="str">
        <f>IF(Raw_Data!C82="","",Raw_Data!C82)</f>
        <v>OEM FR</v>
      </c>
      <c r="D82" s="15" t="str">
        <f>IF(Raw_Data!D82="","",Raw_Data!D82)</f>
        <v>2026-07</v>
      </c>
      <c r="E82" s="16">
        <f>IF($A82="","",IF(Raw_Data!E82="",0,IF(KPI_Config!$C$5="L",IF(Raw_Data!E82&lt;=KPI_Config!$E$5,KPI_Config!$D$5,IF(AND(KPI_Config!$F$5&gt;0,Raw_Data!E82&lt;=KPI_Config!$G$5),KPI_Config!$F$5,0)),IF(Raw_Data!E82&gt;=KPI_Config!$E$5,KPI_Config!$D$5,IF(AND(KPI_Config!$F$5&gt;0,Raw_Data!E82&gt;=KPI_Config!$G$5),KPI_Config!$F$5,0)))))</f>
        <v>0</v>
      </c>
      <c r="F82" s="16">
        <f>IF($A82="","",IF(Raw_Data!F82="",0,IF(KPI_Config!$C$6="L",IF(Raw_Data!F82&lt;=KPI_Config!$E$6,KPI_Config!$D$6,IF(AND(KPI_Config!$F$6&gt;0,Raw_Data!F82&lt;=KPI_Config!$G$6),KPI_Config!$F$6,0)),IF(Raw_Data!F82&gt;=KPI_Config!$E$6,KPI_Config!$D$6,IF(AND(KPI_Config!$F$6&gt;0,Raw_Data!F82&gt;=KPI_Config!$G$6),KPI_Config!$F$6,0)))))</f>
        <v>0</v>
      </c>
      <c r="G82" s="16">
        <f>IF($A82="","",IF(Raw_Data!G82="",0,IF(KPI_Config!$C$7="L",IF(Raw_Data!G82&lt;=KPI_Config!$E$7,KPI_Config!$D$7,IF(AND(KPI_Config!$F$7&gt;0,Raw_Data!G82&lt;=KPI_Config!$G$7),KPI_Config!$F$7,0)),IF(Raw_Data!G82&gt;=KPI_Config!$E$7,KPI_Config!$D$7,IF(AND(KPI_Config!$F$7&gt;0,Raw_Data!G82&gt;=KPI_Config!$G$7),KPI_Config!$F$7,0)))))</f>
        <v>0.2</v>
      </c>
      <c r="H82" s="16">
        <f>IF($A82="","",IF(Raw_Data!H82="",0,IF(KPI_Config!$C$8="L",IF(Raw_Data!H82&lt;=KPI_Config!$E$8,KPI_Config!$D$8,IF(AND(KPI_Config!$F$8&gt;0,Raw_Data!H82&lt;=KPI_Config!$G$8),KPI_Config!$F$8,0)),IF(Raw_Data!H82&gt;=KPI_Config!$E$8,KPI_Config!$D$8,IF(AND(KPI_Config!$F$8&gt;0,Raw_Data!H82&gt;=KPI_Config!$G$8),KPI_Config!$F$8,0)))))</f>
        <v>0</v>
      </c>
      <c r="I82" s="16">
        <f>IF($A82="","",IF(Raw_Data!I82="",0,IF(KPI_Config!$C$9="L",IF(Raw_Data!I82&lt;=KPI_Config!$E$9,KPI_Config!$D$9,IF(AND(KPI_Config!$F$9&gt;0,Raw_Data!I82&lt;=KPI_Config!$G$9),KPI_Config!$F$9,0)),IF(Raw_Data!I82&gt;=KPI_Config!$E$9,KPI_Config!$D$9,IF(AND(KPI_Config!$F$9&gt;0,Raw_Data!I82&gt;=KPI_Config!$G$9),KPI_Config!$F$9,0)))))</f>
        <v>0.15</v>
      </c>
      <c r="J82" s="16">
        <f>IF($A82="","",IF(Raw_Data!J82="",0,IF(KPI_Config!$C$10="L",IF(Raw_Data!J82&lt;=KPI_Config!$E$10,KPI_Config!$D$10,IF(AND(KPI_Config!$F$10&gt;0,Raw_Data!J82&lt;=KPI_Config!$G$10),KPI_Config!$F$10,0)),IF(Raw_Data!J82&gt;=KPI_Config!$E$10,KPI_Config!$D$10,IF(AND(KPI_Config!$F$10&gt;0,Raw_Data!J82&gt;=KPI_Config!$G$10),KPI_Config!$F$10,0)))))</f>
        <v>0.15</v>
      </c>
      <c r="K82" s="16">
        <f>IF($A82="","",IF(Raw_Data!G82="",0,IF(KPI_Config!$C$11="L",IF(Raw_Data!G82&lt;=KPI_Config!$E$11,KPI_Config!$D$11,IF(AND(KPI_Config!$F$11&gt;0,Raw_Data!G82&lt;=KPI_Config!$G$11),KPI_Config!$F$11,0)),IF(Raw_Data!G82&gt;=KPI_Config!$E$11,KPI_Config!$D$11,IF(AND(KPI_Config!$F$11&gt;0,Raw_Data!G82&gt;=KPI_Config!$G$11),KPI_Config!$F$11,0)))))</f>
        <v>0.3</v>
      </c>
      <c r="L82" s="16">
        <f>IF($A82="","",MIN(Policy_Decisions!$B$10,IF(Policy_Decisions!$B$6="Additive",SUM(E82:K82),SUM(E82:J82)-G82+MAX(G82,K82))))</f>
        <v>0.8</v>
      </c>
      <c r="M82" s="16">
        <f>IF($A82="","",Raw_Data!K82)</f>
        <v>0</v>
      </c>
      <c r="N82" s="16">
        <f>IF($A82="","",IFERROR(VLOOKUP(M82,KPI_Config!$I$5:$J$10,2,FALSE()),0))</f>
        <v>0</v>
      </c>
      <c r="O82" s="16">
        <f>IF($A82="","",IF(Policy_Decisions!$B$5="Percentage points",MAX(0,L82-N82),L82*(1-N82)))</f>
        <v>0.8</v>
      </c>
      <c r="P82" s="15" t="str">
        <f>IF($A82="","",IF(U82="","Review proration",IF(O82=0,"No payout",IF(N82&gt;0,"Malus applied","Eligible"))))</f>
        <v>Eligible</v>
      </c>
      <c r="Q82" s="15" t="str">
        <f>IF($A82="","",Raw_Data!M82)</f>
        <v>MAD</v>
      </c>
      <c r="R82" s="38">
        <f>IF($A82="","",Raw_Data!N82)</f>
        <v>0</v>
      </c>
      <c r="S82" s="38">
        <f>IF($A82="","",Raw_Data!O82)</f>
        <v>0</v>
      </c>
      <c r="T82" s="38">
        <f>IF($A82="","",IF(Raw_Data!P82&gt;0,Raw_Data!P82,Raw_Data!N82*Raw_Data!O82/IF(Policy_Decisions!$B$7="Annual",12,1)))</f>
        <v>2000</v>
      </c>
      <c r="U82" s="38">
        <f>IF($A82="","",IF(OR(Raw_Data!R82="",Raw_Data!R82&lt;=0),"",MIN(1,MAX(0,Raw_Data!Q82/Raw_Data!R82))))</f>
        <v>1</v>
      </c>
      <c r="V82" s="38">
        <f>IF(OR($A82="",U82=""),"",T82*U82)</f>
        <v>2000</v>
      </c>
      <c r="W82" s="38">
        <f>IF(OR($A82="",V82=""),"",V82*L82)</f>
        <v>1600</v>
      </c>
      <c r="X82" s="38">
        <f>IF(OR($A82="",V82=""),"",V82*L82-V82*O82)</f>
        <v>0</v>
      </c>
      <c r="Y82" s="38">
        <f>IF(OR($A82="",V82=""),"",ROUND(V82*O82,IF(Policy_Decisions!$B$11="Whole MAD",0,2)))</f>
        <v>1600</v>
      </c>
      <c r="Z82" t="str">
        <f>Raw_Data!T82</f>
        <v>Malak AZERKI</v>
      </c>
      <c r="AA82" t="str">
        <f>Raw_Data!U82</f>
        <v>Anas OUAKKAD</v>
      </c>
    </row>
    <row r="83" spans="1:27" ht="14.25" customHeight="1">
      <c r="A83" s="13">
        <f>IF(Raw_Data!A83="","",Raw_Data!A83)</f>
        <v>134407</v>
      </c>
      <c r="B83" s="13" t="str">
        <f>IF(Raw_Data!B83="","",Raw_Data!B83)</f>
        <v>EL MAGHROUDI Malak</v>
      </c>
      <c r="C83" s="13" t="str">
        <f>IF(Raw_Data!C83="","",Raw_Data!C83)</f>
        <v>RSA NL</v>
      </c>
      <c r="D83" s="13" t="str">
        <f>IF(Raw_Data!D83="","",Raw_Data!D83)</f>
        <v>2026-07</v>
      </c>
      <c r="E83" s="21">
        <f>IF($A83="","",IF(Raw_Data!E83="",0,IF(KPI_Config!$C$5="L",IF(Raw_Data!E83&lt;=KPI_Config!$E$5,KPI_Config!$D$5,IF(AND(KPI_Config!$F$5&gt;0,Raw_Data!E83&lt;=KPI_Config!$G$5),KPI_Config!$F$5,0)),IF(Raw_Data!E83&gt;=KPI_Config!$E$5,KPI_Config!$D$5,IF(AND(KPI_Config!$F$5&gt;0,Raw_Data!E83&gt;=KPI_Config!$G$5),KPI_Config!$F$5,0)))))</f>
        <v>0.15</v>
      </c>
      <c r="F83" s="21">
        <f>IF($A83="","",IF(Raw_Data!F83="",0,IF(KPI_Config!$C$6="L",IF(Raw_Data!F83&lt;=KPI_Config!$E$6,KPI_Config!$D$6,IF(AND(KPI_Config!$F$6&gt;0,Raw_Data!F83&lt;=KPI_Config!$G$6),KPI_Config!$F$6,0)),IF(Raw_Data!F83&gt;=KPI_Config!$E$6,KPI_Config!$D$6,IF(AND(KPI_Config!$F$6&gt;0,Raw_Data!F83&gt;=KPI_Config!$G$6),KPI_Config!$F$6,0)))))</f>
        <v>0.15</v>
      </c>
      <c r="G83" s="21">
        <f>IF($A83="","",IF(Raw_Data!G83="",0,IF(KPI_Config!$C$7="L",IF(Raw_Data!G83&lt;=KPI_Config!$E$7,KPI_Config!$D$7,IF(AND(KPI_Config!$F$7&gt;0,Raw_Data!G83&lt;=KPI_Config!$G$7),KPI_Config!$F$7,0)),IF(Raw_Data!G83&gt;=KPI_Config!$E$7,KPI_Config!$D$7,IF(AND(KPI_Config!$F$7&gt;0,Raw_Data!G83&gt;=KPI_Config!$G$7),KPI_Config!$F$7,0)))))</f>
        <v>0</v>
      </c>
      <c r="H83" s="21">
        <f>IF($A83="","",IF(Raw_Data!H83="",0,IF(KPI_Config!$C$8="L",IF(Raw_Data!H83&lt;=KPI_Config!$E$8,KPI_Config!$D$8,IF(AND(KPI_Config!$F$8&gt;0,Raw_Data!H83&lt;=KPI_Config!$G$8),KPI_Config!$F$8,0)),IF(Raw_Data!H83&gt;=KPI_Config!$E$8,KPI_Config!$D$8,IF(AND(KPI_Config!$F$8&gt;0,Raw_Data!H83&gt;=KPI_Config!$G$8),KPI_Config!$F$8,0)))))</f>
        <v>0</v>
      </c>
      <c r="I83" s="21">
        <f>IF($A83="","",IF(Raw_Data!I83="",0,IF(KPI_Config!$C$9="L",IF(Raw_Data!I83&lt;=KPI_Config!$E$9,KPI_Config!$D$9,IF(AND(KPI_Config!$F$9&gt;0,Raw_Data!I83&lt;=KPI_Config!$G$9),KPI_Config!$F$9,0)),IF(Raw_Data!I83&gt;=KPI_Config!$E$9,KPI_Config!$D$9,IF(AND(KPI_Config!$F$9&gt;0,Raw_Data!I83&gt;=KPI_Config!$G$9),KPI_Config!$F$9,0)))))</f>
        <v>0</v>
      </c>
      <c r="J83" s="21">
        <f>IF($A83="","",IF(Raw_Data!J83="",0,IF(KPI_Config!$C$10="L",IF(Raw_Data!J83&lt;=KPI_Config!$E$10,KPI_Config!$D$10,IF(AND(KPI_Config!$F$10&gt;0,Raw_Data!J83&lt;=KPI_Config!$G$10),KPI_Config!$F$10,0)),IF(Raw_Data!J83&gt;=KPI_Config!$E$10,KPI_Config!$D$10,IF(AND(KPI_Config!$F$10&gt;0,Raw_Data!J83&gt;=KPI_Config!$G$10),KPI_Config!$F$10,0)))))</f>
        <v>0.15</v>
      </c>
      <c r="K83" s="21">
        <f>IF($A83="","",IF(Raw_Data!G83="",0,IF(KPI_Config!$C$11="L",IF(Raw_Data!G83&lt;=KPI_Config!$E$11,KPI_Config!$D$11,IF(AND(KPI_Config!$F$11&gt;0,Raw_Data!G83&lt;=KPI_Config!$G$11),KPI_Config!$F$11,0)),IF(Raw_Data!G83&gt;=KPI_Config!$E$11,KPI_Config!$D$11,IF(AND(KPI_Config!$F$11&gt;0,Raw_Data!G83&gt;=KPI_Config!$G$11),KPI_Config!$F$11,0)))))</f>
        <v>0</v>
      </c>
      <c r="L83" s="21">
        <f>IF($A83="","",MIN(Policy_Decisions!$B$10,IF(Policy_Decisions!$B$6="Additive",SUM(E83:K83),SUM(E83:J83)-G83+MAX(G83,K83))))</f>
        <v>0.44999999999999996</v>
      </c>
      <c r="M83" s="21">
        <f>IF($A83="","",Raw_Data!K83)</f>
        <v>0</v>
      </c>
      <c r="N83" s="21">
        <f>IF($A83="","",IFERROR(VLOOKUP(M83,KPI_Config!$I$5:$J$10,2,FALSE()),0))</f>
        <v>0</v>
      </c>
      <c r="O83" s="21">
        <f>IF($A83="","",IF(Policy_Decisions!$B$5="Percentage points",MAX(0,L83-N83),L83*(1-N83)))</f>
        <v>0.44999999999999996</v>
      </c>
      <c r="P83" s="13" t="str">
        <f>IF($A83="","",IF(U83="","Review proration",IF(O83=0,"No payout",IF(N83&gt;0,"Malus applied","Eligible"))))</f>
        <v>Eligible</v>
      </c>
      <c r="Q83" s="13" t="str">
        <f>IF($A83="","",Raw_Data!M83)</f>
        <v>MAD</v>
      </c>
      <c r="R83" s="37">
        <f>IF($A83="","",Raw_Data!N83)</f>
        <v>0</v>
      </c>
      <c r="S83" s="37">
        <f>IF($A83="","",Raw_Data!O83)</f>
        <v>0</v>
      </c>
      <c r="T83" s="37">
        <f>IF($A83="","",IF(Raw_Data!P83&gt;0,Raw_Data!P83,Raw_Data!N83*Raw_Data!O83/IF(Policy_Decisions!$B$7="Annual",12,1)))</f>
        <v>2000</v>
      </c>
      <c r="U83" s="37">
        <f>IF($A83="","",IF(OR(Raw_Data!R83="",Raw_Data!R83&lt;=0),"",MIN(1,MAX(0,Raw_Data!Q83/Raw_Data!R83))))</f>
        <v>1</v>
      </c>
      <c r="V83" s="37">
        <f>IF(OR($A83="",U83=""),"",T83*U83)</f>
        <v>2000</v>
      </c>
      <c r="W83" s="37">
        <f>IF(OR($A83="",V83=""),"",V83*L83)</f>
        <v>899.99999999999989</v>
      </c>
      <c r="X83" s="37">
        <f>IF(OR($A83="",V83=""),"",V83*L83-V83*O83)</f>
        <v>0</v>
      </c>
      <c r="Y83" s="37">
        <f>IF(OR($A83="",V83=""),"",ROUND(V83*O83,IF(Policy_Decisions!$B$11="Whole MAD",0,2)))</f>
        <v>900</v>
      </c>
      <c r="Z83" t="str">
        <f>Raw_Data!T83</f>
        <v>AL TAMIMI Zeynab</v>
      </c>
      <c r="AA83" t="str">
        <f>Raw_Data!U83</f>
        <v>Anas OUAKKAD</v>
      </c>
    </row>
    <row r="84" spans="1:27" ht="14.25" customHeight="1">
      <c r="A84" s="15">
        <f>IF(Raw_Data!A84="","",Raw_Data!A84)</f>
        <v>204016</v>
      </c>
      <c r="B84" s="15" t="str">
        <f>IF(Raw_Data!B84="","",Raw_Data!B84)</f>
        <v>Vermeire Linda</v>
      </c>
      <c r="C84" s="15" t="str">
        <f>IF(Raw_Data!C84="","",Raw_Data!C84)</f>
        <v>Ford Dutch</v>
      </c>
      <c r="D84" s="15" t="str">
        <f>IF(Raw_Data!D84="","",Raw_Data!D84)</f>
        <v>2026-07</v>
      </c>
      <c r="E84" s="16">
        <f>IF($A84="","",IF(Raw_Data!E84="",0,IF(KPI_Config!$C$5="L",IF(Raw_Data!E84&lt;=KPI_Config!$E$5,KPI_Config!$D$5,IF(AND(KPI_Config!$F$5&gt;0,Raw_Data!E84&lt;=KPI_Config!$G$5),KPI_Config!$F$5,0)),IF(Raw_Data!E84&gt;=KPI_Config!$E$5,KPI_Config!$D$5,IF(AND(KPI_Config!$F$5&gt;0,Raw_Data!E84&gt;=KPI_Config!$G$5),KPI_Config!$F$5,0)))))</f>
        <v>0.15</v>
      </c>
      <c r="F84" s="16">
        <f>IF($A84="","",IF(Raw_Data!F84="",0,IF(KPI_Config!$C$6="L",IF(Raw_Data!F84&lt;=KPI_Config!$E$6,KPI_Config!$D$6,IF(AND(KPI_Config!$F$6&gt;0,Raw_Data!F84&lt;=KPI_Config!$G$6),KPI_Config!$F$6,0)),IF(Raw_Data!F84&gt;=KPI_Config!$E$6,KPI_Config!$D$6,IF(AND(KPI_Config!$F$6&gt;0,Raw_Data!F84&gt;=KPI_Config!$G$6),KPI_Config!$F$6,0)))))</f>
        <v>0.15</v>
      </c>
      <c r="G84" s="16">
        <f>IF($A84="","",IF(Raw_Data!G84="",0,IF(KPI_Config!$C$7="L",IF(Raw_Data!G84&lt;=KPI_Config!$E$7,KPI_Config!$D$7,IF(AND(KPI_Config!$F$7&gt;0,Raw_Data!G84&lt;=KPI_Config!$G$7),KPI_Config!$F$7,0)),IF(Raw_Data!G84&gt;=KPI_Config!$E$7,KPI_Config!$D$7,IF(AND(KPI_Config!$F$7&gt;0,Raw_Data!G84&gt;=KPI_Config!$G$7),KPI_Config!$F$7,0)))))</f>
        <v>0</v>
      </c>
      <c r="H84" s="16">
        <f>IF($A84="","",IF(Raw_Data!H84="",0,IF(KPI_Config!$C$8="L",IF(Raw_Data!H84&lt;=KPI_Config!$E$8,KPI_Config!$D$8,IF(AND(KPI_Config!$F$8&gt;0,Raw_Data!H84&lt;=KPI_Config!$G$8),KPI_Config!$F$8,0)),IF(Raw_Data!H84&gt;=KPI_Config!$E$8,KPI_Config!$D$8,IF(AND(KPI_Config!$F$8&gt;0,Raw_Data!H84&gt;=KPI_Config!$G$8),KPI_Config!$F$8,0)))))</f>
        <v>0</v>
      </c>
      <c r="I84" s="16">
        <f>IF($A84="","",IF(Raw_Data!I84="",0,IF(KPI_Config!$C$9="L",IF(Raw_Data!I84&lt;=KPI_Config!$E$9,KPI_Config!$D$9,IF(AND(KPI_Config!$F$9&gt;0,Raw_Data!I84&lt;=KPI_Config!$G$9),KPI_Config!$F$9,0)),IF(Raw_Data!I84&gt;=KPI_Config!$E$9,KPI_Config!$D$9,IF(AND(KPI_Config!$F$9&gt;0,Raw_Data!I84&gt;=KPI_Config!$G$9),KPI_Config!$F$9,0)))))</f>
        <v>0</v>
      </c>
      <c r="J84" s="16">
        <f>IF($A84="","",IF(Raw_Data!J84="",0,IF(KPI_Config!$C$10="L",IF(Raw_Data!J84&lt;=KPI_Config!$E$10,KPI_Config!$D$10,IF(AND(KPI_Config!$F$10&gt;0,Raw_Data!J84&lt;=KPI_Config!$G$10),KPI_Config!$F$10,0)),IF(Raw_Data!J84&gt;=KPI_Config!$E$10,KPI_Config!$D$10,IF(AND(KPI_Config!$F$10&gt;0,Raw_Data!J84&gt;=KPI_Config!$G$10),KPI_Config!$F$10,0)))))</f>
        <v>0.15</v>
      </c>
      <c r="K84" s="16">
        <f>IF($A84="","",IF(Raw_Data!G84="",0,IF(KPI_Config!$C$11="L",IF(Raw_Data!G84&lt;=KPI_Config!$E$11,KPI_Config!$D$11,IF(AND(KPI_Config!$F$11&gt;0,Raw_Data!G84&lt;=KPI_Config!$G$11),KPI_Config!$F$11,0)),IF(Raw_Data!G84&gt;=KPI_Config!$E$11,KPI_Config!$D$11,IF(AND(KPI_Config!$F$11&gt;0,Raw_Data!G84&gt;=KPI_Config!$G$11),KPI_Config!$F$11,0)))))</f>
        <v>0</v>
      </c>
      <c r="L84" s="16">
        <f>IF($A84="","",MIN(Policy_Decisions!$B$10,IF(Policy_Decisions!$B$6="Additive",SUM(E84:K84),SUM(E84:J84)-G84+MAX(G84,K84))))</f>
        <v>0.44999999999999996</v>
      </c>
      <c r="M84" s="16">
        <f>IF($A84="","",Raw_Data!K84)</f>
        <v>0</v>
      </c>
      <c r="N84" s="16">
        <f>IF($A84="","",IFERROR(VLOOKUP(M84,KPI_Config!$I$5:$J$10,2,FALSE()),0))</f>
        <v>0</v>
      </c>
      <c r="O84" s="16">
        <f>IF($A84="","",IF(Policy_Decisions!$B$5="Percentage points",MAX(0,L84-N84),L84*(1-N84)))</f>
        <v>0.44999999999999996</v>
      </c>
      <c r="P84" s="15" t="str">
        <f>IF($A84="","",IF(U84="","Review proration",IF(O84=0,"No payout",IF(N84&gt;0,"Malus applied","Eligible"))))</f>
        <v>Eligible</v>
      </c>
      <c r="Q84" s="15" t="str">
        <f>IF($A84="","",Raw_Data!M84)</f>
        <v>MAD</v>
      </c>
      <c r="R84" s="38">
        <f>IF($A84="","",Raw_Data!N84)</f>
        <v>0</v>
      </c>
      <c r="S84" s="38">
        <f>IF($A84="","",Raw_Data!O84)</f>
        <v>0</v>
      </c>
      <c r="T84" s="38">
        <f>IF($A84="","",IF(Raw_Data!P84&gt;0,Raw_Data!P84,Raw_Data!N84*Raw_Data!O84/IF(Policy_Decisions!$B$7="Annual",12,1)))</f>
        <v>2000</v>
      </c>
      <c r="U84" s="38">
        <f>IF($A84="","",IF(OR(Raw_Data!R84="",Raw_Data!R84&lt;=0),"",MIN(1,MAX(0,Raw_Data!Q84/Raw_Data!R84))))</f>
        <v>1</v>
      </c>
      <c r="V84" s="38">
        <f>IF(OR($A84="",U84=""),"",T84*U84)</f>
        <v>2000</v>
      </c>
      <c r="W84" s="38">
        <f>IF(OR($A84="",V84=""),"",V84*L84)</f>
        <v>899.99999999999989</v>
      </c>
      <c r="X84" s="38">
        <f>IF(OR($A84="",V84=""),"",V84*L84-V84*O84)</f>
        <v>0</v>
      </c>
      <c r="Y84" s="38">
        <f>IF(OR($A84="",V84=""),"",ROUND(V84*O84,IF(Policy_Decisions!$B$11="Whole MAD",0,2)))</f>
        <v>900</v>
      </c>
      <c r="Z84" t="str">
        <f>Raw_Data!T84</f>
        <v>DERRAZI Ilyasse</v>
      </c>
      <c r="AA84" t="str">
        <f>Raw_Data!U84</f>
        <v>Anas OUAKKAD</v>
      </c>
    </row>
    <row r="85" spans="1:27" ht="14.25" customHeight="1">
      <c r="A85" s="13">
        <f>IF(Raw_Data!A85="","",Raw_Data!A85)</f>
        <v>204015</v>
      </c>
      <c r="B85" s="13" t="str">
        <f>IF(Raw_Data!B85="","",Raw_Data!B85)</f>
        <v>Dekker Leila</v>
      </c>
      <c r="C85" s="13" t="str">
        <f>IF(Raw_Data!C85="","",Raw_Data!C85)</f>
        <v>Ford Dutch</v>
      </c>
      <c r="D85" s="13" t="str">
        <f>IF(Raw_Data!D85="","",Raw_Data!D85)</f>
        <v>2026-07</v>
      </c>
      <c r="E85" s="21">
        <f>IF($A85="","",IF(Raw_Data!E85="",0,IF(KPI_Config!$C$5="L",IF(Raw_Data!E85&lt;=KPI_Config!$E$5,KPI_Config!$D$5,IF(AND(KPI_Config!$F$5&gt;0,Raw_Data!E85&lt;=KPI_Config!$G$5),KPI_Config!$F$5,0)),IF(Raw_Data!E85&gt;=KPI_Config!$E$5,KPI_Config!$D$5,IF(AND(KPI_Config!$F$5&gt;0,Raw_Data!E85&gt;=KPI_Config!$G$5),KPI_Config!$F$5,0)))))</f>
        <v>0.15</v>
      </c>
      <c r="F85" s="21">
        <f>IF($A85="","",IF(Raw_Data!F85="",0,IF(KPI_Config!$C$6="L",IF(Raw_Data!F85&lt;=KPI_Config!$E$6,KPI_Config!$D$6,IF(AND(KPI_Config!$F$6&gt;0,Raw_Data!F85&lt;=KPI_Config!$G$6),KPI_Config!$F$6,0)),IF(Raw_Data!F85&gt;=KPI_Config!$E$6,KPI_Config!$D$6,IF(AND(KPI_Config!$F$6&gt;0,Raw_Data!F85&gt;=KPI_Config!$G$6),KPI_Config!$F$6,0)))))</f>
        <v>0.15</v>
      </c>
      <c r="G85" s="21">
        <f>IF($A85="","",IF(Raw_Data!G85="",0,IF(KPI_Config!$C$7="L",IF(Raw_Data!G85&lt;=KPI_Config!$E$7,KPI_Config!$D$7,IF(AND(KPI_Config!$F$7&gt;0,Raw_Data!G85&lt;=KPI_Config!$G$7),KPI_Config!$F$7,0)),IF(Raw_Data!G85&gt;=KPI_Config!$E$7,KPI_Config!$D$7,IF(AND(KPI_Config!$F$7&gt;0,Raw_Data!G85&gt;=KPI_Config!$G$7),KPI_Config!$F$7,0)))))</f>
        <v>0</v>
      </c>
      <c r="H85" s="21">
        <f>IF($A85="","",IF(Raw_Data!H85="",0,IF(KPI_Config!$C$8="L",IF(Raw_Data!H85&lt;=KPI_Config!$E$8,KPI_Config!$D$8,IF(AND(KPI_Config!$F$8&gt;0,Raw_Data!H85&lt;=KPI_Config!$G$8),KPI_Config!$F$8,0)),IF(Raw_Data!H85&gt;=KPI_Config!$E$8,KPI_Config!$D$8,IF(AND(KPI_Config!$F$8&gt;0,Raw_Data!H85&gt;=KPI_Config!$G$8),KPI_Config!$F$8,0)))))</f>
        <v>0</v>
      </c>
      <c r="I85" s="21">
        <f>IF($A85="","",IF(Raw_Data!I85="",0,IF(KPI_Config!$C$9="L",IF(Raw_Data!I85&lt;=KPI_Config!$E$9,KPI_Config!$D$9,IF(AND(KPI_Config!$F$9&gt;0,Raw_Data!I85&lt;=KPI_Config!$G$9),KPI_Config!$F$9,0)),IF(Raw_Data!I85&gt;=KPI_Config!$E$9,KPI_Config!$D$9,IF(AND(KPI_Config!$F$9&gt;0,Raw_Data!I85&gt;=KPI_Config!$G$9),KPI_Config!$F$9,0)))))</f>
        <v>0</v>
      </c>
      <c r="J85" s="21">
        <f>IF($A85="","",IF(Raw_Data!J85="",0,IF(KPI_Config!$C$10="L",IF(Raw_Data!J85&lt;=KPI_Config!$E$10,KPI_Config!$D$10,IF(AND(KPI_Config!$F$10&gt;0,Raw_Data!J85&lt;=KPI_Config!$G$10),KPI_Config!$F$10,0)),IF(Raw_Data!J85&gt;=KPI_Config!$E$10,KPI_Config!$D$10,IF(AND(KPI_Config!$F$10&gt;0,Raw_Data!J85&gt;=KPI_Config!$G$10),KPI_Config!$F$10,0)))))</f>
        <v>0.15</v>
      </c>
      <c r="K85" s="21">
        <f>IF($A85="","",IF(Raw_Data!G85="",0,IF(KPI_Config!$C$11="L",IF(Raw_Data!G85&lt;=KPI_Config!$E$11,KPI_Config!$D$11,IF(AND(KPI_Config!$F$11&gt;0,Raw_Data!G85&lt;=KPI_Config!$G$11),KPI_Config!$F$11,0)),IF(Raw_Data!G85&gt;=KPI_Config!$E$11,KPI_Config!$D$11,IF(AND(KPI_Config!$F$11&gt;0,Raw_Data!G85&gt;=KPI_Config!$G$11),KPI_Config!$F$11,0)))))</f>
        <v>0</v>
      </c>
      <c r="L85" s="21">
        <f>IF($A85="","",MIN(Policy_Decisions!$B$10,IF(Policy_Decisions!$B$6="Additive",SUM(E85:K85),SUM(E85:J85)-G85+MAX(G85,K85))))</f>
        <v>0.44999999999999996</v>
      </c>
      <c r="M85" s="21">
        <f>IF($A85="","",Raw_Data!K85)</f>
        <v>0</v>
      </c>
      <c r="N85" s="21">
        <f>IF($A85="","",IFERROR(VLOOKUP(M85,KPI_Config!$I$5:$J$10,2,FALSE()),0))</f>
        <v>0</v>
      </c>
      <c r="O85" s="21">
        <f>IF($A85="","",IF(Policy_Decisions!$B$5="Percentage points",MAX(0,L85-N85),L85*(1-N85)))</f>
        <v>0.44999999999999996</v>
      </c>
      <c r="P85" s="13" t="str">
        <f>IF($A85="","",IF(U85="","Review proration",IF(O85=0,"No payout",IF(N85&gt;0,"Malus applied","Eligible"))))</f>
        <v>Eligible</v>
      </c>
      <c r="Q85" s="13" t="str">
        <f>IF($A85="","",Raw_Data!M85)</f>
        <v>MAD</v>
      </c>
      <c r="R85" s="37">
        <f>IF($A85="","",Raw_Data!N85)</f>
        <v>0</v>
      </c>
      <c r="S85" s="37">
        <f>IF($A85="","",Raw_Data!O85)</f>
        <v>0</v>
      </c>
      <c r="T85" s="37">
        <f>IF($A85="","",IF(Raw_Data!P85&gt;0,Raw_Data!P85,Raw_Data!N85*Raw_Data!O85/IF(Policy_Decisions!$B$7="Annual",12,1)))</f>
        <v>2000</v>
      </c>
      <c r="U85" s="37">
        <f>IF($A85="","",IF(OR(Raw_Data!R85="",Raw_Data!R85&lt;=0),"",MIN(1,MAX(0,Raw_Data!Q85/Raw_Data!R85))))</f>
        <v>1</v>
      </c>
      <c r="V85" s="37">
        <f>IF(OR($A85="",U85=""),"",T85*U85)</f>
        <v>2000</v>
      </c>
      <c r="W85" s="37">
        <f>IF(OR($A85="",V85=""),"",V85*L85)</f>
        <v>899.99999999999989</v>
      </c>
      <c r="X85" s="37">
        <f>IF(OR($A85="",V85=""),"",V85*L85-V85*O85)</f>
        <v>0</v>
      </c>
      <c r="Y85" s="37">
        <f>IF(OR($A85="",V85=""),"",ROUND(V85*O85,IF(Policy_Decisions!$B$11="Whole MAD",0,2)))</f>
        <v>900</v>
      </c>
      <c r="Z85" t="str">
        <f>Raw_Data!T85</f>
        <v>DERRAZI Ilyasse</v>
      </c>
      <c r="AA85" t="str">
        <f>Raw_Data!U85</f>
        <v>Anas OUAKKAD</v>
      </c>
    </row>
    <row r="86" spans="1:27" ht="14.25" customHeight="1">
      <c r="A86" s="15">
        <f>IF(Raw_Data!A86="","",Raw_Data!A86)</f>
        <v>203638</v>
      </c>
      <c r="B86" s="15" t="str">
        <f>IF(Raw_Data!B86="","",Raw_Data!B86)</f>
        <v>Boeckx Lars</v>
      </c>
      <c r="C86" s="15" t="str">
        <f>IF(Raw_Data!C86="","",Raw_Data!C86)</f>
        <v>Ford Dutch</v>
      </c>
      <c r="D86" s="15" t="str">
        <f>IF(Raw_Data!D86="","",Raw_Data!D86)</f>
        <v>2026-07</v>
      </c>
      <c r="E86" s="16">
        <f>IF($A86="","",IF(Raw_Data!E86="",0,IF(KPI_Config!$C$5="L",IF(Raw_Data!E86&lt;=KPI_Config!$E$5,KPI_Config!$D$5,IF(AND(KPI_Config!$F$5&gt;0,Raw_Data!E86&lt;=KPI_Config!$G$5),KPI_Config!$F$5,0)),IF(Raw_Data!E86&gt;=KPI_Config!$E$5,KPI_Config!$D$5,IF(AND(KPI_Config!$F$5&gt;0,Raw_Data!E86&gt;=KPI_Config!$G$5),KPI_Config!$F$5,0)))))</f>
        <v>0.15</v>
      </c>
      <c r="F86" s="16">
        <f>IF($A86="","",IF(Raw_Data!F86="",0,IF(KPI_Config!$C$6="L",IF(Raw_Data!F86&lt;=KPI_Config!$E$6,KPI_Config!$D$6,IF(AND(KPI_Config!$F$6&gt;0,Raw_Data!F86&lt;=KPI_Config!$G$6),KPI_Config!$F$6,0)),IF(Raw_Data!F86&gt;=KPI_Config!$E$6,KPI_Config!$D$6,IF(AND(KPI_Config!$F$6&gt;0,Raw_Data!F86&gt;=KPI_Config!$G$6),KPI_Config!$F$6,0)))))</f>
        <v>0.15</v>
      </c>
      <c r="G86" s="16">
        <f>IF($A86="","",IF(Raw_Data!G86="",0,IF(KPI_Config!$C$7="L",IF(Raw_Data!G86&lt;=KPI_Config!$E$7,KPI_Config!$D$7,IF(AND(KPI_Config!$F$7&gt;0,Raw_Data!G86&lt;=KPI_Config!$G$7),KPI_Config!$F$7,0)),IF(Raw_Data!G86&gt;=KPI_Config!$E$7,KPI_Config!$D$7,IF(AND(KPI_Config!$F$7&gt;0,Raw_Data!G86&gt;=KPI_Config!$G$7),KPI_Config!$F$7,0)))))</f>
        <v>0</v>
      </c>
      <c r="H86" s="16">
        <f>IF($A86="","",IF(Raw_Data!H86="",0,IF(KPI_Config!$C$8="L",IF(Raw_Data!H86&lt;=KPI_Config!$E$8,KPI_Config!$D$8,IF(AND(KPI_Config!$F$8&gt;0,Raw_Data!H86&lt;=KPI_Config!$G$8),KPI_Config!$F$8,0)),IF(Raw_Data!H86&gt;=KPI_Config!$E$8,KPI_Config!$D$8,IF(AND(KPI_Config!$F$8&gt;0,Raw_Data!H86&gt;=KPI_Config!$G$8),KPI_Config!$F$8,0)))))</f>
        <v>0</v>
      </c>
      <c r="I86" s="16">
        <f>IF($A86="","",IF(Raw_Data!I86="",0,IF(KPI_Config!$C$9="L",IF(Raw_Data!I86&lt;=KPI_Config!$E$9,KPI_Config!$D$9,IF(AND(KPI_Config!$F$9&gt;0,Raw_Data!I86&lt;=KPI_Config!$G$9),KPI_Config!$F$9,0)),IF(Raw_Data!I86&gt;=KPI_Config!$E$9,KPI_Config!$D$9,IF(AND(KPI_Config!$F$9&gt;0,Raw_Data!I86&gt;=KPI_Config!$G$9),KPI_Config!$F$9,0)))))</f>
        <v>0</v>
      </c>
      <c r="J86" s="16">
        <f>IF($A86="","",IF(Raw_Data!J86="",0,IF(KPI_Config!$C$10="L",IF(Raw_Data!J86&lt;=KPI_Config!$E$10,KPI_Config!$D$10,IF(AND(KPI_Config!$F$10&gt;0,Raw_Data!J86&lt;=KPI_Config!$G$10),KPI_Config!$F$10,0)),IF(Raw_Data!J86&gt;=KPI_Config!$E$10,KPI_Config!$D$10,IF(AND(KPI_Config!$F$10&gt;0,Raw_Data!J86&gt;=KPI_Config!$G$10),KPI_Config!$F$10,0)))))</f>
        <v>0.15</v>
      </c>
      <c r="K86" s="16">
        <f>IF($A86="","",IF(Raw_Data!G86="",0,IF(KPI_Config!$C$11="L",IF(Raw_Data!G86&lt;=KPI_Config!$E$11,KPI_Config!$D$11,IF(AND(KPI_Config!$F$11&gt;0,Raw_Data!G86&lt;=KPI_Config!$G$11),KPI_Config!$F$11,0)),IF(Raw_Data!G86&gt;=KPI_Config!$E$11,KPI_Config!$D$11,IF(AND(KPI_Config!$F$11&gt;0,Raw_Data!G86&gt;=KPI_Config!$G$11),KPI_Config!$F$11,0)))))</f>
        <v>0</v>
      </c>
      <c r="L86" s="16">
        <f>IF($A86="","",MIN(Policy_Decisions!$B$10,IF(Policy_Decisions!$B$6="Additive",SUM(E86:K86),SUM(E86:J86)-G86+MAX(G86,K86))))</f>
        <v>0.44999999999999996</v>
      </c>
      <c r="M86" s="16">
        <f>IF($A86="","",Raw_Data!K86)</f>
        <v>0</v>
      </c>
      <c r="N86" s="16">
        <f>IF($A86="","",IFERROR(VLOOKUP(M86,KPI_Config!$I$5:$J$10,2,FALSE()),0))</f>
        <v>0</v>
      </c>
      <c r="O86" s="16">
        <f>IF($A86="","",IF(Policy_Decisions!$B$5="Percentage points",MAX(0,L86-N86),L86*(1-N86)))</f>
        <v>0.44999999999999996</v>
      </c>
      <c r="P86" s="15" t="str">
        <f>IF($A86="","",IF(U86="","Review proration",IF(O86=0,"No payout",IF(N86&gt;0,"Malus applied","Eligible"))))</f>
        <v>Eligible</v>
      </c>
      <c r="Q86" s="15" t="str">
        <f>IF($A86="","",Raw_Data!M86)</f>
        <v>MAD</v>
      </c>
      <c r="R86" s="38">
        <f>IF($A86="","",Raw_Data!N86)</f>
        <v>0</v>
      </c>
      <c r="S86" s="38">
        <f>IF($A86="","",Raw_Data!O86)</f>
        <v>0</v>
      </c>
      <c r="T86" s="38">
        <f>IF($A86="","",IF(Raw_Data!P86&gt;0,Raw_Data!P86,Raw_Data!N86*Raw_Data!O86/IF(Policy_Decisions!$B$7="Annual",12,1)))</f>
        <v>2000</v>
      </c>
      <c r="U86" s="38">
        <f>IF($A86="","",IF(OR(Raw_Data!R86="",Raw_Data!R86&lt;=0),"",MIN(1,MAX(0,Raw_Data!Q86/Raw_Data!R86))))</f>
        <v>1</v>
      </c>
      <c r="V86" s="38">
        <f>IF(OR($A86="",U86=""),"",T86*U86)</f>
        <v>2000</v>
      </c>
      <c r="W86" s="38">
        <f>IF(OR($A86="",V86=""),"",V86*L86)</f>
        <v>899.99999999999989</v>
      </c>
      <c r="X86" s="38">
        <f>IF(OR($A86="",V86=""),"",V86*L86-V86*O86)</f>
        <v>0</v>
      </c>
      <c r="Y86" s="38">
        <f>IF(OR($A86="",V86=""),"",ROUND(V86*O86,IF(Policy_Decisions!$B$11="Whole MAD",0,2)))</f>
        <v>900</v>
      </c>
      <c r="Z86" t="str">
        <f>Raw_Data!T86</f>
        <v>DERRAZI Ilyasse</v>
      </c>
      <c r="AA86" t="str">
        <f>Raw_Data!U86</f>
        <v>Anas OUAKKAD</v>
      </c>
    </row>
    <row r="87" spans="1:27" ht="14.25" customHeight="1">
      <c r="A87" s="13">
        <f>IF(Raw_Data!A87="","",Raw_Data!A87)</f>
        <v>250738</v>
      </c>
      <c r="B87" s="13" t="str">
        <f>IF(Raw_Data!B87="","",Raw_Data!B87)</f>
        <v>Lahcen OUASSIT</v>
      </c>
      <c r="C87" s="13" t="str">
        <f>IF(Raw_Data!C87="","",Raw_Data!C87)</f>
        <v>OEM FR</v>
      </c>
      <c r="D87" s="13" t="str">
        <f>IF(Raw_Data!D87="","",Raw_Data!D87)</f>
        <v>2026-07</v>
      </c>
      <c r="E87" s="21">
        <f>IF($A87="","",IF(Raw_Data!E87="",0,IF(KPI_Config!$C$5="L",IF(Raw_Data!E87&lt;=KPI_Config!$E$5,KPI_Config!$D$5,IF(AND(KPI_Config!$F$5&gt;0,Raw_Data!E87&lt;=KPI_Config!$G$5),KPI_Config!$F$5,0)),IF(Raw_Data!E87&gt;=KPI_Config!$E$5,KPI_Config!$D$5,IF(AND(KPI_Config!$F$5&gt;0,Raw_Data!E87&gt;=KPI_Config!$G$5),KPI_Config!$F$5,0)))))</f>
        <v>0</v>
      </c>
      <c r="F87" s="21">
        <f>IF($A87="","",IF(Raw_Data!F87="",0,IF(KPI_Config!$C$6="L",IF(Raw_Data!F87&lt;=KPI_Config!$E$6,KPI_Config!$D$6,IF(AND(KPI_Config!$F$6&gt;0,Raw_Data!F87&lt;=KPI_Config!$G$6),KPI_Config!$F$6,0)),IF(Raw_Data!F87&gt;=KPI_Config!$E$6,KPI_Config!$D$6,IF(AND(KPI_Config!$F$6&gt;0,Raw_Data!F87&gt;=KPI_Config!$G$6),KPI_Config!$F$6,0)))))</f>
        <v>0</v>
      </c>
      <c r="G87" s="21">
        <f>IF($A87="","",IF(Raw_Data!G87="",0,IF(KPI_Config!$C$7="L",IF(Raw_Data!G87&lt;=KPI_Config!$E$7,KPI_Config!$D$7,IF(AND(KPI_Config!$F$7&gt;0,Raw_Data!G87&lt;=KPI_Config!$G$7),KPI_Config!$F$7,0)),IF(Raw_Data!G87&gt;=KPI_Config!$E$7,KPI_Config!$D$7,IF(AND(KPI_Config!$F$7&gt;0,Raw_Data!G87&gt;=KPI_Config!$G$7),KPI_Config!$F$7,0)))))</f>
        <v>0</v>
      </c>
      <c r="H87" s="21">
        <f>IF($A87="","",IF(Raw_Data!H87="",0,IF(KPI_Config!$C$8="L",IF(Raw_Data!H87&lt;=KPI_Config!$E$8,KPI_Config!$D$8,IF(AND(KPI_Config!$F$8&gt;0,Raw_Data!H87&lt;=KPI_Config!$G$8),KPI_Config!$F$8,0)),IF(Raw_Data!H87&gt;=KPI_Config!$E$8,KPI_Config!$D$8,IF(AND(KPI_Config!$F$8&gt;0,Raw_Data!H87&gt;=KPI_Config!$G$8),KPI_Config!$F$8,0)))))</f>
        <v>0</v>
      </c>
      <c r="I87" s="21">
        <f>IF($A87="","",IF(Raw_Data!I87="",0,IF(KPI_Config!$C$9="L",IF(Raw_Data!I87&lt;=KPI_Config!$E$9,KPI_Config!$D$9,IF(AND(KPI_Config!$F$9&gt;0,Raw_Data!I87&lt;=KPI_Config!$G$9),KPI_Config!$F$9,0)),IF(Raw_Data!I87&gt;=KPI_Config!$E$9,KPI_Config!$D$9,IF(AND(KPI_Config!$F$9&gt;0,Raw_Data!I87&gt;=KPI_Config!$G$9),KPI_Config!$F$9,0)))))</f>
        <v>0</v>
      </c>
      <c r="J87" s="21">
        <f>IF($A87="","",IF(Raw_Data!J87="",0,IF(KPI_Config!$C$10="L",IF(Raw_Data!J87&lt;=KPI_Config!$E$10,KPI_Config!$D$10,IF(AND(KPI_Config!$F$10&gt;0,Raw_Data!J87&lt;=KPI_Config!$G$10),KPI_Config!$F$10,0)),IF(Raw_Data!J87&gt;=KPI_Config!$E$10,KPI_Config!$D$10,IF(AND(KPI_Config!$F$10&gt;0,Raw_Data!J87&gt;=KPI_Config!$G$10),KPI_Config!$F$10,0)))))</f>
        <v>0.15</v>
      </c>
      <c r="K87" s="21">
        <f>IF($A87="","",IF(Raw_Data!G87="",0,IF(KPI_Config!$C$11="L",IF(Raw_Data!G87&lt;=KPI_Config!$E$11,KPI_Config!$D$11,IF(AND(KPI_Config!$F$11&gt;0,Raw_Data!G87&lt;=KPI_Config!$G$11),KPI_Config!$F$11,0)),IF(Raw_Data!G87&gt;=KPI_Config!$E$11,KPI_Config!$D$11,IF(AND(KPI_Config!$F$11&gt;0,Raw_Data!G87&gt;=KPI_Config!$G$11),KPI_Config!$F$11,0)))))</f>
        <v>0</v>
      </c>
      <c r="L87" s="21">
        <f>IF($A87="","",MIN(Policy_Decisions!$B$10,IF(Policy_Decisions!$B$6="Additive",SUM(E87:K87),SUM(E87:J87)-G87+MAX(G87,K87))))</f>
        <v>0.15</v>
      </c>
      <c r="M87" s="21">
        <f>IF($A87="","",Raw_Data!K87)</f>
        <v>0</v>
      </c>
      <c r="N87" s="21">
        <f>IF($A87="","",IFERROR(VLOOKUP(M87,KPI_Config!$I$5:$J$10,2,FALSE()),0))</f>
        <v>0</v>
      </c>
      <c r="O87" s="21">
        <f>IF($A87="","",IF(Policy_Decisions!$B$5="Percentage points",MAX(0,L87-N87),L87*(1-N87)))</f>
        <v>0.15</v>
      </c>
      <c r="P87" s="13" t="str">
        <f>IF($A87="","",IF(U87="","Review proration",IF(O87=0,"No payout",IF(N87&gt;0,"Malus applied","Eligible"))))</f>
        <v>Eligible</v>
      </c>
      <c r="Q87" s="13" t="str">
        <f>IF($A87="","",Raw_Data!M87)</f>
        <v>MAD</v>
      </c>
      <c r="R87" s="37">
        <f>IF($A87="","",Raw_Data!N87)</f>
        <v>0</v>
      </c>
      <c r="S87" s="37">
        <f>IF($A87="","",Raw_Data!O87)</f>
        <v>0</v>
      </c>
      <c r="T87" s="37">
        <f>IF($A87="","",IF(Raw_Data!P87&gt;0,Raw_Data!P87,Raw_Data!N87*Raw_Data!O87/IF(Policy_Decisions!$B$7="Annual",12,1)))</f>
        <v>2000</v>
      </c>
      <c r="U87" s="37">
        <f>IF($A87="","",IF(OR(Raw_Data!R87="",Raw_Data!R87&lt;=0),"",MIN(1,MAX(0,Raw_Data!Q87/Raw_Data!R87))))</f>
        <v>1</v>
      </c>
      <c r="V87" s="37">
        <f>IF(OR($A87="",U87=""),"",T87*U87)</f>
        <v>2000</v>
      </c>
      <c r="W87" s="37">
        <f>IF(OR($A87="",V87=""),"",V87*L87)</f>
        <v>300</v>
      </c>
      <c r="X87" s="37">
        <f>IF(OR($A87="",V87=""),"",V87*L87-V87*O87)</f>
        <v>0</v>
      </c>
      <c r="Y87" s="37">
        <f>IF(OR($A87="",V87=""),"",ROUND(V87*O87,IF(Policy_Decisions!$B$11="Whole MAD",0,2)))</f>
        <v>300</v>
      </c>
      <c r="Z87" t="str">
        <f>Raw_Data!T87</f>
        <v>Kenza EL MOUMNI</v>
      </c>
      <c r="AA87" t="str">
        <f>Raw_Data!U87</f>
        <v>Anas OUAKKAD</v>
      </c>
    </row>
    <row r="88" spans="1:27" ht="14.25" customHeight="1">
      <c r="A88" s="15">
        <f>IF(Raw_Data!A88="","",Raw_Data!A88)</f>
        <v>249776</v>
      </c>
      <c r="B88" s="15" t="str">
        <f>IF(Raw_Data!B88="","",Raw_Data!B88)</f>
        <v xml:space="preserve">Khawla EL BOUAANANI </v>
      </c>
      <c r="C88" s="15" t="str">
        <f>IF(Raw_Data!C88="","",Raw_Data!C88)</f>
        <v>RSA FR</v>
      </c>
      <c r="D88" s="15" t="str">
        <f>IF(Raw_Data!D88="","",Raw_Data!D88)</f>
        <v>2026-07</v>
      </c>
      <c r="E88" s="16">
        <f>IF($A88="","",IF(Raw_Data!E88="",0,IF(KPI_Config!$C$5="L",IF(Raw_Data!E88&lt;=KPI_Config!$E$5,KPI_Config!$D$5,IF(AND(KPI_Config!$F$5&gt;0,Raw_Data!E88&lt;=KPI_Config!$G$5),KPI_Config!$F$5,0)),IF(Raw_Data!E88&gt;=KPI_Config!$E$5,KPI_Config!$D$5,IF(AND(KPI_Config!$F$5&gt;0,Raw_Data!E88&gt;=KPI_Config!$G$5),KPI_Config!$F$5,0)))))</f>
        <v>0</v>
      </c>
      <c r="F88" s="16">
        <f>IF($A88="","",IF(Raw_Data!F88="",0,IF(KPI_Config!$C$6="L",IF(Raw_Data!F88&lt;=KPI_Config!$E$6,KPI_Config!$D$6,IF(AND(KPI_Config!$F$6&gt;0,Raw_Data!F88&lt;=KPI_Config!$G$6),KPI_Config!$F$6,0)),IF(Raw_Data!F88&gt;=KPI_Config!$E$6,KPI_Config!$D$6,IF(AND(KPI_Config!$F$6&gt;0,Raw_Data!F88&gt;=KPI_Config!$G$6),KPI_Config!$F$6,0)))))</f>
        <v>0</v>
      </c>
      <c r="G88" s="16">
        <f>IF($A88="","",IF(Raw_Data!G88="",0,IF(KPI_Config!$C$7="L",IF(Raw_Data!G88&lt;=KPI_Config!$E$7,KPI_Config!$D$7,IF(AND(KPI_Config!$F$7&gt;0,Raw_Data!G88&lt;=KPI_Config!$G$7),KPI_Config!$F$7,0)),IF(Raw_Data!G88&gt;=KPI_Config!$E$7,KPI_Config!$D$7,IF(AND(KPI_Config!$F$7&gt;0,Raw_Data!G88&gt;=KPI_Config!$G$7),KPI_Config!$F$7,0)))))</f>
        <v>0</v>
      </c>
      <c r="H88" s="16">
        <f>IF($A88="","",IF(Raw_Data!H88="",0,IF(KPI_Config!$C$8="L",IF(Raw_Data!H88&lt;=KPI_Config!$E$8,KPI_Config!$D$8,IF(AND(KPI_Config!$F$8&gt;0,Raw_Data!H88&lt;=KPI_Config!$G$8),KPI_Config!$F$8,0)),IF(Raw_Data!H88&gt;=KPI_Config!$E$8,KPI_Config!$D$8,IF(AND(KPI_Config!$F$8&gt;0,Raw_Data!H88&gt;=KPI_Config!$G$8),KPI_Config!$F$8,0)))))</f>
        <v>0</v>
      </c>
      <c r="I88" s="16">
        <f>IF($A88="","",IF(Raw_Data!I88="",0,IF(KPI_Config!$C$9="L",IF(Raw_Data!I88&lt;=KPI_Config!$E$9,KPI_Config!$D$9,IF(AND(KPI_Config!$F$9&gt;0,Raw_Data!I88&lt;=KPI_Config!$G$9),KPI_Config!$F$9,0)),IF(Raw_Data!I88&gt;=KPI_Config!$E$9,KPI_Config!$D$9,IF(AND(KPI_Config!$F$9&gt;0,Raw_Data!I88&gt;=KPI_Config!$G$9),KPI_Config!$F$9,0)))))</f>
        <v>0</v>
      </c>
      <c r="J88" s="16">
        <f>IF($A88="","",IF(Raw_Data!J88="",0,IF(KPI_Config!$C$10="L",IF(Raw_Data!J88&lt;=KPI_Config!$E$10,KPI_Config!$D$10,IF(AND(KPI_Config!$F$10&gt;0,Raw_Data!J88&lt;=KPI_Config!$G$10),KPI_Config!$F$10,0)),IF(Raw_Data!J88&gt;=KPI_Config!$E$10,KPI_Config!$D$10,IF(AND(KPI_Config!$F$10&gt;0,Raw_Data!J88&gt;=KPI_Config!$G$10),KPI_Config!$F$10,0)))))</f>
        <v>0.15</v>
      </c>
      <c r="K88" s="16">
        <f>IF($A88="","",IF(Raw_Data!G88="",0,IF(KPI_Config!$C$11="L",IF(Raw_Data!G88&lt;=KPI_Config!$E$11,KPI_Config!$D$11,IF(AND(KPI_Config!$F$11&gt;0,Raw_Data!G88&lt;=KPI_Config!$G$11),KPI_Config!$F$11,0)),IF(Raw_Data!G88&gt;=KPI_Config!$E$11,KPI_Config!$D$11,IF(AND(KPI_Config!$F$11&gt;0,Raw_Data!G88&gt;=KPI_Config!$G$11),KPI_Config!$F$11,0)))))</f>
        <v>0</v>
      </c>
      <c r="L88" s="16">
        <f>IF($A88="","",MIN(Policy_Decisions!$B$10,IF(Policy_Decisions!$B$6="Additive",SUM(E88:K88),SUM(E88:J88)-G88+MAX(G88,K88))))</f>
        <v>0.15</v>
      </c>
      <c r="M88" s="16">
        <f>IF($A88="","",Raw_Data!K88)</f>
        <v>0</v>
      </c>
      <c r="N88" s="16">
        <f>IF($A88="","",IFERROR(VLOOKUP(M88,KPI_Config!$I$5:$J$10,2,FALSE()),0))</f>
        <v>0</v>
      </c>
      <c r="O88" s="16">
        <f>IF($A88="","",IF(Policy_Decisions!$B$5="Percentage points",MAX(0,L88-N88),L88*(1-N88)))</f>
        <v>0.15</v>
      </c>
      <c r="P88" s="15" t="str">
        <f>IF($A88="","",IF(U88="","Review proration",IF(O88=0,"No payout",IF(N88&gt;0,"Malus applied","Eligible"))))</f>
        <v>Eligible</v>
      </c>
      <c r="Q88" s="15" t="str">
        <f>IF($A88="","",Raw_Data!M88)</f>
        <v>MAD</v>
      </c>
      <c r="R88" s="38">
        <f>IF($A88="","",Raw_Data!N88)</f>
        <v>0</v>
      </c>
      <c r="S88" s="38">
        <f>IF($A88="","",Raw_Data!O88)</f>
        <v>0</v>
      </c>
      <c r="T88" s="38">
        <f>IF($A88="","",IF(Raw_Data!P88&gt;0,Raw_Data!P88,Raw_Data!N88*Raw_Data!O88/IF(Policy_Decisions!$B$7="Annual",12,1)))</f>
        <v>2000</v>
      </c>
      <c r="U88" s="38">
        <f>IF($A88="","",IF(OR(Raw_Data!R88="",Raw_Data!R88&lt;=0),"",MIN(1,MAX(0,Raw_Data!Q88/Raw_Data!R88))))</f>
        <v>1</v>
      </c>
      <c r="V88" s="38">
        <f>IF(OR($A88="",U88=""),"",T88*U88)</f>
        <v>2000</v>
      </c>
      <c r="W88" s="38">
        <f>IF(OR($A88="",V88=""),"",V88*L88)</f>
        <v>300</v>
      </c>
      <c r="X88" s="38">
        <f>IF(OR($A88="",V88=""),"",V88*L88-V88*O88)</f>
        <v>0</v>
      </c>
      <c r="Y88" s="38">
        <f>IF(OR($A88="",V88=""),"",ROUND(V88*O88,IF(Policy_Decisions!$B$11="Whole MAD",0,2)))</f>
        <v>300</v>
      </c>
      <c r="Z88" t="str">
        <f>Raw_Data!T88</f>
        <v>Farouk BOUAZZAOUI</v>
      </c>
      <c r="AA88" t="str">
        <f>Raw_Data!U88</f>
        <v>Anas OUAKKAD</v>
      </c>
    </row>
    <row r="89" spans="1:27" ht="14.25" customHeight="1">
      <c r="A89" s="13">
        <f>IF(Raw_Data!A89="","",Raw_Data!A89)</f>
        <v>199529</v>
      </c>
      <c r="B89" s="13" t="str">
        <f>IF(Raw_Data!B89="","",Raw_Data!B89)</f>
        <v>Ajermite Khalil</v>
      </c>
      <c r="C89" s="13" t="str">
        <f>IF(Raw_Data!C89="","",Raw_Data!C89)</f>
        <v>RSA NL</v>
      </c>
      <c r="D89" s="13" t="str">
        <f>IF(Raw_Data!D89="","",Raw_Data!D89)</f>
        <v>2026-07</v>
      </c>
      <c r="E89" s="21">
        <f>IF($A89="","",IF(Raw_Data!E89="",0,IF(KPI_Config!$C$5="L",IF(Raw_Data!E89&lt;=KPI_Config!$E$5,KPI_Config!$D$5,IF(AND(KPI_Config!$F$5&gt;0,Raw_Data!E89&lt;=KPI_Config!$G$5),KPI_Config!$F$5,0)),IF(Raw_Data!E89&gt;=KPI_Config!$E$5,KPI_Config!$D$5,IF(AND(KPI_Config!$F$5&gt;0,Raw_Data!E89&gt;=KPI_Config!$G$5),KPI_Config!$F$5,0)))))</f>
        <v>0.15</v>
      </c>
      <c r="F89" s="21">
        <f>IF($A89="","",IF(Raw_Data!F89="",0,IF(KPI_Config!$C$6="L",IF(Raw_Data!F89&lt;=KPI_Config!$E$6,KPI_Config!$D$6,IF(AND(KPI_Config!$F$6&gt;0,Raw_Data!F89&lt;=KPI_Config!$G$6),KPI_Config!$F$6,0)),IF(Raw_Data!F89&gt;=KPI_Config!$E$6,KPI_Config!$D$6,IF(AND(KPI_Config!$F$6&gt;0,Raw_Data!F89&gt;=KPI_Config!$G$6),KPI_Config!$F$6,0)))))</f>
        <v>0.15</v>
      </c>
      <c r="G89" s="21">
        <f>IF($A89="","",IF(Raw_Data!G89="",0,IF(KPI_Config!$C$7="L",IF(Raw_Data!G89&lt;=KPI_Config!$E$7,KPI_Config!$D$7,IF(AND(KPI_Config!$F$7&gt;0,Raw_Data!G89&lt;=KPI_Config!$G$7),KPI_Config!$F$7,0)),IF(Raw_Data!G89&gt;=KPI_Config!$E$7,KPI_Config!$D$7,IF(AND(KPI_Config!$F$7&gt;0,Raw_Data!G89&gt;=KPI_Config!$G$7),KPI_Config!$F$7,0)))))</f>
        <v>0.15</v>
      </c>
      <c r="H89" s="21">
        <f>IF($A89="","",IF(Raw_Data!H89="",0,IF(KPI_Config!$C$8="L",IF(Raw_Data!H89&lt;=KPI_Config!$E$8,KPI_Config!$D$8,IF(AND(KPI_Config!$F$8&gt;0,Raw_Data!H89&lt;=KPI_Config!$G$8),KPI_Config!$F$8,0)),IF(Raw_Data!H89&gt;=KPI_Config!$E$8,KPI_Config!$D$8,IF(AND(KPI_Config!$F$8&gt;0,Raw_Data!H89&gt;=KPI_Config!$G$8),KPI_Config!$F$8,0)))))</f>
        <v>0</v>
      </c>
      <c r="I89" s="21">
        <f>IF($A89="","",IF(Raw_Data!I89="",0,IF(KPI_Config!$C$9="L",IF(Raw_Data!I89&lt;=KPI_Config!$E$9,KPI_Config!$D$9,IF(AND(KPI_Config!$F$9&gt;0,Raw_Data!I89&lt;=KPI_Config!$G$9),KPI_Config!$F$9,0)),IF(Raw_Data!I89&gt;=KPI_Config!$E$9,KPI_Config!$D$9,IF(AND(KPI_Config!$F$9&gt;0,Raw_Data!I89&gt;=KPI_Config!$G$9),KPI_Config!$F$9,0)))))</f>
        <v>0</v>
      </c>
      <c r="J89" s="21">
        <f>IF($A89="","",IF(Raw_Data!J89="",0,IF(KPI_Config!$C$10="L",IF(Raw_Data!J89&lt;=KPI_Config!$E$10,KPI_Config!$D$10,IF(AND(KPI_Config!$F$10&gt;0,Raw_Data!J89&lt;=KPI_Config!$G$10),KPI_Config!$F$10,0)),IF(Raw_Data!J89&gt;=KPI_Config!$E$10,KPI_Config!$D$10,IF(AND(KPI_Config!$F$10&gt;0,Raw_Data!J89&gt;=KPI_Config!$G$10),KPI_Config!$F$10,0)))))</f>
        <v>0</v>
      </c>
      <c r="K89" s="21">
        <f>IF($A89="","",IF(Raw_Data!G89="",0,IF(KPI_Config!$C$11="L",IF(Raw_Data!G89&lt;=KPI_Config!$E$11,KPI_Config!$D$11,IF(AND(KPI_Config!$F$11&gt;0,Raw_Data!G89&lt;=KPI_Config!$G$11),KPI_Config!$F$11,0)),IF(Raw_Data!G89&gt;=KPI_Config!$E$11,KPI_Config!$D$11,IF(AND(KPI_Config!$F$11&gt;0,Raw_Data!G89&gt;=KPI_Config!$G$11),KPI_Config!$F$11,0)))))</f>
        <v>0</v>
      </c>
      <c r="L89" s="21">
        <f>IF($A89="","",MIN(Policy_Decisions!$B$10,IF(Policy_Decisions!$B$6="Additive",SUM(E89:K89),SUM(E89:J89)-G89+MAX(G89,K89))))</f>
        <v>0.44999999999999996</v>
      </c>
      <c r="M89" s="21">
        <f>IF($A89="","",Raw_Data!K89)</f>
        <v>0</v>
      </c>
      <c r="N89" s="21">
        <f>IF($A89="","",IFERROR(VLOOKUP(M89,KPI_Config!$I$5:$J$10,2,FALSE()),0))</f>
        <v>0</v>
      </c>
      <c r="O89" s="21">
        <f>IF($A89="","",IF(Policy_Decisions!$B$5="Percentage points",MAX(0,L89-N89),L89*(1-N89)))</f>
        <v>0.44999999999999996</v>
      </c>
      <c r="P89" s="13" t="str">
        <f>IF($A89="","",IF(U89="","Review proration",IF(O89=0,"No payout",IF(N89&gt;0,"Malus applied","Eligible"))))</f>
        <v>Eligible</v>
      </c>
      <c r="Q89" s="13" t="str">
        <f>IF($A89="","",Raw_Data!M89)</f>
        <v>MAD</v>
      </c>
      <c r="R89" s="37">
        <f>IF($A89="","",Raw_Data!N89)</f>
        <v>0</v>
      </c>
      <c r="S89" s="37">
        <f>IF($A89="","",Raw_Data!O89)</f>
        <v>0</v>
      </c>
      <c r="T89" s="37">
        <f>IF($A89="","",IF(Raw_Data!P89&gt;0,Raw_Data!P89,Raw_Data!N89*Raw_Data!O89/IF(Policy_Decisions!$B$7="Annual",12,1)))</f>
        <v>2000</v>
      </c>
      <c r="U89" s="37">
        <f>IF($A89="","",IF(OR(Raw_Data!R89="",Raw_Data!R89&lt;=0),"",MIN(1,MAX(0,Raw_Data!Q89/Raw_Data!R89))))</f>
        <v>1</v>
      </c>
      <c r="V89" s="37">
        <f>IF(OR($A89="",U89=""),"",T89*U89)</f>
        <v>2000</v>
      </c>
      <c r="W89" s="37">
        <f>IF(OR($A89="",V89=""),"",V89*L89)</f>
        <v>899.99999999999989</v>
      </c>
      <c r="X89" s="37">
        <f>IF(OR($A89="",V89=""),"",V89*L89-V89*O89)</f>
        <v>0</v>
      </c>
      <c r="Y89" s="37">
        <f>IF(OR($A89="",V89=""),"",ROUND(V89*O89,IF(Policy_Decisions!$B$11="Whole MAD",0,2)))</f>
        <v>900</v>
      </c>
      <c r="Z89" t="str">
        <f>Raw_Data!T89</f>
        <v>AL TAMIMI Zeynab</v>
      </c>
      <c r="AA89" t="str">
        <f>Raw_Data!U89</f>
        <v>Anas OUAKKAD</v>
      </c>
    </row>
    <row r="90" spans="1:27" ht="14.25" customHeight="1">
      <c r="A90" s="15">
        <f>IF(Raw_Data!A90="","",Raw_Data!A90)</f>
        <v>204052</v>
      </c>
      <c r="B90" s="15" t="str">
        <f>IF(Raw_Data!B90="","",Raw_Data!B90)</f>
        <v>Ajaouaou Khalid</v>
      </c>
      <c r="C90" s="15" t="str">
        <f>IF(Raw_Data!C90="","",Raw_Data!C90)</f>
        <v>Ford Dutch</v>
      </c>
      <c r="D90" s="15" t="str">
        <f>IF(Raw_Data!D90="","",Raw_Data!D90)</f>
        <v>2026-07</v>
      </c>
      <c r="E90" s="16">
        <f>IF($A90="","",IF(Raw_Data!E90="",0,IF(KPI_Config!$C$5="L",IF(Raw_Data!E90&lt;=KPI_Config!$E$5,KPI_Config!$D$5,IF(AND(KPI_Config!$F$5&gt;0,Raw_Data!E90&lt;=KPI_Config!$G$5),KPI_Config!$F$5,0)),IF(Raw_Data!E90&gt;=KPI_Config!$E$5,KPI_Config!$D$5,IF(AND(KPI_Config!$F$5&gt;0,Raw_Data!E90&gt;=KPI_Config!$G$5),KPI_Config!$F$5,0)))))</f>
        <v>0</v>
      </c>
      <c r="F90" s="16">
        <f>IF($A90="","",IF(Raw_Data!F90="",0,IF(KPI_Config!$C$6="L",IF(Raw_Data!F90&lt;=KPI_Config!$E$6,KPI_Config!$D$6,IF(AND(KPI_Config!$F$6&gt;0,Raw_Data!F90&lt;=KPI_Config!$G$6),KPI_Config!$F$6,0)),IF(Raw_Data!F90&gt;=KPI_Config!$E$6,KPI_Config!$D$6,IF(AND(KPI_Config!$F$6&gt;0,Raw_Data!F90&gt;=KPI_Config!$G$6),KPI_Config!$F$6,0)))))</f>
        <v>0</v>
      </c>
      <c r="G90" s="16">
        <f>IF($A90="","",IF(Raw_Data!G90="",0,IF(KPI_Config!$C$7="L",IF(Raw_Data!G90&lt;=KPI_Config!$E$7,KPI_Config!$D$7,IF(AND(KPI_Config!$F$7&gt;0,Raw_Data!G90&lt;=KPI_Config!$G$7),KPI_Config!$F$7,0)),IF(Raw_Data!G90&gt;=KPI_Config!$E$7,KPI_Config!$D$7,IF(AND(KPI_Config!$F$7&gt;0,Raw_Data!G90&gt;=KPI_Config!$G$7),KPI_Config!$F$7,0)))))</f>
        <v>0.2</v>
      </c>
      <c r="H90" s="16">
        <f>IF($A90="","",IF(Raw_Data!H90="",0,IF(KPI_Config!$C$8="L",IF(Raw_Data!H90&lt;=KPI_Config!$E$8,KPI_Config!$D$8,IF(AND(KPI_Config!$F$8&gt;0,Raw_Data!H90&lt;=KPI_Config!$G$8),KPI_Config!$F$8,0)),IF(Raw_Data!H90&gt;=KPI_Config!$E$8,KPI_Config!$D$8,IF(AND(KPI_Config!$F$8&gt;0,Raw_Data!H90&gt;=KPI_Config!$G$8),KPI_Config!$F$8,0)))))</f>
        <v>0</v>
      </c>
      <c r="I90" s="16">
        <f>IF($A90="","",IF(Raw_Data!I90="",0,IF(KPI_Config!$C$9="L",IF(Raw_Data!I90&lt;=KPI_Config!$E$9,KPI_Config!$D$9,IF(AND(KPI_Config!$F$9&gt;0,Raw_Data!I90&lt;=KPI_Config!$G$9),KPI_Config!$F$9,0)),IF(Raw_Data!I90&gt;=KPI_Config!$E$9,KPI_Config!$D$9,IF(AND(KPI_Config!$F$9&gt;0,Raw_Data!I90&gt;=KPI_Config!$G$9),KPI_Config!$F$9,0)))))</f>
        <v>0</v>
      </c>
      <c r="J90" s="16">
        <f>IF($A90="","",IF(Raw_Data!J90="",0,IF(KPI_Config!$C$10="L",IF(Raw_Data!J90&lt;=KPI_Config!$E$10,KPI_Config!$D$10,IF(AND(KPI_Config!$F$10&gt;0,Raw_Data!J90&lt;=KPI_Config!$G$10),KPI_Config!$F$10,0)),IF(Raw_Data!J90&gt;=KPI_Config!$E$10,KPI_Config!$D$10,IF(AND(KPI_Config!$F$10&gt;0,Raw_Data!J90&gt;=KPI_Config!$G$10),KPI_Config!$F$10,0)))))</f>
        <v>0</v>
      </c>
      <c r="K90" s="16">
        <f>IF($A90="","",IF(Raw_Data!G90="",0,IF(KPI_Config!$C$11="L",IF(Raw_Data!G90&lt;=KPI_Config!$E$11,KPI_Config!$D$11,IF(AND(KPI_Config!$F$11&gt;0,Raw_Data!G90&lt;=KPI_Config!$G$11),KPI_Config!$F$11,0)),IF(Raw_Data!G90&gt;=KPI_Config!$E$11,KPI_Config!$D$11,IF(AND(KPI_Config!$F$11&gt;0,Raw_Data!G90&gt;=KPI_Config!$G$11),KPI_Config!$F$11,0)))))</f>
        <v>0.2</v>
      </c>
      <c r="L90" s="16">
        <f>IF($A90="","",MIN(Policy_Decisions!$B$10,IF(Policy_Decisions!$B$6="Additive",SUM(E90:K90),SUM(E90:J90)-G90+MAX(G90,K90))))</f>
        <v>0.4</v>
      </c>
      <c r="M90" s="16">
        <f>IF($A90="","",Raw_Data!K90)</f>
        <v>0</v>
      </c>
      <c r="N90" s="16">
        <f>IF($A90="","",IFERROR(VLOOKUP(M90,KPI_Config!$I$5:$J$10,2,FALSE()),0))</f>
        <v>0</v>
      </c>
      <c r="O90" s="16">
        <f>IF($A90="","",IF(Policy_Decisions!$B$5="Percentage points",MAX(0,L90-N90),L90*(1-N90)))</f>
        <v>0.4</v>
      </c>
      <c r="P90" s="15" t="str">
        <f>IF($A90="","",IF(U90="","Review proration",IF(O90=0,"No payout",IF(N90&gt;0,"Malus applied","Eligible"))))</f>
        <v>Eligible</v>
      </c>
      <c r="Q90" s="15" t="str">
        <f>IF($A90="","",Raw_Data!M90)</f>
        <v>MAD</v>
      </c>
      <c r="R90" s="38">
        <f>IF($A90="","",Raw_Data!N90)</f>
        <v>0</v>
      </c>
      <c r="S90" s="38">
        <f>IF($A90="","",Raw_Data!O90)</f>
        <v>0</v>
      </c>
      <c r="T90" s="38">
        <f>IF($A90="","",IF(Raw_Data!P90&gt;0,Raw_Data!P90,Raw_Data!N90*Raw_Data!O90/IF(Policy_Decisions!$B$7="Annual",12,1)))</f>
        <v>2000</v>
      </c>
      <c r="U90" s="38">
        <f>IF($A90="","",IF(OR(Raw_Data!R90="",Raw_Data!R90&lt;=0),"",MIN(1,MAX(0,Raw_Data!Q90/Raw_Data!R90))))</f>
        <v>1</v>
      </c>
      <c r="V90" s="38">
        <f>IF(OR($A90="",U90=""),"",T90*U90)</f>
        <v>2000</v>
      </c>
      <c r="W90" s="38">
        <f>IF(OR($A90="",V90=""),"",V90*L90)</f>
        <v>800</v>
      </c>
      <c r="X90" s="38">
        <f>IF(OR($A90="",V90=""),"",V90*L90-V90*O90)</f>
        <v>0</v>
      </c>
      <c r="Y90" s="38">
        <f>IF(OR($A90="",V90=""),"",ROUND(V90*O90,IF(Policy_Decisions!$B$11="Whole MAD",0,2)))</f>
        <v>800</v>
      </c>
      <c r="Z90" t="str">
        <f>Raw_Data!T90</f>
        <v>EL GHAZI Youssef</v>
      </c>
      <c r="AA90" t="str">
        <f>Raw_Data!U90</f>
        <v>Anas OUAKKAD</v>
      </c>
    </row>
    <row r="91" spans="1:27" ht="14.25" customHeight="1">
      <c r="A91" s="13">
        <f>IF(Raw_Data!A91="","",Raw_Data!A91)</f>
        <v>96458</v>
      </c>
      <c r="B91" s="13" t="str">
        <f>IF(Raw_Data!B91="","",Raw_Data!B91)</f>
        <v>MOKHTAR Kawtar</v>
      </c>
      <c r="C91" s="13" t="str">
        <f>IF(Raw_Data!C91="","",Raw_Data!C91)</f>
        <v>RSA FR</v>
      </c>
      <c r="D91" s="13" t="str">
        <f>IF(Raw_Data!D91="","",Raw_Data!D91)</f>
        <v>2026-07</v>
      </c>
      <c r="E91" s="21">
        <f>IF($A91="","",IF(Raw_Data!E91="",0,IF(KPI_Config!$C$5="L",IF(Raw_Data!E91&lt;=KPI_Config!$E$5,KPI_Config!$D$5,IF(AND(KPI_Config!$F$5&gt;0,Raw_Data!E91&lt;=KPI_Config!$G$5),KPI_Config!$F$5,0)),IF(Raw_Data!E91&gt;=KPI_Config!$E$5,KPI_Config!$D$5,IF(AND(KPI_Config!$F$5&gt;0,Raw_Data!E91&gt;=KPI_Config!$G$5),KPI_Config!$F$5,0)))))</f>
        <v>0.15</v>
      </c>
      <c r="F91" s="21">
        <f>IF($A91="","",IF(Raw_Data!F91="",0,IF(KPI_Config!$C$6="L",IF(Raw_Data!F91&lt;=KPI_Config!$E$6,KPI_Config!$D$6,IF(AND(KPI_Config!$F$6&gt;0,Raw_Data!F91&lt;=KPI_Config!$G$6),KPI_Config!$F$6,0)),IF(Raw_Data!F91&gt;=KPI_Config!$E$6,KPI_Config!$D$6,IF(AND(KPI_Config!$F$6&gt;0,Raw_Data!F91&gt;=KPI_Config!$G$6),KPI_Config!$F$6,0)))))</f>
        <v>0.15</v>
      </c>
      <c r="G91" s="21">
        <f>IF($A91="","",IF(Raw_Data!G91="",0,IF(KPI_Config!$C$7="L",IF(Raw_Data!G91&lt;=KPI_Config!$E$7,KPI_Config!$D$7,IF(AND(KPI_Config!$F$7&gt;0,Raw_Data!G91&lt;=KPI_Config!$G$7),KPI_Config!$F$7,0)),IF(Raw_Data!G91&gt;=KPI_Config!$E$7,KPI_Config!$D$7,IF(AND(KPI_Config!$F$7&gt;0,Raw_Data!G91&gt;=KPI_Config!$G$7),KPI_Config!$F$7,0)))))</f>
        <v>0.2</v>
      </c>
      <c r="H91" s="21">
        <f>IF($A91="","",IF(Raw_Data!H91="",0,IF(KPI_Config!$C$8="L",IF(Raw_Data!H91&lt;=KPI_Config!$E$8,KPI_Config!$D$8,IF(AND(KPI_Config!$F$8&gt;0,Raw_Data!H91&lt;=KPI_Config!$G$8),KPI_Config!$F$8,0)),IF(Raw_Data!H91&gt;=KPI_Config!$E$8,KPI_Config!$D$8,IF(AND(KPI_Config!$F$8&gt;0,Raw_Data!H91&gt;=KPI_Config!$G$8),KPI_Config!$F$8,0)))))</f>
        <v>0</v>
      </c>
      <c r="I91" s="21">
        <f>IF($A91="","",IF(Raw_Data!I91="",0,IF(KPI_Config!$C$9="L",IF(Raw_Data!I91&lt;=KPI_Config!$E$9,KPI_Config!$D$9,IF(AND(KPI_Config!$F$9&gt;0,Raw_Data!I91&lt;=KPI_Config!$G$9),KPI_Config!$F$9,0)),IF(Raw_Data!I91&gt;=KPI_Config!$E$9,KPI_Config!$D$9,IF(AND(KPI_Config!$F$9&gt;0,Raw_Data!I91&gt;=KPI_Config!$G$9),KPI_Config!$F$9,0)))))</f>
        <v>0.2</v>
      </c>
      <c r="J91" s="21">
        <f>IF($A91="","",IF(Raw_Data!J91="",0,IF(KPI_Config!$C$10="L",IF(Raw_Data!J91&lt;=KPI_Config!$E$10,KPI_Config!$D$10,IF(AND(KPI_Config!$F$10&gt;0,Raw_Data!J91&lt;=KPI_Config!$G$10),KPI_Config!$F$10,0)),IF(Raw_Data!J91&gt;=KPI_Config!$E$10,KPI_Config!$D$10,IF(AND(KPI_Config!$F$10&gt;0,Raw_Data!J91&gt;=KPI_Config!$G$10),KPI_Config!$F$10,0)))))</f>
        <v>0</v>
      </c>
      <c r="K91" s="21">
        <f>IF($A91="","",IF(Raw_Data!G91="",0,IF(KPI_Config!$C$11="L",IF(Raw_Data!G91&lt;=KPI_Config!$E$11,KPI_Config!$D$11,IF(AND(KPI_Config!$F$11&gt;0,Raw_Data!G91&lt;=KPI_Config!$G$11),KPI_Config!$F$11,0)),IF(Raw_Data!G91&gt;=KPI_Config!$E$11,KPI_Config!$D$11,IF(AND(KPI_Config!$F$11&gt;0,Raw_Data!G91&gt;=KPI_Config!$G$11),KPI_Config!$F$11,0)))))</f>
        <v>0.3</v>
      </c>
      <c r="L91" s="21">
        <f>IF($A91="","",MIN(Policy_Decisions!$B$10,IF(Policy_Decisions!$B$6="Additive",SUM(E91:K91),SUM(E91:J91)-G91+MAX(G91,K91))))</f>
        <v>1</v>
      </c>
      <c r="M91" s="21">
        <f>IF($A91="","",Raw_Data!K91)</f>
        <v>0</v>
      </c>
      <c r="N91" s="21">
        <f>IF($A91="","",IFERROR(VLOOKUP(M91,KPI_Config!$I$5:$J$10,2,FALSE()),0))</f>
        <v>0</v>
      </c>
      <c r="O91" s="21">
        <f>IF($A91="","",IF(Policy_Decisions!$B$5="Percentage points",MAX(0,L91-N91),L91*(1-N91)))</f>
        <v>1</v>
      </c>
      <c r="P91" s="13" t="str">
        <f>IF($A91="","",IF(U91="","Review proration",IF(O91=0,"No payout",IF(N91&gt;0,"Malus applied","Eligible"))))</f>
        <v>Eligible</v>
      </c>
      <c r="Q91" s="13" t="str">
        <f>IF($A91="","",Raw_Data!M91)</f>
        <v>MAD</v>
      </c>
      <c r="R91" s="37">
        <f>IF($A91="","",Raw_Data!N91)</f>
        <v>0</v>
      </c>
      <c r="S91" s="37">
        <f>IF($A91="","",Raw_Data!O91)</f>
        <v>0</v>
      </c>
      <c r="T91" s="37">
        <f>IF($A91="","",IF(Raw_Data!P91&gt;0,Raw_Data!P91,Raw_Data!N91*Raw_Data!O91/IF(Policy_Decisions!$B$7="Annual",12,1)))</f>
        <v>2000</v>
      </c>
      <c r="U91" s="37">
        <f>IF($A91="","",IF(OR(Raw_Data!R91="",Raw_Data!R91&lt;=0),"",MIN(1,MAX(0,Raw_Data!Q91/Raw_Data!R91))))</f>
        <v>1</v>
      </c>
      <c r="V91" s="37">
        <f>IF(OR($A91="",U91=""),"",T91*U91)</f>
        <v>2000</v>
      </c>
      <c r="W91" s="37">
        <f>IF(OR($A91="",V91=""),"",V91*L91)</f>
        <v>2000</v>
      </c>
      <c r="X91" s="37">
        <f>IF(OR($A91="",V91=""),"",V91*L91-V91*O91)</f>
        <v>0</v>
      </c>
      <c r="Y91" s="37">
        <f>IF(OR($A91="",V91=""),"",ROUND(V91*O91,IF(Policy_Decisions!$B$11="Whole MAD",0,2)))</f>
        <v>2000</v>
      </c>
      <c r="Z91" t="str">
        <f>Raw_Data!T91</f>
        <v>Mohamed-Amine SADKI</v>
      </c>
      <c r="AA91" t="str">
        <f>Raw_Data!U91</f>
        <v>Anas OUAKKAD</v>
      </c>
    </row>
    <row r="92" spans="1:27" ht="14.25" customHeight="1">
      <c r="A92" s="15">
        <f>IF(Raw_Data!A92="","",Raw_Data!A92)</f>
        <v>203618</v>
      </c>
      <c r="B92" s="15" t="str">
        <f>IF(Raw_Data!B92="","",Raw_Data!B92)</f>
        <v>Benmrieh Kawtar</v>
      </c>
      <c r="C92" s="15" t="str">
        <f>IF(Raw_Data!C92="","",Raw_Data!C92)</f>
        <v>OEM FR</v>
      </c>
      <c r="D92" s="15" t="str">
        <f>IF(Raw_Data!D92="","",Raw_Data!D92)</f>
        <v>2026-07</v>
      </c>
      <c r="E92" s="16">
        <f>IF($A92="","",IF(Raw_Data!E92="",0,IF(KPI_Config!$C$5="L",IF(Raw_Data!E92&lt;=KPI_Config!$E$5,KPI_Config!$D$5,IF(AND(KPI_Config!$F$5&gt;0,Raw_Data!E92&lt;=KPI_Config!$G$5),KPI_Config!$F$5,0)),IF(Raw_Data!E92&gt;=KPI_Config!$E$5,KPI_Config!$D$5,IF(AND(KPI_Config!$F$5&gt;0,Raw_Data!E92&gt;=KPI_Config!$G$5),KPI_Config!$F$5,0)))))</f>
        <v>0.15</v>
      </c>
      <c r="F92" s="16">
        <f>IF($A92="","",IF(Raw_Data!F92="",0,IF(KPI_Config!$C$6="L",IF(Raw_Data!F92&lt;=KPI_Config!$E$6,KPI_Config!$D$6,IF(AND(KPI_Config!$F$6&gt;0,Raw_Data!F92&lt;=KPI_Config!$G$6),KPI_Config!$F$6,0)),IF(Raw_Data!F92&gt;=KPI_Config!$E$6,KPI_Config!$D$6,IF(AND(KPI_Config!$F$6&gt;0,Raw_Data!F92&gt;=KPI_Config!$G$6),KPI_Config!$F$6,0)))))</f>
        <v>0.15</v>
      </c>
      <c r="G92" s="16">
        <f>IF($A92="","",IF(Raw_Data!G92="",0,IF(KPI_Config!$C$7="L",IF(Raw_Data!G92&lt;=KPI_Config!$E$7,KPI_Config!$D$7,IF(AND(KPI_Config!$F$7&gt;0,Raw_Data!G92&lt;=KPI_Config!$G$7),KPI_Config!$F$7,0)),IF(Raw_Data!G92&gt;=KPI_Config!$E$7,KPI_Config!$D$7,IF(AND(KPI_Config!$F$7&gt;0,Raw_Data!G92&gt;=KPI_Config!$G$7),KPI_Config!$F$7,0)))))</f>
        <v>0</v>
      </c>
      <c r="H92" s="16">
        <f>IF($A92="","",IF(Raw_Data!H92="",0,IF(KPI_Config!$C$8="L",IF(Raw_Data!H92&lt;=KPI_Config!$E$8,KPI_Config!$D$8,IF(AND(KPI_Config!$F$8&gt;0,Raw_Data!H92&lt;=KPI_Config!$G$8),KPI_Config!$F$8,0)),IF(Raw_Data!H92&gt;=KPI_Config!$E$8,KPI_Config!$D$8,IF(AND(KPI_Config!$F$8&gt;0,Raw_Data!H92&gt;=KPI_Config!$G$8),KPI_Config!$F$8,0)))))</f>
        <v>0</v>
      </c>
      <c r="I92" s="16">
        <f>IF($A92="","",IF(Raw_Data!I92="",0,IF(KPI_Config!$C$9="L",IF(Raw_Data!I92&lt;=KPI_Config!$E$9,KPI_Config!$D$9,IF(AND(KPI_Config!$F$9&gt;0,Raw_Data!I92&lt;=KPI_Config!$G$9),KPI_Config!$F$9,0)),IF(Raw_Data!I92&gt;=KPI_Config!$E$9,KPI_Config!$D$9,IF(AND(KPI_Config!$F$9&gt;0,Raw_Data!I92&gt;=KPI_Config!$G$9),KPI_Config!$F$9,0)))))</f>
        <v>0</v>
      </c>
      <c r="J92" s="16">
        <f>IF($A92="","",IF(Raw_Data!J92="",0,IF(KPI_Config!$C$10="L",IF(Raw_Data!J92&lt;=KPI_Config!$E$10,KPI_Config!$D$10,IF(AND(KPI_Config!$F$10&gt;0,Raw_Data!J92&lt;=KPI_Config!$G$10),KPI_Config!$F$10,0)),IF(Raw_Data!J92&gt;=KPI_Config!$E$10,KPI_Config!$D$10,IF(AND(KPI_Config!$F$10&gt;0,Raw_Data!J92&gt;=KPI_Config!$G$10),KPI_Config!$F$10,0)))))</f>
        <v>0</v>
      </c>
      <c r="K92" s="16">
        <f>IF($A92="","",IF(Raw_Data!G92="",0,IF(KPI_Config!$C$11="L",IF(Raw_Data!G92&lt;=KPI_Config!$E$11,KPI_Config!$D$11,IF(AND(KPI_Config!$F$11&gt;0,Raw_Data!G92&lt;=KPI_Config!$G$11),KPI_Config!$F$11,0)),IF(Raw_Data!G92&gt;=KPI_Config!$E$11,KPI_Config!$D$11,IF(AND(KPI_Config!$F$11&gt;0,Raw_Data!G92&gt;=KPI_Config!$G$11),KPI_Config!$F$11,0)))))</f>
        <v>0</v>
      </c>
      <c r="L92" s="16">
        <f>IF($A92="","",MIN(Policy_Decisions!$B$10,IF(Policy_Decisions!$B$6="Additive",SUM(E92:K92),SUM(E92:J92)-G92+MAX(G92,K92))))</f>
        <v>0.3</v>
      </c>
      <c r="M92" s="16">
        <f>IF($A92="","",Raw_Data!K92)</f>
        <v>0</v>
      </c>
      <c r="N92" s="16">
        <f>IF($A92="","",IFERROR(VLOOKUP(M92,KPI_Config!$I$5:$J$10,2,FALSE()),0))</f>
        <v>0</v>
      </c>
      <c r="O92" s="16">
        <f>IF($A92="","",IF(Policy_Decisions!$B$5="Percentage points",MAX(0,L92-N92),L92*(1-N92)))</f>
        <v>0.3</v>
      </c>
      <c r="P92" s="15" t="str">
        <f>IF($A92="","",IF(U92="","Review proration",IF(O92=0,"No payout",IF(N92&gt;0,"Malus applied","Eligible"))))</f>
        <v>Eligible</v>
      </c>
      <c r="Q92" s="15" t="str">
        <f>IF($A92="","",Raw_Data!M92)</f>
        <v>MAD</v>
      </c>
      <c r="R92" s="38">
        <f>IF($A92="","",Raw_Data!N92)</f>
        <v>0</v>
      </c>
      <c r="S92" s="38">
        <f>IF($A92="","",Raw_Data!O92)</f>
        <v>0</v>
      </c>
      <c r="T92" s="38">
        <f>IF($A92="","",IF(Raw_Data!P92&gt;0,Raw_Data!P92,Raw_Data!N92*Raw_Data!O92/IF(Policy_Decisions!$B$7="Annual",12,1)))</f>
        <v>2000</v>
      </c>
      <c r="U92" s="38">
        <f>IF($A92="","",IF(OR(Raw_Data!R92="",Raw_Data!R92&lt;=0),"",MIN(1,MAX(0,Raw_Data!Q92/Raw_Data!R92))))</f>
        <v>1</v>
      </c>
      <c r="V92" s="38">
        <f>IF(OR($A92="",U92=""),"",T92*U92)</f>
        <v>2000</v>
      </c>
      <c r="W92" s="38">
        <f>IF(OR($A92="",V92=""),"",V92*L92)</f>
        <v>600</v>
      </c>
      <c r="X92" s="38">
        <f>IF(OR($A92="",V92=""),"",V92*L92-V92*O92)</f>
        <v>0</v>
      </c>
      <c r="Y92" s="38">
        <f>IF(OR($A92="",V92=""),"",ROUND(V92*O92,IF(Policy_Decisions!$B$11="Whole MAD",0,2)))</f>
        <v>600</v>
      </c>
      <c r="Z92" t="str">
        <f>Raw_Data!T92</f>
        <v>Kenza EL MOUMNI</v>
      </c>
      <c r="AA92" t="str">
        <f>Raw_Data!U92</f>
        <v>Anas OUAKKAD</v>
      </c>
    </row>
    <row r="93" spans="1:27" ht="14.25" customHeight="1">
      <c r="A93" s="13">
        <f>IF(Raw_Data!A93="","",Raw_Data!A93)</f>
        <v>204030</v>
      </c>
      <c r="B93" s="13" t="str">
        <f>IF(Raw_Data!B93="","",Raw_Data!B93)</f>
        <v>Saoud Karim</v>
      </c>
      <c r="C93" s="13" t="str">
        <f>IF(Raw_Data!C93="","",Raw_Data!C93)</f>
        <v>Ford Dutch</v>
      </c>
      <c r="D93" s="13" t="str">
        <f>IF(Raw_Data!D93="","",Raw_Data!D93)</f>
        <v>2026-07</v>
      </c>
      <c r="E93" s="21">
        <f>IF($A93="","",IF(Raw_Data!E93="",0,IF(KPI_Config!$C$5="L",IF(Raw_Data!E93&lt;=KPI_Config!$E$5,KPI_Config!$D$5,IF(AND(KPI_Config!$F$5&gt;0,Raw_Data!E93&lt;=KPI_Config!$G$5),KPI_Config!$F$5,0)),IF(Raw_Data!E93&gt;=KPI_Config!$E$5,KPI_Config!$D$5,IF(AND(KPI_Config!$F$5&gt;0,Raw_Data!E93&gt;=KPI_Config!$G$5),KPI_Config!$F$5,0)))))</f>
        <v>0</v>
      </c>
      <c r="F93" s="21">
        <f>IF($A93="","",IF(Raw_Data!F93="",0,IF(KPI_Config!$C$6="L",IF(Raw_Data!F93&lt;=KPI_Config!$E$6,KPI_Config!$D$6,IF(AND(KPI_Config!$F$6&gt;0,Raw_Data!F93&lt;=KPI_Config!$G$6),KPI_Config!$F$6,0)),IF(Raw_Data!F93&gt;=KPI_Config!$E$6,KPI_Config!$D$6,IF(AND(KPI_Config!$F$6&gt;0,Raw_Data!F93&gt;=KPI_Config!$G$6),KPI_Config!$F$6,0)))))</f>
        <v>0</v>
      </c>
      <c r="G93" s="21">
        <f>IF($A93="","",IF(Raw_Data!G93="",0,IF(KPI_Config!$C$7="L",IF(Raw_Data!G93&lt;=KPI_Config!$E$7,KPI_Config!$D$7,IF(AND(KPI_Config!$F$7&gt;0,Raw_Data!G93&lt;=KPI_Config!$G$7),KPI_Config!$F$7,0)),IF(Raw_Data!G93&gt;=KPI_Config!$E$7,KPI_Config!$D$7,IF(AND(KPI_Config!$F$7&gt;0,Raw_Data!G93&gt;=KPI_Config!$G$7),KPI_Config!$F$7,0)))))</f>
        <v>0.2</v>
      </c>
      <c r="H93" s="21">
        <f>IF($A93="","",IF(Raw_Data!H93="",0,IF(KPI_Config!$C$8="L",IF(Raw_Data!H93&lt;=KPI_Config!$E$8,KPI_Config!$D$8,IF(AND(KPI_Config!$F$8&gt;0,Raw_Data!H93&lt;=KPI_Config!$G$8),KPI_Config!$F$8,0)),IF(Raw_Data!H93&gt;=KPI_Config!$E$8,KPI_Config!$D$8,IF(AND(KPI_Config!$F$8&gt;0,Raw_Data!H93&gt;=KPI_Config!$G$8),KPI_Config!$F$8,0)))))</f>
        <v>0.1</v>
      </c>
      <c r="I93" s="21">
        <f>IF($A93="","",IF(Raw_Data!I93="",0,IF(KPI_Config!$C$9="L",IF(Raw_Data!I93&lt;=KPI_Config!$E$9,KPI_Config!$D$9,IF(AND(KPI_Config!$F$9&gt;0,Raw_Data!I93&lt;=KPI_Config!$G$9),KPI_Config!$F$9,0)),IF(Raw_Data!I93&gt;=KPI_Config!$E$9,KPI_Config!$D$9,IF(AND(KPI_Config!$F$9&gt;0,Raw_Data!I93&gt;=KPI_Config!$G$9),KPI_Config!$F$9,0)))))</f>
        <v>0</v>
      </c>
      <c r="J93" s="21">
        <f>IF($A93="","",IF(Raw_Data!J93="",0,IF(KPI_Config!$C$10="L",IF(Raw_Data!J93&lt;=KPI_Config!$E$10,KPI_Config!$D$10,IF(AND(KPI_Config!$F$10&gt;0,Raw_Data!J93&lt;=KPI_Config!$G$10),KPI_Config!$F$10,0)),IF(Raw_Data!J93&gt;=KPI_Config!$E$10,KPI_Config!$D$10,IF(AND(KPI_Config!$F$10&gt;0,Raw_Data!J93&gt;=KPI_Config!$G$10),KPI_Config!$F$10,0)))))</f>
        <v>0.15</v>
      </c>
      <c r="K93" s="21">
        <f>IF($A93="","",IF(Raw_Data!G93="",0,IF(KPI_Config!$C$11="L",IF(Raw_Data!G93&lt;=KPI_Config!$E$11,KPI_Config!$D$11,IF(AND(KPI_Config!$F$11&gt;0,Raw_Data!G93&lt;=KPI_Config!$G$11),KPI_Config!$F$11,0)),IF(Raw_Data!G93&gt;=KPI_Config!$E$11,KPI_Config!$D$11,IF(AND(KPI_Config!$F$11&gt;0,Raw_Data!G93&gt;=KPI_Config!$G$11),KPI_Config!$F$11,0)))))</f>
        <v>0.3</v>
      </c>
      <c r="L93" s="21">
        <f>IF($A93="","",MIN(Policy_Decisions!$B$10,IF(Policy_Decisions!$B$6="Additive",SUM(E93:K93),SUM(E93:J93)-G93+MAX(G93,K93))))</f>
        <v>0.75</v>
      </c>
      <c r="M93" s="21">
        <f>IF($A93="","",Raw_Data!K93)</f>
        <v>0</v>
      </c>
      <c r="N93" s="21">
        <f>IF($A93="","",IFERROR(VLOOKUP(M93,KPI_Config!$I$5:$J$10,2,FALSE()),0))</f>
        <v>0</v>
      </c>
      <c r="O93" s="21">
        <f>IF($A93="","",IF(Policy_Decisions!$B$5="Percentage points",MAX(0,L93-N93),L93*(1-N93)))</f>
        <v>0.75</v>
      </c>
      <c r="P93" s="13" t="str">
        <f>IF($A93="","",IF(U93="","Review proration",IF(O93=0,"No payout",IF(N93&gt;0,"Malus applied","Eligible"))))</f>
        <v>Eligible</v>
      </c>
      <c r="Q93" s="13" t="str">
        <f>IF($A93="","",Raw_Data!M93)</f>
        <v>MAD</v>
      </c>
      <c r="R93" s="37">
        <f>IF($A93="","",Raw_Data!N93)</f>
        <v>0</v>
      </c>
      <c r="S93" s="37">
        <f>IF($A93="","",Raw_Data!O93)</f>
        <v>0</v>
      </c>
      <c r="T93" s="37">
        <f>IF($A93="","",IF(Raw_Data!P93&gt;0,Raw_Data!P93,Raw_Data!N93*Raw_Data!O93/IF(Policy_Decisions!$B$7="Annual",12,1)))</f>
        <v>2000</v>
      </c>
      <c r="U93" s="37">
        <f>IF($A93="","",IF(OR(Raw_Data!R93="",Raw_Data!R93&lt;=0),"",MIN(1,MAX(0,Raw_Data!Q93/Raw_Data!R93))))</f>
        <v>1</v>
      </c>
      <c r="V93" s="37">
        <f>IF(OR($A93="",U93=""),"",T93*U93)</f>
        <v>2000</v>
      </c>
      <c r="W93" s="37">
        <f>IF(OR($A93="",V93=""),"",V93*L93)</f>
        <v>1500</v>
      </c>
      <c r="X93" s="37">
        <f>IF(OR($A93="",V93=""),"",V93*L93-V93*O93)</f>
        <v>0</v>
      </c>
      <c r="Y93" s="37">
        <f>IF(OR($A93="",V93=""),"",ROUND(V93*O93,IF(Policy_Decisions!$B$11="Whole MAD",0,2)))</f>
        <v>1500</v>
      </c>
      <c r="Z93" t="str">
        <f>Raw_Data!T93</f>
        <v>EL GHAZI Youssef</v>
      </c>
      <c r="AA93" t="str">
        <f>Raw_Data!U93</f>
        <v>Anas OUAKKAD</v>
      </c>
    </row>
    <row r="94" spans="1:27" ht="14.25" customHeight="1">
      <c r="A94" s="15">
        <f>IF(Raw_Data!A94="","",Raw_Data!A94)</f>
        <v>96493</v>
      </c>
      <c r="B94" s="15" t="str">
        <f>IF(Raw_Data!B94="","",Raw_Data!B94)</f>
        <v>BENABDALLAH Karim</v>
      </c>
      <c r="C94" s="15" t="str">
        <f>IF(Raw_Data!C94="","",Raw_Data!C94)</f>
        <v>RSA VL</v>
      </c>
      <c r="D94" s="15" t="str">
        <f>IF(Raw_Data!D94="","",Raw_Data!D94)</f>
        <v>2026-07</v>
      </c>
      <c r="E94" s="16">
        <f>IF($A94="","",IF(Raw_Data!E94="",0,IF(KPI_Config!$C$5="L",IF(Raw_Data!E94&lt;=KPI_Config!$E$5,KPI_Config!$D$5,IF(AND(KPI_Config!$F$5&gt;0,Raw_Data!E94&lt;=KPI_Config!$G$5),KPI_Config!$F$5,0)),IF(Raw_Data!E94&gt;=KPI_Config!$E$5,KPI_Config!$D$5,IF(AND(KPI_Config!$F$5&gt;0,Raw_Data!E94&gt;=KPI_Config!$G$5),KPI_Config!$F$5,0)))))</f>
        <v>0.15</v>
      </c>
      <c r="F94" s="16">
        <f>IF($A94="","",IF(Raw_Data!F94="",0,IF(KPI_Config!$C$6="L",IF(Raw_Data!F94&lt;=KPI_Config!$E$6,KPI_Config!$D$6,IF(AND(KPI_Config!$F$6&gt;0,Raw_Data!F94&lt;=KPI_Config!$G$6),KPI_Config!$F$6,0)),IF(Raw_Data!F94&gt;=KPI_Config!$E$6,KPI_Config!$D$6,IF(AND(KPI_Config!$F$6&gt;0,Raw_Data!F94&gt;=KPI_Config!$G$6),KPI_Config!$F$6,0)))))</f>
        <v>0.15</v>
      </c>
      <c r="G94" s="16">
        <f>IF($A94="","",IF(Raw_Data!G94="",0,IF(KPI_Config!$C$7="L",IF(Raw_Data!G94&lt;=KPI_Config!$E$7,KPI_Config!$D$7,IF(AND(KPI_Config!$F$7&gt;0,Raw_Data!G94&lt;=KPI_Config!$G$7),KPI_Config!$F$7,0)),IF(Raw_Data!G94&gt;=KPI_Config!$E$7,KPI_Config!$D$7,IF(AND(KPI_Config!$F$7&gt;0,Raw_Data!G94&gt;=KPI_Config!$G$7),KPI_Config!$F$7,0)))))</f>
        <v>0</v>
      </c>
      <c r="H94" s="16">
        <f>IF($A94="","",IF(Raw_Data!H94="",0,IF(KPI_Config!$C$8="L",IF(Raw_Data!H94&lt;=KPI_Config!$E$8,KPI_Config!$D$8,IF(AND(KPI_Config!$F$8&gt;0,Raw_Data!H94&lt;=KPI_Config!$G$8),KPI_Config!$F$8,0)),IF(Raw_Data!H94&gt;=KPI_Config!$E$8,KPI_Config!$D$8,IF(AND(KPI_Config!$F$8&gt;0,Raw_Data!H94&gt;=KPI_Config!$G$8),KPI_Config!$F$8,0)))))</f>
        <v>0</v>
      </c>
      <c r="I94" s="16">
        <f>IF($A94="","",IF(Raw_Data!I94="",0,IF(KPI_Config!$C$9="L",IF(Raw_Data!I94&lt;=KPI_Config!$E$9,KPI_Config!$D$9,IF(AND(KPI_Config!$F$9&gt;0,Raw_Data!I94&lt;=KPI_Config!$G$9),KPI_Config!$F$9,0)),IF(Raw_Data!I94&gt;=KPI_Config!$E$9,KPI_Config!$D$9,IF(AND(KPI_Config!$F$9&gt;0,Raw_Data!I94&gt;=KPI_Config!$G$9),KPI_Config!$F$9,0)))))</f>
        <v>0</v>
      </c>
      <c r="J94" s="16">
        <f>IF($A94="","",IF(Raw_Data!J94="",0,IF(KPI_Config!$C$10="L",IF(Raw_Data!J94&lt;=KPI_Config!$E$10,KPI_Config!$D$10,IF(AND(KPI_Config!$F$10&gt;0,Raw_Data!J94&lt;=KPI_Config!$G$10),KPI_Config!$F$10,0)),IF(Raw_Data!J94&gt;=KPI_Config!$E$10,KPI_Config!$D$10,IF(AND(KPI_Config!$F$10&gt;0,Raw_Data!J94&gt;=KPI_Config!$G$10),KPI_Config!$F$10,0)))))</f>
        <v>0</v>
      </c>
      <c r="K94" s="16">
        <f>IF($A94="","",IF(Raw_Data!G94="",0,IF(KPI_Config!$C$11="L",IF(Raw_Data!G94&lt;=KPI_Config!$E$11,KPI_Config!$D$11,IF(AND(KPI_Config!$F$11&gt;0,Raw_Data!G94&lt;=KPI_Config!$G$11),KPI_Config!$F$11,0)),IF(Raw_Data!G94&gt;=KPI_Config!$E$11,KPI_Config!$D$11,IF(AND(KPI_Config!$F$11&gt;0,Raw_Data!G94&gt;=KPI_Config!$G$11),KPI_Config!$F$11,0)))))</f>
        <v>0</v>
      </c>
      <c r="L94" s="16">
        <f>IF($A94="","",MIN(Policy_Decisions!$B$10,IF(Policy_Decisions!$B$6="Additive",SUM(E94:K94),SUM(E94:J94)-G94+MAX(G94,K94))))</f>
        <v>0.3</v>
      </c>
      <c r="M94" s="16">
        <f>IF($A94="","",Raw_Data!K94)</f>
        <v>0</v>
      </c>
      <c r="N94" s="16">
        <f>IF($A94="","",IFERROR(VLOOKUP(M94,KPI_Config!$I$5:$J$10,2,FALSE()),0))</f>
        <v>0</v>
      </c>
      <c r="O94" s="16">
        <f>IF($A94="","",IF(Policy_Decisions!$B$5="Percentage points",MAX(0,L94-N94),L94*(1-N94)))</f>
        <v>0.3</v>
      </c>
      <c r="P94" s="15" t="str">
        <f>IF($A94="","",IF(U94="","Review proration",IF(O94=0,"No payout",IF(N94&gt;0,"Malus applied","Eligible"))))</f>
        <v>Eligible</v>
      </c>
      <c r="Q94" s="15" t="str">
        <f>IF($A94="","",Raw_Data!M94)</f>
        <v>MAD</v>
      </c>
      <c r="R94" s="38">
        <f>IF($A94="","",Raw_Data!N94)</f>
        <v>0</v>
      </c>
      <c r="S94" s="38">
        <f>IF($A94="","",Raw_Data!O94)</f>
        <v>0</v>
      </c>
      <c r="T94" s="38">
        <f>IF($A94="","",IF(Raw_Data!P94&gt;0,Raw_Data!P94,Raw_Data!N94*Raw_Data!O94/IF(Policy_Decisions!$B$7="Annual",12,1)))</f>
        <v>2000</v>
      </c>
      <c r="U94" s="38">
        <f>IF($A94="","",IF(OR(Raw_Data!R94="",Raw_Data!R94&lt;=0),"",MIN(1,MAX(0,Raw_Data!Q94/Raw_Data!R94))))</f>
        <v>1</v>
      </c>
      <c r="V94" s="38">
        <f>IF(OR($A94="",U94=""),"",T94*U94)</f>
        <v>2000</v>
      </c>
      <c r="W94" s="38">
        <f>IF(OR($A94="",V94=""),"",V94*L94)</f>
        <v>600</v>
      </c>
      <c r="X94" s="38">
        <f>IF(OR($A94="",V94=""),"",V94*L94-V94*O94)</f>
        <v>0</v>
      </c>
      <c r="Y94" s="38">
        <f>IF(OR($A94="",V94=""),"",ROUND(V94*O94,IF(Policy_Decisions!$B$11="Whole MAD",0,2)))</f>
        <v>600</v>
      </c>
      <c r="Z94" t="str">
        <f>Raw_Data!T94</f>
        <v>Glenn Antoon</v>
      </c>
      <c r="AA94" t="str">
        <f>Raw_Data!U94</f>
        <v>Anas OUAKKAD</v>
      </c>
    </row>
    <row r="95" spans="1:27" ht="14.25" customHeight="1">
      <c r="A95" s="13">
        <f>IF(Raw_Data!A95="","",Raw_Data!A95)</f>
        <v>202682</v>
      </c>
      <c r="B95" s="13" t="str">
        <f>IF(Raw_Data!B95="","",Raw_Data!B95)</f>
        <v>Beekman Kai</v>
      </c>
      <c r="C95" s="13" t="str">
        <f>IF(Raw_Data!C95="","",Raw_Data!C95)</f>
        <v>Ford Dutch</v>
      </c>
      <c r="D95" s="13" t="str">
        <f>IF(Raw_Data!D95="","",Raw_Data!D95)</f>
        <v>2026-07</v>
      </c>
      <c r="E95" s="21">
        <f>IF($A95="","",IF(Raw_Data!E95="",0,IF(KPI_Config!$C$5="L",IF(Raw_Data!E95&lt;=KPI_Config!$E$5,KPI_Config!$D$5,IF(AND(KPI_Config!$F$5&gt;0,Raw_Data!E95&lt;=KPI_Config!$G$5),KPI_Config!$F$5,0)),IF(Raw_Data!E95&gt;=KPI_Config!$E$5,KPI_Config!$D$5,IF(AND(KPI_Config!$F$5&gt;0,Raw_Data!E95&gt;=KPI_Config!$G$5),KPI_Config!$F$5,0)))))</f>
        <v>0</v>
      </c>
      <c r="F95" s="21">
        <f>IF($A95="","",IF(Raw_Data!F95="",0,IF(KPI_Config!$C$6="L",IF(Raw_Data!F95&lt;=KPI_Config!$E$6,KPI_Config!$D$6,IF(AND(KPI_Config!$F$6&gt;0,Raw_Data!F95&lt;=KPI_Config!$G$6),KPI_Config!$F$6,0)),IF(Raw_Data!F95&gt;=KPI_Config!$E$6,KPI_Config!$D$6,IF(AND(KPI_Config!$F$6&gt;0,Raw_Data!F95&gt;=KPI_Config!$G$6),KPI_Config!$F$6,0)))))</f>
        <v>0</v>
      </c>
      <c r="G95" s="21">
        <f>IF($A95="","",IF(Raw_Data!G95="",0,IF(KPI_Config!$C$7="L",IF(Raw_Data!G95&lt;=KPI_Config!$E$7,KPI_Config!$D$7,IF(AND(KPI_Config!$F$7&gt;0,Raw_Data!G95&lt;=KPI_Config!$G$7),KPI_Config!$F$7,0)),IF(Raw_Data!G95&gt;=KPI_Config!$E$7,KPI_Config!$D$7,IF(AND(KPI_Config!$F$7&gt;0,Raw_Data!G95&gt;=KPI_Config!$G$7),KPI_Config!$F$7,0)))))</f>
        <v>0</v>
      </c>
      <c r="H95" s="21">
        <f>IF($A95="","",IF(Raw_Data!H95="",0,IF(KPI_Config!$C$8="L",IF(Raw_Data!H95&lt;=KPI_Config!$E$8,KPI_Config!$D$8,IF(AND(KPI_Config!$F$8&gt;0,Raw_Data!H95&lt;=KPI_Config!$G$8),KPI_Config!$F$8,0)),IF(Raw_Data!H95&gt;=KPI_Config!$E$8,KPI_Config!$D$8,IF(AND(KPI_Config!$F$8&gt;0,Raw_Data!H95&gt;=KPI_Config!$G$8),KPI_Config!$F$8,0)))))</f>
        <v>0</v>
      </c>
      <c r="I95" s="21">
        <f>IF($A95="","",IF(Raw_Data!I95="",0,IF(KPI_Config!$C$9="L",IF(Raw_Data!I95&lt;=KPI_Config!$E$9,KPI_Config!$D$9,IF(AND(KPI_Config!$F$9&gt;0,Raw_Data!I95&lt;=KPI_Config!$G$9),KPI_Config!$F$9,0)),IF(Raw_Data!I95&gt;=KPI_Config!$E$9,KPI_Config!$D$9,IF(AND(KPI_Config!$F$9&gt;0,Raw_Data!I95&gt;=KPI_Config!$G$9),KPI_Config!$F$9,0)))))</f>
        <v>0</v>
      </c>
      <c r="J95" s="21">
        <f>IF($A95="","",IF(Raw_Data!J95="",0,IF(KPI_Config!$C$10="L",IF(Raw_Data!J95&lt;=KPI_Config!$E$10,KPI_Config!$D$10,IF(AND(KPI_Config!$F$10&gt;0,Raw_Data!J95&lt;=KPI_Config!$G$10),KPI_Config!$F$10,0)),IF(Raw_Data!J95&gt;=KPI_Config!$E$10,KPI_Config!$D$10,IF(AND(KPI_Config!$F$10&gt;0,Raw_Data!J95&gt;=KPI_Config!$G$10),KPI_Config!$F$10,0)))))</f>
        <v>0</v>
      </c>
      <c r="K95" s="21">
        <f>IF($A95="","",IF(Raw_Data!G95="",0,IF(KPI_Config!$C$11="L",IF(Raw_Data!G95&lt;=KPI_Config!$E$11,KPI_Config!$D$11,IF(AND(KPI_Config!$F$11&gt;0,Raw_Data!G95&lt;=KPI_Config!$G$11),KPI_Config!$F$11,0)),IF(Raw_Data!G95&gt;=KPI_Config!$E$11,KPI_Config!$D$11,IF(AND(KPI_Config!$F$11&gt;0,Raw_Data!G95&gt;=KPI_Config!$G$11),KPI_Config!$F$11,0)))))</f>
        <v>0</v>
      </c>
      <c r="L95" s="21">
        <f>IF($A95="","",MIN(Policy_Decisions!$B$10,IF(Policy_Decisions!$B$6="Additive",SUM(E95:K95),SUM(E95:J95)-G95+MAX(G95,K95))))</f>
        <v>0</v>
      </c>
      <c r="M95" s="21">
        <f>IF($A95="","",Raw_Data!K95)</f>
        <v>0</v>
      </c>
      <c r="N95" s="21">
        <f>IF($A95="","",IFERROR(VLOOKUP(M95,KPI_Config!$I$5:$J$10,2,FALSE()),0))</f>
        <v>0</v>
      </c>
      <c r="O95" s="21">
        <f>IF($A95="","",IF(Policy_Decisions!$B$5="Percentage points",MAX(0,L95-N95),L95*(1-N95)))</f>
        <v>0</v>
      </c>
      <c r="P95" s="13" t="str">
        <f>IF($A95="","",IF(U95="","Review proration",IF(O95=0,"No payout",IF(N95&gt;0,"Malus applied","Eligible"))))</f>
        <v>No payout</v>
      </c>
      <c r="Q95" s="13" t="str">
        <f>IF($A95="","",Raw_Data!M95)</f>
        <v>MAD</v>
      </c>
      <c r="R95" s="37">
        <f>IF($A95="","",Raw_Data!N95)</f>
        <v>0</v>
      </c>
      <c r="S95" s="37">
        <f>IF($A95="","",Raw_Data!O95)</f>
        <v>0</v>
      </c>
      <c r="T95" s="37">
        <f>IF($A95="","",IF(Raw_Data!P95&gt;0,Raw_Data!P95,Raw_Data!N95*Raw_Data!O95/IF(Policy_Decisions!$B$7="Annual",12,1)))</f>
        <v>2000</v>
      </c>
      <c r="U95" s="37">
        <f>IF($A95="","",IF(OR(Raw_Data!R95="",Raw_Data!R95&lt;=0),"",MIN(1,MAX(0,Raw_Data!Q95/Raw_Data!R95))))</f>
        <v>1</v>
      </c>
      <c r="V95" s="37">
        <f>IF(OR($A95="",U95=""),"",T95*U95)</f>
        <v>2000</v>
      </c>
      <c r="W95" s="37">
        <f>IF(OR($A95="",V95=""),"",V95*L95)</f>
        <v>0</v>
      </c>
      <c r="X95" s="37">
        <f>IF(OR($A95="",V95=""),"",V95*L95-V95*O95)</f>
        <v>0</v>
      </c>
      <c r="Y95" s="37">
        <f>IF(OR($A95="",V95=""),"",ROUND(V95*O95,IF(Policy_Decisions!$B$11="Whole MAD",0,2)))</f>
        <v>0</v>
      </c>
      <c r="Z95" t="str">
        <f>Raw_Data!T95</f>
        <v>DERRAZI Ilyasse</v>
      </c>
      <c r="AA95" t="str">
        <f>Raw_Data!U95</f>
        <v>Anas OUAKKAD</v>
      </c>
    </row>
    <row r="96" spans="1:27" ht="14.25" customHeight="1">
      <c r="A96" s="15">
        <f>IF(Raw_Data!A96="","",Raw_Data!A96)</f>
        <v>224299</v>
      </c>
      <c r="B96" s="15" t="str">
        <f>IF(Raw_Data!B96="","",Raw_Data!B96)</f>
        <v>Jacqueline SINT</v>
      </c>
      <c r="C96" s="15" t="str">
        <f>IF(Raw_Data!C96="","",Raw_Data!C96)</f>
        <v>RSA NL</v>
      </c>
      <c r="D96" s="15" t="str">
        <f>IF(Raw_Data!D96="","",Raw_Data!D96)</f>
        <v>2026-07</v>
      </c>
      <c r="E96" s="16">
        <f>IF($A96="","",IF(Raw_Data!E96="",0,IF(KPI_Config!$C$5="L",IF(Raw_Data!E96&lt;=KPI_Config!$E$5,KPI_Config!$D$5,IF(AND(KPI_Config!$F$5&gt;0,Raw_Data!E96&lt;=KPI_Config!$G$5),KPI_Config!$F$5,0)),IF(Raw_Data!E96&gt;=KPI_Config!$E$5,KPI_Config!$D$5,IF(AND(KPI_Config!$F$5&gt;0,Raw_Data!E96&gt;=KPI_Config!$G$5),KPI_Config!$F$5,0)))))</f>
        <v>0.15</v>
      </c>
      <c r="F96" s="16">
        <f>IF($A96="","",IF(Raw_Data!F96="",0,IF(KPI_Config!$C$6="L",IF(Raw_Data!F96&lt;=KPI_Config!$E$6,KPI_Config!$D$6,IF(AND(KPI_Config!$F$6&gt;0,Raw_Data!F96&lt;=KPI_Config!$G$6),KPI_Config!$F$6,0)),IF(Raw_Data!F96&gt;=KPI_Config!$E$6,KPI_Config!$D$6,IF(AND(KPI_Config!$F$6&gt;0,Raw_Data!F96&gt;=KPI_Config!$G$6),KPI_Config!$F$6,0)))))</f>
        <v>0.15</v>
      </c>
      <c r="G96" s="16">
        <f>IF($A96="","",IF(Raw_Data!G96="",0,IF(KPI_Config!$C$7="L",IF(Raw_Data!G96&lt;=KPI_Config!$E$7,KPI_Config!$D$7,IF(AND(KPI_Config!$F$7&gt;0,Raw_Data!G96&lt;=KPI_Config!$G$7),KPI_Config!$F$7,0)),IF(Raw_Data!G96&gt;=KPI_Config!$E$7,KPI_Config!$D$7,IF(AND(KPI_Config!$F$7&gt;0,Raw_Data!G96&gt;=KPI_Config!$G$7),KPI_Config!$F$7,0)))))</f>
        <v>0.2</v>
      </c>
      <c r="H96" s="16">
        <f>IF($A96="","",IF(Raw_Data!H96="",0,IF(KPI_Config!$C$8="L",IF(Raw_Data!H96&lt;=KPI_Config!$E$8,KPI_Config!$D$8,IF(AND(KPI_Config!$F$8&gt;0,Raw_Data!H96&lt;=KPI_Config!$G$8),KPI_Config!$F$8,0)),IF(Raw_Data!H96&gt;=KPI_Config!$E$8,KPI_Config!$D$8,IF(AND(KPI_Config!$F$8&gt;0,Raw_Data!H96&gt;=KPI_Config!$G$8),KPI_Config!$F$8,0)))))</f>
        <v>0</v>
      </c>
      <c r="I96" s="16">
        <f>IF($A96="","",IF(Raw_Data!I96="",0,IF(KPI_Config!$C$9="L",IF(Raw_Data!I96&lt;=KPI_Config!$E$9,KPI_Config!$D$9,IF(AND(KPI_Config!$F$9&gt;0,Raw_Data!I96&lt;=KPI_Config!$G$9),KPI_Config!$F$9,0)),IF(Raw_Data!I96&gt;=KPI_Config!$E$9,KPI_Config!$D$9,IF(AND(KPI_Config!$F$9&gt;0,Raw_Data!I96&gt;=KPI_Config!$G$9),KPI_Config!$F$9,0)))))</f>
        <v>0</v>
      </c>
      <c r="J96" s="16">
        <f>IF($A96="","",IF(Raw_Data!J96="",0,IF(KPI_Config!$C$10="L",IF(Raw_Data!J96&lt;=KPI_Config!$E$10,KPI_Config!$D$10,IF(AND(KPI_Config!$F$10&gt;0,Raw_Data!J96&lt;=KPI_Config!$G$10),KPI_Config!$F$10,0)),IF(Raw_Data!J96&gt;=KPI_Config!$E$10,KPI_Config!$D$10,IF(AND(KPI_Config!$F$10&gt;0,Raw_Data!J96&gt;=KPI_Config!$G$10),KPI_Config!$F$10,0)))))</f>
        <v>0</v>
      </c>
      <c r="K96" s="16">
        <f>IF($A96="","",IF(Raw_Data!G96="",0,IF(KPI_Config!$C$11="L",IF(Raw_Data!G96&lt;=KPI_Config!$E$11,KPI_Config!$D$11,IF(AND(KPI_Config!$F$11&gt;0,Raw_Data!G96&lt;=KPI_Config!$G$11),KPI_Config!$F$11,0)),IF(Raw_Data!G96&gt;=KPI_Config!$E$11,KPI_Config!$D$11,IF(AND(KPI_Config!$F$11&gt;0,Raw_Data!G96&gt;=KPI_Config!$G$11),KPI_Config!$F$11,0)))))</f>
        <v>0.2</v>
      </c>
      <c r="L96" s="16">
        <f>IF($A96="","",MIN(Policy_Decisions!$B$10,IF(Policy_Decisions!$B$6="Additive",SUM(E96:K96),SUM(E96:J96)-G96+MAX(G96,K96))))</f>
        <v>0.7</v>
      </c>
      <c r="M96" s="16">
        <f>IF($A96="","",Raw_Data!K96)</f>
        <v>0</v>
      </c>
      <c r="N96" s="16">
        <f>IF($A96="","",IFERROR(VLOOKUP(M96,KPI_Config!$I$5:$J$10,2,FALSE()),0))</f>
        <v>0</v>
      </c>
      <c r="O96" s="16">
        <f>IF($A96="","",IF(Policy_Decisions!$B$5="Percentage points",MAX(0,L96-N96),L96*(1-N96)))</f>
        <v>0.7</v>
      </c>
      <c r="P96" s="15" t="str">
        <f>IF($A96="","",IF(U96="","Review proration",IF(O96=0,"No payout",IF(N96&gt;0,"Malus applied","Eligible"))))</f>
        <v>Eligible</v>
      </c>
      <c r="Q96" s="15" t="str">
        <f>IF($A96="","",Raw_Data!M96)</f>
        <v>MAD</v>
      </c>
      <c r="R96" s="38">
        <f>IF($A96="","",Raw_Data!N96)</f>
        <v>0</v>
      </c>
      <c r="S96" s="38">
        <f>IF($A96="","",Raw_Data!O96)</f>
        <v>0</v>
      </c>
      <c r="T96" s="38">
        <f>IF($A96="","",IF(Raw_Data!P96&gt;0,Raw_Data!P96,Raw_Data!N96*Raw_Data!O96/IF(Policy_Decisions!$B$7="Annual",12,1)))</f>
        <v>2000</v>
      </c>
      <c r="U96" s="38">
        <f>IF($A96="","",IF(OR(Raw_Data!R96="",Raw_Data!R96&lt;=0),"",MIN(1,MAX(0,Raw_Data!Q96/Raw_Data!R96))))</f>
        <v>1</v>
      </c>
      <c r="V96" s="38">
        <f>IF(OR($A96="",U96=""),"",T96*U96)</f>
        <v>2000</v>
      </c>
      <c r="W96" s="38">
        <f>IF(OR($A96="",V96=""),"",V96*L96)</f>
        <v>1400</v>
      </c>
      <c r="X96" s="38">
        <f>IF(OR($A96="",V96=""),"",V96*L96-V96*O96)</f>
        <v>0</v>
      </c>
      <c r="Y96" s="38">
        <f>IF(OR($A96="",V96=""),"",ROUND(V96*O96,IF(Policy_Decisions!$B$11="Whole MAD",0,2)))</f>
        <v>1400</v>
      </c>
      <c r="Z96" t="str">
        <f>Raw_Data!T96</f>
        <v>JEANNE NKIKIO RWIBUTSO</v>
      </c>
      <c r="AA96" t="str">
        <f>Raw_Data!U96</f>
        <v>Anas OUAKKAD</v>
      </c>
    </row>
    <row r="97" spans="1:27" ht="14.25" customHeight="1">
      <c r="A97" s="13">
        <f>IF(Raw_Data!A97="","",Raw_Data!A97)</f>
        <v>244551</v>
      </c>
      <c r="B97" s="13" t="str">
        <f>IF(Raw_Data!B97="","",Raw_Data!B97)</f>
        <v>jalal  BARHMI</v>
      </c>
      <c r="C97" s="13" t="str">
        <f>IF(Raw_Data!C97="","",Raw_Data!C97)</f>
        <v>RSA NL</v>
      </c>
      <c r="D97" s="13" t="str">
        <f>IF(Raw_Data!D97="","",Raw_Data!D97)</f>
        <v>2026-07</v>
      </c>
      <c r="E97" s="21">
        <f>IF($A97="","",IF(Raw_Data!E97="",0,IF(KPI_Config!$C$5="L",IF(Raw_Data!E97&lt;=KPI_Config!$E$5,KPI_Config!$D$5,IF(AND(KPI_Config!$F$5&gt;0,Raw_Data!E97&lt;=KPI_Config!$G$5),KPI_Config!$F$5,0)),IF(Raw_Data!E97&gt;=KPI_Config!$E$5,KPI_Config!$D$5,IF(AND(KPI_Config!$F$5&gt;0,Raw_Data!E97&gt;=KPI_Config!$G$5),KPI_Config!$F$5,0)))))</f>
        <v>0</v>
      </c>
      <c r="F97" s="21">
        <f>IF($A97="","",IF(Raw_Data!F97="",0,IF(KPI_Config!$C$6="L",IF(Raw_Data!F97&lt;=KPI_Config!$E$6,KPI_Config!$D$6,IF(AND(KPI_Config!$F$6&gt;0,Raw_Data!F97&lt;=KPI_Config!$G$6),KPI_Config!$F$6,0)),IF(Raw_Data!F97&gt;=KPI_Config!$E$6,KPI_Config!$D$6,IF(AND(KPI_Config!$F$6&gt;0,Raw_Data!F97&gt;=KPI_Config!$G$6),KPI_Config!$F$6,0)))))</f>
        <v>0</v>
      </c>
      <c r="G97" s="21">
        <f>IF($A97="","",IF(Raw_Data!G97="",0,IF(KPI_Config!$C$7="L",IF(Raw_Data!G97&lt;=KPI_Config!$E$7,KPI_Config!$D$7,IF(AND(KPI_Config!$F$7&gt;0,Raw_Data!G97&lt;=KPI_Config!$G$7),KPI_Config!$F$7,0)),IF(Raw_Data!G97&gt;=KPI_Config!$E$7,KPI_Config!$D$7,IF(AND(KPI_Config!$F$7&gt;0,Raw_Data!G97&gt;=KPI_Config!$G$7),KPI_Config!$F$7,0)))))</f>
        <v>0</v>
      </c>
      <c r="H97" s="21">
        <f>IF($A97="","",IF(Raw_Data!H97="",0,IF(KPI_Config!$C$8="L",IF(Raw_Data!H97&lt;=KPI_Config!$E$8,KPI_Config!$D$8,IF(AND(KPI_Config!$F$8&gt;0,Raw_Data!H97&lt;=KPI_Config!$G$8),KPI_Config!$F$8,0)),IF(Raw_Data!H97&gt;=KPI_Config!$E$8,KPI_Config!$D$8,IF(AND(KPI_Config!$F$8&gt;0,Raw_Data!H97&gt;=KPI_Config!$G$8),KPI_Config!$F$8,0)))))</f>
        <v>0</v>
      </c>
      <c r="I97" s="21">
        <f>IF($A97="","",IF(Raw_Data!I97="",0,IF(KPI_Config!$C$9="L",IF(Raw_Data!I97&lt;=KPI_Config!$E$9,KPI_Config!$D$9,IF(AND(KPI_Config!$F$9&gt;0,Raw_Data!I97&lt;=KPI_Config!$G$9),KPI_Config!$F$9,0)),IF(Raw_Data!I97&gt;=KPI_Config!$E$9,KPI_Config!$D$9,IF(AND(KPI_Config!$F$9&gt;0,Raw_Data!I97&gt;=KPI_Config!$G$9),KPI_Config!$F$9,0)))))</f>
        <v>0</v>
      </c>
      <c r="J97" s="21">
        <f>IF($A97="","",IF(Raw_Data!J97="",0,IF(KPI_Config!$C$10="L",IF(Raw_Data!J97&lt;=KPI_Config!$E$10,KPI_Config!$D$10,IF(AND(KPI_Config!$F$10&gt;0,Raw_Data!J97&lt;=KPI_Config!$G$10),KPI_Config!$F$10,0)),IF(Raw_Data!J97&gt;=KPI_Config!$E$10,KPI_Config!$D$10,IF(AND(KPI_Config!$F$10&gt;0,Raw_Data!J97&gt;=KPI_Config!$G$10),KPI_Config!$F$10,0)))))</f>
        <v>0</v>
      </c>
      <c r="K97" s="21">
        <f>IF($A97="","",IF(Raw_Data!G97="",0,IF(KPI_Config!$C$11="L",IF(Raw_Data!G97&lt;=KPI_Config!$E$11,KPI_Config!$D$11,IF(AND(KPI_Config!$F$11&gt;0,Raw_Data!G97&lt;=KPI_Config!$G$11),KPI_Config!$F$11,0)),IF(Raw_Data!G97&gt;=KPI_Config!$E$11,KPI_Config!$D$11,IF(AND(KPI_Config!$F$11&gt;0,Raw_Data!G97&gt;=KPI_Config!$G$11),KPI_Config!$F$11,0)))))</f>
        <v>0</v>
      </c>
      <c r="L97" s="21">
        <f>IF($A97="","",MIN(Policy_Decisions!$B$10,IF(Policy_Decisions!$B$6="Additive",SUM(E97:K97),SUM(E97:J97)-G97+MAX(G97,K97))))</f>
        <v>0</v>
      </c>
      <c r="M97" s="21">
        <f>IF($A97="","",Raw_Data!K97)</f>
        <v>0</v>
      </c>
      <c r="N97" s="21">
        <f>IF($A97="","",IFERROR(VLOOKUP(M97,KPI_Config!$I$5:$J$10,2,FALSE()),0))</f>
        <v>0</v>
      </c>
      <c r="O97" s="21">
        <f>IF($A97="","",IF(Policy_Decisions!$B$5="Percentage points",MAX(0,L97-N97),L97*(1-N97)))</f>
        <v>0</v>
      </c>
      <c r="P97" s="13" t="str">
        <f>IF($A97="","",IF(U97="","Review proration",IF(O97=0,"No payout",IF(N97&gt;0,"Malus applied","Eligible"))))</f>
        <v>No payout</v>
      </c>
      <c r="Q97" s="13" t="str">
        <f>IF($A97="","",Raw_Data!M97)</f>
        <v>MAD</v>
      </c>
      <c r="R97" s="37">
        <f>IF($A97="","",Raw_Data!N97)</f>
        <v>0</v>
      </c>
      <c r="S97" s="37">
        <f>IF($A97="","",Raw_Data!O97)</f>
        <v>0</v>
      </c>
      <c r="T97" s="37">
        <f>IF($A97="","",IF(Raw_Data!P97&gt;0,Raw_Data!P97,Raw_Data!N97*Raw_Data!O97/IF(Policy_Decisions!$B$7="Annual",12,1)))</f>
        <v>2000</v>
      </c>
      <c r="U97" s="37">
        <f>IF($A97="","",IF(OR(Raw_Data!R97="",Raw_Data!R97&lt;=0),"",MIN(1,MAX(0,Raw_Data!Q97/Raw_Data!R97))))</f>
        <v>1</v>
      </c>
      <c r="V97" s="37">
        <f>IF(OR($A97="",U97=""),"",T97*U97)</f>
        <v>2000</v>
      </c>
      <c r="W97" s="37">
        <f>IF(OR($A97="",V97=""),"",V97*L97)</f>
        <v>0</v>
      </c>
      <c r="X97" s="37">
        <f>IF(OR($A97="",V97=""),"",V97*L97-V97*O97)</f>
        <v>0</v>
      </c>
      <c r="Y97" s="37">
        <f>IF(OR($A97="",V97=""),"",ROUND(V97*O97,IF(Policy_Decisions!$B$11="Whole MAD",0,2)))</f>
        <v>0</v>
      </c>
      <c r="Z97" t="str">
        <f>Raw_Data!T97</f>
        <v>KAIKAI Faissal</v>
      </c>
      <c r="AA97" t="str">
        <f>Raw_Data!U97</f>
        <v>Anas OUAKKAD</v>
      </c>
    </row>
    <row r="98" spans="1:27" ht="14.25" customHeight="1">
      <c r="A98" s="15">
        <f>IF(Raw_Data!A98="","",Raw_Data!A98)</f>
        <v>249780</v>
      </c>
      <c r="B98" s="15" t="str">
        <f>IF(Raw_Data!B98="","",Raw_Data!B98)</f>
        <v>Issam  MESKOURI</v>
      </c>
      <c r="C98" s="15" t="str">
        <f>IF(Raw_Data!C98="","",Raw_Data!C98)</f>
        <v>RSA FR</v>
      </c>
      <c r="D98" s="15" t="str">
        <f>IF(Raw_Data!D98="","",Raw_Data!D98)</f>
        <v>2026-07</v>
      </c>
      <c r="E98" s="16">
        <f>IF($A98="","",IF(Raw_Data!E98="",0,IF(KPI_Config!$C$5="L",IF(Raw_Data!E98&lt;=KPI_Config!$E$5,KPI_Config!$D$5,IF(AND(KPI_Config!$F$5&gt;0,Raw_Data!E98&lt;=KPI_Config!$G$5),KPI_Config!$F$5,0)),IF(Raw_Data!E98&gt;=KPI_Config!$E$5,KPI_Config!$D$5,IF(AND(KPI_Config!$F$5&gt;0,Raw_Data!E98&gt;=KPI_Config!$G$5),KPI_Config!$F$5,0)))))</f>
        <v>0</v>
      </c>
      <c r="F98" s="16">
        <f>IF($A98="","",IF(Raw_Data!F98="",0,IF(KPI_Config!$C$6="L",IF(Raw_Data!F98&lt;=KPI_Config!$E$6,KPI_Config!$D$6,IF(AND(KPI_Config!$F$6&gt;0,Raw_Data!F98&lt;=KPI_Config!$G$6),KPI_Config!$F$6,0)),IF(Raw_Data!F98&gt;=KPI_Config!$E$6,KPI_Config!$D$6,IF(AND(KPI_Config!$F$6&gt;0,Raw_Data!F98&gt;=KPI_Config!$G$6),KPI_Config!$F$6,0)))))</f>
        <v>0</v>
      </c>
      <c r="G98" s="16">
        <f>IF($A98="","",IF(Raw_Data!G98="",0,IF(KPI_Config!$C$7="L",IF(Raw_Data!G98&lt;=KPI_Config!$E$7,KPI_Config!$D$7,IF(AND(KPI_Config!$F$7&gt;0,Raw_Data!G98&lt;=KPI_Config!$G$7),KPI_Config!$F$7,0)),IF(Raw_Data!G98&gt;=KPI_Config!$E$7,KPI_Config!$D$7,IF(AND(KPI_Config!$F$7&gt;0,Raw_Data!G98&gt;=KPI_Config!$G$7),KPI_Config!$F$7,0)))))</f>
        <v>0</v>
      </c>
      <c r="H98" s="16">
        <f>IF($A98="","",IF(Raw_Data!H98="",0,IF(KPI_Config!$C$8="L",IF(Raw_Data!H98&lt;=KPI_Config!$E$8,KPI_Config!$D$8,IF(AND(KPI_Config!$F$8&gt;0,Raw_Data!H98&lt;=KPI_Config!$G$8),KPI_Config!$F$8,0)),IF(Raw_Data!H98&gt;=KPI_Config!$E$8,KPI_Config!$D$8,IF(AND(KPI_Config!$F$8&gt;0,Raw_Data!H98&gt;=KPI_Config!$G$8),KPI_Config!$F$8,0)))))</f>
        <v>0</v>
      </c>
      <c r="I98" s="16">
        <f>IF($A98="","",IF(Raw_Data!I98="",0,IF(KPI_Config!$C$9="L",IF(Raw_Data!I98&lt;=KPI_Config!$E$9,KPI_Config!$D$9,IF(AND(KPI_Config!$F$9&gt;0,Raw_Data!I98&lt;=KPI_Config!$G$9),KPI_Config!$F$9,0)),IF(Raw_Data!I98&gt;=KPI_Config!$E$9,KPI_Config!$D$9,IF(AND(KPI_Config!$F$9&gt;0,Raw_Data!I98&gt;=KPI_Config!$G$9),KPI_Config!$F$9,0)))))</f>
        <v>0</v>
      </c>
      <c r="J98" s="16">
        <f>IF($A98="","",IF(Raw_Data!J98="",0,IF(KPI_Config!$C$10="L",IF(Raw_Data!J98&lt;=KPI_Config!$E$10,KPI_Config!$D$10,IF(AND(KPI_Config!$F$10&gt;0,Raw_Data!J98&lt;=KPI_Config!$G$10),KPI_Config!$F$10,0)),IF(Raw_Data!J98&gt;=KPI_Config!$E$10,KPI_Config!$D$10,IF(AND(KPI_Config!$F$10&gt;0,Raw_Data!J98&gt;=KPI_Config!$G$10),KPI_Config!$F$10,0)))))</f>
        <v>0.15</v>
      </c>
      <c r="K98" s="16">
        <f>IF($A98="","",IF(Raw_Data!G98="",0,IF(KPI_Config!$C$11="L",IF(Raw_Data!G98&lt;=KPI_Config!$E$11,KPI_Config!$D$11,IF(AND(KPI_Config!$F$11&gt;0,Raw_Data!G98&lt;=KPI_Config!$G$11),KPI_Config!$F$11,0)),IF(Raw_Data!G98&gt;=KPI_Config!$E$11,KPI_Config!$D$11,IF(AND(KPI_Config!$F$11&gt;0,Raw_Data!G98&gt;=KPI_Config!$G$11),KPI_Config!$F$11,0)))))</f>
        <v>0</v>
      </c>
      <c r="L98" s="16">
        <f>IF($A98="","",MIN(Policy_Decisions!$B$10,IF(Policy_Decisions!$B$6="Additive",SUM(E98:K98),SUM(E98:J98)-G98+MAX(G98,K98))))</f>
        <v>0.15</v>
      </c>
      <c r="M98" s="16">
        <f>IF($A98="","",Raw_Data!K98)</f>
        <v>0</v>
      </c>
      <c r="N98" s="16">
        <f>IF($A98="","",IFERROR(VLOOKUP(M98,KPI_Config!$I$5:$J$10,2,FALSE()),0))</f>
        <v>0</v>
      </c>
      <c r="O98" s="16">
        <f>IF($A98="","",IF(Policy_Decisions!$B$5="Percentage points",MAX(0,L98-N98),L98*(1-N98)))</f>
        <v>0.15</v>
      </c>
      <c r="P98" s="15" t="str">
        <f>IF($A98="","",IF(U98="","Review proration",IF(O98=0,"No payout",IF(N98&gt;0,"Malus applied","Eligible"))))</f>
        <v>Eligible</v>
      </c>
      <c r="Q98" s="15" t="str">
        <f>IF($A98="","",Raw_Data!M98)</f>
        <v>MAD</v>
      </c>
      <c r="R98" s="38">
        <f>IF($A98="","",Raw_Data!N98)</f>
        <v>0</v>
      </c>
      <c r="S98" s="38">
        <f>IF($A98="","",Raw_Data!O98)</f>
        <v>0</v>
      </c>
      <c r="T98" s="38">
        <f>IF($A98="","",IF(Raw_Data!P98&gt;0,Raw_Data!P98,Raw_Data!N98*Raw_Data!O98/IF(Policy_Decisions!$B$7="Annual",12,1)))</f>
        <v>2000</v>
      </c>
      <c r="U98" s="38">
        <f>IF($A98="","",IF(OR(Raw_Data!R98="",Raw_Data!R98&lt;=0),"",MIN(1,MAX(0,Raw_Data!Q98/Raw_Data!R98))))</f>
        <v>1</v>
      </c>
      <c r="V98" s="38">
        <f>IF(OR($A98="",U98=""),"",T98*U98)</f>
        <v>2000</v>
      </c>
      <c r="W98" s="38">
        <f>IF(OR($A98="",V98=""),"",V98*L98)</f>
        <v>300</v>
      </c>
      <c r="X98" s="38">
        <f>IF(OR($A98="",V98=""),"",V98*L98-V98*O98)</f>
        <v>0</v>
      </c>
      <c r="Y98" s="38">
        <f>IF(OR($A98="",V98=""),"",ROUND(V98*O98,IF(Policy_Decisions!$B$11="Whole MAD",0,2)))</f>
        <v>300</v>
      </c>
      <c r="Z98" t="str">
        <f>Raw_Data!T98</f>
        <v>Farouk BOUAZZAOUI</v>
      </c>
      <c r="AA98" t="str">
        <f>Raw_Data!U98</f>
        <v>Anas OUAKKAD</v>
      </c>
    </row>
    <row r="99" spans="1:27" ht="14.25" customHeight="1">
      <c r="A99" s="13">
        <f>IF(Raw_Data!A99="","",Raw_Data!A99)</f>
        <v>228216</v>
      </c>
      <c r="B99" s="13" t="str">
        <f>IF(Raw_Data!B99="","",Raw_Data!B99)</f>
        <v>Insafe OUAJAL</v>
      </c>
      <c r="C99" s="13" t="str">
        <f>IF(Raw_Data!C99="","",Raw_Data!C99)</f>
        <v>OEM FR</v>
      </c>
      <c r="D99" s="13" t="str">
        <f>IF(Raw_Data!D99="","",Raw_Data!D99)</f>
        <v>2026-07</v>
      </c>
      <c r="E99" s="21">
        <f>IF($A99="","",IF(Raw_Data!E99="",0,IF(KPI_Config!$C$5="L",IF(Raw_Data!E99&lt;=KPI_Config!$E$5,KPI_Config!$D$5,IF(AND(KPI_Config!$F$5&gt;0,Raw_Data!E99&lt;=KPI_Config!$G$5),KPI_Config!$F$5,0)),IF(Raw_Data!E99&gt;=KPI_Config!$E$5,KPI_Config!$D$5,IF(AND(KPI_Config!$F$5&gt;0,Raw_Data!E99&gt;=KPI_Config!$G$5),KPI_Config!$F$5,0)))))</f>
        <v>0</v>
      </c>
      <c r="F99" s="21">
        <f>IF($A99="","",IF(Raw_Data!F99="",0,IF(KPI_Config!$C$6="L",IF(Raw_Data!F99&lt;=KPI_Config!$E$6,KPI_Config!$D$6,IF(AND(KPI_Config!$F$6&gt;0,Raw_Data!F99&lt;=KPI_Config!$G$6),KPI_Config!$F$6,0)),IF(Raw_Data!F99&gt;=KPI_Config!$E$6,KPI_Config!$D$6,IF(AND(KPI_Config!$F$6&gt;0,Raw_Data!F99&gt;=KPI_Config!$G$6),KPI_Config!$F$6,0)))))</f>
        <v>0</v>
      </c>
      <c r="G99" s="21">
        <f>IF($A99="","",IF(Raw_Data!G99="",0,IF(KPI_Config!$C$7="L",IF(Raw_Data!G99&lt;=KPI_Config!$E$7,KPI_Config!$D$7,IF(AND(KPI_Config!$F$7&gt;0,Raw_Data!G99&lt;=KPI_Config!$G$7),KPI_Config!$F$7,0)),IF(Raw_Data!G99&gt;=KPI_Config!$E$7,KPI_Config!$D$7,IF(AND(KPI_Config!$F$7&gt;0,Raw_Data!G99&gt;=KPI_Config!$G$7),KPI_Config!$F$7,0)))))</f>
        <v>0</v>
      </c>
      <c r="H99" s="21">
        <f>IF($A99="","",IF(Raw_Data!H99="",0,IF(KPI_Config!$C$8="L",IF(Raw_Data!H99&lt;=KPI_Config!$E$8,KPI_Config!$D$8,IF(AND(KPI_Config!$F$8&gt;0,Raw_Data!H99&lt;=KPI_Config!$G$8),KPI_Config!$F$8,0)),IF(Raw_Data!H99&gt;=KPI_Config!$E$8,KPI_Config!$D$8,IF(AND(KPI_Config!$F$8&gt;0,Raw_Data!H99&gt;=KPI_Config!$G$8),KPI_Config!$F$8,0)))))</f>
        <v>0</v>
      </c>
      <c r="I99" s="21">
        <f>IF($A99="","",IF(Raw_Data!I99="",0,IF(KPI_Config!$C$9="L",IF(Raw_Data!I99&lt;=KPI_Config!$E$9,KPI_Config!$D$9,IF(AND(KPI_Config!$F$9&gt;0,Raw_Data!I99&lt;=KPI_Config!$G$9),KPI_Config!$F$9,0)),IF(Raw_Data!I99&gt;=KPI_Config!$E$9,KPI_Config!$D$9,IF(AND(KPI_Config!$F$9&gt;0,Raw_Data!I99&gt;=KPI_Config!$G$9),KPI_Config!$F$9,0)))))</f>
        <v>0</v>
      </c>
      <c r="J99" s="21">
        <f>IF($A99="","",IF(Raw_Data!J99="",0,IF(KPI_Config!$C$10="L",IF(Raw_Data!J99&lt;=KPI_Config!$E$10,KPI_Config!$D$10,IF(AND(KPI_Config!$F$10&gt;0,Raw_Data!J99&lt;=KPI_Config!$G$10),KPI_Config!$F$10,0)),IF(Raw_Data!J99&gt;=KPI_Config!$E$10,KPI_Config!$D$10,IF(AND(KPI_Config!$F$10&gt;0,Raw_Data!J99&gt;=KPI_Config!$G$10),KPI_Config!$F$10,0)))))</f>
        <v>0.15</v>
      </c>
      <c r="K99" s="21">
        <f>IF($A99="","",IF(Raw_Data!G99="",0,IF(KPI_Config!$C$11="L",IF(Raw_Data!G99&lt;=KPI_Config!$E$11,KPI_Config!$D$11,IF(AND(KPI_Config!$F$11&gt;0,Raw_Data!G99&lt;=KPI_Config!$G$11),KPI_Config!$F$11,0)),IF(Raw_Data!G99&gt;=KPI_Config!$E$11,KPI_Config!$D$11,IF(AND(KPI_Config!$F$11&gt;0,Raw_Data!G99&gt;=KPI_Config!$G$11),KPI_Config!$F$11,0)))))</f>
        <v>0</v>
      </c>
      <c r="L99" s="21">
        <f>IF($A99="","",MIN(Policy_Decisions!$B$10,IF(Policy_Decisions!$B$6="Additive",SUM(E99:K99),SUM(E99:J99)-G99+MAX(G99,K99))))</f>
        <v>0.15</v>
      </c>
      <c r="M99" s="21">
        <f>IF($A99="","",Raw_Data!K99)</f>
        <v>0</v>
      </c>
      <c r="N99" s="21">
        <f>IF($A99="","",IFERROR(VLOOKUP(M99,KPI_Config!$I$5:$J$10,2,FALSE()),0))</f>
        <v>0</v>
      </c>
      <c r="O99" s="21">
        <f>IF($A99="","",IF(Policy_Decisions!$B$5="Percentage points",MAX(0,L99-N99),L99*(1-N99)))</f>
        <v>0.15</v>
      </c>
      <c r="P99" s="13" t="str">
        <f>IF($A99="","",IF(U99="","Review proration",IF(O99=0,"No payout",IF(N99&gt;0,"Malus applied","Eligible"))))</f>
        <v>Eligible</v>
      </c>
      <c r="Q99" s="13" t="str">
        <f>IF($A99="","",Raw_Data!M99)</f>
        <v>MAD</v>
      </c>
      <c r="R99" s="37">
        <f>IF($A99="","",Raw_Data!N99)</f>
        <v>0</v>
      </c>
      <c r="S99" s="37">
        <f>IF($A99="","",Raw_Data!O99)</f>
        <v>0</v>
      </c>
      <c r="T99" s="37">
        <f>IF($A99="","",IF(Raw_Data!P99&gt;0,Raw_Data!P99,Raw_Data!N99*Raw_Data!O99/IF(Policy_Decisions!$B$7="Annual",12,1)))</f>
        <v>2000</v>
      </c>
      <c r="U99" s="37">
        <f>IF($A99="","",IF(OR(Raw_Data!R99="",Raw_Data!R99&lt;=0),"",MIN(1,MAX(0,Raw_Data!Q99/Raw_Data!R99))))</f>
        <v>1</v>
      </c>
      <c r="V99" s="37">
        <f>IF(OR($A99="",U99=""),"",T99*U99)</f>
        <v>2000</v>
      </c>
      <c r="W99" s="37">
        <f>IF(OR($A99="",V99=""),"",V99*L99)</f>
        <v>300</v>
      </c>
      <c r="X99" s="37">
        <f>IF(OR($A99="",V99=""),"",V99*L99-V99*O99)</f>
        <v>0</v>
      </c>
      <c r="Y99" s="37">
        <f>IF(OR($A99="",V99=""),"",ROUND(V99*O99,IF(Policy_Decisions!$B$11="Whole MAD",0,2)))</f>
        <v>300</v>
      </c>
      <c r="Z99" t="str">
        <f>Raw_Data!T99</f>
        <v>Malak AZERKI</v>
      </c>
      <c r="AA99" t="str">
        <f>Raw_Data!U99</f>
        <v>Anas OUAKKAD</v>
      </c>
    </row>
    <row r="100" spans="1:27" ht="14.25" customHeight="1">
      <c r="A100" s="15">
        <f>IF(Raw_Data!A100="","",Raw_Data!A100)</f>
        <v>228207</v>
      </c>
      <c r="B100" s="15" t="str">
        <f>IF(Raw_Data!B100="","",Raw_Data!B100)</f>
        <v>Imane LAHOUCINE</v>
      </c>
      <c r="C100" s="15" t="str">
        <f>IF(Raw_Data!C100="","",Raw_Data!C100)</f>
        <v>OEM FR</v>
      </c>
      <c r="D100" s="15" t="str">
        <f>IF(Raw_Data!D100="","",Raw_Data!D100)</f>
        <v>2026-07</v>
      </c>
      <c r="E100" s="16">
        <f>IF($A100="","",IF(Raw_Data!E100="",0,IF(KPI_Config!$C$5="L",IF(Raw_Data!E100&lt;=KPI_Config!$E$5,KPI_Config!$D$5,IF(AND(KPI_Config!$F$5&gt;0,Raw_Data!E100&lt;=KPI_Config!$G$5),KPI_Config!$F$5,0)),IF(Raw_Data!E100&gt;=KPI_Config!$E$5,KPI_Config!$D$5,IF(AND(KPI_Config!$F$5&gt;0,Raw_Data!E100&gt;=KPI_Config!$G$5),KPI_Config!$F$5,0)))))</f>
        <v>0</v>
      </c>
      <c r="F100" s="16">
        <f>IF($A100="","",IF(Raw_Data!F100="",0,IF(KPI_Config!$C$6="L",IF(Raw_Data!F100&lt;=KPI_Config!$E$6,KPI_Config!$D$6,IF(AND(KPI_Config!$F$6&gt;0,Raw_Data!F100&lt;=KPI_Config!$G$6),KPI_Config!$F$6,0)),IF(Raw_Data!F100&gt;=KPI_Config!$E$6,KPI_Config!$D$6,IF(AND(KPI_Config!$F$6&gt;0,Raw_Data!F100&gt;=KPI_Config!$G$6),KPI_Config!$F$6,0)))))</f>
        <v>0</v>
      </c>
      <c r="G100" s="16">
        <f>IF($A100="","",IF(Raw_Data!G100="",0,IF(KPI_Config!$C$7="L",IF(Raw_Data!G100&lt;=KPI_Config!$E$7,KPI_Config!$D$7,IF(AND(KPI_Config!$F$7&gt;0,Raw_Data!G100&lt;=KPI_Config!$G$7),KPI_Config!$F$7,0)),IF(Raw_Data!G100&gt;=KPI_Config!$E$7,KPI_Config!$D$7,IF(AND(KPI_Config!$F$7&gt;0,Raw_Data!G100&gt;=KPI_Config!$G$7),KPI_Config!$F$7,0)))))</f>
        <v>0.2</v>
      </c>
      <c r="H100" s="16">
        <f>IF($A100="","",IF(Raw_Data!H100="",0,IF(KPI_Config!$C$8="L",IF(Raw_Data!H100&lt;=KPI_Config!$E$8,KPI_Config!$D$8,IF(AND(KPI_Config!$F$8&gt;0,Raw_Data!H100&lt;=KPI_Config!$G$8),KPI_Config!$F$8,0)),IF(Raw_Data!H100&gt;=KPI_Config!$E$8,KPI_Config!$D$8,IF(AND(KPI_Config!$F$8&gt;0,Raw_Data!H100&gt;=KPI_Config!$G$8),KPI_Config!$F$8,0)))))</f>
        <v>0</v>
      </c>
      <c r="I100" s="16">
        <f>IF($A100="","",IF(Raw_Data!I100="",0,IF(KPI_Config!$C$9="L",IF(Raw_Data!I100&lt;=KPI_Config!$E$9,KPI_Config!$D$9,IF(AND(KPI_Config!$F$9&gt;0,Raw_Data!I100&lt;=KPI_Config!$G$9),KPI_Config!$F$9,0)),IF(Raw_Data!I100&gt;=KPI_Config!$E$9,KPI_Config!$D$9,IF(AND(KPI_Config!$F$9&gt;0,Raw_Data!I100&gt;=KPI_Config!$G$9),KPI_Config!$F$9,0)))))</f>
        <v>0.15</v>
      </c>
      <c r="J100" s="16">
        <f>IF($A100="","",IF(Raw_Data!J100="",0,IF(KPI_Config!$C$10="L",IF(Raw_Data!J100&lt;=KPI_Config!$E$10,KPI_Config!$D$10,IF(AND(KPI_Config!$F$10&gt;0,Raw_Data!J100&lt;=KPI_Config!$G$10),KPI_Config!$F$10,0)),IF(Raw_Data!J100&gt;=KPI_Config!$E$10,KPI_Config!$D$10,IF(AND(KPI_Config!$F$10&gt;0,Raw_Data!J100&gt;=KPI_Config!$G$10),KPI_Config!$F$10,0)))))</f>
        <v>0.15</v>
      </c>
      <c r="K100" s="16">
        <f>IF($A100="","",IF(Raw_Data!G100="",0,IF(KPI_Config!$C$11="L",IF(Raw_Data!G100&lt;=KPI_Config!$E$11,KPI_Config!$D$11,IF(AND(KPI_Config!$F$11&gt;0,Raw_Data!G100&lt;=KPI_Config!$G$11),KPI_Config!$F$11,0)),IF(Raw_Data!G100&gt;=KPI_Config!$E$11,KPI_Config!$D$11,IF(AND(KPI_Config!$F$11&gt;0,Raw_Data!G100&gt;=KPI_Config!$G$11),KPI_Config!$F$11,0)))))</f>
        <v>0.3</v>
      </c>
      <c r="L100" s="16">
        <f>IF($A100="","",MIN(Policy_Decisions!$B$10,IF(Policy_Decisions!$B$6="Additive",SUM(E100:K100),SUM(E100:J100)-G100+MAX(G100,K100))))</f>
        <v>0.8</v>
      </c>
      <c r="M100" s="16">
        <f>IF($A100="","",Raw_Data!K100)</f>
        <v>0</v>
      </c>
      <c r="N100" s="16">
        <f>IF($A100="","",IFERROR(VLOOKUP(M100,KPI_Config!$I$5:$J$10,2,FALSE()),0))</f>
        <v>0</v>
      </c>
      <c r="O100" s="16">
        <f>IF($A100="","",IF(Policy_Decisions!$B$5="Percentage points",MAX(0,L100-N100),L100*(1-N100)))</f>
        <v>0.8</v>
      </c>
      <c r="P100" s="15" t="str">
        <f>IF($A100="","",IF(U100="","Review proration",IF(O100=0,"No payout",IF(N100&gt;0,"Malus applied","Eligible"))))</f>
        <v>Eligible</v>
      </c>
      <c r="Q100" s="15" t="str">
        <f>IF($A100="","",Raw_Data!M100)</f>
        <v>MAD</v>
      </c>
      <c r="R100" s="38">
        <f>IF($A100="","",Raw_Data!N100)</f>
        <v>0</v>
      </c>
      <c r="S100" s="38">
        <f>IF($A100="","",Raw_Data!O100)</f>
        <v>0</v>
      </c>
      <c r="T100" s="38">
        <f>IF($A100="","",IF(Raw_Data!P100&gt;0,Raw_Data!P100,Raw_Data!N100*Raw_Data!O100/IF(Policy_Decisions!$B$7="Annual",12,1)))</f>
        <v>2000</v>
      </c>
      <c r="U100" s="38">
        <f>IF($A100="","",IF(OR(Raw_Data!R100="",Raw_Data!R100&lt;=0),"",MIN(1,MAX(0,Raw_Data!Q100/Raw_Data!R100))))</f>
        <v>1</v>
      </c>
      <c r="V100" s="38">
        <f>IF(OR($A100="",U100=""),"",T100*U100)</f>
        <v>2000</v>
      </c>
      <c r="W100" s="38">
        <f>IF(OR($A100="",V100=""),"",V100*L100)</f>
        <v>1600</v>
      </c>
      <c r="X100" s="38">
        <f>IF(OR($A100="",V100=""),"",V100*L100-V100*O100)</f>
        <v>0</v>
      </c>
      <c r="Y100" s="38">
        <f>IF(OR($A100="",V100=""),"",ROUND(V100*O100,IF(Policy_Decisions!$B$11="Whole MAD",0,2)))</f>
        <v>1600</v>
      </c>
      <c r="Z100" t="str">
        <f>Raw_Data!T100</f>
        <v>Malak AZERKI</v>
      </c>
      <c r="AA100" t="str">
        <f>Raw_Data!U100</f>
        <v>Anas OUAKKAD</v>
      </c>
    </row>
    <row r="101" spans="1:27" ht="14.25" customHeight="1">
      <c r="A101" s="13">
        <f>IF(Raw_Data!A101="","",Raw_Data!A101)</f>
        <v>228673</v>
      </c>
      <c r="B101" s="13" t="str">
        <f>IF(Raw_Data!B101="","",Raw_Data!B101)</f>
        <v>Imane Karoui</v>
      </c>
      <c r="C101" s="13" t="str">
        <f>IF(Raw_Data!C101="","",Raw_Data!C101)</f>
        <v>OEM FR</v>
      </c>
      <c r="D101" s="13" t="str">
        <f>IF(Raw_Data!D101="","",Raw_Data!D101)</f>
        <v>2026-07</v>
      </c>
      <c r="E101" s="21">
        <f>IF($A101="","",IF(Raw_Data!E101="",0,IF(KPI_Config!$C$5="L",IF(Raw_Data!E101&lt;=KPI_Config!$E$5,KPI_Config!$D$5,IF(AND(KPI_Config!$F$5&gt;0,Raw_Data!E101&lt;=KPI_Config!$G$5),KPI_Config!$F$5,0)),IF(Raw_Data!E101&gt;=KPI_Config!$E$5,KPI_Config!$D$5,IF(AND(KPI_Config!$F$5&gt;0,Raw_Data!E101&gt;=KPI_Config!$G$5),KPI_Config!$F$5,0)))))</f>
        <v>0</v>
      </c>
      <c r="F101" s="21">
        <f>IF($A101="","",IF(Raw_Data!F101="",0,IF(KPI_Config!$C$6="L",IF(Raw_Data!F101&lt;=KPI_Config!$E$6,KPI_Config!$D$6,IF(AND(KPI_Config!$F$6&gt;0,Raw_Data!F101&lt;=KPI_Config!$G$6),KPI_Config!$F$6,0)),IF(Raw_Data!F101&gt;=KPI_Config!$E$6,KPI_Config!$D$6,IF(AND(KPI_Config!$F$6&gt;0,Raw_Data!F101&gt;=KPI_Config!$G$6),KPI_Config!$F$6,0)))))</f>
        <v>0</v>
      </c>
      <c r="G101" s="21">
        <f>IF($A101="","",IF(Raw_Data!G101="",0,IF(KPI_Config!$C$7="L",IF(Raw_Data!G101&lt;=KPI_Config!$E$7,KPI_Config!$D$7,IF(AND(KPI_Config!$F$7&gt;0,Raw_Data!G101&lt;=KPI_Config!$G$7),KPI_Config!$F$7,0)),IF(Raw_Data!G101&gt;=KPI_Config!$E$7,KPI_Config!$D$7,IF(AND(KPI_Config!$F$7&gt;0,Raw_Data!G101&gt;=KPI_Config!$G$7),KPI_Config!$F$7,0)))))</f>
        <v>0.2</v>
      </c>
      <c r="H101" s="21">
        <f>IF($A101="","",IF(Raw_Data!H101="",0,IF(KPI_Config!$C$8="L",IF(Raw_Data!H101&lt;=KPI_Config!$E$8,KPI_Config!$D$8,IF(AND(KPI_Config!$F$8&gt;0,Raw_Data!H101&lt;=KPI_Config!$G$8),KPI_Config!$F$8,0)),IF(Raw_Data!H101&gt;=KPI_Config!$E$8,KPI_Config!$D$8,IF(AND(KPI_Config!$F$8&gt;0,Raw_Data!H101&gt;=KPI_Config!$G$8),KPI_Config!$F$8,0)))))</f>
        <v>0</v>
      </c>
      <c r="I101" s="21">
        <f>IF($A101="","",IF(Raw_Data!I101="",0,IF(KPI_Config!$C$9="L",IF(Raw_Data!I101&lt;=KPI_Config!$E$9,KPI_Config!$D$9,IF(AND(KPI_Config!$F$9&gt;0,Raw_Data!I101&lt;=KPI_Config!$G$9),KPI_Config!$F$9,0)),IF(Raw_Data!I101&gt;=KPI_Config!$E$9,KPI_Config!$D$9,IF(AND(KPI_Config!$F$9&gt;0,Raw_Data!I101&gt;=KPI_Config!$G$9),KPI_Config!$F$9,0)))))</f>
        <v>0</v>
      </c>
      <c r="J101" s="21">
        <f>IF($A101="","",IF(Raw_Data!J101="",0,IF(KPI_Config!$C$10="L",IF(Raw_Data!J101&lt;=KPI_Config!$E$10,KPI_Config!$D$10,IF(AND(KPI_Config!$F$10&gt;0,Raw_Data!J101&lt;=KPI_Config!$G$10),KPI_Config!$F$10,0)),IF(Raw_Data!J101&gt;=KPI_Config!$E$10,KPI_Config!$D$10,IF(AND(KPI_Config!$F$10&gt;0,Raw_Data!J101&gt;=KPI_Config!$G$10),KPI_Config!$F$10,0)))))</f>
        <v>0.15</v>
      </c>
      <c r="K101" s="21">
        <f>IF($A101="","",IF(Raw_Data!G101="",0,IF(KPI_Config!$C$11="L",IF(Raw_Data!G101&lt;=KPI_Config!$E$11,KPI_Config!$D$11,IF(AND(KPI_Config!$F$11&gt;0,Raw_Data!G101&lt;=KPI_Config!$G$11),KPI_Config!$F$11,0)),IF(Raw_Data!G101&gt;=KPI_Config!$E$11,KPI_Config!$D$11,IF(AND(KPI_Config!$F$11&gt;0,Raw_Data!G101&gt;=KPI_Config!$G$11),KPI_Config!$F$11,0)))))</f>
        <v>0.3</v>
      </c>
      <c r="L101" s="21">
        <f>IF($A101="","",MIN(Policy_Decisions!$B$10,IF(Policy_Decisions!$B$6="Additive",SUM(E101:K101),SUM(E101:J101)-G101+MAX(G101,K101))))</f>
        <v>0.64999999999999991</v>
      </c>
      <c r="M101" s="21">
        <f>IF($A101="","",Raw_Data!K101)</f>
        <v>0</v>
      </c>
      <c r="N101" s="21">
        <f>IF($A101="","",IFERROR(VLOOKUP(M101,KPI_Config!$I$5:$J$10,2,FALSE()),0))</f>
        <v>0</v>
      </c>
      <c r="O101" s="21">
        <f>IF($A101="","",IF(Policy_Decisions!$B$5="Percentage points",MAX(0,L101-N101),L101*(1-N101)))</f>
        <v>0.64999999999999991</v>
      </c>
      <c r="P101" s="13" t="str">
        <f>IF($A101="","",IF(U101="","Review proration",IF(O101=0,"No payout",IF(N101&gt;0,"Malus applied","Eligible"))))</f>
        <v>Eligible</v>
      </c>
      <c r="Q101" s="13" t="str">
        <f>IF($A101="","",Raw_Data!M101)</f>
        <v>MAD</v>
      </c>
      <c r="R101" s="37">
        <f>IF($A101="","",Raw_Data!N101)</f>
        <v>0</v>
      </c>
      <c r="S101" s="37">
        <f>IF($A101="","",Raw_Data!O101)</f>
        <v>0</v>
      </c>
      <c r="T101" s="37">
        <f>IF($A101="","",IF(Raw_Data!P101&gt;0,Raw_Data!P101,Raw_Data!N101*Raw_Data!O101/IF(Policy_Decisions!$B$7="Annual",12,1)))</f>
        <v>2000</v>
      </c>
      <c r="U101" s="37">
        <f>IF($A101="","",IF(OR(Raw_Data!R101="",Raw_Data!R101&lt;=0),"",MIN(1,MAX(0,Raw_Data!Q101/Raw_Data!R101))))</f>
        <v>1</v>
      </c>
      <c r="V101" s="37">
        <f>IF(OR($A101="",U101=""),"",T101*U101)</f>
        <v>2000</v>
      </c>
      <c r="W101" s="37">
        <f>IF(OR($A101="",V101=""),"",V101*L101)</f>
        <v>1299.9999999999998</v>
      </c>
      <c r="X101" s="37">
        <f>IF(OR($A101="",V101=""),"",V101*L101-V101*O101)</f>
        <v>0</v>
      </c>
      <c r="Y101" s="37">
        <f>IF(OR($A101="",V101=""),"",ROUND(V101*O101,IF(Policy_Decisions!$B$11="Whole MAD",0,2)))</f>
        <v>1300</v>
      </c>
      <c r="Z101" t="str">
        <f>Raw_Data!T101</f>
        <v>Zineb MOUFID</v>
      </c>
      <c r="AA101" t="str">
        <f>Raw_Data!U101</f>
        <v>Anas OUAKKAD</v>
      </c>
    </row>
    <row r="102" spans="1:27" ht="14.25" customHeight="1">
      <c r="A102" s="15">
        <f>IF(Raw_Data!A102="","",Raw_Data!A102)</f>
        <v>96485</v>
      </c>
      <c r="B102" s="15" t="str">
        <f>IF(Raw_Data!B102="","",Raw_Data!B102)</f>
        <v>BANANE Imane</v>
      </c>
      <c r="C102" s="15" t="str">
        <f>IF(Raw_Data!C102="","",Raw_Data!C102)</f>
        <v>RSA FR</v>
      </c>
      <c r="D102" s="15" t="str">
        <f>IF(Raw_Data!D102="","",Raw_Data!D102)</f>
        <v>2026-07</v>
      </c>
      <c r="E102" s="16">
        <f>IF($A102="","",IF(Raw_Data!E102="",0,IF(KPI_Config!$C$5="L",IF(Raw_Data!E102&lt;=KPI_Config!$E$5,KPI_Config!$D$5,IF(AND(KPI_Config!$F$5&gt;0,Raw_Data!E102&lt;=KPI_Config!$G$5),KPI_Config!$F$5,0)),IF(Raw_Data!E102&gt;=KPI_Config!$E$5,KPI_Config!$D$5,IF(AND(KPI_Config!$F$5&gt;0,Raw_Data!E102&gt;=KPI_Config!$G$5),KPI_Config!$F$5,0)))))</f>
        <v>0</v>
      </c>
      <c r="F102" s="16">
        <f>IF($A102="","",IF(Raw_Data!F102="",0,IF(KPI_Config!$C$6="L",IF(Raw_Data!F102&lt;=KPI_Config!$E$6,KPI_Config!$D$6,IF(AND(KPI_Config!$F$6&gt;0,Raw_Data!F102&lt;=KPI_Config!$G$6),KPI_Config!$F$6,0)),IF(Raw_Data!F102&gt;=KPI_Config!$E$6,KPI_Config!$D$6,IF(AND(KPI_Config!$F$6&gt;0,Raw_Data!F102&gt;=KPI_Config!$G$6),KPI_Config!$F$6,0)))))</f>
        <v>0</v>
      </c>
      <c r="G102" s="16">
        <f>IF($A102="","",IF(Raw_Data!G102="",0,IF(KPI_Config!$C$7="L",IF(Raw_Data!G102&lt;=KPI_Config!$E$7,KPI_Config!$D$7,IF(AND(KPI_Config!$F$7&gt;0,Raw_Data!G102&lt;=KPI_Config!$G$7),KPI_Config!$F$7,0)),IF(Raw_Data!G102&gt;=KPI_Config!$E$7,KPI_Config!$D$7,IF(AND(KPI_Config!$F$7&gt;0,Raw_Data!G102&gt;=KPI_Config!$G$7),KPI_Config!$F$7,0)))))</f>
        <v>0</v>
      </c>
      <c r="H102" s="16">
        <f>IF($A102="","",IF(Raw_Data!H102="",0,IF(KPI_Config!$C$8="L",IF(Raw_Data!H102&lt;=KPI_Config!$E$8,KPI_Config!$D$8,IF(AND(KPI_Config!$F$8&gt;0,Raw_Data!H102&lt;=KPI_Config!$G$8),KPI_Config!$F$8,0)),IF(Raw_Data!H102&gt;=KPI_Config!$E$8,KPI_Config!$D$8,IF(AND(KPI_Config!$F$8&gt;0,Raw_Data!H102&gt;=KPI_Config!$G$8),KPI_Config!$F$8,0)))))</f>
        <v>0</v>
      </c>
      <c r="I102" s="16">
        <f>IF($A102="","",IF(Raw_Data!I102="",0,IF(KPI_Config!$C$9="L",IF(Raw_Data!I102&lt;=KPI_Config!$E$9,KPI_Config!$D$9,IF(AND(KPI_Config!$F$9&gt;0,Raw_Data!I102&lt;=KPI_Config!$G$9),KPI_Config!$F$9,0)),IF(Raw_Data!I102&gt;=KPI_Config!$E$9,KPI_Config!$D$9,IF(AND(KPI_Config!$F$9&gt;0,Raw_Data!I102&gt;=KPI_Config!$G$9),KPI_Config!$F$9,0)))))</f>
        <v>0</v>
      </c>
      <c r="J102" s="16">
        <f>IF($A102="","",IF(Raw_Data!J102="",0,IF(KPI_Config!$C$10="L",IF(Raw_Data!J102&lt;=KPI_Config!$E$10,KPI_Config!$D$10,IF(AND(KPI_Config!$F$10&gt;0,Raw_Data!J102&lt;=KPI_Config!$G$10),KPI_Config!$F$10,0)),IF(Raw_Data!J102&gt;=KPI_Config!$E$10,KPI_Config!$D$10,IF(AND(KPI_Config!$F$10&gt;0,Raw_Data!J102&gt;=KPI_Config!$G$10),KPI_Config!$F$10,0)))))</f>
        <v>0.15</v>
      </c>
      <c r="K102" s="16">
        <f>IF($A102="","",IF(Raw_Data!G102="",0,IF(KPI_Config!$C$11="L",IF(Raw_Data!G102&lt;=KPI_Config!$E$11,KPI_Config!$D$11,IF(AND(KPI_Config!$F$11&gt;0,Raw_Data!G102&lt;=KPI_Config!$G$11),KPI_Config!$F$11,0)),IF(Raw_Data!G102&gt;=KPI_Config!$E$11,KPI_Config!$D$11,IF(AND(KPI_Config!$F$11&gt;0,Raw_Data!G102&gt;=KPI_Config!$G$11),KPI_Config!$F$11,0)))))</f>
        <v>0</v>
      </c>
      <c r="L102" s="16">
        <f>IF($A102="","",MIN(Policy_Decisions!$B$10,IF(Policy_Decisions!$B$6="Additive",SUM(E102:K102),SUM(E102:J102)-G102+MAX(G102,K102))))</f>
        <v>0.15</v>
      </c>
      <c r="M102" s="16">
        <f>IF($A102="","",Raw_Data!K102)</f>
        <v>0</v>
      </c>
      <c r="N102" s="16">
        <f>IF($A102="","",IFERROR(VLOOKUP(M102,KPI_Config!$I$5:$J$10,2,FALSE()),0))</f>
        <v>0</v>
      </c>
      <c r="O102" s="16">
        <f>IF($A102="","",IF(Policy_Decisions!$B$5="Percentage points",MAX(0,L102-N102),L102*(1-N102)))</f>
        <v>0.15</v>
      </c>
      <c r="P102" s="15" t="str">
        <f>IF($A102="","",IF(U102="","Review proration",IF(O102=0,"No payout",IF(N102&gt;0,"Malus applied","Eligible"))))</f>
        <v>Eligible</v>
      </c>
      <c r="Q102" s="15" t="str">
        <f>IF($A102="","",Raw_Data!M102)</f>
        <v>MAD</v>
      </c>
      <c r="R102" s="38">
        <f>IF($A102="","",Raw_Data!N102)</f>
        <v>0</v>
      </c>
      <c r="S102" s="38">
        <f>IF($A102="","",Raw_Data!O102)</f>
        <v>0</v>
      </c>
      <c r="T102" s="38">
        <f>IF($A102="","",IF(Raw_Data!P102&gt;0,Raw_Data!P102,Raw_Data!N102*Raw_Data!O102/IF(Policy_Decisions!$B$7="Annual",12,1)))</f>
        <v>2000</v>
      </c>
      <c r="U102" s="38">
        <f>IF($A102="","",IF(OR(Raw_Data!R102="",Raw_Data!R102&lt;=0),"",MIN(1,MAX(0,Raw_Data!Q102/Raw_Data!R102))))</f>
        <v>1</v>
      </c>
      <c r="V102" s="38">
        <f>IF(OR($A102="",U102=""),"",T102*U102)</f>
        <v>2000</v>
      </c>
      <c r="W102" s="38">
        <f>IF(OR($A102="",V102=""),"",V102*L102)</f>
        <v>300</v>
      </c>
      <c r="X102" s="38">
        <f>IF(OR($A102="",V102=""),"",V102*L102-V102*O102)</f>
        <v>0</v>
      </c>
      <c r="Y102" s="38">
        <f>IF(OR($A102="",V102=""),"",ROUND(V102*O102,IF(Policy_Decisions!$B$11="Whole MAD",0,2)))</f>
        <v>300</v>
      </c>
      <c r="Z102" t="str">
        <f>Raw_Data!T102</f>
        <v>Mohamed-Amine SADKI</v>
      </c>
      <c r="AA102" t="str">
        <f>Raw_Data!U102</f>
        <v>Anas OUAKKAD</v>
      </c>
    </row>
    <row r="103" spans="1:27" ht="14.25" customHeight="1">
      <c r="A103" s="13">
        <f>IF(Raw_Data!A103="","",Raw_Data!A103)</f>
        <v>250259</v>
      </c>
      <c r="B103" s="13" t="str">
        <f>IF(Raw_Data!B103="","",Raw_Data!B103)</f>
        <v>Moussaoui Ilias</v>
      </c>
      <c r="C103" s="13" t="str">
        <f>IF(Raw_Data!C103="","",Raw_Data!C103)</f>
        <v>RSA VL</v>
      </c>
      <c r="D103" s="13" t="str">
        <f>IF(Raw_Data!D103="","",Raw_Data!D103)</f>
        <v>2026-07</v>
      </c>
      <c r="E103" s="21">
        <f>IF($A103="","",IF(Raw_Data!E103="",0,IF(KPI_Config!$C$5="L",IF(Raw_Data!E103&lt;=KPI_Config!$E$5,KPI_Config!$D$5,IF(AND(KPI_Config!$F$5&gt;0,Raw_Data!E103&lt;=KPI_Config!$G$5),KPI_Config!$F$5,0)),IF(Raw_Data!E103&gt;=KPI_Config!$E$5,KPI_Config!$D$5,IF(AND(KPI_Config!$F$5&gt;0,Raw_Data!E103&gt;=KPI_Config!$G$5),KPI_Config!$F$5,0)))))</f>
        <v>0</v>
      </c>
      <c r="F103" s="21">
        <f>IF($A103="","",IF(Raw_Data!F103="",0,IF(KPI_Config!$C$6="L",IF(Raw_Data!F103&lt;=KPI_Config!$E$6,KPI_Config!$D$6,IF(AND(KPI_Config!$F$6&gt;0,Raw_Data!F103&lt;=KPI_Config!$G$6),KPI_Config!$F$6,0)),IF(Raw_Data!F103&gt;=KPI_Config!$E$6,KPI_Config!$D$6,IF(AND(KPI_Config!$F$6&gt;0,Raw_Data!F103&gt;=KPI_Config!$G$6),KPI_Config!$F$6,0)))))</f>
        <v>0</v>
      </c>
      <c r="G103" s="21">
        <f>IF($A103="","",IF(Raw_Data!G103="",0,IF(KPI_Config!$C$7="L",IF(Raw_Data!G103&lt;=KPI_Config!$E$7,KPI_Config!$D$7,IF(AND(KPI_Config!$F$7&gt;0,Raw_Data!G103&lt;=KPI_Config!$G$7),KPI_Config!$F$7,0)),IF(Raw_Data!G103&gt;=KPI_Config!$E$7,KPI_Config!$D$7,IF(AND(KPI_Config!$F$7&gt;0,Raw_Data!G103&gt;=KPI_Config!$G$7),KPI_Config!$F$7,0)))))</f>
        <v>0</v>
      </c>
      <c r="H103" s="21">
        <f>IF($A103="","",IF(Raw_Data!H103="",0,IF(KPI_Config!$C$8="L",IF(Raw_Data!H103&lt;=KPI_Config!$E$8,KPI_Config!$D$8,IF(AND(KPI_Config!$F$8&gt;0,Raw_Data!H103&lt;=KPI_Config!$G$8),KPI_Config!$F$8,0)),IF(Raw_Data!H103&gt;=KPI_Config!$E$8,KPI_Config!$D$8,IF(AND(KPI_Config!$F$8&gt;0,Raw_Data!H103&gt;=KPI_Config!$G$8),KPI_Config!$F$8,0)))))</f>
        <v>0</v>
      </c>
      <c r="I103" s="21">
        <f>IF($A103="","",IF(Raw_Data!I103="",0,IF(KPI_Config!$C$9="L",IF(Raw_Data!I103&lt;=KPI_Config!$E$9,KPI_Config!$D$9,IF(AND(KPI_Config!$F$9&gt;0,Raw_Data!I103&lt;=KPI_Config!$G$9),KPI_Config!$F$9,0)),IF(Raw_Data!I103&gt;=KPI_Config!$E$9,KPI_Config!$D$9,IF(AND(KPI_Config!$F$9&gt;0,Raw_Data!I103&gt;=KPI_Config!$G$9),KPI_Config!$F$9,0)))))</f>
        <v>0</v>
      </c>
      <c r="J103" s="21">
        <f>IF($A103="","",IF(Raw_Data!J103="",0,IF(KPI_Config!$C$10="L",IF(Raw_Data!J103&lt;=KPI_Config!$E$10,KPI_Config!$D$10,IF(AND(KPI_Config!$F$10&gt;0,Raw_Data!J103&lt;=KPI_Config!$G$10),KPI_Config!$F$10,0)),IF(Raw_Data!J103&gt;=KPI_Config!$E$10,KPI_Config!$D$10,IF(AND(KPI_Config!$F$10&gt;0,Raw_Data!J103&gt;=KPI_Config!$G$10),KPI_Config!$F$10,0)))))</f>
        <v>0</v>
      </c>
      <c r="K103" s="21">
        <f>IF($A103="","",IF(Raw_Data!G103="",0,IF(KPI_Config!$C$11="L",IF(Raw_Data!G103&lt;=KPI_Config!$E$11,KPI_Config!$D$11,IF(AND(KPI_Config!$F$11&gt;0,Raw_Data!G103&lt;=KPI_Config!$G$11),KPI_Config!$F$11,0)),IF(Raw_Data!G103&gt;=KPI_Config!$E$11,KPI_Config!$D$11,IF(AND(KPI_Config!$F$11&gt;0,Raw_Data!G103&gt;=KPI_Config!$G$11),KPI_Config!$F$11,0)))))</f>
        <v>0</v>
      </c>
      <c r="L103" s="21">
        <f>IF($A103="","",MIN(Policy_Decisions!$B$10,IF(Policy_Decisions!$B$6="Additive",SUM(E103:K103),SUM(E103:J103)-G103+MAX(G103,K103))))</f>
        <v>0</v>
      </c>
      <c r="M103" s="21">
        <f>IF($A103="","",Raw_Data!K103)</f>
        <v>0</v>
      </c>
      <c r="N103" s="21">
        <f>IF($A103="","",IFERROR(VLOOKUP(M103,KPI_Config!$I$5:$J$10,2,FALSE()),0))</f>
        <v>0</v>
      </c>
      <c r="O103" s="21">
        <f>IF($A103="","",IF(Policy_Decisions!$B$5="Percentage points",MAX(0,L103-N103),L103*(1-N103)))</f>
        <v>0</v>
      </c>
      <c r="P103" s="13" t="str">
        <f>IF($A103="","",IF(U103="","Review proration",IF(O103=0,"No payout",IF(N103&gt;0,"Malus applied","Eligible"))))</f>
        <v>No payout</v>
      </c>
      <c r="Q103" s="13" t="str">
        <f>IF($A103="","",Raw_Data!M103)</f>
        <v>MAD</v>
      </c>
      <c r="R103" s="37">
        <f>IF($A103="","",Raw_Data!N103)</f>
        <v>0</v>
      </c>
      <c r="S103" s="37">
        <f>IF($A103="","",Raw_Data!O103)</f>
        <v>0</v>
      </c>
      <c r="T103" s="37">
        <f>IF($A103="","",IF(Raw_Data!P103&gt;0,Raw_Data!P103,Raw_Data!N103*Raw_Data!O103/IF(Policy_Decisions!$B$7="Annual",12,1)))</f>
        <v>2000</v>
      </c>
      <c r="U103" s="37">
        <f>IF($A103="","",IF(OR(Raw_Data!R103="",Raw_Data!R103&lt;=0),"",MIN(1,MAX(0,Raw_Data!Q103/Raw_Data!R103))))</f>
        <v>1</v>
      </c>
      <c r="V103" s="37">
        <f>IF(OR($A103="",U103=""),"",T103*U103)</f>
        <v>2000</v>
      </c>
      <c r="W103" s="37">
        <f>IF(OR($A103="",V103=""),"",V103*L103)</f>
        <v>0</v>
      </c>
      <c r="X103" s="37">
        <f>IF(OR($A103="",V103=""),"",V103*L103-V103*O103)</f>
        <v>0</v>
      </c>
      <c r="Y103" s="37">
        <f>IF(OR($A103="",V103=""),"",ROUND(V103*O103,IF(Policy_Decisions!$B$11="Whole MAD",0,2)))</f>
        <v>0</v>
      </c>
      <c r="Z103" t="str">
        <f>Raw_Data!T103</f>
        <v>KAIKAI Faissal</v>
      </c>
      <c r="AA103" t="str">
        <f>Raw_Data!U103</f>
        <v>Anas OUAKKAD</v>
      </c>
    </row>
    <row r="104" spans="1:27" ht="14.25" customHeight="1">
      <c r="A104" s="15">
        <f>IF(Raw_Data!A104="","",Raw_Data!A104)</f>
        <v>230824</v>
      </c>
      <c r="B104" s="15" t="str">
        <f>IF(Raw_Data!B104="","",Raw_Data!B104)</f>
        <v>Idriss Wardi</v>
      </c>
      <c r="C104" s="15" t="str">
        <f>IF(Raw_Data!C104="","",Raw_Data!C104)</f>
        <v>OEM FR</v>
      </c>
      <c r="D104" s="15" t="str">
        <f>IF(Raw_Data!D104="","",Raw_Data!D104)</f>
        <v>2026-07</v>
      </c>
      <c r="E104" s="16">
        <f>IF($A104="","",IF(Raw_Data!E104="",0,IF(KPI_Config!$C$5="L",IF(Raw_Data!E104&lt;=KPI_Config!$E$5,KPI_Config!$D$5,IF(AND(KPI_Config!$F$5&gt;0,Raw_Data!E104&lt;=KPI_Config!$G$5),KPI_Config!$F$5,0)),IF(Raw_Data!E104&gt;=KPI_Config!$E$5,KPI_Config!$D$5,IF(AND(KPI_Config!$F$5&gt;0,Raw_Data!E104&gt;=KPI_Config!$G$5),KPI_Config!$F$5,0)))))</f>
        <v>0</v>
      </c>
      <c r="F104" s="16">
        <f>IF($A104="","",IF(Raw_Data!F104="",0,IF(KPI_Config!$C$6="L",IF(Raw_Data!F104&lt;=KPI_Config!$E$6,KPI_Config!$D$6,IF(AND(KPI_Config!$F$6&gt;0,Raw_Data!F104&lt;=KPI_Config!$G$6),KPI_Config!$F$6,0)),IF(Raw_Data!F104&gt;=KPI_Config!$E$6,KPI_Config!$D$6,IF(AND(KPI_Config!$F$6&gt;0,Raw_Data!F104&gt;=KPI_Config!$G$6),KPI_Config!$F$6,0)))))</f>
        <v>0</v>
      </c>
      <c r="G104" s="16">
        <f>IF($A104="","",IF(Raw_Data!G104="",0,IF(KPI_Config!$C$7="L",IF(Raw_Data!G104&lt;=KPI_Config!$E$7,KPI_Config!$D$7,IF(AND(KPI_Config!$F$7&gt;0,Raw_Data!G104&lt;=KPI_Config!$G$7),KPI_Config!$F$7,0)),IF(Raw_Data!G104&gt;=KPI_Config!$E$7,KPI_Config!$D$7,IF(AND(KPI_Config!$F$7&gt;0,Raw_Data!G104&gt;=KPI_Config!$G$7),KPI_Config!$F$7,0)))))</f>
        <v>0.2</v>
      </c>
      <c r="H104" s="16">
        <f>IF($A104="","",IF(Raw_Data!H104="",0,IF(KPI_Config!$C$8="L",IF(Raw_Data!H104&lt;=KPI_Config!$E$8,KPI_Config!$D$8,IF(AND(KPI_Config!$F$8&gt;0,Raw_Data!H104&lt;=KPI_Config!$G$8),KPI_Config!$F$8,0)),IF(Raw_Data!H104&gt;=KPI_Config!$E$8,KPI_Config!$D$8,IF(AND(KPI_Config!$F$8&gt;0,Raw_Data!H104&gt;=KPI_Config!$G$8),KPI_Config!$F$8,0)))))</f>
        <v>0.1</v>
      </c>
      <c r="I104" s="16">
        <f>IF($A104="","",IF(Raw_Data!I104="",0,IF(KPI_Config!$C$9="L",IF(Raw_Data!I104&lt;=KPI_Config!$E$9,KPI_Config!$D$9,IF(AND(KPI_Config!$F$9&gt;0,Raw_Data!I104&lt;=KPI_Config!$G$9),KPI_Config!$F$9,0)),IF(Raw_Data!I104&gt;=KPI_Config!$E$9,KPI_Config!$D$9,IF(AND(KPI_Config!$F$9&gt;0,Raw_Data!I104&gt;=KPI_Config!$G$9),KPI_Config!$F$9,0)))))</f>
        <v>0</v>
      </c>
      <c r="J104" s="16">
        <f>IF($A104="","",IF(Raw_Data!J104="",0,IF(KPI_Config!$C$10="L",IF(Raw_Data!J104&lt;=KPI_Config!$E$10,KPI_Config!$D$10,IF(AND(KPI_Config!$F$10&gt;0,Raw_Data!J104&lt;=KPI_Config!$G$10),KPI_Config!$F$10,0)),IF(Raw_Data!J104&gt;=KPI_Config!$E$10,KPI_Config!$D$10,IF(AND(KPI_Config!$F$10&gt;0,Raw_Data!J104&gt;=KPI_Config!$G$10),KPI_Config!$F$10,0)))))</f>
        <v>0.15</v>
      </c>
      <c r="K104" s="16">
        <f>IF($A104="","",IF(Raw_Data!G104="",0,IF(KPI_Config!$C$11="L",IF(Raw_Data!G104&lt;=KPI_Config!$E$11,KPI_Config!$D$11,IF(AND(KPI_Config!$F$11&gt;0,Raw_Data!G104&lt;=KPI_Config!$G$11),KPI_Config!$F$11,0)),IF(Raw_Data!G104&gt;=KPI_Config!$E$11,KPI_Config!$D$11,IF(AND(KPI_Config!$F$11&gt;0,Raw_Data!G104&gt;=KPI_Config!$G$11),KPI_Config!$F$11,0)))))</f>
        <v>0.3</v>
      </c>
      <c r="L104" s="16">
        <f>IF($A104="","",MIN(Policy_Decisions!$B$10,IF(Policy_Decisions!$B$6="Additive",SUM(E104:K104),SUM(E104:J104)-G104+MAX(G104,K104))))</f>
        <v>0.75</v>
      </c>
      <c r="M104" s="16">
        <f>IF($A104="","",Raw_Data!K104)</f>
        <v>0</v>
      </c>
      <c r="N104" s="16">
        <f>IF($A104="","",IFERROR(VLOOKUP(M104,KPI_Config!$I$5:$J$10,2,FALSE()),0))</f>
        <v>0</v>
      </c>
      <c r="O104" s="16">
        <f>IF($A104="","",IF(Policy_Decisions!$B$5="Percentage points",MAX(0,L104-N104),L104*(1-N104)))</f>
        <v>0.75</v>
      </c>
      <c r="P104" s="15" t="str">
        <f>IF($A104="","",IF(U104="","Review proration",IF(O104=0,"No payout",IF(N104&gt;0,"Malus applied","Eligible"))))</f>
        <v>Eligible</v>
      </c>
      <c r="Q104" s="15" t="str">
        <f>IF($A104="","",Raw_Data!M104)</f>
        <v>MAD</v>
      </c>
      <c r="R104" s="38">
        <f>IF($A104="","",Raw_Data!N104)</f>
        <v>0</v>
      </c>
      <c r="S104" s="38">
        <f>IF($A104="","",Raw_Data!O104)</f>
        <v>0</v>
      </c>
      <c r="T104" s="38">
        <f>IF($A104="","",IF(Raw_Data!P104&gt;0,Raw_Data!P104,Raw_Data!N104*Raw_Data!O104/IF(Policy_Decisions!$B$7="Annual",12,1)))</f>
        <v>2000</v>
      </c>
      <c r="U104" s="38">
        <f>IF($A104="","",IF(OR(Raw_Data!R104="",Raw_Data!R104&lt;=0),"",MIN(1,MAX(0,Raw_Data!Q104/Raw_Data!R104))))</f>
        <v>1</v>
      </c>
      <c r="V104" s="38">
        <f>IF(OR($A104="",U104=""),"",T104*U104)</f>
        <v>2000</v>
      </c>
      <c r="W104" s="38">
        <f>IF(OR($A104="",V104=""),"",V104*L104)</f>
        <v>1500</v>
      </c>
      <c r="X104" s="38">
        <f>IF(OR($A104="",V104=""),"",V104*L104-V104*O104)</f>
        <v>0</v>
      </c>
      <c r="Y104" s="38">
        <f>IF(OR($A104="",V104=""),"",ROUND(V104*O104,IF(Policy_Decisions!$B$11="Whole MAD",0,2)))</f>
        <v>1500</v>
      </c>
      <c r="Z104" t="str">
        <f>Raw_Data!T104</f>
        <v>Zineb MOUFID</v>
      </c>
      <c r="AA104" t="str">
        <f>Raw_Data!U104</f>
        <v>Anas OUAKKAD</v>
      </c>
    </row>
    <row r="105" spans="1:27" ht="14.25" customHeight="1">
      <c r="A105" s="13">
        <f>IF(Raw_Data!A105="","",Raw_Data!A105)</f>
        <v>203589</v>
      </c>
      <c r="B105" s="13" t="str">
        <f>IF(Raw_Data!B105="","",Raw_Data!B105)</f>
        <v>El Ayoubi Ichraf</v>
      </c>
      <c r="C105" s="13" t="str">
        <f>IF(Raw_Data!C105="","",Raw_Data!C105)</f>
        <v>Ford Dutch</v>
      </c>
      <c r="D105" s="13" t="str">
        <f>IF(Raw_Data!D105="","",Raw_Data!D105)</f>
        <v>2026-07</v>
      </c>
      <c r="E105" s="21">
        <f>IF($A105="","",IF(Raw_Data!E105="",0,IF(KPI_Config!$C$5="L",IF(Raw_Data!E105&lt;=KPI_Config!$E$5,KPI_Config!$D$5,IF(AND(KPI_Config!$F$5&gt;0,Raw_Data!E105&lt;=KPI_Config!$G$5),KPI_Config!$F$5,0)),IF(Raw_Data!E105&gt;=KPI_Config!$E$5,KPI_Config!$D$5,IF(AND(KPI_Config!$F$5&gt;0,Raw_Data!E105&gt;=KPI_Config!$G$5),KPI_Config!$F$5,0)))))</f>
        <v>0.15</v>
      </c>
      <c r="F105" s="21">
        <f>IF($A105="","",IF(Raw_Data!F105="",0,IF(KPI_Config!$C$6="L",IF(Raw_Data!F105&lt;=KPI_Config!$E$6,KPI_Config!$D$6,IF(AND(KPI_Config!$F$6&gt;0,Raw_Data!F105&lt;=KPI_Config!$G$6),KPI_Config!$F$6,0)),IF(Raw_Data!F105&gt;=KPI_Config!$E$6,KPI_Config!$D$6,IF(AND(KPI_Config!$F$6&gt;0,Raw_Data!F105&gt;=KPI_Config!$G$6),KPI_Config!$F$6,0)))))</f>
        <v>0.15</v>
      </c>
      <c r="G105" s="21">
        <f>IF($A105="","",IF(Raw_Data!G105="",0,IF(KPI_Config!$C$7="L",IF(Raw_Data!G105&lt;=KPI_Config!$E$7,KPI_Config!$D$7,IF(AND(KPI_Config!$F$7&gt;0,Raw_Data!G105&lt;=KPI_Config!$G$7),KPI_Config!$F$7,0)),IF(Raw_Data!G105&gt;=KPI_Config!$E$7,KPI_Config!$D$7,IF(AND(KPI_Config!$F$7&gt;0,Raw_Data!G105&gt;=KPI_Config!$G$7),KPI_Config!$F$7,0)))))</f>
        <v>0</v>
      </c>
      <c r="H105" s="21">
        <f>IF($A105="","",IF(Raw_Data!H105="",0,IF(KPI_Config!$C$8="L",IF(Raw_Data!H105&lt;=KPI_Config!$E$8,KPI_Config!$D$8,IF(AND(KPI_Config!$F$8&gt;0,Raw_Data!H105&lt;=KPI_Config!$G$8),KPI_Config!$F$8,0)),IF(Raw_Data!H105&gt;=KPI_Config!$E$8,KPI_Config!$D$8,IF(AND(KPI_Config!$F$8&gt;0,Raw_Data!H105&gt;=KPI_Config!$G$8),KPI_Config!$F$8,0)))))</f>
        <v>0</v>
      </c>
      <c r="I105" s="21">
        <f>IF($A105="","",IF(Raw_Data!I105="",0,IF(KPI_Config!$C$9="L",IF(Raw_Data!I105&lt;=KPI_Config!$E$9,KPI_Config!$D$9,IF(AND(KPI_Config!$F$9&gt;0,Raw_Data!I105&lt;=KPI_Config!$G$9),KPI_Config!$F$9,0)),IF(Raw_Data!I105&gt;=KPI_Config!$E$9,KPI_Config!$D$9,IF(AND(KPI_Config!$F$9&gt;0,Raw_Data!I105&gt;=KPI_Config!$G$9),KPI_Config!$F$9,0)))))</f>
        <v>0</v>
      </c>
      <c r="J105" s="21">
        <f>IF($A105="","",IF(Raw_Data!J105="",0,IF(KPI_Config!$C$10="L",IF(Raw_Data!J105&lt;=KPI_Config!$E$10,KPI_Config!$D$10,IF(AND(KPI_Config!$F$10&gt;0,Raw_Data!J105&lt;=KPI_Config!$G$10),KPI_Config!$F$10,0)),IF(Raw_Data!J105&gt;=KPI_Config!$E$10,KPI_Config!$D$10,IF(AND(KPI_Config!$F$10&gt;0,Raw_Data!J105&gt;=KPI_Config!$G$10),KPI_Config!$F$10,0)))))</f>
        <v>0.15</v>
      </c>
      <c r="K105" s="21">
        <f>IF($A105="","",IF(Raw_Data!G105="",0,IF(KPI_Config!$C$11="L",IF(Raw_Data!G105&lt;=KPI_Config!$E$11,KPI_Config!$D$11,IF(AND(KPI_Config!$F$11&gt;0,Raw_Data!G105&lt;=KPI_Config!$G$11),KPI_Config!$F$11,0)),IF(Raw_Data!G105&gt;=KPI_Config!$E$11,KPI_Config!$D$11,IF(AND(KPI_Config!$F$11&gt;0,Raw_Data!G105&gt;=KPI_Config!$G$11),KPI_Config!$F$11,0)))))</f>
        <v>0</v>
      </c>
      <c r="L105" s="21">
        <f>IF($A105="","",MIN(Policy_Decisions!$B$10,IF(Policy_Decisions!$B$6="Additive",SUM(E105:K105),SUM(E105:J105)-G105+MAX(G105,K105))))</f>
        <v>0.44999999999999996</v>
      </c>
      <c r="M105" s="21">
        <f>IF($A105="","",Raw_Data!K105)</f>
        <v>0</v>
      </c>
      <c r="N105" s="21">
        <f>IF($A105="","",IFERROR(VLOOKUP(M105,KPI_Config!$I$5:$J$10,2,FALSE()),0))</f>
        <v>0</v>
      </c>
      <c r="O105" s="21">
        <f>IF($A105="","",IF(Policy_Decisions!$B$5="Percentage points",MAX(0,L105-N105),L105*(1-N105)))</f>
        <v>0.44999999999999996</v>
      </c>
      <c r="P105" s="13" t="str">
        <f>IF($A105="","",IF(U105="","Review proration",IF(O105=0,"No payout",IF(N105&gt;0,"Malus applied","Eligible"))))</f>
        <v>Eligible</v>
      </c>
      <c r="Q105" s="13" t="str">
        <f>IF($A105="","",Raw_Data!M105)</f>
        <v>MAD</v>
      </c>
      <c r="R105" s="37">
        <f>IF($A105="","",Raw_Data!N105)</f>
        <v>0</v>
      </c>
      <c r="S105" s="37">
        <f>IF($A105="","",Raw_Data!O105)</f>
        <v>0</v>
      </c>
      <c r="T105" s="37">
        <f>IF($A105="","",IF(Raw_Data!P105&gt;0,Raw_Data!P105,Raw_Data!N105*Raw_Data!O105/IF(Policy_Decisions!$B$7="Annual",12,1)))</f>
        <v>2000</v>
      </c>
      <c r="U105" s="37">
        <f>IF($A105="","",IF(OR(Raw_Data!R105="",Raw_Data!R105&lt;=0),"",MIN(1,MAX(0,Raw_Data!Q105/Raw_Data!R105))))</f>
        <v>1</v>
      </c>
      <c r="V105" s="37">
        <f>IF(OR($A105="",U105=""),"",T105*U105)</f>
        <v>2000</v>
      </c>
      <c r="W105" s="37">
        <f>IF(OR($A105="",V105=""),"",V105*L105)</f>
        <v>899.99999999999989</v>
      </c>
      <c r="X105" s="37">
        <f>IF(OR($A105="",V105=""),"",V105*L105-V105*O105)</f>
        <v>0</v>
      </c>
      <c r="Y105" s="37">
        <f>IF(OR($A105="",V105=""),"",ROUND(V105*O105,IF(Policy_Decisions!$B$11="Whole MAD",0,2)))</f>
        <v>900</v>
      </c>
      <c r="Z105" t="str">
        <f>Raw_Data!T105</f>
        <v>EL GHAZI Youssef</v>
      </c>
      <c r="AA105" t="str">
        <f>Raw_Data!U105</f>
        <v>Anas OUAKKAD</v>
      </c>
    </row>
    <row r="106" spans="1:27" ht="14.25" customHeight="1">
      <c r="A106" s="15">
        <f>IF(Raw_Data!A106="","",Raw_Data!A106)</f>
        <v>228675</v>
      </c>
      <c r="B106" s="15" t="str">
        <f>IF(Raw_Data!B106="","",Raw_Data!B106)</f>
        <v>Houda  Rawis</v>
      </c>
      <c r="C106" s="15" t="str">
        <f>IF(Raw_Data!C106="","",Raw_Data!C106)</f>
        <v>OEM FR</v>
      </c>
      <c r="D106" s="15" t="str">
        <f>IF(Raw_Data!D106="","",Raw_Data!D106)</f>
        <v>2026-07</v>
      </c>
      <c r="E106" s="16">
        <f>IF($A106="","",IF(Raw_Data!E106="",0,IF(KPI_Config!$C$5="L",IF(Raw_Data!E106&lt;=KPI_Config!$E$5,KPI_Config!$D$5,IF(AND(KPI_Config!$F$5&gt;0,Raw_Data!E106&lt;=KPI_Config!$G$5),KPI_Config!$F$5,0)),IF(Raw_Data!E106&gt;=KPI_Config!$E$5,KPI_Config!$D$5,IF(AND(KPI_Config!$F$5&gt;0,Raw_Data!E106&gt;=KPI_Config!$G$5),KPI_Config!$F$5,0)))))</f>
        <v>0</v>
      </c>
      <c r="F106" s="16">
        <f>IF($A106="","",IF(Raw_Data!F106="",0,IF(KPI_Config!$C$6="L",IF(Raw_Data!F106&lt;=KPI_Config!$E$6,KPI_Config!$D$6,IF(AND(KPI_Config!$F$6&gt;0,Raw_Data!F106&lt;=KPI_Config!$G$6),KPI_Config!$F$6,0)),IF(Raw_Data!F106&gt;=KPI_Config!$E$6,KPI_Config!$D$6,IF(AND(KPI_Config!$F$6&gt;0,Raw_Data!F106&gt;=KPI_Config!$G$6),KPI_Config!$F$6,0)))))</f>
        <v>0</v>
      </c>
      <c r="G106" s="16">
        <f>IF($A106="","",IF(Raw_Data!G106="",0,IF(KPI_Config!$C$7="L",IF(Raw_Data!G106&lt;=KPI_Config!$E$7,KPI_Config!$D$7,IF(AND(KPI_Config!$F$7&gt;0,Raw_Data!G106&lt;=KPI_Config!$G$7),KPI_Config!$F$7,0)),IF(Raw_Data!G106&gt;=KPI_Config!$E$7,KPI_Config!$D$7,IF(AND(KPI_Config!$F$7&gt;0,Raw_Data!G106&gt;=KPI_Config!$G$7),KPI_Config!$F$7,0)))))</f>
        <v>0.2</v>
      </c>
      <c r="H106" s="16">
        <f>IF($A106="","",IF(Raw_Data!H106="",0,IF(KPI_Config!$C$8="L",IF(Raw_Data!H106&lt;=KPI_Config!$E$8,KPI_Config!$D$8,IF(AND(KPI_Config!$F$8&gt;0,Raw_Data!H106&lt;=KPI_Config!$G$8),KPI_Config!$F$8,0)),IF(Raw_Data!H106&gt;=KPI_Config!$E$8,KPI_Config!$D$8,IF(AND(KPI_Config!$F$8&gt;0,Raw_Data!H106&gt;=KPI_Config!$G$8),KPI_Config!$F$8,0)))))</f>
        <v>0</v>
      </c>
      <c r="I106" s="16">
        <f>IF($A106="","",IF(Raw_Data!I106="",0,IF(KPI_Config!$C$9="L",IF(Raw_Data!I106&lt;=KPI_Config!$E$9,KPI_Config!$D$9,IF(AND(KPI_Config!$F$9&gt;0,Raw_Data!I106&lt;=KPI_Config!$G$9),KPI_Config!$F$9,0)),IF(Raw_Data!I106&gt;=KPI_Config!$E$9,KPI_Config!$D$9,IF(AND(KPI_Config!$F$9&gt;0,Raw_Data!I106&gt;=KPI_Config!$G$9),KPI_Config!$F$9,0)))))</f>
        <v>0</v>
      </c>
      <c r="J106" s="16">
        <f>IF($A106="","",IF(Raw_Data!J106="",0,IF(KPI_Config!$C$10="L",IF(Raw_Data!J106&lt;=KPI_Config!$E$10,KPI_Config!$D$10,IF(AND(KPI_Config!$F$10&gt;0,Raw_Data!J106&lt;=KPI_Config!$G$10),KPI_Config!$F$10,0)),IF(Raw_Data!J106&gt;=KPI_Config!$E$10,KPI_Config!$D$10,IF(AND(KPI_Config!$F$10&gt;0,Raw_Data!J106&gt;=KPI_Config!$G$10),KPI_Config!$F$10,0)))))</f>
        <v>0.15</v>
      </c>
      <c r="K106" s="16">
        <f>IF($A106="","",IF(Raw_Data!G106="",0,IF(KPI_Config!$C$11="L",IF(Raw_Data!G106&lt;=KPI_Config!$E$11,KPI_Config!$D$11,IF(AND(KPI_Config!$F$11&gt;0,Raw_Data!G106&lt;=KPI_Config!$G$11),KPI_Config!$F$11,0)),IF(Raw_Data!G106&gt;=KPI_Config!$E$11,KPI_Config!$D$11,IF(AND(KPI_Config!$F$11&gt;0,Raw_Data!G106&gt;=KPI_Config!$G$11),KPI_Config!$F$11,0)))))</f>
        <v>0.3</v>
      </c>
      <c r="L106" s="16">
        <f>IF($A106="","",MIN(Policy_Decisions!$B$10,IF(Policy_Decisions!$B$6="Additive",SUM(E106:K106),SUM(E106:J106)-G106+MAX(G106,K106))))</f>
        <v>0.64999999999999991</v>
      </c>
      <c r="M106" s="16">
        <f>IF($A106="","",Raw_Data!K106)</f>
        <v>0</v>
      </c>
      <c r="N106" s="16">
        <f>IF($A106="","",IFERROR(VLOOKUP(M106,KPI_Config!$I$5:$J$10,2,FALSE()),0))</f>
        <v>0</v>
      </c>
      <c r="O106" s="16">
        <f>IF($A106="","",IF(Policy_Decisions!$B$5="Percentage points",MAX(0,L106-N106),L106*(1-N106)))</f>
        <v>0.64999999999999991</v>
      </c>
      <c r="P106" s="15" t="str">
        <f>IF($A106="","",IF(U106="","Review proration",IF(O106=0,"No payout",IF(N106&gt;0,"Malus applied","Eligible"))))</f>
        <v>Eligible</v>
      </c>
      <c r="Q106" s="15" t="str">
        <f>IF($A106="","",Raw_Data!M106)</f>
        <v>MAD</v>
      </c>
      <c r="R106" s="38">
        <f>IF($A106="","",Raw_Data!N106)</f>
        <v>0</v>
      </c>
      <c r="S106" s="38">
        <f>IF($A106="","",Raw_Data!O106)</f>
        <v>0</v>
      </c>
      <c r="T106" s="38">
        <f>IF($A106="","",IF(Raw_Data!P106&gt;0,Raw_Data!P106,Raw_Data!N106*Raw_Data!O106/IF(Policy_Decisions!$B$7="Annual",12,1)))</f>
        <v>2000</v>
      </c>
      <c r="U106" s="38">
        <f>IF($A106="","",IF(OR(Raw_Data!R106="",Raw_Data!R106&lt;=0),"",MIN(1,MAX(0,Raw_Data!Q106/Raw_Data!R106))))</f>
        <v>1</v>
      </c>
      <c r="V106" s="38">
        <f>IF(OR($A106="",U106=""),"",T106*U106)</f>
        <v>2000</v>
      </c>
      <c r="W106" s="38">
        <f>IF(OR($A106="",V106=""),"",V106*L106)</f>
        <v>1299.9999999999998</v>
      </c>
      <c r="X106" s="38">
        <f>IF(OR($A106="",V106=""),"",V106*L106-V106*O106)</f>
        <v>0</v>
      </c>
      <c r="Y106" s="38">
        <f>IF(OR($A106="",V106=""),"",ROUND(V106*O106,IF(Policy_Decisions!$B$11="Whole MAD",0,2)))</f>
        <v>1300</v>
      </c>
      <c r="Z106" t="str">
        <f>Raw_Data!T106</f>
        <v>Zineb MOUFID</v>
      </c>
      <c r="AA106" t="str">
        <f>Raw_Data!U106</f>
        <v>Anas OUAKKAD</v>
      </c>
    </row>
    <row r="107" spans="1:27" ht="14.25" customHeight="1">
      <c r="A107" s="13">
        <f>IF(Raw_Data!A107="","",Raw_Data!A107)</f>
        <v>232194</v>
      </c>
      <c r="B107" s="13" t="str">
        <f>IF(Raw_Data!B107="","",Raw_Data!B107)</f>
        <v>Houcine Benhaddo</v>
      </c>
      <c r="C107" s="13" t="str">
        <f>IF(Raw_Data!C107="","",Raw_Data!C107)</f>
        <v>RSA NL</v>
      </c>
      <c r="D107" s="13" t="str">
        <f>IF(Raw_Data!D107="","",Raw_Data!D107)</f>
        <v>2026-07</v>
      </c>
      <c r="E107" s="21">
        <f>IF($A107="","",IF(Raw_Data!E107="",0,IF(KPI_Config!$C$5="L",IF(Raw_Data!E107&lt;=KPI_Config!$E$5,KPI_Config!$D$5,IF(AND(KPI_Config!$F$5&gt;0,Raw_Data!E107&lt;=KPI_Config!$G$5),KPI_Config!$F$5,0)),IF(Raw_Data!E107&gt;=KPI_Config!$E$5,KPI_Config!$D$5,IF(AND(KPI_Config!$F$5&gt;0,Raw_Data!E107&gt;=KPI_Config!$G$5),KPI_Config!$F$5,0)))))</f>
        <v>0.15</v>
      </c>
      <c r="F107" s="21">
        <f>IF($A107="","",IF(Raw_Data!F107="",0,IF(KPI_Config!$C$6="L",IF(Raw_Data!F107&lt;=KPI_Config!$E$6,KPI_Config!$D$6,IF(AND(KPI_Config!$F$6&gt;0,Raw_Data!F107&lt;=KPI_Config!$G$6),KPI_Config!$F$6,0)),IF(Raw_Data!F107&gt;=KPI_Config!$E$6,KPI_Config!$D$6,IF(AND(KPI_Config!$F$6&gt;0,Raw_Data!F107&gt;=KPI_Config!$G$6),KPI_Config!$F$6,0)))))</f>
        <v>0.15</v>
      </c>
      <c r="G107" s="21">
        <f>IF($A107="","",IF(Raw_Data!G107="",0,IF(KPI_Config!$C$7="L",IF(Raw_Data!G107&lt;=KPI_Config!$E$7,KPI_Config!$D$7,IF(AND(KPI_Config!$F$7&gt;0,Raw_Data!G107&lt;=KPI_Config!$G$7),KPI_Config!$F$7,0)),IF(Raw_Data!G107&gt;=KPI_Config!$E$7,KPI_Config!$D$7,IF(AND(KPI_Config!$F$7&gt;0,Raw_Data!G107&gt;=KPI_Config!$G$7),KPI_Config!$F$7,0)))))</f>
        <v>0.15</v>
      </c>
      <c r="H107" s="21">
        <f>IF($A107="","",IF(Raw_Data!H107="",0,IF(KPI_Config!$C$8="L",IF(Raw_Data!H107&lt;=KPI_Config!$E$8,KPI_Config!$D$8,IF(AND(KPI_Config!$F$8&gt;0,Raw_Data!H107&lt;=KPI_Config!$G$8),KPI_Config!$F$8,0)),IF(Raw_Data!H107&gt;=KPI_Config!$E$8,KPI_Config!$D$8,IF(AND(KPI_Config!$F$8&gt;0,Raw_Data!H107&gt;=KPI_Config!$G$8),KPI_Config!$F$8,0)))))</f>
        <v>0</v>
      </c>
      <c r="I107" s="21">
        <f>IF($A107="","",IF(Raw_Data!I107="",0,IF(KPI_Config!$C$9="L",IF(Raw_Data!I107&lt;=KPI_Config!$E$9,KPI_Config!$D$9,IF(AND(KPI_Config!$F$9&gt;0,Raw_Data!I107&lt;=KPI_Config!$G$9),KPI_Config!$F$9,0)),IF(Raw_Data!I107&gt;=KPI_Config!$E$9,KPI_Config!$D$9,IF(AND(KPI_Config!$F$9&gt;0,Raw_Data!I107&gt;=KPI_Config!$G$9),KPI_Config!$F$9,0)))))</f>
        <v>0</v>
      </c>
      <c r="J107" s="21">
        <f>IF($A107="","",IF(Raw_Data!J107="",0,IF(KPI_Config!$C$10="L",IF(Raw_Data!J107&lt;=KPI_Config!$E$10,KPI_Config!$D$10,IF(AND(KPI_Config!$F$10&gt;0,Raw_Data!J107&lt;=KPI_Config!$G$10),KPI_Config!$F$10,0)),IF(Raw_Data!J107&gt;=KPI_Config!$E$10,KPI_Config!$D$10,IF(AND(KPI_Config!$F$10&gt;0,Raw_Data!J107&gt;=KPI_Config!$G$10),KPI_Config!$F$10,0)))))</f>
        <v>0.15</v>
      </c>
      <c r="K107" s="21">
        <f>IF($A107="","",IF(Raw_Data!G107="",0,IF(KPI_Config!$C$11="L",IF(Raw_Data!G107&lt;=KPI_Config!$E$11,KPI_Config!$D$11,IF(AND(KPI_Config!$F$11&gt;0,Raw_Data!G107&lt;=KPI_Config!$G$11),KPI_Config!$F$11,0)),IF(Raw_Data!G107&gt;=KPI_Config!$E$11,KPI_Config!$D$11,IF(AND(KPI_Config!$F$11&gt;0,Raw_Data!G107&gt;=KPI_Config!$G$11),KPI_Config!$F$11,0)))))</f>
        <v>0</v>
      </c>
      <c r="L107" s="21">
        <f>IF($A107="","",MIN(Policy_Decisions!$B$10,IF(Policy_Decisions!$B$6="Additive",SUM(E107:K107),SUM(E107:J107)-G107+MAX(G107,K107))))</f>
        <v>0.6</v>
      </c>
      <c r="M107" s="21">
        <f>IF($A107="","",Raw_Data!K107)</f>
        <v>0</v>
      </c>
      <c r="N107" s="21">
        <f>IF($A107="","",IFERROR(VLOOKUP(M107,KPI_Config!$I$5:$J$10,2,FALSE()),0))</f>
        <v>0</v>
      </c>
      <c r="O107" s="21">
        <f>IF($A107="","",IF(Policy_Decisions!$B$5="Percentage points",MAX(0,L107-N107),L107*(1-N107)))</f>
        <v>0.6</v>
      </c>
      <c r="P107" s="13" t="str">
        <f>IF($A107="","",IF(U107="","Review proration",IF(O107=0,"No payout",IF(N107&gt;0,"Malus applied","Eligible"))))</f>
        <v>Eligible</v>
      </c>
      <c r="Q107" s="13" t="str">
        <f>IF($A107="","",Raw_Data!M107)</f>
        <v>MAD</v>
      </c>
      <c r="R107" s="37">
        <f>IF($A107="","",Raw_Data!N107)</f>
        <v>0</v>
      </c>
      <c r="S107" s="37">
        <f>IF($A107="","",Raw_Data!O107)</f>
        <v>0</v>
      </c>
      <c r="T107" s="37">
        <f>IF($A107="","",IF(Raw_Data!P107&gt;0,Raw_Data!P107,Raw_Data!N107*Raw_Data!O107/IF(Policy_Decisions!$B$7="Annual",12,1)))</f>
        <v>2000</v>
      </c>
      <c r="U107" s="37">
        <f>IF($A107="","",IF(OR(Raw_Data!R107="",Raw_Data!R107&lt;=0),"",MIN(1,MAX(0,Raw_Data!Q107/Raw_Data!R107))))</f>
        <v>1</v>
      </c>
      <c r="V107" s="37">
        <f>IF(OR($A107="",U107=""),"",T107*U107)</f>
        <v>2000</v>
      </c>
      <c r="W107" s="37">
        <f>IF(OR($A107="",V107=""),"",V107*L107)</f>
        <v>1200</v>
      </c>
      <c r="X107" s="37">
        <f>IF(OR($A107="",V107=""),"",V107*L107-V107*O107)</f>
        <v>0</v>
      </c>
      <c r="Y107" s="37">
        <f>IF(OR($A107="",V107=""),"",ROUND(V107*O107,IF(Policy_Decisions!$B$11="Whole MAD",0,2)))</f>
        <v>1200</v>
      </c>
      <c r="Z107" t="str">
        <f>Raw_Data!T107</f>
        <v>AL TAMIMI Zeynab</v>
      </c>
      <c r="AA107" t="str">
        <f>Raw_Data!U107</f>
        <v>Anas OUAKKAD</v>
      </c>
    </row>
    <row r="108" spans="1:27" ht="14.25" customHeight="1">
      <c r="A108" s="15">
        <f>IF(Raw_Data!A108="","",Raw_Data!A108)</f>
        <v>232187</v>
      </c>
      <c r="B108" s="15" t="str">
        <f>IF(Raw_Data!B108="","",Raw_Data!B108)</f>
        <v xml:space="preserve">Haytham Mhafoudi </v>
      </c>
      <c r="C108" s="15" t="str">
        <f>IF(Raw_Data!C108="","",Raw_Data!C108)</f>
        <v>RSA VL</v>
      </c>
      <c r="D108" s="15" t="str">
        <f>IF(Raw_Data!D108="","",Raw_Data!D108)</f>
        <v>2026-07</v>
      </c>
      <c r="E108" s="16">
        <f>IF($A108="","",IF(Raw_Data!E108="",0,IF(KPI_Config!$C$5="L",IF(Raw_Data!E108&lt;=KPI_Config!$E$5,KPI_Config!$D$5,IF(AND(KPI_Config!$F$5&gt;0,Raw_Data!E108&lt;=KPI_Config!$G$5),KPI_Config!$F$5,0)),IF(Raw_Data!E108&gt;=KPI_Config!$E$5,KPI_Config!$D$5,IF(AND(KPI_Config!$F$5&gt;0,Raw_Data!E108&gt;=KPI_Config!$G$5),KPI_Config!$F$5,0)))))</f>
        <v>0</v>
      </c>
      <c r="F108" s="16">
        <f>IF($A108="","",IF(Raw_Data!F108="",0,IF(KPI_Config!$C$6="L",IF(Raw_Data!F108&lt;=KPI_Config!$E$6,KPI_Config!$D$6,IF(AND(KPI_Config!$F$6&gt;0,Raw_Data!F108&lt;=KPI_Config!$G$6),KPI_Config!$F$6,0)),IF(Raw_Data!F108&gt;=KPI_Config!$E$6,KPI_Config!$D$6,IF(AND(KPI_Config!$F$6&gt;0,Raw_Data!F108&gt;=KPI_Config!$G$6),KPI_Config!$F$6,0)))))</f>
        <v>0</v>
      </c>
      <c r="G108" s="16">
        <f>IF($A108="","",IF(Raw_Data!G108="",0,IF(KPI_Config!$C$7="L",IF(Raw_Data!G108&lt;=KPI_Config!$E$7,KPI_Config!$D$7,IF(AND(KPI_Config!$F$7&gt;0,Raw_Data!G108&lt;=KPI_Config!$G$7),KPI_Config!$F$7,0)),IF(Raw_Data!G108&gt;=KPI_Config!$E$7,KPI_Config!$D$7,IF(AND(KPI_Config!$F$7&gt;0,Raw_Data!G108&gt;=KPI_Config!$G$7),KPI_Config!$F$7,0)))))</f>
        <v>0</v>
      </c>
      <c r="H108" s="16">
        <f>IF($A108="","",IF(Raw_Data!H108="",0,IF(KPI_Config!$C$8="L",IF(Raw_Data!H108&lt;=KPI_Config!$E$8,KPI_Config!$D$8,IF(AND(KPI_Config!$F$8&gt;0,Raw_Data!H108&lt;=KPI_Config!$G$8),KPI_Config!$F$8,0)),IF(Raw_Data!H108&gt;=KPI_Config!$E$8,KPI_Config!$D$8,IF(AND(KPI_Config!$F$8&gt;0,Raw_Data!H108&gt;=KPI_Config!$G$8),KPI_Config!$F$8,0)))))</f>
        <v>0</v>
      </c>
      <c r="I108" s="16">
        <f>IF($A108="","",IF(Raw_Data!I108="",0,IF(KPI_Config!$C$9="L",IF(Raw_Data!I108&lt;=KPI_Config!$E$9,KPI_Config!$D$9,IF(AND(KPI_Config!$F$9&gt;0,Raw_Data!I108&lt;=KPI_Config!$G$9),KPI_Config!$F$9,0)),IF(Raw_Data!I108&gt;=KPI_Config!$E$9,KPI_Config!$D$9,IF(AND(KPI_Config!$F$9&gt;0,Raw_Data!I108&gt;=KPI_Config!$G$9),KPI_Config!$F$9,0)))))</f>
        <v>0</v>
      </c>
      <c r="J108" s="16">
        <f>IF($A108="","",IF(Raw_Data!J108="",0,IF(KPI_Config!$C$10="L",IF(Raw_Data!J108&lt;=KPI_Config!$E$10,KPI_Config!$D$10,IF(AND(KPI_Config!$F$10&gt;0,Raw_Data!J108&lt;=KPI_Config!$G$10),KPI_Config!$F$10,0)),IF(Raw_Data!J108&gt;=KPI_Config!$E$10,KPI_Config!$D$10,IF(AND(KPI_Config!$F$10&gt;0,Raw_Data!J108&gt;=KPI_Config!$G$10),KPI_Config!$F$10,0)))))</f>
        <v>0</v>
      </c>
      <c r="K108" s="16">
        <f>IF($A108="","",IF(Raw_Data!G108="",0,IF(KPI_Config!$C$11="L",IF(Raw_Data!G108&lt;=KPI_Config!$E$11,KPI_Config!$D$11,IF(AND(KPI_Config!$F$11&gt;0,Raw_Data!G108&lt;=KPI_Config!$G$11),KPI_Config!$F$11,0)),IF(Raw_Data!G108&gt;=KPI_Config!$E$11,KPI_Config!$D$11,IF(AND(KPI_Config!$F$11&gt;0,Raw_Data!G108&gt;=KPI_Config!$G$11),KPI_Config!$F$11,0)))))</f>
        <v>0</v>
      </c>
      <c r="L108" s="16">
        <f>IF($A108="","",MIN(Policy_Decisions!$B$10,IF(Policy_Decisions!$B$6="Additive",SUM(E108:K108),SUM(E108:J108)-G108+MAX(G108,K108))))</f>
        <v>0</v>
      </c>
      <c r="M108" s="16">
        <f>IF($A108="","",Raw_Data!K108)</f>
        <v>0</v>
      </c>
      <c r="N108" s="16">
        <f>IF($A108="","",IFERROR(VLOOKUP(M108,KPI_Config!$I$5:$J$10,2,FALSE()),0))</f>
        <v>0</v>
      </c>
      <c r="O108" s="16">
        <f>IF($A108="","",IF(Policy_Decisions!$B$5="Percentage points",MAX(0,L108-N108),L108*(1-N108)))</f>
        <v>0</v>
      </c>
      <c r="P108" s="15" t="str">
        <f>IF($A108="","",IF(U108="","Review proration",IF(O108=0,"No payout",IF(N108&gt;0,"Malus applied","Eligible"))))</f>
        <v>No payout</v>
      </c>
      <c r="Q108" s="15" t="str">
        <f>IF($A108="","",Raw_Data!M108)</f>
        <v>MAD</v>
      </c>
      <c r="R108" s="38">
        <f>IF($A108="","",Raw_Data!N108)</f>
        <v>0</v>
      </c>
      <c r="S108" s="38">
        <f>IF($A108="","",Raw_Data!O108)</f>
        <v>0</v>
      </c>
      <c r="T108" s="38">
        <f>IF($A108="","",IF(Raw_Data!P108&gt;0,Raw_Data!P108,Raw_Data!N108*Raw_Data!O108/IF(Policy_Decisions!$B$7="Annual",12,1)))</f>
        <v>2000</v>
      </c>
      <c r="U108" s="38">
        <f>IF($A108="","",IF(OR(Raw_Data!R108="",Raw_Data!R108&lt;=0),"",MIN(1,MAX(0,Raw_Data!Q108/Raw_Data!R108))))</f>
        <v>1</v>
      </c>
      <c r="V108" s="38">
        <f>IF(OR($A108="",U108=""),"",T108*U108)</f>
        <v>2000</v>
      </c>
      <c r="W108" s="38">
        <f>IF(OR($A108="",V108=""),"",V108*L108)</f>
        <v>0</v>
      </c>
      <c r="X108" s="38">
        <f>IF(OR($A108="",V108=""),"",V108*L108-V108*O108)</f>
        <v>0</v>
      </c>
      <c r="Y108" s="38">
        <f>IF(OR($A108="",V108=""),"",ROUND(V108*O108,IF(Policy_Decisions!$B$11="Whole MAD",0,2)))</f>
        <v>0</v>
      </c>
      <c r="Z108" t="str">
        <f>Raw_Data!T108</f>
        <v>Glenn Antoon</v>
      </c>
      <c r="AA108" t="str">
        <f>Raw_Data!U108</f>
        <v>Anas OUAKKAD</v>
      </c>
    </row>
    <row r="109" spans="1:27" ht="14.25" customHeight="1">
      <c r="A109" s="13">
        <f>IF(Raw_Data!A109="","",Raw_Data!A109)</f>
        <v>96484</v>
      </c>
      <c r="B109" s="13" t="str">
        <f>IF(Raw_Data!B109="","",Raw_Data!B109)</f>
        <v>KHATIR Hassan</v>
      </c>
      <c r="C109" s="13" t="str">
        <f>IF(Raw_Data!C109="","",Raw_Data!C109)</f>
        <v>RSA NL</v>
      </c>
      <c r="D109" s="13" t="str">
        <f>IF(Raw_Data!D109="","",Raw_Data!D109)</f>
        <v>2026-07</v>
      </c>
      <c r="E109" s="21">
        <f>IF($A109="","",IF(Raw_Data!E109="",0,IF(KPI_Config!$C$5="L",IF(Raw_Data!E109&lt;=KPI_Config!$E$5,KPI_Config!$D$5,IF(AND(KPI_Config!$F$5&gt;0,Raw_Data!E109&lt;=KPI_Config!$G$5),KPI_Config!$F$5,0)),IF(Raw_Data!E109&gt;=KPI_Config!$E$5,KPI_Config!$D$5,IF(AND(KPI_Config!$F$5&gt;0,Raw_Data!E109&gt;=KPI_Config!$G$5),KPI_Config!$F$5,0)))))</f>
        <v>0.15</v>
      </c>
      <c r="F109" s="21">
        <f>IF($A109="","",IF(Raw_Data!F109="",0,IF(KPI_Config!$C$6="L",IF(Raw_Data!F109&lt;=KPI_Config!$E$6,KPI_Config!$D$6,IF(AND(KPI_Config!$F$6&gt;0,Raw_Data!F109&lt;=KPI_Config!$G$6),KPI_Config!$F$6,0)),IF(Raw_Data!F109&gt;=KPI_Config!$E$6,KPI_Config!$D$6,IF(AND(KPI_Config!$F$6&gt;0,Raw_Data!F109&gt;=KPI_Config!$G$6),KPI_Config!$F$6,0)))))</f>
        <v>0</v>
      </c>
      <c r="G109" s="21">
        <f>IF($A109="","",IF(Raw_Data!G109="",0,IF(KPI_Config!$C$7="L",IF(Raw_Data!G109&lt;=KPI_Config!$E$7,KPI_Config!$D$7,IF(AND(KPI_Config!$F$7&gt;0,Raw_Data!G109&lt;=KPI_Config!$G$7),KPI_Config!$F$7,0)),IF(Raw_Data!G109&gt;=KPI_Config!$E$7,KPI_Config!$D$7,IF(AND(KPI_Config!$F$7&gt;0,Raw_Data!G109&gt;=KPI_Config!$G$7),KPI_Config!$F$7,0)))))</f>
        <v>0</v>
      </c>
      <c r="H109" s="21">
        <f>IF($A109="","",IF(Raw_Data!H109="",0,IF(KPI_Config!$C$8="L",IF(Raw_Data!H109&lt;=KPI_Config!$E$8,KPI_Config!$D$8,IF(AND(KPI_Config!$F$8&gt;0,Raw_Data!H109&lt;=KPI_Config!$G$8),KPI_Config!$F$8,0)),IF(Raw_Data!H109&gt;=KPI_Config!$E$8,KPI_Config!$D$8,IF(AND(KPI_Config!$F$8&gt;0,Raw_Data!H109&gt;=KPI_Config!$G$8),KPI_Config!$F$8,0)))))</f>
        <v>0</v>
      </c>
      <c r="I109" s="21">
        <f>IF($A109="","",IF(Raw_Data!I109="",0,IF(KPI_Config!$C$9="L",IF(Raw_Data!I109&lt;=KPI_Config!$E$9,KPI_Config!$D$9,IF(AND(KPI_Config!$F$9&gt;0,Raw_Data!I109&lt;=KPI_Config!$G$9),KPI_Config!$F$9,0)),IF(Raw_Data!I109&gt;=KPI_Config!$E$9,KPI_Config!$D$9,IF(AND(KPI_Config!$F$9&gt;0,Raw_Data!I109&gt;=KPI_Config!$G$9),KPI_Config!$F$9,0)))))</f>
        <v>0</v>
      </c>
      <c r="J109" s="21">
        <f>IF($A109="","",IF(Raw_Data!J109="",0,IF(KPI_Config!$C$10="L",IF(Raw_Data!J109&lt;=KPI_Config!$E$10,KPI_Config!$D$10,IF(AND(KPI_Config!$F$10&gt;0,Raw_Data!J109&lt;=KPI_Config!$G$10),KPI_Config!$F$10,0)),IF(Raw_Data!J109&gt;=KPI_Config!$E$10,KPI_Config!$D$10,IF(AND(KPI_Config!$F$10&gt;0,Raw_Data!J109&gt;=KPI_Config!$G$10),KPI_Config!$F$10,0)))))</f>
        <v>0</v>
      </c>
      <c r="K109" s="21">
        <f>IF($A109="","",IF(Raw_Data!G109="",0,IF(KPI_Config!$C$11="L",IF(Raw_Data!G109&lt;=KPI_Config!$E$11,KPI_Config!$D$11,IF(AND(KPI_Config!$F$11&gt;0,Raw_Data!G109&lt;=KPI_Config!$G$11),KPI_Config!$F$11,0)),IF(Raw_Data!G109&gt;=KPI_Config!$E$11,KPI_Config!$D$11,IF(AND(KPI_Config!$F$11&gt;0,Raw_Data!G109&gt;=KPI_Config!$G$11),KPI_Config!$F$11,0)))))</f>
        <v>0</v>
      </c>
      <c r="L109" s="21">
        <f>IF($A109="","",MIN(Policy_Decisions!$B$10,IF(Policy_Decisions!$B$6="Additive",SUM(E109:K109),SUM(E109:J109)-G109+MAX(G109,K109))))</f>
        <v>0.15</v>
      </c>
      <c r="M109" s="21">
        <f>IF($A109="","",Raw_Data!K109)</f>
        <v>0</v>
      </c>
      <c r="N109" s="21">
        <f>IF($A109="","",IFERROR(VLOOKUP(M109,KPI_Config!$I$5:$J$10,2,FALSE()),0))</f>
        <v>0</v>
      </c>
      <c r="O109" s="21">
        <f>IF($A109="","",IF(Policy_Decisions!$B$5="Percentage points",MAX(0,L109-N109),L109*(1-N109)))</f>
        <v>0.15</v>
      </c>
      <c r="P109" s="13" t="str">
        <f>IF($A109="","",IF(U109="","Review proration",IF(O109=0,"No payout",IF(N109&gt;0,"Malus applied","Eligible"))))</f>
        <v>Eligible</v>
      </c>
      <c r="Q109" s="13" t="str">
        <f>IF($A109="","",Raw_Data!M109)</f>
        <v>MAD</v>
      </c>
      <c r="R109" s="37">
        <f>IF($A109="","",Raw_Data!N109)</f>
        <v>0</v>
      </c>
      <c r="S109" s="37">
        <f>IF($A109="","",Raw_Data!O109)</f>
        <v>0</v>
      </c>
      <c r="T109" s="37">
        <f>IF($A109="","",IF(Raw_Data!P109&gt;0,Raw_Data!P109,Raw_Data!N109*Raw_Data!O109/IF(Policy_Decisions!$B$7="Annual",12,1)))</f>
        <v>2000</v>
      </c>
      <c r="U109" s="37">
        <f>IF($A109="","",IF(OR(Raw_Data!R109="",Raw_Data!R109&lt;=0),"",MIN(1,MAX(0,Raw_Data!Q109/Raw_Data!R109))))</f>
        <v>1</v>
      </c>
      <c r="V109" s="37">
        <f>IF(OR($A109="",U109=""),"",T109*U109)</f>
        <v>2000</v>
      </c>
      <c r="W109" s="37">
        <f>IF(OR($A109="",V109=""),"",V109*L109)</f>
        <v>300</v>
      </c>
      <c r="X109" s="37">
        <f>IF(OR($A109="",V109=""),"",V109*L109-V109*O109)</f>
        <v>0</v>
      </c>
      <c r="Y109" s="37">
        <f>IF(OR($A109="",V109=""),"",ROUND(V109*O109,IF(Policy_Decisions!$B$11="Whole MAD",0,2)))</f>
        <v>300</v>
      </c>
      <c r="Z109" t="str">
        <f>Raw_Data!T109</f>
        <v>JEANNE NKIKIO RWIBUTSO</v>
      </c>
      <c r="AA109" t="str">
        <f>Raw_Data!U109</f>
        <v>Anas OUAKKAD</v>
      </c>
    </row>
    <row r="110" spans="1:27" ht="14.25" customHeight="1">
      <c r="A110" s="15">
        <f>IF(Raw_Data!A110="","",Raw_Data!A110)</f>
        <v>228214</v>
      </c>
      <c r="B110" s="15" t="str">
        <f>IF(Raw_Data!B110="","",Raw_Data!B110)</f>
        <v>Hanane BADIR</v>
      </c>
      <c r="C110" s="15" t="str">
        <f>IF(Raw_Data!C110="","",Raw_Data!C110)</f>
        <v>OEM FR</v>
      </c>
      <c r="D110" s="15" t="str">
        <f>IF(Raw_Data!D110="","",Raw_Data!D110)</f>
        <v>2026-07</v>
      </c>
      <c r="E110" s="16">
        <f>IF($A110="","",IF(Raw_Data!E110="",0,IF(KPI_Config!$C$5="L",IF(Raw_Data!E110&lt;=KPI_Config!$E$5,KPI_Config!$D$5,IF(AND(KPI_Config!$F$5&gt;0,Raw_Data!E110&lt;=KPI_Config!$G$5),KPI_Config!$F$5,0)),IF(Raw_Data!E110&gt;=KPI_Config!$E$5,KPI_Config!$D$5,IF(AND(KPI_Config!$F$5&gt;0,Raw_Data!E110&gt;=KPI_Config!$G$5),KPI_Config!$F$5,0)))))</f>
        <v>0</v>
      </c>
      <c r="F110" s="16">
        <f>IF($A110="","",IF(Raw_Data!F110="",0,IF(KPI_Config!$C$6="L",IF(Raw_Data!F110&lt;=KPI_Config!$E$6,KPI_Config!$D$6,IF(AND(KPI_Config!$F$6&gt;0,Raw_Data!F110&lt;=KPI_Config!$G$6),KPI_Config!$F$6,0)),IF(Raw_Data!F110&gt;=KPI_Config!$E$6,KPI_Config!$D$6,IF(AND(KPI_Config!$F$6&gt;0,Raw_Data!F110&gt;=KPI_Config!$G$6),KPI_Config!$F$6,0)))))</f>
        <v>0</v>
      </c>
      <c r="G110" s="16">
        <f>IF($A110="","",IF(Raw_Data!G110="",0,IF(KPI_Config!$C$7="L",IF(Raw_Data!G110&lt;=KPI_Config!$E$7,KPI_Config!$D$7,IF(AND(KPI_Config!$F$7&gt;0,Raw_Data!G110&lt;=KPI_Config!$G$7),KPI_Config!$F$7,0)),IF(Raw_Data!G110&gt;=KPI_Config!$E$7,KPI_Config!$D$7,IF(AND(KPI_Config!$F$7&gt;0,Raw_Data!G110&gt;=KPI_Config!$G$7),KPI_Config!$F$7,0)))))</f>
        <v>0.2</v>
      </c>
      <c r="H110" s="16">
        <f>IF($A110="","",IF(Raw_Data!H110="",0,IF(KPI_Config!$C$8="L",IF(Raw_Data!H110&lt;=KPI_Config!$E$8,KPI_Config!$D$8,IF(AND(KPI_Config!$F$8&gt;0,Raw_Data!H110&lt;=KPI_Config!$G$8),KPI_Config!$F$8,0)),IF(Raw_Data!H110&gt;=KPI_Config!$E$8,KPI_Config!$D$8,IF(AND(KPI_Config!$F$8&gt;0,Raw_Data!H110&gt;=KPI_Config!$G$8),KPI_Config!$F$8,0)))))</f>
        <v>0</v>
      </c>
      <c r="I110" s="16">
        <f>IF($A110="","",IF(Raw_Data!I110="",0,IF(KPI_Config!$C$9="L",IF(Raw_Data!I110&lt;=KPI_Config!$E$9,KPI_Config!$D$9,IF(AND(KPI_Config!$F$9&gt;0,Raw_Data!I110&lt;=KPI_Config!$G$9),KPI_Config!$F$9,0)),IF(Raw_Data!I110&gt;=KPI_Config!$E$9,KPI_Config!$D$9,IF(AND(KPI_Config!$F$9&gt;0,Raw_Data!I110&gt;=KPI_Config!$G$9),KPI_Config!$F$9,0)))))</f>
        <v>0</v>
      </c>
      <c r="J110" s="16">
        <f>IF($A110="","",IF(Raw_Data!J110="",0,IF(KPI_Config!$C$10="L",IF(Raw_Data!J110&lt;=KPI_Config!$E$10,KPI_Config!$D$10,IF(AND(KPI_Config!$F$10&gt;0,Raw_Data!J110&lt;=KPI_Config!$G$10),KPI_Config!$F$10,0)),IF(Raw_Data!J110&gt;=KPI_Config!$E$10,KPI_Config!$D$10,IF(AND(KPI_Config!$F$10&gt;0,Raw_Data!J110&gt;=KPI_Config!$G$10),KPI_Config!$F$10,0)))))</f>
        <v>0.15</v>
      </c>
      <c r="K110" s="16">
        <f>IF($A110="","",IF(Raw_Data!G110="",0,IF(KPI_Config!$C$11="L",IF(Raw_Data!G110&lt;=KPI_Config!$E$11,KPI_Config!$D$11,IF(AND(KPI_Config!$F$11&gt;0,Raw_Data!G110&lt;=KPI_Config!$G$11),KPI_Config!$F$11,0)),IF(Raw_Data!G110&gt;=KPI_Config!$E$11,KPI_Config!$D$11,IF(AND(KPI_Config!$F$11&gt;0,Raw_Data!G110&gt;=KPI_Config!$G$11),KPI_Config!$F$11,0)))))</f>
        <v>0.2</v>
      </c>
      <c r="L110" s="16">
        <f>IF($A110="","",MIN(Policy_Decisions!$B$10,IF(Policy_Decisions!$B$6="Additive",SUM(E110:K110),SUM(E110:J110)-G110+MAX(G110,K110))))</f>
        <v>0.55000000000000004</v>
      </c>
      <c r="M110" s="16">
        <f>IF($A110="","",Raw_Data!K110)</f>
        <v>0</v>
      </c>
      <c r="N110" s="16">
        <f>IF($A110="","",IFERROR(VLOOKUP(M110,KPI_Config!$I$5:$J$10,2,FALSE()),0))</f>
        <v>0</v>
      </c>
      <c r="O110" s="16">
        <f>IF($A110="","",IF(Policy_Decisions!$B$5="Percentage points",MAX(0,L110-N110),L110*(1-N110)))</f>
        <v>0.55000000000000004</v>
      </c>
      <c r="P110" s="15" t="str">
        <f>IF($A110="","",IF(U110="","Review proration",IF(O110=0,"No payout",IF(N110&gt;0,"Malus applied","Eligible"))))</f>
        <v>Eligible</v>
      </c>
      <c r="Q110" s="15" t="str">
        <f>IF($A110="","",Raw_Data!M110)</f>
        <v>MAD</v>
      </c>
      <c r="R110" s="38">
        <f>IF($A110="","",Raw_Data!N110)</f>
        <v>0</v>
      </c>
      <c r="S110" s="38">
        <f>IF($A110="","",Raw_Data!O110)</f>
        <v>0</v>
      </c>
      <c r="T110" s="38">
        <f>IF($A110="","",IF(Raw_Data!P110&gt;0,Raw_Data!P110,Raw_Data!N110*Raw_Data!O110/IF(Policy_Decisions!$B$7="Annual",12,1)))</f>
        <v>2000</v>
      </c>
      <c r="U110" s="38">
        <f>IF($A110="","",IF(OR(Raw_Data!R110="",Raw_Data!R110&lt;=0),"",MIN(1,MAX(0,Raw_Data!Q110/Raw_Data!R110))))</f>
        <v>1</v>
      </c>
      <c r="V110" s="38">
        <f>IF(OR($A110="",U110=""),"",T110*U110)</f>
        <v>2000</v>
      </c>
      <c r="W110" s="38">
        <f>IF(OR($A110="",V110=""),"",V110*L110)</f>
        <v>1100</v>
      </c>
      <c r="X110" s="38">
        <f>IF(OR($A110="",V110=""),"",V110*L110-V110*O110)</f>
        <v>0</v>
      </c>
      <c r="Y110" s="38">
        <f>IF(OR($A110="",V110=""),"",ROUND(V110*O110,IF(Policy_Decisions!$B$11="Whole MAD",0,2)))</f>
        <v>1100</v>
      </c>
      <c r="Z110" t="str">
        <f>Raw_Data!T110</f>
        <v>Malak AZERKI</v>
      </c>
      <c r="AA110" t="str">
        <f>Raw_Data!U110</f>
        <v>Anas OUAKKAD</v>
      </c>
    </row>
    <row r="111" spans="1:27" ht="14.25" customHeight="1">
      <c r="A111" s="13">
        <f>IF(Raw_Data!A111="","",Raw_Data!A111)</f>
        <v>228209</v>
      </c>
      <c r="B111" s="13" t="str">
        <f>IF(Raw_Data!B111="","",Raw_Data!B111)</f>
        <v>Hamza TALBY</v>
      </c>
      <c r="C111" s="13" t="str">
        <f>IF(Raw_Data!C111="","",Raw_Data!C111)</f>
        <v>OEM FR</v>
      </c>
      <c r="D111" s="13" t="str">
        <f>IF(Raw_Data!D111="","",Raw_Data!D111)</f>
        <v>2026-07</v>
      </c>
      <c r="E111" s="21">
        <f>IF($A111="","",IF(Raw_Data!E111="",0,IF(KPI_Config!$C$5="L",IF(Raw_Data!E111&lt;=KPI_Config!$E$5,KPI_Config!$D$5,IF(AND(KPI_Config!$F$5&gt;0,Raw_Data!E111&lt;=KPI_Config!$G$5),KPI_Config!$F$5,0)),IF(Raw_Data!E111&gt;=KPI_Config!$E$5,KPI_Config!$D$5,IF(AND(KPI_Config!$F$5&gt;0,Raw_Data!E111&gt;=KPI_Config!$G$5),KPI_Config!$F$5,0)))))</f>
        <v>0</v>
      </c>
      <c r="F111" s="21">
        <f>IF($A111="","",IF(Raw_Data!F111="",0,IF(KPI_Config!$C$6="L",IF(Raw_Data!F111&lt;=KPI_Config!$E$6,KPI_Config!$D$6,IF(AND(KPI_Config!$F$6&gt;0,Raw_Data!F111&lt;=KPI_Config!$G$6),KPI_Config!$F$6,0)),IF(Raw_Data!F111&gt;=KPI_Config!$E$6,KPI_Config!$D$6,IF(AND(KPI_Config!$F$6&gt;0,Raw_Data!F111&gt;=KPI_Config!$G$6),KPI_Config!$F$6,0)))))</f>
        <v>0</v>
      </c>
      <c r="G111" s="21">
        <f>IF($A111="","",IF(Raw_Data!G111="",0,IF(KPI_Config!$C$7="L",IF(Raw_Data!G111&lt;=KPI_Config!$E$7,KPI_Config!$D$7,IF(AND(KPI_Config!$F$7&gt;0,Raw_Data!G111&lt;=KPI_Config!$G$7),KPI_Config!$F$7,0)),IF(Raw_Data!G111&gt;=KPI_Config!$E$7,KPI_Config!$D$7,IF(AND(KPI_Config!$F$7&gt;0,Raw_Data!G111&gt;=KPI_Config!$G$7),KPI_Config!$F$7,0)))))</f>
        <v>0.2</v>
      </c>
      <c r="H111" s="21">
        <f>IF($A111="","",IF(Raw_Data!H111="",0,IF(KPI_Config!$C$8="L",IF(Raw_Data!H111&lt;=KPI_Config!$E$8,KPI_Config!$D$8,IF(AND(KPI_Config!$F$8&gt;0,Raw_Data!H111&lt;=KPI_Config!$G$8),KPI_Config!$F$8,0)),IF(Raw_Data!H111&gt;=KPI_Config!$E$8,KPI_Config!$D$8,IF(AND(KPI_Config!$F$8&gt;0,Raw_Data!H111&gt;=KPI_Config!$G$8),KPI_Config!$F$8,0)))))</f>
        <v>0</v>
      </c>
      <c r="I111" s="21">
        <f>IF($A111="","",IF(Raw_Data!I111="",0,IF(KPI_Config!$C$9="L",IF(Raw_Data!I111&lt;=KPI_Config!$E$9,KPI_Config!$D$9,IF(AND(KPI_Config!$F$9&gt;0,Raw_Data!I111&lt;=KPI_Config!$G$9),KPI_Config!$F$9,0)),IF(Raw_Data!I111&gt;=KPI_Config!$E$9,KPI_Config!$D$9,IF(AND(KPI_Config!$F$9&gt;0,Raw_Data!I111&gt;=KPI_Config!$G$9),KPI_Config!$F$9,0)))))</f>
        <v>0.2</v>
      </c>
      <c r="J111" s="21">
        <f>IF($A111="","",IF(Raw_Data!J111="",0,IF(KPI_Config!$C$10="L",IF(Raw_Data!J111&lt;=KPI_Config!$E$10,KPI_Config!$D$10,IF(AND(KPI_Config!$F$10&gt;0,Raw_Data!J111&lt;=KPI_Config!$G$10),KPI_Config!$F$10,0)),IF(Raw_Data!J111&gt;=KPI_Config!$E$10,KPI_Config!$D$10,IF(AND(KPI_Config!$F$10&gt;0,Raw_Data!J111&gt;=KPI_Config!$G$10),KPI_Config!$F$10,0)))))</f>
        <v>0.15</v>
      </c>
      <c r="K111" s="21">
        <f>IF($A111="","",IF(Raw_Data!G111="",0,IF(KPI_Config!$C$11="L",IF(Raw_Data!G111&lt;=KPI_Config!$E$11,KPI_Config!$D$11,IF(AND(KPI_Config!$F$11&gt;0,Raw_Data!G111&lt;=KPI_Config!$G$11),KPI_Config!$F$11,0)),IF(Raw_Data!G111&gt;=KPI_Config!$E$11,KPI_Config!$D$11,IF(AND(KPI_Config!$F$11&gt;0,Raw_Data!G111&gt;=KPI_Config!$G$11),KPI_Config!$F$11,0)))))</f>
        <v>0.3</v>
      </c>
      <c r="L111" s="21">
        <f>IF($A111="","",MIN(Policy_Decisions!$B$10,IF(Policy_Decisions!$B$6="Additive",SUM(E111:K111),SUM(E111:J111)-G111+MAX(G111,K111))))</f>
        <v>0.85000000000000009</v>
      </c>
      <c r="M111" s="21">
        <f>IF($A111="","",Raw_Data!K111)</f>
        <v>0</v>
      </c>
      <c r="N111" s="21">
        <f>IF($A111="","",IFERROR(VLOOKUP(M111,KPI_Config!$I$5:$J$10,2,FALSE()),0))</f>
        <v>0</v>
      </c>
      <c r="O111" s="21">
        <f>IF($A111="","",IF(Policy_Decisions!$B$5="Percentage points",MAX(0,L111-N111),L111*(1-N111)))</f>
        <v>0.85000000000000009</v>
      </c>
      <c r="P111" s="13" t="str">
        <f>IF($A111="","",IF(U111="","Review proration",IF(O111=0,"No payout",IF(N111&gt;0,"Malus applied","Eligible"))))</f>
        <v>Eligible</v>
      </c>
      <c r="Q111" s="13" t="str">
        <f>IF($A111="","",Raw_Data!M111)</f>
        <v>MAD</v>
      </c>
      <c r="R111" s="37">
        <f>IF($A111="","",Raw_Data!N111)</f>
        <v>0</v>
      </c>
      <c r="S111" s="37">
        <f>IF($A111="","",Raw_Data!O111)</f>
        <v>0</v>
      </c>
      <c r="T111" s="37">
        <f>IF($A111="","",IF(Raw_Data!P111&gt;0,Raw_Data!P111,Raw_Data!N111*Raw_Data!O111/IF(Policy_Decisions!$B$7="Annual",12,1)))</f>
        <v>2000</v>
      </c>
      <c r="U111" s="37">
        <f>IF($A111="","",IF(OR(Raw_Data!R111="",Raw_Data!R111&lt;=0),"",MIN(1,MAX(0,Raw_Data!Q111/Raw_Data!R111))))</f>
        <v>1</v>
      </c>
      <c r="V111" s="37">
        <f>IF(OR($A111="",U111=""),"",T111*U111)</f>
        <v>2000</v>
      </c>
      <c r="W111" s="37">
        <f>IF(OR($A111="",V111=""),"",V111*L111)</f>
        <v>1700.0000000000002</v>
      </c>
      <c r="X111" s="37">
        <f>IF(OR($A111="",V111=""),"",V111*L111-V111*O111)</f>
        <v>0</v>
      </c>
      <c r="Y111" s="37">
        <f>IF(OR($A111="",V111=""),"",ROUND(V111*O111,IF(Policy_Decisions!$B$11="Whole MAD",0,2)))</f>
        <v>1700</v>
      </c>
      <c r="Z111" t="str">
        <f>Raw_Data!T111</f>
        <v>Farouk BOUAZZAOUI</v>
      </c>
      <c r="AA111" t="str">
        <f>Raw_Data!U111</f>
        <v>Anas OUAKKAD</v>
      </c>
    </row>
    <row r="112" spans="1:27" ht="14.25" customHeight="1">
      <c r="A112" s="15">
        <f>IF(Raw_Data!A112="","",Raw_Data!A112)</f>
        <v>250745</v>
      </c>
      <c r="B112" s="15" t="str">
        <f>IF(Raw_Data!B112="","",Raw_Data!B112)</f>
        <v>Hamza  OUABI</v>
      </c>
      <c r="C112" s="15" t="str">
        <f>IF(Raw_Data!C112="","",Raw_Data!C112)</f>
        <v>OEM FR</v>
      </c>
      <c r="D112" s="15" t="str">
        <f>IF(Raw_Data!D112="","",Raw_Data!D112)</f>
        <v>2026-07</v>
      </c>
      <c r="E112" s="16">
        <f>IF($A112="","",IF(Raw_Data!E112="",0,IF(KPI_Config!$C$5="L",IF(Raw_Data!E112&lt;=KPI_Config!$E$5,KPI_Config!$D$5,IF(AND(KPI_Config!$F$5&gt;0,Raw_Data!E112&lt;=KPI_Config!$G$5),KPI_Config!$F$5,0)),IF(Raw_Data!E112&gt;=KPI_Config!$E$5,KPI_Config!$D$5,IF(AND(KPI_Config!$F$5&gt;0,Raw_Data!E112&gt;=KPI_Config!$G$5),KPI_Config!$F$5,0)))))</f>
        <v>0</v>
      </c>
      <c r="F112" s="16">
        <f>IF($A112="","",IF(Raw_Data!F112="",0,IF(KPI_Config!$C$6="L",IF(Raw_Data!F112&lt;=KPI_Config!$E$6,KPI_Config!$D$6,IF(AND(KPI_Config!$F$6&gt;0,Raw_Data!F112&lt;=KPI_Config!$G$6),KPI_Config!$F$6,0)),IF(Raw_Data!F112&gt;=KPI_Config!$E$6,KPI_Config!$D$6,IF(AND(KPI_Config!$F$6&gt;0,Raw_Data!F112&gt;=KPI_Config!$G$6),KPI_Config!$F$6,0)))))</f>
        <v>0</v>
      </c>
      <c r="G112" s="16">
        <f>IF($A112="","",IF(Raw_Data!G112="",0,IF(KPI_Config!$C$7="L",IF(Raw_Data!G112&lt;=KPI_Config!$E$7,KPI_Config!$D$7,IF(AND(KPI_Config!$F$7&gt;0,Raw_Data!G112&lt;=KPI_Config!$G$7),KPI_Config!$F$7,0)),IF(Raw_Data!G112&gt;=KPI_Config!$E$7,KPI_Config!$D$7,IF(AND(KPI_Config!$F$7&gt;0,Raw_Data!G112&gt;=KPI_Config!$G$7),KPI_Config!$F$7,0)))))</f>
        <v>0</v>
      </c>
      <c r="H112" s="16">
        <f>IF($A112="","",IF(Raw_Data!H112="",0,IF(KPI_Config!$C$8="L",IF(Raw_Data!H112&lt;=KPI_Config!$E$8,KPI_Config!$D$8,IF(AND(KPI_Config!$F$8&gt;0,Raw_Data!H112&lt;=KPI_Config!$G$8),KPI_Config!$F$8,0)),IF(Raw_Data!H112&gt;=KPI_Config!$E$8,KPI_Config!$D$8,IF(AND(KPI_Config!$F$8&gt;0,Raw_Data!H112&gt;=KPI_Config!$G$8),KPI_Config!$F$8,0)))))</f>
        <v>0</v>
      </c>
      <c r="I112" s="16">
        <f>IF($A112="","",IF(Raw_Data!I112="",0,IF(KPI_Config!$C$9="L",IF(Raw_Data!I112&lt;=KPI_Config!$E$9,KPI_Config!$D$9,IF(AND(KPI_Config!$F$9&gt;0,Raw_Data!I112&lt;=KPI_Config!$G$9),KPI_Config!$F$9,0)),IF(Raw_Data!I112&gt;=KPI_Config!$E$9,KPI_Config!$D$9,IF(AND(KPI_Config!$F$9&gt;0,Raw_Data!I112&gt;=KPI_Config!$G$9),KPI_Config!$F$9,0)))))</f>
        <v>0</v>
      </c>
      <c r="J112" s="16">
        <f>IF($A112="","",IF(Raw_Data!J112="",0,IF(KPI_Config!$C$10="L",IF(Raw_Data!J112&lt;=KPI_Config!$E$10,KPI_Config!$D$10,IF(AND(KPI_Config!$F$10&gt;0,Raw_Data!J112&lt;=KPI_Config!$G$10),KPI_Config!$F$10,0)),IF(Raw_Data!J112&gt;=KPI_Config!$E$10,KPI_Config!$D$10,IF(AND(KPI_Config!$F$10&gt;0,Raw_Data!J112&gt;=KPI_Config!$G$10),KPI_Config!$F$10,0)))))</f>
        <v>0.15</v>
      </c>
      <c r="K112" s="16">
        <f>IF($A112="","",IF(Raw_Data!G112="",0,IF(KPI_Config!$C$11="L",IF(Raw_Data!G112&lt;=KPI_Config!$E$11,KPI_Config!$D$11,IF(AND(KPI_Config!$F$11&gt;0,Raw_Data!G112&lt;=KPI_Config!$G$11),KPI_Config!$F$11,0)),IF(Raw_Data!G112&gt;=KPI_Config!$E$11,KPI_Config!$D$11,IF(AND(KPI_Config!$F$11&gt;0,Raw_Data!G112&gt;=KPI_Config!$G$11),KPI_Config!$F$11,0)))))</f>
        <v>0</v>
      </c>
      <c r="L112" s="16">
        <f>IF($A112="","",MIN(Policy_Decisions!$B$10,IF(Policy_Decisions!$B$6="Additive",SUM(E112:K112),SUM(E112:J112)-G112+MAX(G112,K112))))</f>
        <v>0.15</v>
      </c>
      <c r="M112" s="16">
        <f>IF($A112="","",Raw_Data!K112)</f>
        <v>0</v>
      </c>
      <c r="N112" s="16">
        <f>IF($A112="","",IFERROR(VLOOKUP(M112,KPI_Config!$I$5:$J$10,2,FALSE()),0))</f>
        <v>0</v>
      </c>
      <c r="O112" s="16">
        <f>IF($A112="","",IF(Policy_Decisions!$B$5="Percentage points",MAX(0,L112-N112),L112*(1-N112)))</f>
        <v>0.15</v>
      </c>
      <c r="P112" s="15" t="str">
        <f>IF($A112="","",IF(U112="","Review proration",IF(O112=0,"No payout",IF(N112&gt;0,"Malus applied","Eligible"))))</f>
        <v>Eligible</v>
      </c>
      <c r="Q112" s="15" t="str">
        <f>IF($A112="","",Raw_Data!M112)</f>
        <v>MAD</v>
      </c>
      <c r="R112" s="38">
        <f>IF($A112="","",Raw_Data!N112)</f>
        <v>0</v>
      </c>
      <c r="S112" s="38">
        <f>IF($A112="","",Raw_Data!O112)</f>
        <v>0</v>
      </c>
      <c r="T112" s="38">
        <f>IF($A112="","",IF(Raw_Data!P112&gt;0,Raw_Data!P112,Raw_Data!N112*Raw_Data!O112/IF(Policy_Decisions!$B$7="Annual",12,1)))</f>
        <v>2000</v>
      </c>
      <c r="U112" s="38">
        <f>IF($A112="","",IF(OR(Raw_Data!R112="",Raw_Data!R112&lt;=0),"",MIN(1,MAX(0,Raw_Data!Q112/Raw_Data!R112))))</f>
        <v>1</v>
      </c>
      <c r="V112" s="38">
        <f>IF(OR($A112="",U112=""),"",T112*U112)</f>
        <v>2000</v>
      </c>
      <c r="W112" s="38">
        <f>IF(OR($A112="",V112=""),"",V112*L112)</f>
        <v>300</v>
      </c>
      <c r="X112" s="38">
        <f>IF(OR($A112="",V112=""),"",V112*L112-V112*O112)</f>
        <v>0</v>
      </c>
      <c r="Y112" s="38">
        <f>IF(OR($A112="",V112=""),"",ROUND(V112*O112,IF(Policy_Decisions!$B$11="Whole MAD",0,2)))</f>
        <v>300</v>
      </c>
      <c r="Z112" t="str">
        <f>Raw_Data!T112</f>
        <v>Kenza EL MOUMNI</v>
      </c>
      <c r="AA112" t="str">
        <f>Raw_Data!U112</f>
        <v>Anas OUAKKAD</v>
      </c>
    </row>
    <row r="113" spans="1:27" ht="14.25" customHeight="1">
      <c r="A113" s="13">
        <f>IF(Raw_Data!A113="","",Raw_Data!A113)</f>
        <v>228666</v>
      </c>
      <c r="B113" s="13" t="str">
        <f>IF(Raw_Data!B113="","",Raw_Data!B113)</f>
        <v>Hamza Mellak</v>
      </c>
      <c r="C113" s="13" t="str">
        <f>IF(Raw_Data!C113="","",Raw_Data!C113)</f>
        <v>OEM FR</v>
      </c>
      <c r="D113" s="13" t="str">
        <f>IF(Raw_Data!D113="","",Raw_Data!D113)</f>
        <v>2026-07</v>
      </c>
      <c r="E113" s="21">
        <f>IF($A113="","",IF(Raw_Data!E113="",0,IF(KPI_Config!$C$5="L",IF(Raw_Data!E113&lt;=KPI_Config!$E$5,KPI_Config!$D$5,IF(AND(KPI_Config!$F$5&gt;0,Raw_Data!E113&lt;=KPI_Config!$G$5),KPI_Config!$F$5,0)),IF(Raw_Data!E113&gt;=KPI_Config!$E$5,KPI_Config!$D$5,IF(AND(KPI_Config!$F$5&gt;0,Raw_Data!E113&gt;=KPI_Config!$G$5),KPI_Config!$F$5,0)))))</f>
        <v>0</v>
      </c>
      <c r="F113" s="21">
        <f>IF($A113="","",IF(Raw_Data!F113="",0,IF(KPI_Config!$C$6="L",IF(Raw_Data!F113&lt;=KPI_Config!$E$6,KPI_Config!$D$6,IF(AND(KPI_Config!$F$6&gt;0,Raw_Data!F113&lt;=KPI_Config!$G$6),KPI_Config!$F$6,0)),IF(Raw_Data!F113&gt;=KPI_Config!$E$6,KPI_Config!$D$6,IF(AND(KPI_Config!$F$6&gt;0,Raw_Data!F113&gt;=KPI_Config!$G$6),KPI_Config!$F$6,0)))))</f>
        <v>0</v>
      </c>
      <c r="G113" s="21">
        <f>IF($A113="","",IF(Raw_Data!G113="",0,IF(KPI_Config!$C$7="L",IF(Raw_Data!G113&lt;=KPI_Config!$E$7,KPI_Config!$D$7,IF(AND(KPI_Config!$F$7&gt;0,Raw_Data!G113&lt;=KPI_Config!$G$7),KPI_Config!$F$7,0)),IF(Raw_Data!G113&gt;=KPI_Config!$E$7,KPI_Config!$D$7,IF(AND(KPI_Config!$F$7&gt;0,Raw_Data!G113&gt;=KPI_Config!$G$7),KPI_Config!$F$7,0)))))</f>
        <v>0.2</v>
      </c>
      <c r="H113" s="21">
        <f>IF($A113="","",IF(Raw_Data!H113="",0,IF(KPI_Config!$C$8="L",IF(Raw_Data!H113&lt;=KPI_Config!$E$8,KPI_Config!$D$8,IF(AND(KPI_Config!$F$8&gt;0,Raw_Data!H113&lt;=KPI_Config!$G$8),KPI_Config!$F$8,0)),IF(Raw_Data!H113&gt;=KPI_Config!$E$8,KPI_Config!$D$8,IF(AND(KPI_Config!$F$8&gt;0,Raw_Data!H113&gt;=KPI_Config!$G$8),KPI_Config!$F$8,0)))))</f>
        <v>0</v>
      </c>
      <c r="I113" s="21">
        <f>IF($A113="","",IF(Raw_Data!I113="",0,IF(KPI_Config!$C$9="L",IF(Raw_Data!I113&lt;=KPI_Config!$E$9,KPI_Config!$D$9,IF(AND(KPI_Config!$F$9&gt;0,Raw_Data!I113&lt;=KPI_Config!$G$9),KPI_Config!$F$9,0)),IF(Raw_Data!I113&gt;=KPI_Config!$E$9,KPI_Config!$D$9,IF(AND(KPI_Config!$F$9&gt;0,Raw_Data!I113&gt;=KPI_Config!$G$9),KPI_Config!$F$9,0)))))</f>
        <v>0</v>
      </c>
      <c r="J113" s="21">
        <f>IF($A113="","",IF(Raw_Data!J113="",0,IF(KPI_Config!$C$10="L",IF(Raw_Data!J113&lt;=KPI_Config!$E$10,KPI_Config!$D$10,IF(AND(KPI_Config!$F$10&gt;0,Raw_Data!J113&lt;=KPI_Config!$G$10),KPI_Config!$F$10,0)),IF(Raw_Data!J113&gt;=KPI_Config!$E$10,KPI_Config!$D$10,IF(AND(KPI_Config!$F$10&gt;0,Raw_Data!J113&gt;=KPI_Config!$G$10),KPI_Config!$F$10,0)))))</f>
        <v>0.15</v>
      </c>
      <c r="K113" s="21">
        <f>IF($A113="","",IF(Raw_Data!G113="",0,IF(KPI_Config!$C$11="L",IF(Raw_Data!G113&lt;=KPI_Config!$E$11,KPI_Config!$D$11,IF(AND(KPI_Config!$F$11&gt;0,Raw_Data!G113&lt;=KPI_Config!$G$11),KPI_Config!$F$11,0)),IF(Raw_Data!G113&gt;=KPI_Config!$E$11,KPI_Config!$D$11,IF(AND(KPI_Config!$F$11&gt;0,Raw_Data!G113&gt;=KPI_Config!$G$11),KPI_Config!$F$11,0)))))</f>
        <v>0.3</v>
      </c>
      <c r="L113" s="21">
        <f>IF($A113="","",MIN(Policy_Decisions!$B$10,IF(Policy_Decisions!$B$6="Additive",SUM(E113:K113),SUM(E113:J113)-G113+MAX(G113,K113))))</f>
        <v>0.64999999999999991</v>
      </c>
      <c r="M113" s="21">
        <f>IF($A113="","",Raw_Data!K113)</f>
        <v>0</v>
      </c>
      <c r="N113" s="21">
        <f>IF($A113="","",IFERROR(VLOOKUP(M113,KPI_Config!$I$5:$J$10,2,FALSE()),0))</f>
        <v>0</v>
      </c>
      <c r="O113" s="21">
        <f>IF($A113="","",IF(Policy_Decisions!$B$5="Percentage points",MAX(0,L113-N113),L113*(1-N113)))</f>
        <v>0.64999999999999991</v>
      </c>
      <c r="P113" s="13" t="str">
        <f>IF($A113="","",IF(U113="","Review proration",IF(O113=0,"No payout",IF(N113&gt;0,"Malus applied","Eligible"))))</f>
        <v>Eligible</v>
      </c>
      <c r="Q113" s="13" t="str">
        <f>IF($A113="","",Raw_Data!M113)</f>
        <v>MAD</v>
      </c>
      <c r="R113" s="37">
        <f>IF($A113="","",Raw_Data!N113)</f>
        <v>0</v>
      </c>
      <c r="S113" s="37">
        <f>IF($A113="","",Raw_Data!O113)</f>
        <v>0</v>
      </c>
      <c r="T113" s="37">
        <f>IF($A113="","",IF(Raw_Data!P113&gt;0,Raw_Data!P113,Raw_Data!N113*Raw_Data!O113/IF(Policy_Decisions!$B$7="Annual",12,1)))</f>
        <v>2000</v>
      </c>
      <c r="U113" s="37">
        <f>IF($A113="","",IF(OR(Raw_Data!R113="",Raw_Data!R113&lt;=0),"",MIN(1,MAX(0,Raw_Data!Q113/Raw_Data!R113))))</f>
        <v>1</v>
      </c>
      <c r="V113" s="37">
        <f>IF(OR($A113="",U113=""),"",T113*U113)</f>
        <v>2000</v>
      </c>
      <c r="W113" s="37">
        <f>IF(OR($A113="",V113=""),"",V113*L113)</f>
        <v>1299.9999999999998</v>
      </c>
      <c r="X113" s="37">
        <f>IF(OR($A113="",V113=""),"",V113*L113-V113*O113)</f>
        <v>0</v>
      </c>
      <c r="Y113" s="37">
        <f>IF(OR($A113="",V113=""),"",ROUND(V113*O113,IF(Policy_Decisions!$B$11="Whole MAD",0,2)))</f>
        <v>1300</v>
      </c>
      <c r="Z113" t="str">
        <f>Raw_Data!T113</f>
        <v>Malak AZERKI</v>
      </c>
      <c r="AA113" t="str">
        <f>Raw_Data!U113</f>
        <v>Anas OUAKKAD</v>
      </c>
    </row>
    <row r="114" spans="1:27" ht="14.25" customHeight="1">
      <c r="A114" s="15">
        <f>IF(Raw_Data!A114="","",Raw_Data!A114)</f>
        <v>205266</v>
      </c>
      <c r="B114" s="15" t="str">
        <f>IF(Raw_Data!B114="","",Raw_Data!B114)</f>
        <v>Jadda Hamza</v>
      </c>
      <c r="C114" s="15" t="str">
        <f>IF(Raw_Data!C114="","",Raw_Data!C114)</f>
        <v>OEM FR</v>
      </c>
      <c r="D114" s="15" t="str">
        <f>IF(Raw_Data!D114="","",Raw_Data!D114)</f>
        <v>2026-07</v>
      </c>
      <c r="E114" s="16">
        <f>IF($A114="","",IF(Raw_Data!E114="",0,IF(KPI_Config!$C$5="L",IF(Raw_Data!E114&lt;=KPI_Config!$E$5,KPI_Config!$D$5,IF(AND(KPI_Config!$F$5&gt;0,Raw_Data!E114&lt;=KPI_Config!$G$5),KPI_Config!$F$5,0)),IF(Raw_Data!E114&gt;=KPI_Config!$E$5,KPI_Config!$D$5,IF(AND(KPI_Config!$F$5&gt;0,Raw_Data!E114&gt;=KPI_Config!$G$5),KPI_Config!$F$5,0)))))</f>
        <v>0</v>
      </c>
      <c r="F114" s="16">
        <f>IF($A114="","",IF(Raw_Data!F114="",0,IF(KPI_Config!$C$6="L",IF(Raw_Data!F114&lt;=KPI_Config!$E$6,KPI_Config!$D$6,IF(AND(KPI_Config!$F$6&gt;0,Raw_Data!F114&lt;=KPI_Config!$G$6),KPI_Config!$F$6,0)),IF(Raw_Data!F114&gt;=KPI_Config!$E$6,KPI_Config!$D$6,IF(AND(KPI_Config!$F$6&gt;0,Raw_Data!F114&gt;=KPI_Config!$G$6),KPI_Config!$F$6,0)))))</f>
        <v>0</v>
      </c>
      <c r="G114" s="16">
        <f>IF($A114="","",IF(Raw_Data!G114="",0,IF(KPI_Config!$C$7="L",IF(Raw_Data!G114&lt;=KPI_Config!$E$7,KPI_Config!$D$7,IF(AND(KPI_Config!$F$7&gt;0,Raw_Data!G114&lt;=KPI_Config!$G$7),KPI_Config!$F$7,0)),IF(Raw_Data!G114&gt;=KPI_Config!$E$7,KPI_Config!$D$7,IF(AND(KPI_Config!$F$7&gt;0,Raw_Data!G114&gt;=KPI_Config!$G$7),KPI_Config!$F$7,0)))))</f>
        <v>0</v>
      </c>
      <c r="H114" s="16">
        <f>IF($A114="","",IF(Raw_Data!H114="",0,IF(KPI_Config!$C$8="L",IF(Raw_Data!H114&lt;=KPI_Config!$E$8,KPI_Config!$D$8,IF(AND(KPI_Config!$F$8&gt;0,Raw_Data!H114&lt;=KPI_Config!$G$8),KPI_Config!$F$8,0)),IF(Raw_Data!H114&gt;=KPI_Config!$E$8,KPI_Config!$D$8,IF(AND(KPI_Config!$F$8&gt;0,Raw_Data!H114&gt;=KPI_Config!$G$8),KPI_Config!$F$8,0)))))</f>
        <v>0</v>
      </c>
      <c r="I114" s="16">
        <f>IF($A114="","",IF(Raw_Data!I114="",0,IF(KPI_Config!$C$9="L",IF(Raw_Data!I114&lt;=KPI_Config!$E$9,KPI_Config!$D$9,IF(AND(KPI_Config!$F$9&gt;0,Raw_Data!I114&lt;=KPI_Config!$G$9),KPI_Config!$F$9,0)),IF(Raw_Data!I114&gt;=KPI_Config!$E$9,KPI_Config!$D$9,IF(AND(KPI_Config!$F$9&gt;0,Raw_Data!I114&gt;=KPI_Config!$G$9),KPI_Config!$F$9,0)))))</f>
        <v>0</v>
      </c>
      <c r="J114" s="16">
        <f>IF($A114="","",IF(Raw_Data!J114="",0,IF(KPI_Config!$C$10="L",IF(Raw_Data!J114&lt;=KPI_Config!$E$10,KPI_Config!$D$10,IF(AND(KPI_Config!$F$10&gt;0,Raw_Data!J114&lt;=KPI_Config!$G$10),KPI_Config!$F$10,0)),IF(Raw_Data!J114&gt;=KPI_Config!$E$10,KPI_Config!$D$10,IF(AND(KPI_Config!$F$10&gt;0,Raw_Data!J114&gt;=KPI_Config!$G$10),KPI_Config!$F$10,0)))))</f>
        <v>0</v>
      </c>
      <c r="K114" s="16">
        <f>IF($A114="","",IF(Raw_Data!G114="",0,IF(KPI_Config!$C$11="L",IF(Raw_Data!G114&lt;=KPI_Config!$E$11,KPI_Config!$D$11,IF(AND(KPI_Config!$F$11&gt;0,Raw_Data!G114&lt;=KPI_Config!$G$11),KPI_Config!$F$11,0)),IF(Raw_Data!G114&gt;=KPI_Config!$E$11,KPI_Config!$D$11,IF(AND(KPI_Config!$F$11&gt;0,Raw_Data!G114&gt;=KPI_Config!$G$11),KPI_Config!$F$11,0)))))</f>
        <v>0</v>
      </c>
      <c r="L114" s="16">
        <f>IF($A114="","",MIN(Policy_Decisions!$B$10,IF(Policy_Decisions!$B$6="Additive",SUM(E114:K114),SUM(E114:J114)-G114+MAX(G114,K114))))</f>
        <v>0</v>
      </c>
      <c r="M114" s="16">
        <f>IF($A114="","",Raw_Data!K114)</f>
        <v>0</v>
      </c>
      <c r="N114" s="16">
        <f>IF($A114="","",IFERROR(VLOOKUP(M114,KPI_Config!$I$5:$J$10,2,FALSE()),0))</f>
        <v>0</v>
      </c>
      <c r="O114" s="16">
        <f>IF($A114="","",IF(Policy_Decisions!$B$5="Percentage points",MAX(0,L114-N114),L114*(1-N114)))</f>
        <v>0</v>
      </c>
      <c r="P114" s="15" t="str">
        <f>IF($A114="","",IF(U114="","Review proration",IF(O114=0,"No payout",IF(N114&gt;0,"Malus applied","Eligible"))))</f>
        <v>No payout</v>
      </c>
      <c r="Q114" s="15" t="str">
        <f>IF($A114="","",Raw_Data!M114)</f>
        <v>MAD</v>
      </c>
      <c r="R114" s="38">
        <f>IF($A114="","",Raw_Data!N114)</f>
        <v>0</v>
      </c>
      <c r="S114" s="38">
        <f>IF($A114="","",Raw_Data!O114)</f>
        <v>0</v>
      </c>
      <c r="T114" s="38">
        <f>IF($A114="","",IF(Raw_Data!P114&gt;0,Raw_Data!P114,Raw_Data!N114*Raw_Data!O114/IF(Policy_Decisions!$B$7="Annual",12,1)))</f>
        <v>2000</v>
      </c>
      <c r="U114" s="38">
        <f>IF($A114="","",IF(OR(Raw_Data!R114="",Raw_Data!R114&lt;=0),"",MIN(1,MAX(0,Raw_Data!Q114/Raw_Data!R114))))</f>
        <v>1</v>
      </c>
      <c r="V114" s="38">
        <f>IF(OR($A114="",U114=""),"",T114*U114)</f>
        <v>2000</v>
      </c>
      <c r="W114" s="38">
        <f>IF(OR($A114="",V114=""),"",V114*L114)</f>
        <v>0</v>
      </c>
      <c r="X114" s="38">
        <f>IF(OR($A114="",V114=""),"",V114*L114-V114*O114)</f>
        <v>0</v>
      </c>
      <c r="Y114" s="38">
        <f>IF(OR($A114="",V114=""),"",ROUND(V114*O114,IF(Policy_Decisions!$B$11="Whole MAD",0,2)))</f>
        <v>0</v>
      </c>
      <c r="Z114" t="str">
        <f>Raw_Data!T114</f>
        <v>Zineb MOUFID</v>
      </c>
      <c r="AA114" t="str">
        <f>Raw_Data!U114</f>
        <v>Anas OUAKKAD</v>
      </c>
    </row>
    <row r="115" spans="1:27" ht="14.25" customHeight="1">
      <c r="A115" s="13">
        <f>IF(Raw_Data!A115="","",Raw_Data!A115)</f>
        <v>244556</v>
      </c>
      <c r="B115" s="13" t="str">
        <f>IF(Raw_Data!B115="","",Raw_Data!B115)</f>
        <v>Hamza Ghazi</v>
      </c>
      <c r="C115" s="13" t="str">
        <f>IF(Raw_Data!C115="","",Raw_Data!C115)</f>
        <v>RSA NL</v>
      </c>
      <c r="D115" s="13" t="str">
        <f>IF(Raw_Data!D115="","",Raw_Data!D115)</f>
        <v>2026-07</v>
      </c>
      <c r="E115" s="21">
        <f>IF($A115="","",IF(Raw_Data!E115="",0,IF(KPI_Config!$C$5="L",IF(Raw_Data!E115&lt;=KPI_Config!$E$5,KPI_Config!$D$5,IF(AND(KPI_Config!$F$5&gt;0,Raw_Data!E115&lt;=KPI_Config!$G$5),KPI_Config!$F$5,0)),IF(Raw_Data!E115&gt;=KPI_Config!$E$5,KPI_Config!$D$5,IF(AND(KPI_Config!$F$5&gt;0,Raw_Data!E115&gt;=KPI_Config!$G$5),KPI_Config!$F$5,0)))))</f>
        <v>0</v>
      </c>
      <c r="F115" s="21">
        <f>IF($A115="","",IF(Raw_Data!F115="",0,IF(KPI_Config!$C$6="L",IF(Raw_Data!F115&lt;=KPI_Config!$E$6,KPI_Config!$D$6,IF(AND(KPI_Config!$F$6&gt;0,Raw_Data!F115&lt;=KPI_Config!$G$6),KPI_Config!$F$6,0)),IF(Raw_Data!F115&gt;=KPI_Config!$E$6,KPI_Config!$D$6,IF(AND(KPI_Config!$F$6&gt;0,Raw_Data!F115&gt;=KPI_Config!$G$6),KPI_Config!$F$6,0)))))</f>
        <v>0</v>
      </c>
      <c r="G115" s="21">
        <f>IF($A115="","",IF(Raw_Data!G115="",0,IF(KPI_Config!$C$7="L",IF(Raw_Data!G115&lt;=KPI_Config!$E$7,KPI_Config!$D$7,IF(AND(KPI_Config!$F$7&gt;0,Raw_Data!G115&lt;=KPI_Config!$G$7),KPI_Config!$F$7,0)),IF(Raw_Data!G115&gt;=KPI_Config!$E$7,KPI_Config!$D$7,IF(AND(KPI_Config!$F$7&gt;0,Raw_Data!G115&gt;=KPI_Config!$G$7),KPI_Config!$F$7,0)))))</f>
        <v>0</v>
      </c>
      <c r="H115" s="21">
        <f>IF($A115="","",IF(Raw_Data!H115="",0,IF(KPI_Config!$C$8="L",IF(Raw_Data!H115&lt;=KPI_Config!$E$8,KPI_Config!$D$8,IF(AND(KPI_Config!$F$8&gt;0,Raw_Data!H115&lt;=KPI_Config!$G$8),KPI_Config!$F$8,0)),IF(Raw_Data!H115&gt;=KPI_Config!$E$8,KPI_Config!$D$8,IF(AND(KPI_Config!$F$8&gt;0,Raw_Data!H115&gt;=KPI_Config!$G$8),KPI_Config!$F$8,0)))))</f>
        <v>0</v>
      </c>
      <c r="I115" s="21">
        <f>IF($A115="","",IF(Raw_Data!I115="",0,IF(KPI_Config!$C$9="L",IF(Raw_Data!I115&lt;=KPI_Config!$E$9,KPI_Config!$D$9,IF(AND(KPI_Config!$F$9&gt;0,Raw_Data!I115&lt;=KPI_Config!$G$9),KPI_Config!$F$9,0)),IF(Raw_Data!I115&gt;=KPI_Config!$E$9,KPI_Config!$D$9,IF(AND(KPI_Config!$F$9&gt;0,Raw_Data!I115&gt;=KPI_Config!$G$9),KPI_Config!$F$9,0)))))</f>
        <v>0</v>
      </c>
      <c r="J115" s="21">
        <f>IF($A115="","",IF(Raw_Data!J115="",0,IF(KPI_Config!$C$10="L",IF(Raw_Data!J115&lt;=KPI_Config!$E$10,KPI_Config!$D$10,IF(AND(KPI_Config!$F$10&gt;0,Raw_Data!J115&lt;=KPI_Config!$G$10),KPI_Config!$F$10,0)),IF(Raw_Data!J115&gt;=KPI_Config!$E$10,KPI_Config!$D$10,IF(AND(KPI_Config!$F$10&gt;0,Raw_Data!J115&gt;=KPI_Config!$G$10),KPI_Config!$F$10,0)))))</f>
        <v>0</v>
      </c>
      <c r="K115" s="21">
        <f>IF($A115="","",IF(Raw_Data!G115="",0,IF(KPI_Config!$C$11="L",IF(Raw_Data!G115&lt;=KPI_Config!$E$11,KPI_Config!$D$11,IF(AND(KPI_Config!$F$11&gt;0,Raw_Data!G115&lt;=KPI_Config!$G$11),KPI_Config!$F$11,0)),IF(Raw_Data!G115&gt;=KPI_Config!$E$11,KPI_Config!$D$11,IF(AND(KPI_Config!$F$11&gt;0,Raw_Data!G115&gt;=KPI_Config!$G$11),KPI_Config!$F$11,0)))))</f>
        <v>0</v>
      </c>
      <c r="L115" s="21">
        <f>IF($A115="","",MIN(Policy_Decisions!$B$10,IF(Policy_Decisions!$B$6="Additive",SUM(E115:K115),SUM(E115:J115)-G115+MAX(G115,K115))))</f>
        <v>0</v>
      </c>
      <c r="M115" s="21">
        <f>IF($A115="","",Raw_Data!K115)</f>
        <v>0</v>
      </c>
      <c r="N115" s="21">
        <f>IF($A115="","",IFERROR(VLOOKUP(M115,KPI_Config!$I$5:$J$10,2,FALSE()),0))</f>
        <v>0</v>
      </c>
      <c r="O115" s="21">
        <f>IF($A115="","",IF(Policy_Decisions!$B$5="Percentage points",MAX(0,L115-N115),L115*(1-N115)))</f>
        <v>0</v>
      </c>
      <c r="P115" s="13" t="str">
        <f>IF($A115="","",IF(U115="","Review proration",IF(O115=0,"No payout",IF(N115&gt;0,"Malus applied","Eligible"))))</f>
        <v>No payout</v>
      </c>
      <c r="Q115" s="13" t="str">
        <f>IF($A115="","",Raw_Data!M115)</f>
        <v>MAD</v>
      </c>
      <c r="R115" s="37">
        <f>IF($A115="","",Raw_Data!N115)</f>
        <v>0</v>
      </c>
      <c r="S115" s="37">
        <f>IF($A115="","",Raw_Data!O115)</f>
        <v>0</v>
      </c>
      <c r="T115" s="37">
        <f>IF($A115="","",IF(Raw_Data!P115&gt;0,Raw_Data!P115,Raw_Data!N115*Raw_Data!O115/IF(Policy_Decisions!$B$7="Annual",12,1)))</f>
        <v>2000</v>
      </c>
      <c r="U115" s="37">
        <f>IF($A115="","",IF(OR(Raw_Data!R115="",Raw_Data!R115&lt;=0),"",MIN(1,MAX(0,Raw_Data!Q115/Raw_Data!R115))))</f>
        <v>1</v>
      </c>
      <c r="V115" s="37">
        <f>IF(OR($A115="",U115=""),"",T115*U115)</f>
        <v>2000</v>
      </c>
      <c r="W115" s="37">
        <f>IF(OR($A115="",V115=""),"",V115*L115)</f>
        <v>0</v>
      </c>
      <c r="X115" s="37">
        <f>IF(OR($A115="",V115=""),"",V115*L115-V115*O115)</f>
        <v>0</v>
      </c>
      <c r="Y115" s="37">
        <f>IF(OR($A115="",V115=""),"",ROUND(V115*O115,IF(Policy_Decisions!$B$11="Whole MAD",0,2)))</f>
        <v>0</v>
      </c>
      <c r="Z115" t="str">
        <f>Raw_Data!T115</f>
        <v>Glenn Antoon</v>
      </c>
      <c r="AA115" t="str">
        <f>Raw_Data!U115</f>
        <v>Anas OUAKKAD</v>
      </c>
    </row>
    <row r="116" spans="1:27" ht="14.25" customHeight="1">
      <c r="A116" s="15">
        <f>IF(Raw_Data!A116="","",Raw_Data!A116)</f>
        <v>250748</v>
      </c>
      <c r="B116" s="15" t="str">
        <f>IF(Raw_Data!B116="","",Raw_Data!B116)</f>
        <v>Hamza  BOUWAB</v>
      </c>
      <c r="C116" s="15" t="str">
        <f>IF(Raw_Data!C116="","",Raw_Data!C116)</f>
        <v>OEM FR</v>
      </c>
      <c r="D116" s="15" t="str">
        <f>IF(Raw_Data!D116="","",Raw_Data!D116)</f>
        <v>2026-07</v>
      </c>
      <c r="E116" s="16">
        <f>IF($A116="","",IF(Raw_Data!E116="",0,IF(KPI_Config!$C$5="L",IF(Raw_Data!E116&lt;=KPI_Config!$E$5,KPI_Config!$D$5,IF(AND(KPI_Config!$F$5&gt;0,Raw_Data!E116&lt;=KPI_Config!$G$5),KPI_Config!$F$5,0)),IF(Raw_Data!E116&gt;=KPI_Config!$E$5,KPI_Config!$D$5,IF(AND(KPI_Config!$F$5&gt;0,Raw_Data!E116&gt;=KPI_Config!$G$5),KPI_Config!$F$5,0)))))</f>
        <v>0</v>
      </c>
      <c r="F116" s="16">
        <f>IF($A116="","",IF(Raw_Data!F116="",0,IF(KPI_Config!$C$6="L",IF(Raw_Data!F116&lt;=KPI_Config!$E$6,KPI_Config!$D$6,IF(AND(KPI_Config!$F$6&gt;0,Raw_Data!F116&lt;=KPI_Config!$G$6),KPI_Config!$F$6,0)),IF(Raw_Data!F116&gt;=KPI_Config!$E$6,KPI_Config!$D$6,IF(AND(KPI_Config!$F$6&gt;0,Raw_Data!F116&gt;=KPI_Config!$G$6),KPI_Config!$F$6,0)))))</f>
        <v>0</v>
      </c>
      <c r="G116" s="16">
        <f>IF($A116="","",IF(Raw_Data!G116="",0,IF(KPI_Config!$C$7="L",IF(Raw_Data!G116&lt;=KPI_Config!$E$7,KPI_Config!$D$7,IF(AND(KPI_Config!$F$7&gt;0,Raw_Data!G116&lt;=KPI_Config!$G$7),KPI_Config!$F$7,0)),IF(Raw_Data!G116&gt;=KPI_Config!$E$7,KPI_Config!$D$7,IF(AND(KPI_Config!$F$7&gt;0,Raw_Data!G116&gt;=KPI_Config!$G$7),KPI_Config!$F$7,0)))))</f>
        <v>0</v>
      </c>
      <c r="H116" s="16">
        <f>IF($A116="","",IF(Raw_Data!H116="",0,IF(KPI_Config!$C$8="L",IF(Raw_Data!H116&lt;=KPI_Config!$E$8,KPI_Config!$D$8,IF(AND(KPI_Config!$F$8&gt;0,Raw_Data!H116&lt;=KPI_Config!$G$8),KPI_Config!$F$8,0)),IF(Raw_Data!H116&gt;=KPI_Config!$E$8,KPI_Config!$D$8,IF(AND(KPI_Config!$F$8&gt;0,Raw_Data!H116&gt;=KPI_Config!$G$8),KPI_Config!$F$8,0)))))</f>
        <v>0</v>
      </c>
      <c r="I116" s="16">
        <f>IF($A116="","",IF(Raw_Data!I116="",0,IF(KPI_Config!$C$9="L",IF(Raw_Data!I116&lt;=KPI_Config!$E$9,KPI_Config!$D$9,IF(AND(KPI_Config!$F$9&gt;0,Raw_Data!I116&lt;=KPI_Config!$G$9),KPI_Config!$F$9,0)),IF(Raw_Data!I116&gt;=KPI_Config!$E$9,KPI_Config!$D$9,IF(AND(KPI_Config!$F$9&gt;0,Raw_Data!I116&gt;=KPI_Config!$G$9),KPI_Config!$F$9,0)))))</f>
        <v>0</v>
      </c>
      <c r="J116" s="16">
        <f>IF($A116="","",IF(Raw_Data!J116="",0,IF(KPI_Config!$C$10="L",IF(Raw_Data!J116&lt;=KPI_Config!$E$10,KPI_Config!$D$10,IF(AND(KPI_Config!$F$10&gt;0,Raw_Data!J116&lt;=KPI_Config!$G$10),KPI_Config!$F$10,0)),IF(Raw_Data!J116&gt;=KPI_Config!$E$10,KPI_Config!$D$10,IF(AND(KPI_Config!$F$10&gt;0,Raw_Data!J116&gt;=KPI_Config!$G$10),KPI_Config!$F$10,0)))))</f>
        <v>0.15</v>
      </c>
      <c r="K116" s="16">
        <f>IF($A116="","",IF(Raw_Data!G116="",0,IF(KPI_Config!$C$11="L",IF(Raw_Data!G116&lt;=KPI_Config!$E$11,KPI_Config!$D$11,IF(AND(KPI_Config!$F$11&gt;0,Raw_Data!G116&lt;=KPI_Config!$G$11),KPI_Config!$F$11,0)),IF(Raw_Data!G116&gt;=KPI_Config!$E$11,KPI_Config!$D$11,IF(AND(KPI_Config!$F$11&gt;0,Raw_Data!G116&gt;=KPI_Config!$G$11),KPI_Config!$F$11,0)))))</f>
        <v>0</v>
      </c>
      <c r="L116" s="16">
        <f>IF($A116="","",MIN(Policy_Decisions!$B$10,IF(Policy_Decisions!$B$6="Additive",SUM(E116:K116),SUM(E116:J116)-G116+MAX(G116,K116))))</f>
        <v>0.15</v>
      </c>
      <c r="M116" s="16">
        <f>IF($A116="","",Raw_Data!K116)</f>
        <v>0</v>
      </c>
      <c r="N116" s="16">
        <f>IF($A116="","",IFERROR(VLOOKUP(M116,KPI_Config!$I$5:$J$10,2,FALSE()),0))</f>
        <v>0</v>
      </c>
      <c r="O116" s="16">
        <f>IF($A116="","",IF(Policy_Decisions!$B$5="Percentage points",MAX(0,L116-N116),L116*(1-N116)))</f>
        <v>0.15</v>
      </c>
      <c r="P116" s="15" t="str">
        <f>IF($A116="","",IF(U116="","Review proration",IF(O116=0,"No payout",IF(N116&gt;0,"Malus applied","Eligible"))))</f>
        <v>Eligible</v>
      </c>
      <c r="Q116" s="15" t="str">
        <f>IF($A116="","",Raw_Data!M116)</f>
        <v>MAD</v>
      </c>
      <c r="R116" s="38">
        <f>IF($A116="","",Raw_Data!N116)</f>
        <v>0</v>
      </c>
      <c r="S116" s="38">
        <f>IF($A116="","",Raw_Data!O116)</f>
        <v>0</v>
      </c>
      <c r="T116" s="38">
        <f>IF($A116="","",IF(Raw_Data!P116&gt;0,Raw_Data!P116,Raw_Data!N116*Raw_Data!O116/IF(Policy_Decisions!$B$7="Annual",12,1)))</f>
        <v>2000</v>
      </c>
      <c r="U116" s="38">
        <f>IF($A116="","",IF(OR(Raw_Data!R116="",Raw_Data!R116&lt;=0),"",MIN(1,MAX(0,Raw_Data!Q116/Raw_Data!R116))))</f>
        <v>1</v>
      </c>
      <c r="V116" s="38">
        <f>IF(OR($A116="",U116=""),"",T116*U116)</f>
        <v>2000</v>
      </c>
      <c r="W116" s="38">
        <f>IF(OR($A116="",V116=""),"",V116*L116)</f>
        <v>300</v>
      </c>
      <c r="X116" s="38">
        <f>IF(OR($A116="",V116=""),"",V116*L116-V116*O116)</f>
        <v>0</v>
      </c>
      <c r="Y116" s="38">
        <f>IF(OR($A116="",V116=""),"",ROUND(V116*O116,IF(Policy_Decisions!$B$11="Whole MAD",0,2)))</f>
        <v>300</v>
      </c>
      <c r="Z116" t="str">
        <f>Raw_Data!T116</f>
        <v>Kenza EL MOUMNI</v>
      </c>
      <c r="AA116" t="str">
        <f>Raw_Data!U116</f>
        <v>Anas OUAKKAD</v>
      </c>
    </row>
    <row r="117" spans="1:27" ht="14.25" customHeight="1">
      <c r="A117" s="13">
        <f>IF(Raw_Data!A117="","",Raw_Data!A117)</f>
        <v>249779</v>
      </c>
      <c r="B117" s="13" t="str">
        <f>IF(Raw_Data!B117="","",Raw_Data!B117)</f>
        <v>Hamza BOUJIDI</v>
      </c>
      <c r="C117" s="13" t="str">
        <f>IF(Raw_Data!C117="","",Raw_Data!C117)</f>
        <v>RSA FR</v>
      </c>
      <c r="D117" s="13" t="str">
        <f>IF(Raw_Data!D117="","",Raw_Data!D117)</f>
        <v>2026-07</v>
      </c>
      <c r="E117" s="21">
        <f>IF($A117="","",IF(Raw_Data!E117="",0,IF(KPI_Config!$C$5="L",IF(Raw_Data!E117&lt;=KPI_Config!$E$5,KPI_Config!$D$5,IF(AND(KPI_Config!$F$5&gt;0,Raw_Data!E117&lt;=KPI_Config!$G$5),KPI_Config!$F$5,0)),IF(Raw_Data!E117&gt;=KPI_Config!$E$5,KPI_Config!$D$5,IF(AND(KPI_Config!$F$5&gt;0,Raw_Data!E117&gt;=KPI_Config!$G$5),KPI_Config!$F$5,0)))))</f>
        <v>0</v>
      </c>
      <c r="F117" s="21">
        <f>IF($A117="","",IF(Raw_Data!F117="",0,IF(KPI_Config!$C$6="L",IF(Raw_Data!F117&lt;=KPI_Config!$E$6,KPI_Config!$D$6,IF(AND(KPI_Config!$F$6&gt;0,Raw_Data!F117&lt;=KPI_Config!$G$6),KPI_Config!$F$6,0)),IF(Raw_Data!F117&gt;=KPI_Config!$E$6,KPI_Config!$D$6,IF(AND(KPI_Config!$F$6&gt;0,Raw_Data!F117&gt;=KPI_Config!$G$6),KPI_Config!$F$6,0)))))</f>
        <v>0</v>
      </c>
      <c r="G117" s="21">
        <f>IF($A117="","",IF(Raw_Data!G117="",0,IF(KPI_Config!$C$7="L",IF(Raw_Data!G117&lt;=KPI_Config!$E$7,KPI_Config!$D$7,IF(AND(KPI_Config!$F$7&gt;0,Raw_Data!G117&lt;=KPI_Config!$G$7),KPI_Config!$F$7,0)),IF(Raw_Data!G117&gt;=KPI_Config!$E$7,KPI_Config!$D$7,IF(AND(KPI_Config!$F$7&gt;0,Raw_Data!G117&gt;=KPI_Config!$G$7),KPI_Config!$F$7,0)))))</f>
        <v>0</v>
      </c>
      <c r="H117" s="21">
        <f>IF($A117="","",IF(Raw_Data!H117="",0,IF(KPI_Config!$C$8="L",IF(Raw_Data!H117&lt;=KPI_Config!$E$8,KPI_Config!$D$8,IF(AND(KPI_Config!$F$8&gt;0,Raw_Data!H117&lt;=KPI_Config!$G$8),KPI_Config!$F$8,0)),IF(Raw_Data!H117&gt;=KPI_Config!$E$8,KPI_Config!$D$8,IF(AND(KPI_Config!$F$8&gt;0,Raw_Data!H117&gt;=KPI_Config!$G$8),KPI_Config!$F$8,0)))))</f>
        <v>0</v>
      </c>
      <c r="I117" s="21">
        <f>IF($A117="","",IF(Raw_Data!I117="",0,IF(KPI_Config!$C$9="L",IF(Raw_Data!I117&lt;=KPI_Config!$E$9,KPI_Config!$D$9,IF(AND(KPI_Config!$F$9&gt;0,Raw_Data!I117&lt;=KPI_Config!$G$9),KPI_Config!$F$9,0)),IF(Raw_Data!I117&gt;=KPI_Config!$E$9,KPI_Config!$D$9,IF(AND(KPI_Config!$F$9&gt;0,Raw_Data!I117&gt;=KPI_Config!$G$9),KPI_Config!$F$9,0)))))</f>
        <v>0</v>
      </c>
      <c r="J117" s="21">
        <f>IF($A117="","",IF(Raw_Data!J117="",0,IF(KPI_Config!$C$10="L",IF(Raw_Data!J117&lt;=KPI_Config!$E$10,KPI_Config!$D$10,IF(AND(KPI_Config!$F$10&gt;0,Raw_Data!J117&lt;=KPI_Config!$G$10),KPI_Config!$F$10,0)),IF(Raw_Data!J117&gt;=KPI_Config!$E$10,KPI_Config!$D$10,IF(AND(KPI_Config!$F$10&gt;0,Raw_Data!J117&gt;=KPI_Config!$G$10),KPI_Config!$F$10,0)))))</f>
        <v>0.15</v>
      </c>
      <c r="K117" s="21">
        <f>IF($A117="","",IF(Raw_Data!G117="",0,IF(KPI_Config!$C$11="L",IF(Raw_Data!G117&lt;=KPI_Config!$E$11,KPI_Config!$D$11,IF(AND(KPI_Config!$F$11&gt;0,Raw_Data!G117&lt;=KPI_Config!$G$11),KPI_Config!$F$11,0)),IF(Raw_Data!G117&gt;=KPI_Config!$E$11,KPI_Config!$D$11,IF(AND(KPI_Config!$F$11&gt;0,Raw_Data!G117&gt;=KPI_Config!$G$11),KPI_Config!$F$11,0)))))</f>
        <v>0</v>
      </c>
      <c r="L117" s="21">
        <f>IF($A117="","",MIN(Policy_Decisions!$B$10,IF(Policy_Decisions!$B$6="Additive",SUM(E117:K117),SUM(E117:J117)-G117+MAX(G117,K117))))</f>
        <v>0.15</v>
      </c>
      <c r="M117" s="21">
        <f>IF($A117="","",Raw_Data!K117)</f>
        <v>0</v>
      </c>
      <c r="N117" s="21">
        <f>IF($A117="","",IFERROR(VLOOKUP(M117,KPI_Config!$I$5:$J$10,2,FALSE()),0))</f>
        <v>0</v>
      </c>
      <c r="O117" s="21">
        <f>IF($A117="","",IF(Policy_Decisions!$B$5="Percentage points",MAX(0,L117-N117),L117*(1-N117)))</f>
        <v>0.15</v>
      </c>
      <c r="P117" s="13" t="str">
        <f>IF($A117="","",IF(U117="","Review proration",IF(O117=0,"No payout",IF(N117&gt;0,"Malus applied","Eligible"))))</f>
        <v>Eligible</v>
      </c>
      <c r="Q117" s="13" t="str">
        <f>IF($A117="","",Raw_Data!M117)</f>
        <v>MAD</v>
      </c>
      <c r="R117" s="37">
        <f>IF($A117="","",Raw_Data!N117)</f>
        <v>0</v>
      </c>
      <c r="S117" s="37">
        <f>IF($A117="","",Raw_Data!O117)</f>
        <v>0</v>
      </c>
      <c r="T117" s="37">
        <f>IF($A117="","",IF(Raw_Data!P117&gt;0,Raw_Data!P117,Raw_Data!N117*Raw_Data!O117/IF(Policy_Decisions!$B$7="Annual",12,1)))</f>
        <v>2000</v>
      </c>
      <c r="U117" s="37">
        <f>IF($A117="","",IF(OR(Raw_Data!R117="",Raw_Data!R117&lt;=0),"",MIN(1,MAX(0,Raw_Data!Q117/Raw_Data!R117))))</f>
        <v>1</v>
      </c>
      <c r="V117" s="37">
        <f>IF(OR($A117="",U117=""),"",T117*U117)</f>
        <v>2000</v>
      </c>
      <c r="W117" s="37">
        <f>IF(OR($A117="",V117=""),"",V117*L117)</f>
        <v>300</v>
      </c>
      <c r="X117" s="37">
        <f>IF(OR($A117="",V117=""),"",V117*L117-V117*O117)</f>
        <v>0</v>
      </c>
      <c r="Y117" s="37">
        <f>IF(OR($A117="",V117=""),"",ROUND(V117*O117,IF(Policy_Decisions!$B$11="Whole MAD",0,2)))</f>
        <v>300</v>
      </c>
      <c r="Z117" t="str">
        <f>Raw_Data!T117</f>
        <v>Farouk BOUAZZAOUI</v>
      </c>
      <c r="AA117" t="str">
        <f>Raw_Data!U117</f>
        <v>Anas OUAKKAD</v>
      </c>
    </row>
    <row r="118" spans="1:27" ht="14.25" customHeight="1">
      <c r="A118" s="15">
        <f>IF(Raw_Data!A118="","",Raw_Data!A118)</f>
        <v>250741</v>
      </c>
      <c r="B118" s="15" t="str">
        <f>IF(Raw_Data!B118="","",Raw_Data!B118)</f>
        <v>Hamza BOUAMAL</v>
      </c>
      <c r="C118" s="15" t="str">
        <f>IF(Raw_Data!C118="","",Raw_Data!C118)</f>
        <v>OEM FR</v>
      </c>
      <c r="D118" s="15" t="str">
        <f>IF(Raw_Data!D118="","",Raw_Data!D118)</f>
        <v>2026-07</v>
      </c>
      <c r="E118" s="16">
        <f>IF($A118="","",IF(Raw_Data!E118="",0,IF(KPI_Config!$C$5="L",IF(Raw_Data!E118&lt;=KPI_Config!$E$5,KPI_Config!$D$5,IF(AND(KPI_Config!$F$5&gt;0,Raw_Data!E118&lt;=KPI_Config!$G$5),KPI_Config!$F$5,0)),IF(Raw_Data!E118&gt;=KPI_Config!$E$5,KPI_Config!$D$5,IF(AND(KPI_Config!$F$5&gt;0,Raw_Data!E118&gt;=KPI_Config!$G$5),KPI_Config!$F$5,0)))))</f>
        <v>0</v>
      </c>
      <c r="F118" s="16">
        <f>IF($A118="","",IF(Raw_Data!F118="",0,IF(KPI_Config!$C$6="L",IF(Raw_Data!F118&lt;=KPI_Config!$E$6,KPI_Config!$D$6,IF(AND(KPI_Config!$F$6&gt;0,Raw_Data!F118&lt;=KPI_Config!$G$6),KPI_Config!$F$6,0)),IF(Raw_Data!F118&gt;=KPI_Config!$E$6,KPI_Config!$D$6,IF(AND(KPI_Config!$F$6&gt;0,Raw_Data!F118&gt;=KPI_Config!$G$6),KPI_Config!$F$6,0)))))</f>
        <v>0</v>
      </c>
      <c r="G118" s="16">
        <f>IF($A118="","",IF(Raw_Data!G118="",0,IF(KPI_Config!$C$7="L",IF(Raw_Data!G118&lt;=KPI_Config!$E$7,KPI_Config!$D$7,IF(AND(KPI_Config!$F$7&gt;0,Raw_Data!G118&lt;=KPI_Config!$G$7),KPI_Config!$F$7,0)),IF(Raw_Data!G118&gt;=KPI_Config!$E$7,KPI_Config!$D$7,IF(AND(KPI_Config!$F$7&gt;0,Raw_Data!G118&gt;=KPI_Config!$G$7),KPI_Config!$F$7,0)))))</f>
        <v>0</v>
      </c>
      <c r="H118" s="16">
        <f>IF($A118="","",IF(Raw_Data!H118="",0,IF(KPI_Config!$C$8="L",IF(Raw_Data!H118&lt;=KPI_Config!$E$8,KPI_Config!$D$8,IF(AND(KPI_Config!$F$8&gt;0,Raw_Data!H118&lt;=KPI_Config!$G$8),KPI_Config!$F$8,0)),IF(Raw_Data!H118&gt;=KPI_Config!$E$8,KPI_Config!$D$8,IF(AND(KPI_Config!$F$8&gt;0,Raw_Data!H118&gt;=KPI_Config!$G$8),KPI_Config!$F$8,0)))))</f>
        <v>0</v>
      </c>
      <c r="I118" s="16">
        <f>IF($A118="","",IF(Raw_Data!I118="",0,IF(KPI_Config!$C$9="L",IF(Raw_Data!I118&lt;=KPI_Config!$E$9,KPI_Config!$D$9,IF(AND(KPI_Config!$F$9&gt;0,Raw_Data!I118&lt;=KPI_Config!$G$9),KPI_Config!$F$9,0)),IF(Raw_Data!I118&gt;=KPI_Config!$E$9,KPI_Config!$D$9,IF(AND(KPI_Config!$F$9&gt;0,Raw_Data!I118&gt;=KPI_Config!$G$9),KPI_Config!$F$9,0)))))</f>
        <v>0</v>
      </c>
      <c r="J118" s="16">
        <f>IF($A118="","",IF(Raw_Data!J118="",0,IF(KPI_Config!$C$10="L",IF(Raw_Data!J118&lt;=KPI_Config!$E$10,KPI_Config!$D$10,IF(AND(KPI_Config!$F$10&gt;0,Raw_Data!J118&lt;=KPI_Config!$G$10),KPI_Config!$F$10,0)),IF(Raw_Data!J118&gt;=KPI_Config!$E$10,KPI_Config!$D$10,IF(AND(KPI_Config!$F$10&gt;0,Raw_Data!J118&gt;=KPI_Config!$G$10),KPI_Config!$F$10,0)))))</f>
        <v>0.15</v>
      </c>
      <c r="K118" s="16">
        <f>IF($A118="","",IF(Raw_Data!G118="",0,IF(KPI_Config!$C$11="L",IF(Raw_Data!G118&lt;=KPI_Config!$E$11,KPI_Config!$D$11,IF(AND(KPI_Config!$F$11&gt;0,Raw_Data!G118&lt;=KPI_Config!$G$11),KPI_Config!$F$11,0)),IF(Raw_Data!G118&gt;=KPI_Config!$E$11,KPI_Config!$D$11,IF(AND(KPI_Config!$F$11&gt;0,Raw_Data!G118&gt;=KPI_Config!$G$11),KPI_Config!$F$11,0)))))</f>
        <v>0</v>
      </c>
      <c r="L118" s="16">
        <f>IF($A118="","",MIN(Policy_Decisions!$B$10,IF(Policy_Decisions!$B$6="Additive",SUM(E118:K118),SUM(E118:J118)-G118+MAX(G118,K118))))</f>
        <v>0.15</v>
      </c>
      <c r="M118" s="16">
        <f>IF($A118="","",Raw_Data!K118)</f>
        <v>0</v>
      </c>
      <c r="N118" s="16">
        <f>IF($A118="","",IFERROR(VLOOKUP(M118,KPI_Config!$I$5:$J$10,2,FALSE()),0))</f>
        <v>0</v>
      </c>
      <c r="O118" s="16">
        <f>IF($A118="","",IF(Policy_Decisions!$B$5="Percentage points",MAX(0,L118-N118),L118*(1-N118)))</f>
        <v>0.15</v>
      </c>
      <c r="P118" s="15" t="str">
        <f>IF($A118="","",IF(U118="","Review proration",IF(O118=0,"No payout",IF(N118&gt;0,"Malus applied","Eligible"))))</f>
        <v>Eligible</v>
      </c>
      <c r="Q118" s="15" t="str">
        <f>IF($A118="","",Raw_Data!M118)</f>
        <v>MAD</v>
      </c>
      <c r="R118" s="38">
        <f>IF($A118="","",Raw_Data!N118)</f>
        <v>0</v>
      </c>
      <c r="S118" s="38">
        <f>IF($A118="","",Raw_Data!O118)</f>
        <v>0</v>
      </c>
      <c r="T118" s="38">
        <f>IF($A118="","",IF(Raw_Data!P118&gt;0,Raw_Data!P118,Raw_Data!N118*Raw_Data!O118/IF(Policy_Decisions!$B$7="Annual",12,1)))</f>
        <v>2000</v>
      </c>
      <c r="U118" s="38">
        <f>IF($A118="","",IF(OR(Raw_Data!R118="",Raw_Data!R118&lt;=0),"",MIN(1,MAX(0,Raw_Data!Q118/Raw_Data!R118))))</f>
        <v>1</v>
      </c>
      <c r="V118" s="38">
        <f>IF(OR($A118="",U118=""),"",T118*U118)</f>
        <v>2000</v>
      </c>
      <c r="W118" s="38">
        <f>IF(OR($A118="",V118=""),"",V118*L118)</f>
        <v>300</v>
      </c>
      <c r="X118" s="38">
        <f>IF(OR($A118="",V118=""),"",V118*L118-V118*O118)</f>
        <v>0</v>
      </c>
      <c r="Y118" s="38">
        <f>IF(OR($A118="",V118=""),"",ROUND(V118*O118,IF(Policy_Decisions!$B$11="Whole MAD",0,2)))</f>
        <v>300</v>
      </c>
      <c r="Z118" t="str">
        <f>Raw_Data!T118</f>
        <v>Malak AZERKI</v>
      </c>
      <c r="AA118" t="str">
        <f>Raw_Data!U118</f>
        <v>Anas OUAKKAD</v>
      </c>
    </row>
    <row r="119" spans="1:27" ht="14.25" customHeight="1">
      <c r="A119" s="13">
        <f>IF(Raw_Data!A119="","",Raw_Data!A119)</f>
        <v>144564</v>
      </c>
      <c r="B119" s="13" t="str">
        <f>IF(Raw_Data!B119="","",Raw_Data!B119)</f>
        <v>BENSIF Hamza</v>
      </c>
      <c r="C119" s="13" t="str">
        <f>IF(Raw_Data!C119="","",Raw_Data!C119)</f>
        <v>RSA FR</v>
      </c>
      <c r="D119" s="13" t="str">
        <f>IF(Raw_Data!D119="","",Raw_Data!D119)</f>
        <v>2026-07</v>
      </c>
      <c r="E119" s="21">
        <f>IF($A119="","",IF(Raw_Data!E119="",0,IF(KPI_Config!$C$5="L",IF(Raw_Data!E119&lt;=KPI_Config!$E$5,KPI_Config!$D$5,IF(AND(KPI_Config!$F$5&gt;0,Raw_Data!E119&lt;=KPI_Config!$G$5),KPI_Config!$F$5,0)),IF(Raw_Data!E119&gt;=KPI_Config!$E$5,KPI_Config!$D$5,IF(AND(KPI_Config!$F$5&gt;0,Raw_Data!E119&gt;=KPI_Config!$G$5),KPI_Config!$F$5,0)))))</f>
        <v>0.15</v>
      </c>
      <c r="F119" s="21">
        <f>IF($A119="","",IF(Raw_Data!F119="",0,IF(KPI_Config!$C$6="L",IF(Raw_Data!F119&lt;=KPI_Config!$E$6,KPI_Config!$D$6,IF(AND(KPI_Config!$F$6&gt;0,Raw_Data!F119&lt;=KPI_Config!$G$6),KPI_Config!$F$6,0)),IF(Raw_Data!F119&gt;=KPI_Config!$E$6,KPI_Config!$D$6,IF(AND(KPI_Config!$F$6&gt;0,Raw_Data!F119&gt;=KPI_Config!$G$6),KPI_Config!$F$6,0)))))</f>
        <v>0.15</v>
      </c>
      <c r="G119" s="21">
        <f>IF($A119="","",IF(Raw_Data!G119="",0,IF(KPI_Config!$C$7="L",IF(Raw_Data!G119&lt;=KPI_Config!$E$7,KPI_Config!$D$7,IF(AND(KPI_Config!$F$7&gt;0,Raw_Data!G119&lt;=KPI_Config!$G$7),KPI_Config!$F$7,0)),IF(Raw_Data!G119&gt;=KPI_Config!$E$7,KPI_Config!$D$7,IF(AND(KPI_Config!$F$7&gt;0,Raw_Data!G119&gt;=KPI_Config!$G$7),KPI_Config!$F$7,0)))))</f>
        <v>0</v>
      </c>
      <c r="H119" s="21">
        <f>IF($A119="","",IF(Raw_Data!H119="",0,IF(KPI_Config!$C$8="L",IF(Raw_Data!H119&lt;=KPI_Config!$E$8,KPI_Config!$D$8,IF(AND(KPI_Config!$F$8&gt;0,Raw_Data!H119&lt;=KPI_Config!$G$8),KPI_Config!$F$8,0)),IF(Raw_Data!H119&gt;=KPI_Config!$E$8,KPI_Config!$D$8,IF(AND(KPI_Config!$F$8&gt;0,Raw_Data!H119&gt;=KPI_Config!$G$8),KPI_Config!$F$8,0)))))</f>
        <v>0</v>
      </c>
      <c r="I119" s="21">
        <f>IF($A119="","",IF(Raw_Data!I119="",0,IF(KPI_Config!$C$9="L",IF(Raw_Data!I119&lt;=KPI_Config!$E$9,KPI_Config!$D$9,IF(AND(KPI_Config!$F$9&gt;0,Raw_Data!I119&lt;=KPI_Config!$G$9),KPI_Config!$F$9,0)),IF(Raw_Data!I119&gt;=KPI_Config!$E$9,KPI_Config!$D$9,IF(AND(KPI_Config!$F$9&gt;0,Raw_Data!I119&gt;=KPI_Config!$G$9),KPI_Config!$F$9,0)))))</f>
        <v>0.15</v>
      </c>
      <c r="J119" s="21">
        <f>IF($A119="","",IF(Raw_Data!J119="",0,IF(KPI_Config!$C$10="L",IF(Raw_Data!J119&lt;=KPI_Config!$E$10,KPI_Config!$D$10,IF(AND(KPI_Config!$F$10&gt;0,Raw_Data!J119&lt;=KPI_Config!$G$10),KPI_Config!$F$10,0)),IF(Raw_Data!J119&gt;=KPI_Config!$E$10,KPI_Config!$D$10,IF(AND(KPI_Config!$F$10&gt;0,Raw_Data!J119&gt;=KPI_Config!$G$10),KPI_Config!$F$10,0)))))</f>
        <v>0</v>
      </c>
      <c r="K119" s="21">
        <f>IF($A119="","",IF(Raw_Data!G119="",0,IF(KPI_Config!$C$11="L",IF(Raw_Data!G119&lt;=KPI_Config!$E$11,KPI_Config!$D$11,IF(AND(KPI_Config!$F$11&gt;0,Raw_Data!G119&lt;=KPI_Config!$G$11),KPI_Config!$F$11,0)),IF(Raw_Data!G119&gt;=KPI_Config!$E$11,KPI_Config!$D$11,IF(AND(KPI_Config!$F$11&gt;0,Raw_Data!G119&gt;=KPI_Config!$G$11),KPI_Config!$F$11,0)))))</f>
        <v>0</v>
      </c>
      <c r="L119" s="21">
        <f>IF($A119="","",MIN(Policy_Decisions!$B$10,IF(Policy_Decisions!$B$6="Additive",SUM(E119:K119),SUM(E119:J119)-G119+MAX(G119,K119))))</f>
        <v>0.44999999999999996</v>
      </c>
      <c r="M119" s="21">
        <f>IF($A119="","",Raw_Data!K119)</f>
        <v>0</v>
      </c>
      <c r="N119" s="21">
        <f>IF($A119="","",IFERROR(VLOOKUP(M119,KPI_Config!$I$5:$J$10,2,FALSE()),0))</f>
        <v>0</v>
      </c>
      <c r="O119" s="21">
        <f>IF($A119="","",IF(Policy_Decisions!$B$5="Percentage points",MAX(0,L119-N119),L119*(1-N119)))</f>
        <v>0.44999999999999996</v>
      </c>
      <c r="P119" s="13" t="str">
        <f>IF($A119="","",IF(U119="","Review proration",IF(O119=0,"No payout",IF(N119&gt;0,"Malus applied","Eligible"))))</f>
        <v>Eligible</v>
      </c>
      <c r="Q119" s="13" t="str">
        <f>IF($A119="","",Raw_Data!M119)</f>
        <v>MAD</v>
      </c>
      <c r="R119" s="37">
        <f>IF($A119="","",Raw_Data!N119)</f>
        <v>0</v>
      </c>
      <c r="S119" s="37">
        <f>IF($A119="","",Raw_Data!O119)</f>
        <v>0</v>
      </c>
      <c r="T119" s="37">
        <f>IF($A119="","",IF(Raw_Data!P119&gt;0,Raw_Data!P119,Raw_Data!N119*Raw_Data!O119/IF(Policy_Decisions!$B$7="Annual",12,1)))</f>
        <v>2000</v>
      </c>
      <c r="U119" s="37">
        <f>IF($A119="","",IF(OR(Raw_Data!R119="",Raw_Data!R119&lt;=0),"",MIN(1,MAX(0,Raw_Data!Q119/Raw_Data!R119))))</f>
        <v>1</v>
      </c>
      <c r="V119" s="37">
        <f>IF(OR($A119="",U119=""),"",T119*U119)</f>
        <v>2000</v>
      </c>
      <c r="W119" s="37">
        <f>IF(OR($A119="",V119=""),"",V119*L119)</f>
        <v>899.99999999999989</v>
      </c>
      <c r="X119" s="37">
        <f>IF(OR($A119="",V119=""),"",V119*L119-V119*O119)</f>
        <v>0</v>
      </c>
      <c r="Y119" s="37">
        <f>IF(OR($A119="",V119=""),"",ROUND(V119*O119,IF(Policy_Decisions!$B$11="Whole MAD",0,2)))</f>
        <v>900</v>
      </c>
      <c r="Z119" t="str">
        <f>Raw_Data!T119</f>
        <v>Mohamed-Amine SADKI</v>
      </c>
      <c r="AA119" t="str">
        <f>Raw_Data!U119</f>
        <v>Anas OUAKKAD</v>
      </c>
    </row>
    <row r="120" spans="1:27" ht="14.25" customHeight="1">
      <c r="A120" s="15">
        <f>IF(Raw_Data!A120="","",Raw_Data!A120)</f>
        <v>224099</v>
      </c>
      <c r="B120" s="15" t="str">
        <f>IF(Raw_Data!B120="","",Raw_Data!B120)</f>
        <v>Hakim Mohamed Harhour</v>
      </c>
      <c r="C120" s="15" t="str">
        <f>IF(Raw_Data!C120="","",Raw_Data!C120)</f>
        <v>RSA NL</v>
      </c>
      <c r="D120" s="15" t="str">
        <f>IF(Raw_Data!D120="","",Raw_Data!D120)</f>
        <v>2026-07</v>
      </c>
      <c r="E120" s="16">
        <f>IF($A120="","",IF(Raw_Data!E120="",0,IF(KPI_Config!$C$5="L",IF(Raw_Data!E120&lt;=KPI_Config!$E$5,KPI_Config!$D$5,IF(AND(KPI_Config!$F$5&gt;0,Raw_Data!E120&lt;=KPI_Config!$G$5),KPI_Config!$F$5,0)),IF(Raw_Data!E120&gt;=KPI_Config!$E$5,KPI_Config!$D$5,IF(AND(KPI_Config!$F$5&gt;0,Raw_Data!E120&gt;=KPI_Config!$G$5),KPI_Config!$F$5,0)))))</f>
        <v>0.15</v>
      </c>
      <c r="F120" s="16">
        <f>IF($A120="","",IF(Raw_Data!F120="",0,IF(KPI_Config!$C$6="L",IF(Raw_Data!F120&lt;=KPI_Config!$E$6,KPI_Config!$D$6,IF(AND(KPI_Config!$F$6&gt;0,Raw_Data!F120&lt;=KPI_Config!$G$6),KPI_Config!$F$6,0)),IF(Raw_Data!F120&gt;=KPI_Config!$E$6,KPI_Config!$D$6,IF(AND(KPI_Config!$F$6&gt;0,Raw_Data!F120&gt;=KPI_Config!$G$6),KPI_Config!$F$6,0)))))</f>
        <v>0.15</v>
      </c>
      <c r="G120" s="16">
        <f>IF($A120="","",IF(Raw_Data!G120="",0,IF(KPI_Config!$C$7="L",IF(Raw_Data!G120&lt;=KPI_Config!$E$7,KPI_Config!$D$7,IF(AND(KPI_Config!$F$7&gt;0,Raw_Data!G120&lt;=KPI_Config!$G$7),KPI_Config!$F$7,0)),IF(Raw_Data!G120&gt;=KPI_Config!$E$7,KPI_Config!$D$7,IF(AND(KPI_Config!$F$7&gt;0,Raw_Data!G120&gt;=KPI_Config!$G$7),KPI_Config!$F$7,0)))))</f>
        <v>0</v>
      </c>
      <c r="H120" s="16">
        <f>IF($A120="","",IF(Raw_Data!H120="",0,IF(KPI_Config!$C$8="L",IF(Raw_Data!H120&lt;=KPI_Config!$E$8,KPI_Config!$D$8,IF(AND(KPI_Config!$F$8&gt;0,Raw_Data!H120&lt;=KPI_Config!$G$8),KPI_Config!$F$8,0)),IF(Raw_Data!H120&gt;=KPI_Config!$E$8,KPI_Config!$D$8,IF(AND(KPI_Config!$F$8&gt;0,Raw_Data!H120&gt;=KPI_Config!$G$8),KPI_Config!$F$8,0)))))</f>
        <v>0</v>
      </c>
      <c r="I120" s="16">
        <f>IF($A120="","",IF(Raw_Data!I120="",0,IF(KPI_Config!$C$9="L",IF(Raw_Data!I120&lt;=KPI_Config!$E$9,KPI_Config!$D$9,IF(AND(KPI_Config!$F$9&gt;0,Raw_Data!I120&lt;=KPI_Config!$G$9),KPI_Config!$F$9,0)),IF(Raw_Data!I120&gt;=KPI_Config!$E$9,KPI_Config!$D$9,IF(AND(KPI_Config!$F$9&gt;0,Raw_Data!I120&gt;=KPI_Config!$G$9),KPI_Config!$F$9,0)))))</f>
        <v>0</v>
      </c>
      <c r="J120" s="16">
        <f>IF($A120="","",IF(Raw_Data!J120="",0,IF(KPI_Config!$C$10="L",IF(Raw_Data!J120&lt;=KPI_Config!$E$10,KPI_Config!$D$10,IF(AND(KPI_Config!$F$10&gt;0,Raw_Data!J120&lt;=KPI_Config!$G$10),KPI_Config!$F$10,0)),IF(Raw_Data!J120&gt;=KPI_Config!$E$10,KPI_Config!$D$10,IF(AND(KPI_Config!$F$10&gt;0,Raw_Data!J120&gt;=KPI_Config!$G$10),KPI_Config!$F$10,0)))))</f>
        <v>0.15</v>
      </c>
      <c r="K120" s="16">
        <f>IF($A120="","",IF(Raw_Data!G120="",0,IF(KPI_Config!$C$11="L",IF(Raw_Data!G120&lt;=KPI_Config!$E$11,KPI_Config!$D$11,IF(AND(KPI_Config!$F$11&gt;0,Raw_Data!G120&lt;=KPI_Config!$G$11),KPI_Config!$F$11,0)),IF(Raw_Data!G120&gt;=KPI_Config!$E$11,KPI_Config!$D$11,IF(AND(KPI_Config!$F$11&gt;0,Raw_Data!G120&gt;=KPI_Config!$G$11),KPI_Config!$F$11,0)))))</f>
        <v>0</v>
      </c>
      <c r="L120" s="16">
        <f>IF($A120="","",MIN(Policy_Decisions!$B$10,IF(Policy_Decisions!$B$6="Additive",SUM(E120:K120),SUM(E120:J120)-G120+MAX(G120,K120))))</f>
        <v>0.44999999999999996</v>
      </c>
      <c r="M120" s="16">
        <f>IF($A120="","",Raw_Data!K120)</f>
        <v>0</v>
      </c>
      <c r="N120" s="16">
        <f>IF($A120="","",IFERROR(VLOOKUP(M120,KPI_Config!$I$5:$J$10,2,FALSE()),0))</f>
        <v>0</v>
      </c>
      <c r="O120" s="16">
        <f>IF($A120="","",IF(Policy_Decisions!$B$5="Percentage points",MAX(0,L120-N120),L120*(1-N120)))</f>
        <v>0.44999999999999996</v>
      </c>
      <c r="P120" s="15" t="str">
        <f>IF($A120="","",IF(U120="","Review proration",IF(O120=0,"No payout",IF(N120&gt;0,"Malus applied","Eligible"))))</f>
        <v>Eligible</v>
      </c>
      <c r="Q120" s="15" t="str">
        <f>IF($A120="","",Raw_Data!M120)</f>
        <v>MAD</v>
      </c>
      <c r="R120" s="38">
        <f>IF($A120="","",Raw_Data!N120)</f>
        <v>0</v>
      </c>
      <c r="S120" s="38">
        <f>IF($A120="","",Raw_Data!O120)</f>
        <v>0</v>
      </c>
      <c r="T120" s="38">
        <f>IF($A120="","",IF(Raw_Data!P120&gt;0,Raw_Data!P120,Raw_Data!N120*Raw_Data!O120/IF(Policy_Decisions!$B$7="Annual",12,1)))</f>
        <v>2000</v>
      </c>
      <c r="U120" s="38">
        <f>IF($A120="","",IF(OR(Raw_Data!R120="",Raw_Data!R120&lt;=0),"",MIN(1,MAX(0,Raw_Data!Q120/Raw_Data!R120))))</f>
        <v>1</v>
      </c>
      <c r="V120" s="38">
        <f>IF(OR($A120="",U120=""),"",T120*U120)</f>
        <v>2000</v>
      </c>
      <c r="W120" s="38">
        <f>IF(OR($A120="",V120=""),"",V120*L120)</f>
        <v>899.99999999999989</v>
      </c>
      <c r="X120" s="38">
        <f>IF(OR($A120="",V120=""),"",V120*L120-V120*O120)</f>
        <v>0</v>
      </c>
      <c r="Y120" s="38">
        <f>IF(OR($A120="",V120=""),"",ROUND(V120*O120,IF(Policy_Decisions!$B$11="Whole MAD",0,2)))</f>
        <v>900</v>
      </c>
      <c r="Z120" t="str">
        <f>Raw_Data!T120</f>
        <v>JEANNE NKIKIO RWIBUTSO</v>
      </c>
      <c r="AA120" t="str">
        <f>Raw_Data!U120</f>
        <v>Anas OUAKKAD</v>
      </c>
    </row>
    <row r="121" spans="1:27" ht="14.25" customHeight="1">
      <c r="A121" s="13">
        <f>IF(Raw_Data!A121="","",Raw_Data!A121)</f>
        <v>203079</v>
      </c>
      <c r="B121" s="13" t="str">
        <f>IF(Raw_Data!B121="","",Raw_Data!B121)</f>
        <v>Ghali Haddad</v>
      </c>
      <c r="C121" s="13" t="str">
        <f>IF(Raw_Data!C121="","",Raw_Data!C121)</f>
        <v>RSA FR</v>
      </c>
      <c r="D121" s="13" t="str">
        <f>IF(Raw_Data!D121="","",Raw_Data!D121)</f>
        <v>2026-07</v>
      </c>
      <c r="E121" s="21">
        <f>IF($A121="","",IF(Raw_Data!E121="",0,IF(KPI_Config!$C$5="L",IF(Raw_Data!E121&lt;=KPI_Config!$E$5,KPI_Config!$D$5,IF(AND(KPI_Config!$F$5&gt;0,Raw_Data!E121&lt;=KPI_Config!$G$5),KPI_Config!$F$5,0)),IF(Raw_Data!E121&gt;=KPI_Config!$E$5,KPI_Config!$D$5,IF(AND(KPI_Config!$F$5&gt;0,Raw_Data!E121&gt;=KPI_Config!$G$5),KPI_Config!$F$5,0)))))</f>
        <v>0.15</v>
      </c>
      <c r="F121" s="21">
        <f>IF($A121="","",IF(Raw_Data!F121="",0,IF(KPI_Config!$C$6="L",IF(Raw_Data!F121&lt;=KPI_Config!$E$6,KPI_Config!$D$6,IF(AND(KPI_Config!$F$6&gt;0,Raw_Data!F121&lt;=KPI_Config!$G$6),KPI_Config!$F$6,0)),IF(Raw_Data!F121&gt;=KPI_Config!$E$6,KPI_Config!$D$6,IF(AND(KPI_Config!$F$6&gt;0,Raw_Data!F121&gt;=KPI_Config!$G$6),KPI_Config!$F$6,0)))))</f>
        <v>0.15</v>
      </c>
      <c r="G121" s="21">
        <f>IF($A121="","",IF(Raw_Data!G121="",0,IF(KPI_Config!$C$7="L",IF(Raw_Data!G121&lt;=KPI_Config!$E$7,KPI_Config!$D$7,IF(AND(KPI_Config!$F$7&gt;0,Raw_Data!G121&lt;=KPI_Config!$G$7),KPI_Config!$F$7,0)),IF(Raw_Data!G121&gt;=KPI_Config!$E$7,KPI_Config!$D$7,IF(AND(KPI_Config!$F$7&gt;0,Raw_Data!G121&gt;=KPI_Config!$G$7),KPI_Config!$F$7,0)))))</f>
        <v>0</v>
      </c>
      <c r="H121" s="21">
        <f>IF($A121="","",IF(Raw_Data!H121="",0,IF(KPI_Config!$C$8="L",IF(Raw_Data!H121&lt;=KPI_Config!$E$8,KPI_Config!$D$8,IF(AND(KPI_Config!$F$8&gt;0,Raw_Data!H121&lt;=KPI_Config!$G$8),KPI_Config!$F$8,0)),IF(Raw_Data!H121&gt;=KPI_Config!$E$8,KPI_Config!$D$8,IF(AND(KPI_Config!$F$8&gt;0,Raw_Data!H121&gt;=KPI_Config!$G$8),KPI_Config!$F$8,0)))))</f>
        <v>0</v>
      </c>
      <c r="I121" s="21">
        <f>IF($A121="","",IF(Raw_Data!I121="",0,IF(KPI_Config!$C$9="L",IF(Raw_Data!I121&lt;=KPI_Config!$E$9,KPI_Config!$D$9,IF(AND(KPI_Config!$F$9&gt;0,Raw_Data!I121&lt;=KPI_Config!$G$9),KPI_Config!$F$9,0)),IF(Raw_Data!I121&gt;=KPI_Config!$E$9,KPI_Config!$D$9,IF(AND(KPI_Config!$F$9&gt;0,Raw_Data!I121&gt;=KPI_Config!$G$9),KPI_Config!$F$9,0)))))</f>
        <v>0.15</v>
      </c>
      <c r="J121" s="21">
        <f>IF($A121="","",IF(Raw_Data!J121="",0,IF(KPI_Config!$C$10="L",IF(Raw_Data!J121&lt;=KPI_Config!$E$10,KPI_Config!$D$10,IF(AND(KPI_Config!$F$10&gt;0,Raw_Data!J121&lt;=KPI_Config!$G$10),KPI_Config!$F$10,0)),IF(Raw_Data!J121&gt;=KPI_Config!$E$10,KPI_Config!$D$10,IF(AND(KPI_Config!$F$10&gt;0,Raw_Data!J121&gt;=KPI_Config!$G$10),KPI_Config!$F$10,0)))))</f>
        <v>0.15</v>
      </c>
      <c r="K121" s="21">
        <f>IF($A121="","",IF(Raw_Data!G121="",0,IF(KPI_Config!$C$11="L",IF(Raw_Data!G121&lt;=KPI_Config!$E$11,KPI_Config!$D$11,IF(AND(KPI_Config!$F$11&gt;0,Raw_Data!G121&lt;=KPI_Config!$G$11),KPI_Config!$F$11,0)),IF(Raw_Data!G121&gt;=KPI_Config!$E$11,KPI_Config!$D$11,IF(AND(KPI_Config!$F$11&gt;0,Raw_Data!G121&gt;=KPI_Config!$G$11),KPI_Config!$F$11,0)))))</f>
        <v>0</v>
      </c>
      <c r="L121" s="21">
        <f>IF($A121="","",MIN(Policy_Decisions!$B$10,IF(Policy_Decisions!$B$6="Additive",SUM(E121:K121),SUM(E121:J121)-G121+MAX(G121,K121))))</f>
        <v>0.6</v>
      </c>
      <c r="M121" s="21">
        <f>IF($A121="","",Raw_Data!K121)</f>
        <v>0</v>
      </c>
      <c r="N121" s="21">
        <f>IF($A121="","",IFERROR(VLOOKUP(M121,KPI_Config!$I$5:$J$10,2,FALSE()),0))</f>
        <v>0</v>
      </c>
      <c r="O121" s="21">
        <f>IF($A121="","",IF(Policy_Decisions!$B$5="Percentage points",MAX(0,L121-N121),L121*(1-N121)))</f>
        <v>0.6</v>
      </c>
      <c r="P121" s="13" t="str">
        <f>IF($A121="","",IF(U121="","Review proration",IF(O121=0,"No payout",IF(N121&gt;0,"Malus applied","Eligible"))))</f>
        <v>Eligible</v>
      </c>
      <c r="Q121" s="13" t="str">
        <f>IF($A121="","",Raw_Data!M121)</f>
        <v>MAD</v>
      </c>
      <c r="R121" s="37">
        <f>IF($A121="","",Raw_Data!N121)</f>
        <v>0</v>
      </c>
      <c r="S121" s="37">
        <f>IF($A121="","",Raw_Data!O121)</f>
        <v>0</v>
      </c>
      <c r="T121" s="37">
        <f>IF($A121="","",IF(Raw_Data!P121&gt;0,Raw_Data!P121,Raw_Data!N121*Raw_Data!O121/IF(Policy_Decisions!$B$7="Annual",12,1)))</f>
        <v>2000</v>
      </c>
      <c r="U121" s="37">
        <f>IF($A121="","",IF(OR(Raw_Data!R121="",Raw_Data!R121&lt;=0),"",MIN(1,MAX(0,Raw_Data!Q121/Raw_Data!R121))))</f>
        <v>1</v>
      </c>
      <c r="V121" s="37">
        <f>IF(OR($A121="",U121=""),"",T121*U121)</f>
        <v>2000</v>
      </c>
      <c r="W121" s="37">
        <f>IF(OR($A121="",V121=""),"",V121*L121)</f>
        <v>1200</v>
      </c>
      <c r="X121" s="37">
        <f>IF(OR($A121="",V121=""),"",V121*L121-V121*O121)</f>
        <v>0</v>
      </c>
      <c r="Y121" s="37">
        <f>IF(OR($A121="",V121=""),"",ROUND(V121*O121,IF(Policy_Decisions!$B$11="Whole MAD",0,2)))</f>
        <v>1200</v>
      </c>
      <c r="Z121" t="str">
        <f>Raw_Data!T121</f>
        <v>Mohamed-Amine SADKI</v>
      </c>
      <c r="AA121" t="str">
        <f>Raw_Data!U121</f>
        <v>Anas OUAKKAD</v>
      </c>
    </row>
    <row r="122" spans="1:27" ht="14.25" customHeight="1">
      <c r="A122" s="15">
        <f>IF(Raw_Data!A122="","",Raw_Data!A122)</f>
        <v>204048</v>
      </c>
      <c r="B122" s="15" t="str">
        <f>IF(Raw_Data!B122="","",Raw_Data!B122)</f>
        <v>Van Driesche Freya</v>
      </c>
      <c r="C122" s="15" t="str">
        <f>IF(Raw_Data!C122="","",Raw_Data!C122)</f>
        <v>Ford Dutch</v>
      </c>
      <c r="D122" s="15" t="str">
        <f>IF(Raw_Data!D122="","",Raw_Data!D122)</f>
        <v>2026-07</v>
      </c>
      <c r="E122" s="16">
        <f>IF($A122="","",IF(Raw_Data!E122="",0,IF(KPI_Config!$C$5="L",IF(Raw_Data!E122&lt;=KPI_Config!$E$5,KPI_Config!$D$5,IF(AND(KPI_Config!$F$5&gt;0,Raw_Data!E122&lt;=KPI_Config!$G$5),KPI_Config!$F$5,0)),IF(Raw_Data!E122&gt;=KPI_Config!$E$5,KPI_Config!$D$5,IF(AND(KPI_Config!$F$5&gt;0,Raw_Data!E122&gt;=KPI_Config!$G$5),KPI_Config!$F$5,0)))))</f>
        <v>0</v>
      </c>
      <c r="F122" s="16">
        <f>IF($A122="","",IF(Raw_Data!F122="",0,IF(KPI_Config!$C$6="L",IF(Raw_Data!F122&lt;=KPI_Config!$E$6,KPI_Config!$D$6,IF(AND(KPI_Config!$F$6&gt;0,Raw_Data!F122&lt;=KPI_Config!$G$6),KPI_Config!$F$6,0)),IF(Raw_Data!F122&gt;=KPI_Config!$E$6,KPI_Config!$D$6,IF(AND(KPI_Config!$F$6&gt;0,Raw_Data!F122&gt;=KPI_Config!$G$6),KPI_Config!$F$6,0)))))</f>
        <v>0</v>
      </c>
      <c r="G122" s="16">
        <f>IF($A122="","",IF(Raw_Data!G122="",0,IF(KPI_Config!$C$7="L",IF(Raw_Data!G122&lt;=KPI_Config!$E$7,KPI_Config!$D$7,IF(AND(KPI_Config!$F$7&gt;0,Raw_Data!G122&lt;=KPI_Config!$G$7),KPI_Config!$F$7,0)),IF(Raw_Data!G122&gt;=KPI_Config!$E$7,KPI_Config!$D$7,IF(AND(KPI_Config!$F$7&gt;0,Raw_Data!G122&gt;=KPI_Config!$G$7),KPI_Config!$F$7,0)))))</f>
        <v>0.2</v>
      </c>
      <c r="H122" s="16">
        <f>IF($A122="","",IF(Raw_Data!H122="",0,IF(KPI_Config!$C$8="L",IF(Raw_Data!H122&lt;=KPI_Config!$E$8,KPI_Config!$D$8,IF(AND(KPI_Config!$F$8&gt;0,Raw_Data!H122&lt;=KPI_Config!$G$8),KPI_Config!$F$8,0)),IF(Raw_Data!H122&gt;=KPI_Config!$E$8,KPI_Config!$D$8,IF(AND(KPI_Config!$F$8&gt;0,Raw_Data!H122&gt;=KPI_Config!$G$8),KPI_Config!$F$8,0)))))</f>
        <v>0</v>
      </c>
      <c r="I122" s="16">
        <f>IF($A122="","",IF(Raw_Data!I122="",0,IF(KPI_Config!$C$9="L",IF(Raw_Data!I122&lt;=KPI_Config!$E$9,KPI_Config!$D$9,IF(AND(KPI_Config!$F$9&gt;0,Raw_Data!I122&lt;=KPI_Config!$G$9),KPI_Config!$F$9,0)),IF(Raw_Data!I122&gt;=KPI_Config!$E$9,KPI_Config!$D$9,IF(AND(KPI_Config!$F$9&gt;0,Raw_Data!I122&gt;=KPI_Config!$G$9),KPI_Config!$F$9,0)))))</f>
        <v>0</v>
      </c>
      <c r="J122" s="16">
        <f>IF($A122="","",IF(Raw_Data!J122="",0,IF(KPI_Config!$C$10="L",IF(Raw_Data!J122&lt;=KPI_Config!$E$10,KPI_Config!$D$10,IF(AND(KPI_Config!$F$10&gt;0,Raw_Data!J122&lt;=KPI_Config!$G$10),KPI_Config!$F$10,0)),IF(Raw_Data!J122&gt;=KPI_Config!$E$10,KPI_Config!$D$10,IF(AND(KPI_Config!$F$10&gt;0,Raw_Data!J122&gt;=KPI_Config!$G$10),KPI_Config!$F$10,0)))))</f>
        <v>0.15</v>
      </c>
      <c r="K122" s="16">
        <f>IF($A122="","",IF(Raw_Data!G122="",0,IF(KPI_Config!$C$11="L",IF(Raw_Data!G122&lt;=KPI_Config!$E$11,KPI_Config!$D$11,IF(AND(KPI_Config!$F$11&gt;0,Raw_Data!G122&lt;=KPI_Config!$G$11),KPI_Config!$F$11,0)),IF(Raw_Data!G122&gt;=KPI_Config!$E$11,KPI_Config!$D$11,IF(AND(KPI_Config!$F$11&gt;0,Raw_Data!G122&gt;=KPI_Config!$G$11),KPI_Config!$F$11,0)))))</f>
        <v>0.3</v>
      </c>
      <c r="L122" s="16">
        <f>IF($A122="","",MIN(Policy_Decisions!$B$10,IF(Policy_Decisions!$B$6="Additive",SUM(E122:K122),SUM(E122:J122)-G122+MAX(G122,K122))))</f>
        <v>0.64999999999999991</v>
      </c>
      <c r="M122" s="16">
        <f>IF($A122="","",Raw_Data!K122)</f>
        <v>0</v>
      </c>
      <c r="N122" s="16">
        <f>IF($A122="","",IFERROR(VLOOKUP(M122,KPI_Config!$I$5:$J$10,2,FALSE()),0))</f>
        <v>0</v>
      </c>
      <c r="O122" s="16">
        <f>IF($A122="","",IF(Policy_Decisions!$B$5="Percentage points",MAX(0,L122-N122),L122*(1-N122)))</f>
        <v>0.64999999999999991</v>
      </c>
      <c r="P122" s="15" t="str">
        <f>IF($A122="","",IF(U122="","Review proration",IF(O122=0,"No payout",IF(N122&gt;0,"Malus applied","Eligible"))))</f>
        <v>Eligible</v>
      </c>
      <c r="Q122" s="15" t="str">
        <f>IF($A122="","",Raw_Data!M122)</f>
        <v>MAD</v>
      </c>
      <c r="R122" s="38">
        <f>IF($A122="","",Raw_Data!N122)</f>
        <v>0</v>
      </c>
      <c r="S122" s="38">
        <f>IF($A122="","",Raw_Data!O122)</f>
        <v>0</v>
      </c>
      <c r="T122" s="38">
        <f>IF($A122="","",IF(Raw_Data!P122&gt;0,Raw_Data!P122,Raw_Data!N122*Raw_Data!O122/IF(Policy_Decisions!$B$7="Annual",12,1)))</f>
        <v>2000</v>
      </c>
      <c r="U122" s="38">
        <f>IF($A122="","",IF(OR(Raw_Data!R122="",Raw_Data!R122&lt;=0),"",MIN(1,MAX(0,Raw_Data!Q122/Raw_Data!R122))))</f>
        <v>1</v>
      </c>
      <c r="V122" s="38">
        <f>IF(OR($A122="",U122=""),"",T122*U122)</f>
        <v>2000</v>
      </c>
      <c r="W122" s="38">
        <f>IF(OR($A122="",V122=""),"",V122*L122)</f>
        <v>1299.9999999999998</v>
      </c>
      <c r="X122" s="38">
        <f>IF(OR($A122="",V122=""),"",V122*L122-V122*O122)</f>
        <v>0</v>
      </c>
      <c r="Y122" s="38">
        <f>IF(OR($A122="",V122=""),"",ROUND(V122*O122,IF(Policy_Decisions!$B$11="Whole MAD",0,2)))</f>
        <v>1300</v>
      </c>
      <c r="Z122" t="str">
        <f>Raw_Data!T122</f>
        <v>EL GHAZI Youssef</v>
      </c>
      <c r="AA122" t="str">
        <f>Raw_Data!U122</f>
        <v>Anas OUAKKAD</v>
      </c>
    </row>
    <row r="123" spans="1:27" ht="14.25" customHeight="1">
      <c r="A123" s="13">
        <f>IF(Raw_Data!A123="","",Raw_Data!A123)</f>
        <v>248342</v>
      </c>
      <c r="B123" s="13" t="str">
        <f>IF(Raw_Data!B123="","",Raw_Data!B123)</f>
        <v>Fouad Talbi</v>
      </c>
      <c r="C123" s="13" t="str">
        <f>IF(Raw_Data!C123="","",Raw_Data!C123)</f>
        <v>RSA NL</v>
      </c>
      <c r="D123" s="13" t="str">
        <f>IF(Raw_Data!D123="","",Raw_Data!D123)</f>
        <v>2026-07</v>
      </c>
      <c r="E123" s="21">
        <f>IF($A123="","",IF(Raw_Data!E123="",0,IF(KPI_Config!$C$5="L",IF(Raw_Data!E123&lt;=KPI_Config!$E$5,KPI_Config!$D$5,IF(AND(KPI_Config!$F$5&gt;0,Raw_Data!E123&lt;=KPI_Config!$G$5),KPI_Config!$F$5,0)),IF(Raw_Data!E123&gt;=KPI_Config!$E$5,KPI_Config!$D$5,IF(AND(KPI_Config!$F$5&gt;0,Raw_Data!E123&gt;=KPI_Config!$G$5),KPI_Config!$F$5,0)))))</f>
        <v>0</v>
      </c>
      <c r="F123" s="21">
        <f>IF($A123="","",IF(Raw_Data!F123="",0,IF(KPI_Config!$C$6="L",IF(Raw_Data!F123&lt;=KPI_Config!$E$6,KPI_Config!$D$6,IF(AND(KPI_Config!$F$6&gt;0,Raw_Data!F123&lt;=KPI_Config!$G$6),KPI_Config!$F$6,0)),IF(Raw_Data!F123&gt;=KPI_Config!$E$6,KPI_Config!$D$6,IF(AND(KPI_Config!$F$6&gt;0,Raw_Data!F123&gt;=KPI_Config!$G$6),KPI_Config!$F$6,0)))))</f>
        <v>0</v>
      </c>
      <c r="G123" s="21">
        <f>IF($A123="","",IF(Raw_Data!G123="",0,IF(KPI_Config!$C$7="L",IF(Raw_Data!G123&lt;=KPI_Config!$E$7,KPI_Config!$D$7,IF(AND(KPI_Config!$F$7&gt;0,Raw_Data!G123&lt;=KPI_Config!$G$7),KPI_Config!$F$7,0)),IF(Raw_Data!G123&gt;=KPI_Config!$E$7,KPI_Config!$D$7,IF(AND(KPI_Config!$F$7&gt;0,Raw_Data!G123&gt;=KPI_Config!$G$7),KPI_Config!$F$7,0)))))</f>
        <v>0</v>
      </c>
      <c r="H123" s="21">
        <f>IF($A123="","",IF(Raw_Data!H123="",0,IF(KPI_Config!$C$8="L",IF(Raw_Data!H123&lt;=KPI_Config!$E$8,KPI_Config!$D$8,IF(AND(KPI_Config!$F$8&gt;0,Raw_Data!H123&lt;=KPI_Config!$G$8),KPI_Config!$F$8,0)),IF(Raw_Data!H123&gt;=KPI_Config!$E$8,KPI_Config!$D$8,IF(AND(KPI_Config!$F$8&gt;0,Raw_Data!H123&gt;=KPI_Config!$G$8),KPI_Config!$F$8,0)))))</f>
        <v>0</v>
      </c>
      <c r="I123" s="21">
        <f>IF($A123="","",IF(Raw_Data!I123="",0,IF(KPI_Config!$C$9="L",IF(Raw_Data!I123&lt;=KPI_Config!$E$9,KPI_Config!$D$9,IF(AND(KPI_Config!$F$9&gt;0,Raw_Data!I123&lt;=KPI_Config!$G$9),KPI_Config!$F$9,0)),IF(Raw_Data!I123&gt;=KPI_Config!$E$9,KPI_Config!$D$9,IF(AND(KPI_Config!$F$9&gt;0,Raw_Data!I123&gt;=KPI_Config!$G$9),KPI_Config!$F$9,0)))))</f>
        <v>0</v>
      </c>
      <c r="J123" s="21">
        <f>IF($A123="","",IF(Raw_Data!J123="",0,IF(KPI_Config!$C$10="L",IF(Raw_Data!J123&lt;=KPI_Config!$E$10,KPI_Config!$D$10,IF(AND(KPI_Config!$F$10&gt;0,Raw_Data!J123&lt;=KPI_Config!$G$10),KPI_Config!$F$10,0)),IF(Raw_Data!J123&gt;=KPI_Config!$E$10,KPI_Config!$D$10,IF(AND(KPI_Config!$F$10&gt;0,Raw_Data!J123&gt;=KPI_Config!$G$10),KPI_Config!$F$10,0)))))</f>
        <v>0</v>
      </c>
      <c r="K123" s="21">
        <f>IF($A123="","",IF(Raw_Data!G123="",0,IF(KPI_Config!$C$11="L",IF(Raw_Data!G123&lt;=KPI_Config!$E$11,KPI_Config!$D$11,IF(AND(KPI_Config!$F$11&gt;0,Raw_Data!G123&lt;=KPI_Config!$G$11),KPI_Config!$F$11,0)),IF(Raw_Data!G123&gt;=KPI_Config!$E$11,KPI_Config!$D$11,IF(AND(KPI_Config!$F$11&gt;0,Raw_Data!G123&gt;=KPI_Config!$G$11),KPI_Config!$F$11,0)))))</f>
        <v>0</v>
      </c>
      <c r="L123" s="21">
        <f>IF($A123="","",MIN(Policy_Decisions!$B$10,IF(Policy_Decisions!$B$6="Additive",SUM(E123:K123),SUM(E123:J123)-G123+MAX(G123,K123))))</f>
        <v>0</v>
      </c>
      <c r="M123" s="21">
        <f>IF($A123="","",Raw_Data!K123)</f>
        <v>0</v>
      </c>
      <c r="N123" s="21">
        <f>IF($A123="","",IFERROR(VLOOKUP(M123,KPI_Config!$I$5:$J$10,2,FALSE()),0))</f>
        <v>0</v>
      </c>
      <c r="O123" s="21">
        <f>IF($A123="","",IF(Policy_Decisions!$B$5="Percentage points",MAX(0,L123-N123),L123*(1-N123)))</f>
        <v>0</v>
      </c>
      <c r="P123" s="13" t="str">
        <f>IF($A123="","",IF(U123="","Review proration",IF(O123=0,"No payout",IF(N123&gt;0,"Malus applied","Eligible"))))</f>
        <v>No payout</v>
      </c>
      <c r="Q123" s="13" t="str">
        <f>IF($A123="","",Raw_Data!M123)</f>
        <v>MAD</v>
      </c>
      <c r="R123" s="37">
        <f>IF($A123="","",Raw_Data!N123)</f>
        <v>0</v>
      </c>
      <c r="S123" s="37">
        <f>IF($A123="","",Raw_Data!O123)</f>
        <v>0</v>
      </c>
      <c r="T123" s="37">
        <f>IF($A123="","",IF(Raw_Data!P123&gt;0,Raw_Data!P123,Raw_Data!N123*Raw_Data!O123/IF(Policy_Decisions!$B$7="Annual",12,1)))</f>
        <v>2000</v>
      </c>
      <c r="U123" s="37">
        <f>IF($A123="","",IF(OR(Raw_Data!R123="",Raw_Data!R123&lt;=0),"",MIN(1,MAX(0,Raw_Data!Q123/Raw_Data!R123))))</f>
        <v>1</v>
      </c>
      <c r="V123" s="37">
        <f>IF(OR($A123="",U123=""),"",T123*U123)</f>
        <v>2000</v>
      </c>
      <c r="W123" s="37">
        <f>IF(OR($A123="",V123=""),"",V123*L123)</f>
        <v>0</v>
      </c>
      <c r="X123" s="37">
        <f>IF(OR($A123="",V123=""),"",V123*L123-V123*O123)</f>
        <v>0</v>
      </c>
      <c r="Y123" s="37">
        <f>IF(OR($A123="",V123=""),"",ROUND(V123*O123,IF(Policy_Decisions!$B$11="Whole MAD",0,2)))</f>
        <v>0</v>
      </c>
      <c r="Z123" t="str">
        <f>Raw_Data!T123</f>
        <v>KAIKAI Faissal</v>
      </c>
      <c r="AA123" t="str">
        <f>Raw_Data!U123</f>
        <v>Anas OUAKKAD</v>
      </c>
    </row>
    <row r="124" spans="1:27" ht="14.25" customHeight="1">
      <c r="A124" s="15">
        <f>IF(Raw_Data!A124="","",Raw_Data!A124)</f>
        <v>204043</v>
      </c>
      <c r="B124" s="15" t="str">
        <f>IF(Raw_Data!B124="","",Raw_Data!B124)</f>
        <v>El Yakhloufi Fouad</v>
      </c>
      <c r="C124" s="15" t="str">
        <f>IF(Raw_Data!C124="","",Raw_Data!C124)</f>
        <v>Ford Dutch</v>
      </c>
      <c r="D124" s="15" t="str">
        <f>IF(Raw_Data!D124="","",Raw_Data!D124)</f>
        <v>2026-07</v>
      </c>
      <c r="E124" s="16">
        <f>IF($A124="","",IF(Raw_Data!E124="",0,IF(KPI_Config!$C$5="L",IF(Raw_Data!E124&lt;=KPI_Config!$E$5,KPI_Config!$D$5,IF(AND(KPI_Config!$F$5&gt;0,Raw_Data!E124&lt;=KPI_Config!$G$5),KPI_Config!$F$5,0)),IF(Raw_Data!E124&gt;=KPI_Config!$E$5,KPI_Config!$D$5,IF(AND(KPI_Config!$F$5&gt;0,Raw_Data!E124&gt;=KPI_Config!$G$5),KPI_Config!$F$5,0)))))</f>
        <v>0</v>
      </c>
      <c r="F124" s="16">
        <f>IF($A124="","",IF(Raw_Data!F124="",0,IF(KPI_Config!$C$6="L",IF(Raw_Data!F124&lt;=KPI_Config!$E$6,KPI_Config!$D$6,IF(AND(KPI_Config!$F$6&gt;0,Raw_Data!F124&lt;=KPI_Config!$G$6),KPI_Config!$F$6,0)),IF(Raw_Data!F124&gt;=KPI_Config!$E$6,KPI_Config!$D$6,IF(AND(KPI_Config!$F$6&gt;0,Raw_Data!F124&gt;=KPI_Config!$G$6),KPI_Config!$F$6,0)))))</f>
        <v>0.15</v>
      </c>
      <c r="G124" s="16">
        <f>IF($A124="","",IF(Raw_Data!G124="",0,IF(KPI_Config!$C$7="L",IF(Raw_Data!G124&lt;=KPI_Config!$E$7,KPI_Config!$D$7,IF(AND(KPI_Config!$F$7&gt;0,Raw_Data!G124&lt;=KPI_Config!$G$7),KPI_Config!$F$7,0)),IF(Raw_Data!G124&gt;=KPI_Config!$E$7,KPI_Config!$D$7,IF(AND(KPI_Config!$F$7&gt;0,Raw_Data!G124&gt;=KPI_Config!$G$7),KPI_Config!$F$7,0)))))</f>
        <v>0.15</v>
      </c>
      <c r="H124" s="16">
        <f>IF($A124="","",IF(Raw_Data!H124="",0,IF(KPI_Config!$C$8="L",IF(Raw_Data!H124&lt;=KPI_Config!$E$8,KPI_Config!$D$8,IF(AND(KPI_Config!$F$8&gt;0,Raw_Data!H124&lt;=KPI_Config!$G$8),KPI_Config!$F$8,0)),IF(Raw_Data!H124&gt;=KPI_Config!$E$8,KPI_Config!$D$8,IF(AND(KPI_Config!$F$8&gt;0,Raw_Data!H124&gt;=KPI_Config!$G$8),KPI_Config!$F$8,0)))))</f>
        <v>0</v>
      </c>
      <c r="I124" s="16">
        <f>IF($A124="","",IF(Raw_Data!I124="",0,IF(KPI_Config!$C$9="L",IF(Raw_Data!I124&lt;=KPI_Config!$E$9,KPI_Config!$D$9,IF(AND(KPI_Config!$F$9&gt;0,Raw_Data!I124&lt;=KPI_Config!$G$9),KPI_Config!$F$9,0)),IF(Raw_Data!I124&gt;=KPI_Config!$E$9,KPI_Config!$D$9,IF(AND(KPI_Config!$F$9&gt;0,Raw_Data!I124&gt;=KPI_Config!$G$9),KPI_Config!$F$9,0)))))</f>
        <v>0</v>
      </c>
      <c r="J124" s="16">
        <f>IF($A124="","",IF(Raw_Data!J124="",0,IF(KPI_Config!$C$10="L",IF(Raw_Data!J124&lt;=KPI_Config!$E$10,KPI_Config!$D$10,IF(AND(KPI_Config!$F$10&gt;0,Raw_Data!J124&lt;=KPI_Config!$G$10),KPI_Config!$F$10,0)),IF(Raw_Data!J124&gt;=KPI_Config!$E$10,KPI_Config!$D$10,IF(AND(KPI_Config!$F$10&gt;0,Raw_Data!J124&gt;=KPI_Config!$G$10),KPI_Config!$F$10,0)))))</f>
        <v>0</v>
      </c>
      <c r="K124" s="16">
        <f>IF($A124="","",IF(Raw_Data!G124="",0,IF(KPI_Config!$C$11="L",IF(Raw_Data!G124&lt;=KPI_Config!$E$11,KPI_Config!$D$11,IF(AND(KPI_Config!$F$11&gt;0,Raw_Data!G124&lt;=KPI_Config!$G$11),KPI_Config!$F$11,0)),IF(Raw_Data!G124&gt;=KPI_Config!$E$11,KPI_Config!$D$11,IF(AND(KPI_Config!$F$11&gt;0,Raw_Data!G124&gt;=KPI_Config!$G$11),KPI_Config!$F$11,0)))))</f>
        <v>0</v>
      </c>
      <c r="L124" s="16">
        <f>IF($A124="","",MIN(Policy_Decisions!$B$10,IF(Policy_Decisions!$B$6="Additive",SUM(E124:K124),SUM(E124:J124)-G124+MAX(G124,K124))))</f>
        <v>0.3</v>
      </c>
      <c r="M124" s="16">
        <f>IF($A124="","",Raw_Data!K124)</f>
        <v>0</v>
      </c>
      <c r="N124" s="16">
        <f>IF($A124="","",IFERROR(VLOOKUP(M124,KPI_Config!$I$5:$J$10,2,FALSE()),0))</f>
        <v>0</v>
      </c>
      <c r="O124" s="16">
        <f>IF($A124="","",IF(Policy_Decisions!$B$5="Percentage points",MAX(0,L124-N124),L124*(1-N124)))</f>
        <v>0.3</v>
      </c>
      <c r="P124" s="15" t="str">
        <f>IF($A124="","",IF(U124="","Review proration",IF(O124=0,"No payout",IF(N124&gt;0,"Malus applied","Eligible"))))</f>
        <v>Eligible</v>
      </c>
      <c r="Q124" s="15" t="str">
        <f>IF($A124="","",Raw_Data!M124)</f>
        <v>MAD</v>
      </c>
      <c r="R124" s="38">
        <f>IF($A124="","",Raw_Data!N124)</f>
        <v>0</v>
      </c>
      <c r="S124" s="38">
        <f>IF($A124="","",Raw_Data!O124)</f>
        <v>0</v>
      </c>
      <c r="T124" s="38">
        <f>IF($A124="","",IF(Raw_Data!P124&gt;0,Raw_Data!P124,Raw_Data!N124*Raw_Data!O124/IF(Policy_Decisions!$B$7="Annual",12,1)))</f>
        <v>2000</v>
      </c>
      <c r="U124" s="38">
        <f>IF($A124="","",IF(OR(Raw_Data!R124="",Raw_Data!R124&lt;=0),"",MIN(1,MAX(0,Raw_Data!Q124/Raw_Data!R124))))</f>
        <v>1</v>
      </c>
      <c r="V124" s="38">
        <f>IF(OR($A124="",U124=""),"",T124*U124)</f>
        <v>2000</v>
      </c>
      <c r="W124" s="38">
        <f>IF(OR($A124="",V124=""),"",V124*L124)</f>
        <v>600</v>
      </c>
      <c r="X124" s="38">
        <f>IF(OR($A124="",V124=""),"",V124*L124-V124*O124)</f>
        <v>0</v>
      </c>
      <c r="Y124" s="38">
        <f>IF(OR($A124="",V124=""),"",ROUND(V124*O124,IF(Policy_Decisions!$B$11="Whole MAD",0,2)))</f>
        <v>600</v>
      </c>
      <c r="Z124" t="str">
        <f>Raw_Data!T124</f>
        <v>DERRAZI Ilyasse</v>
      </c>
      <c r="AA124" t="str">
        <f>Raw_Data!U124</f>
        <v>Anas OUAKKAD</v>
      </c>
    </row>
    <row r="125" spans="1:27" ht="14.25" customHeight="1">
      <c r="A125" s="13">
        <f>IF(Raw_Data!A125="","",Raw_Data!A125)</f>
        <v>232197</v>
      </c>
      <c r="B125" s="13" t="str">
        <f>IF(Raw_Data!B125="","",Raw_Data!B125)</f>
        <v xml:space="preserve">Firdaouss  EL Battay </v>
      </c>
      <c r="C125" s="13" t="str">
        <f>IF(Raw_Data!C125="","",Raw_Data!C125)</f>
        <v>RSA NL</v>
      </c>
      <c r="D125" s="13" t="str">
        <f>IF(Raw_Data!D125="","",Raw_Data!D125)</f>
        <v>2026-07</v>
      </c>
      <c r="E125" s="21">
        <f>IF($A125="","",IF(Raw_Data!E125="",0,IF(KPI_Config!$C$5="L",IF(Raw_Data!E125&lt;=KPI_Config!$E$5,KPI_Config!$D$5,IF(AND(KPI_Config!$F$5&gt;0,Raw_Data!E125&lt;=KPI_Config!$G$5),KPI_Config!$F$5,0)),IF(Raw_Data!E125&gt;=KPI_Config!$E$5,KPI_Config!$D$5,IF(AND(KPI_Config!$F$5&gt;0,Raw_Data!E125&gt;=KPI_Config!$G$5),KPI_Config!$F$5,0)))))</f>
        <v>0.15</v>
      </c>
      <c r="F125" s="21">
        <f>IF($A125="","",IF(Raw_Data!F125="",0,IF(KPI_Config!$C$6="L",IF(Raw_Data!F125&lt;=KPI_Config!$E$6,KPI_Config!$D$6,IF(AND(KPI_Config!$F$6&gt;0,Raw_Data!F125&lt;=KPI_Config!$G$6),KPI_Config!$F$6,0)),IF(Raw_Data!F125&gt;=KPI_Config!$E$6,KPI_Config!$D$6,IF(AND(KPI_Config!$F$6&gt;0,Raw_Data!F125&gt;=KPI_Config!$G$6),KPI_Config!$F$6,0)))))</f>
        <v>0.15</v>
      </c>
      <c r="G125" s="21">
        <f>IF($A125="","",IF(Raw_Data!G125="",0,IF(KPI_Config!$C$7="L",IF(Raw_Data!G125&lt;=KPI_Config!$E$7,KPI_Config!$D$7,IF(AND(KPI_Config!$F$7&gt;0,Raw_Data!G125&lt;=KPI_Config!$G$7),KPI_Config!$F$7,0)),IF(Raw_Data!G125&gt;=KPI_Config!$E$7,KPI_Config!$D$7,IF(AND(KPI_Config!$F$7&gt;0,Raw_Data!G125&gt;=KPI_Config!$G$7),KPI_Config!$F$7,0)))))</f>
        <v>0</v>
      </c>
      <c r="H125" s="21">
        <f>IF($A125="","",IF(Raw_Data!H125="",0,IF(KPI_Config!$C$8="L",IF(Raw_Data!H125&lt;=KPI_Config!$E$8,KPI_Config!$D$8,IF(AND(KPI_Config!$F$8&gt;0,Raw_Data!H125&lt;=KPI_Config!$G$8),KPI_Config!$F$8,0)),IF(Raw_Data!H125&gt;=KPI_Config!$E$8,KPI_Config!$D$8,IF(AND(KPI_Config!$F$8&gt;0,Raw_Data!H125&gt;=KPI_Config!$G$8),KPI_Config!$F$8,0)))))</f>
        <v>0</v>
      </c>
      <c r="I125" s="21">
        <f>IF($A125="","",IF(Raw_Data!I125="",0,IF(KPI_Config!$C$9="L",IF(Raw_Data!I125&lt;=KPI_Config!$E$9,KPI_Config!$D$9,IF(AND(KPI_Config!$F$9&gt;0,Raw_Data!I125&lt;=KPI_Config!$G$9),KPI_Config!$F$9,0)),IF(Raw_Data!I125&gt;=KPI_Config!$E$9,KPI_Config!$D$9,IF(AND(KPI_Config!$F$9&gt;0,Raw_Data!I125&gt;=KPI_Config!$G$9),KPI_Config!$F$9,0)))))</f>
        <v>0</v>
      </c>
      <c r="J125" s="21">
        <f>IF($A125="","",IF(Raw_Data!J125="",0,IF(KPI_Config!$C$10="L",IF(Raw_Data!J125&lt;=KPI_Config!$E$10,KPI_Config!$D$10,IF(AND(KPI_Config!$F$10&gt;0,Raw_Data!J125&lt;=KPI_Config!$G$10),KPI_Config!$F$10,0)),IF(Raw_Data!J125&gt;=KPI_Config!$E$10,KPI_Config!$D$10,IF(AND(KPI_Config!$F$10&gt;0,Raw_Data!J125&gt;=KPI_Config!$G$10),KPI_Config!$F$10,0)))))</f>
        <v>0</v>
      </c>
      <c r="K125" s="21">
        <f>IF($A125="","",IF(Raw_Data!G125="",0,IF(KPI_Config!$C$11="L",IF(Raw_Data!G125&lt;=KPI_Config!$E$11,KPI_Config!$D$11,IF(AND(KPI_Config!$F$11&gt;0,Raw_Data!G125&lt;=KPI_Config!$G$11),KPI_Config!$F$11,0)),IF(Raw_Data!G125&gt;=KPI_Config!$E$11,KPI_Config!$D$11,IF(AND(KPI_Config!$F$11&gt;0,Raw_Data!G125&gt;=KPI_Config!$G$11),KPI_Config!$F$11,0)))))</f>
        <v>0</v>
      </c>
      <c r="L125" s="21">
        <f>IF($A125="","",MIN(Policy_Decisions!$B$10,IF(Policy_Decisions!$B$6="Additive",SUM(E125:K125),SUM(E125:J125)-G125+MAX(G125,K125))))</f>
        <v>0.3</v>
      </c>
      <c r="M125" s="21">
        <f>IF($A125="","",Raw_Data!K125)</f>
        <v>0</v>
      </c>
      <c r="N125" s="21">
        <f>IF($A125="","",IFERROR(VLOOKUP(M125,KPI_Config!$I$5:$J$10,2,FALSE()),0))</f>
        <v>0</v>
      </c>
      <c r="O125" s="21">
        <f>IF($A125="","",IF(Policy_Decisions!$B$5="Percentage points",MAX(0,L125-N125),L125*(1-N125)))</f>
        <v>0.3</v>
      </c>
      <c r="P125" s="13" t="str">
        <f>IF($A125="","",IF(U125="","Review proration",IF(O125=0,"No payout",IF(N125&gt;0,"Malus applied","Eligible"))))</f>
        <v>Eligible</v>
      </c>
      <c r="Q125" s="13" t="str">
        <f>IF($A125="","",Raw_Data!M125)</f>
        <v>MAD</v>
      </c>
      <c r="R125" s="37">
        <f>IF($A125="","",Raw_Data!N125)</f>
        <v>0</v>
      </c>
      <c r="S125" s="37">
        <f>IF($A125="","",Raw_Data!O125)</f>
        <v>0</v>
      </c>
      <c r="T125" s="37">
        <f>IF($A125="","",IF(Raw_Data!P125&gt;0,Raw_Data!P125,Raw_Data!N125*Raw_Data!O125/IF(Policy_Decisions!$B$7="Annual",12,1)))</f>
        <v>2000</v>
      </c>
      <c r="U125" s="37">
        <f>IF($A125="","",IF(OR(Raw_Data!R125="",Raw_Data!R125&lt;=0),"",MIN(1,MAX(0,Raw_Data!Q125/Raw_Data!R125))))</f>
        <v>1</v>
      </c>
      <c r="V125" s="37">
        <f>IF(OR($A125="",U125=""),"",T125*U125)</f>
        <v>2000</v>
      </c>
      <c r="W125" s="37">
        <f>IF(OR($A125="",V125=""),"",V125*L125)</f>
        <v>600</v>
      </c>
      <c r="X125" s="37">
        <f>IF(OR($A125="",V125=""),"",V125*L125-V125*O125)</f>
        <v>0</v>
      </c>
      <c r="Y125" s="37">
        <f>IF(OR($A125="",V125=""),"",ROUND(V125*O125,IF(Policy_Decisions!$B$11="Whole MAD",0,2)))</f>
        <v>600</v>
      </c>
      <c r="Z125" t="str">
        <f>Raw_Data!T125</f>
        <v>JEANNE NKIKIO RWIBUTSO</v>
      </c>
      <c r="AA125" t="str">
        <f>Raw_Data!U125</f>
        <v>Anas OUAKKAD</v>
      </c>
    </row>
    <row r="126" spans="1:27" ht="14.25" customHeight="1">
      <c r="A126" s="15">
        <f>IF(Raw_Data!A126="","",Raw_Data!A126)</f>
        <v>228210</v>
      </c>
      <c r="B126" s="15" t="str">
        <f>IF(Raw_Data!B126="","",Raw_Data!B126)</f>
        <v>Fatima SOUALA</v>
      </c>
      <c r="C126" s="15" t="str">
        <f>IF(Raw_Data!C126="","",Raw_Data!C126)</f>
        <v>OEM FR</v>
      </c>
      <c r="D126" s="15" t="str">
        <f>IF(Raw_Data!D126="","",Raw_Data!D126)</f>
        <v>2026-07</v>
      </c>
      <c r="E126" s="16">
        <f>IF($A126="","",IF(Raw_Data!E126="",0,IF(KPI_Config!$C$5="L",IF(Raw_Data!E126&lt;=KPI_Config!$E$5,KPI_Config!$D$5,IF(AND(KPI_Config!$F$5&gt;0,Raw_Data!E126&lt;=KPI_Config!$G$5),KPI_Config!$F$5,0)),IF(Raw_Data!E126&gt;=KPI_Config!$E$5,KPI_Config!$D$5,IF(AND(KPI_Config!$F$5&gt;0,Raw_Data!E126&gt;=KPI_Config!$G$5),KPI_Config!$F$5,0)))))</f>
        <v>0</v>
      </c>
      <c r="F126" s="16">
        <f>IF($A126="","",IF(Raw_Data!F126="",0,IF(KPI_Config!$C$6="L",IF(Raw_Data!F126&lt;=KPI_Config!$E$6,KPI_Config!$D$6,IF(AND(KPI_Config!$F$6&gt;0,Raw_Data!F126&lt;=KPI_Config!$G$6),KPI_Config!$F$6,0)),IF(Raw_Data!F126&gt;=KPI_Config!$E$6,KPI_Config!$D$6,IF(AND(KPI_Config!$F$6&gt;0,Raw_Data!F126&gt;=KPI_Config!$G$6),KPI_Config!$F$6,0)))))</f>
        <v>0</v>
      </c>
      <c r="G126" s="16">
        <f>IF($A126="","",IF(Raw_Data!G126="",0,IF(KPI_Config!$C$7="L",IF(Raw_Data!G126&lt;=KPI_Config!$E$7,KPI_Config!$D$7,IF(AND(KPI_Config!$F$7&gt;0,Raw_Data!G126&lt;=KPI_Config!$G$7),KPI_Config!$F$7,0)),IF(Raw_Data!G126&gt;=KPI_Config!$E$7,KPI_Config!$D$7,IF(AND(KPI_Config!$F$7&gt;0,Raw_Data!G126&gt;=KPI_Config!$G$7),KPI_Config!$F$7,0)))))</f>
        <v>0.2</v>
      </c>
      <c r="H126" s="16">
        <f>IF($A126="","",IF(Raw_Data!H126="",0,IF(KPI_Config!$C$8="L",IF(Raw_Data!H126&lt;=KPI_Config!$E$8,KPI_Config!$D$8,IF(AND(KPI_Config!$F$8&gt;0,Raw_Data!H126&lt;=KPI_Config!$G$8),KPI_Config!$F$8,0)),IF(Raw_Data!H126&gt;=KPI_Config!$E$8,KPI_Config!$D$8,IF(AND(KPI_Config!$F$8&gt;0,Raw_Data!H126&gt;=KPI_Config!$G$8),KPI_Config!$F$8,0)))))</f>
        <v>0</v>
      </c>
      <c r="I126" s="16">
        <f>IF($A126="","",IF(Raw_Data!I126="",0,IF(KPI_Config!$C$9="L",IF(Raw_Data!I126&lt;=KPI_Config!$E$9,KPI_Config!$D$9,IF(AND(KPI_Config!$F$9&gt;0,Raw_Data!I126&lt;=KPI_Config!$G$9),KPI_Config!$F$9,0)),IF(Raw_Data!I126&gt;=KPI_Config!$E$9,KPI_Config!$D$9,IF(AND(KPI_Config!$F$9&gt;0,Raw_Data!I126&gt;=KPI_Config!$G$9),KPI_Config!$F$9,0)))))</f>
        <v>0</v>
      </c>
      <c r="J126" s="16">
        <f>IF($A126="","",IF(Raw_Data!J126="",0,IF(KPI_Config!$C$10="L",IF(Raw_Data!J126&lt;=KPI_Config!$E$10,KPI_Config!$D$10,IF(AND(KPI_Config!$F$10&gt;0,Raw_Data!J126&lt;=KPI_Config!$G$10),KPI_Config!$F$10,0)),IF(Raw_Data!J126&gt;=KPI_Config!$E$10,KPI_Config!$D$10,IF(AND(KPI_Config!$F$10&gt;0,Raw_Data!J126&gt;=KPI_Config!$G$10),KPI_Config!$F$10,0)))))</f>
        <v>0.15</v>
      </c>
      <c r="K126" s="16">
        <f>IF($A126="","",IF(Raw_Data!G126="",0,IF(KPI_Config!$C$11="L",IF(Raw_Data!G126&lt;=KPI_Config!$E$11,KPI_Config!$D$11,IF(AND(KPI_Config!$F$11&gt;0,Raw_Data!G126&lt;=KPI_Config!$G$11),KPI_Config!$F$11,0)),IF(Raw_Data!G126&gt;=KPI_Config!$E$11,KPI_Config!$D$11,IF(AND(KPI_Config!$F$11&gt;0,Raw_Data!G126&gt;=KPI_Config!$G$11),KPI_Config!$F$11,0)))))</f>
        <v>0.3</v>
      </c>
      <c r="L126" s="16">
        <f>IF($A126="","",MIN(Policy_Decisions!$B$10,IF(Policy_Decisions!$B$6="Additive",SUM(E126:K126),SUM(E126:J126)-G126+MAX(G126,K126))))</f>
        <v>0.64999999999999991</v>
      </c>
      <c r="M126" s="16">
        <f>IF($A126="","",Raw_Data!K126)</f>
        <v>0</v>
      </c>
      <c r="N126" s="16">
        <f>IF($A126="","",IFERROR(VLOOKUP(M126,KPI_Config!$I$5:$J$10,2,FALSE()),0))</f>
        <v>0</v>
      </c>
      <c r="O126" s="16">
        <f>IF($A126="","",IF(Policy_Decisions!$B$5="Percentage points",MAX(0,L126-N126),L126*(1-N126)))</f>
        <v>0.64999999999999991</v>
      </c>
      <c r="P126" s="15" t="str">
        <f>IF($A126="","",IF(U126="","Review proration",IF(O126=0,"No payout",IF(N126&gt;0,"Malus applied","Eligible"))))</f>
        <v>Eligible</v>
      </c>
      <c r="Q126" s="15" t="str">
        <f>IF($A126="","",Raw_Data!M126)</f>
        <v>MAD</v>
      </c>
      <c r="R126" s="38">
        <f>IF($A126="","",Raw_Data!N126)</f>
        <v>0</v>
      </c>
      <c r="S126" s="38">
        <f>IF($A126="","",Raw_Data!O126)</f>
        <v>0</v>
      </c>
      <c r="T126" s="38">
        <f>IF($A126="","",IF(Raw_Data!P126&gt;0,Raw_Data!P126,Raw_Data!N126*Raw_Data!O126/IF(Policy_Decisions!$B$7="Annual",12,1)))</f>
        <v>2000</v>
      </c>
      <c r="U126" s="38">
        <f>IF($A126="","",IF(OR(Raw_Data!R126="",Raw_Data!R126&lt;=0),"",MIN(1,MAX(0,Raw_Data!Q126/Raw_Data!R126))))</f>
        <v>1</v>
      </c>
      <c r="V126" s="38">
        <f>IF(OR($A126="",U126=""),"",T126*U126)</f>
        <v>2000</v>
      </c>
      <c r="W126" s="38">
        <f>IF(OR($A126="",V126=""),"",V126*L126)</f>
        <v>1299.9999999999998</v>
      </c>
      <c r="X126" s="38">
        <f>IF(OR($A126="",V126=""),"",V126*L126-V126*O126)</f>
        <v>0</v>
      </c>
      <c r="Y126" s="38">
        <f>IF(OR($A126="",V126=""),"",ROUND(V126*O126,IF(Policy_Decisions!$B$11="Whole MAD",0,2)))</f>
        <v>1300</v>
      </c>
      <c r="Z126" t="str">
        <f>Raw_Data!T126</f>
        <v>Farouk BOUAZZAOUI</v>
      </c>
      <c r="AA126" t="str">
        <f>Raw_Data!U126</f>
        <v>Anas OUAKKAD</v>
      </c>
    </row>
    <row r="127" spans="1:27" ht="14.25" customHeight="1">
      <c r="A127" s="13">
        <f>IF(Raw_Data!A127="","",Raw_Data!A127)</f>
        <v>96465</v>
      </c>
      <c r="B127" s="13" t="str">
        <f>IF(Raw_Data!B127="","",Raw_Data!B127)</f>
        <v>EL OUASGHIRI Farid</v>
      </c>
      <c r="C127" s="13" t="str">
        <f>IF(Raw_Data!C127="","",Raw_Data!C127)</f>
        <v>RSA NL</v>
      </c>
      <c r="D127" s="13" t="str">
        <f>IF(Raw_Data!D127="","",Raw_Data!D127)</f>
        <v>2026-07</v>
      </c>
      <c r="E127" s="21">
        <f>IF($A127="","",IF(Raw_Data!E127="",0,IF(KPI_Config!$C$5="L",IF(Raw_Data!E127&lt;=KPI_Config!$E$5,KPI_Config!$D$5,IF(AND(KPI_Config!$F$5&gt;0,Raw_Data!E127&lt;=KPI_Config!$G$5),KPI_Config!$F$5,0)),IF(Raw_Data!E127&gt;=KPI_Config!$E$5,KPI_Config!$D$5,IF(AND(KPI_Config!$F$5&gt;0,Raw_Data!E127&gt;=KPI_Config!$G$5),KPI_Config!$F$5,0)))))</f>
        <v>0.15</v>
      </c>
      <c r="F127" s="21">
        <f>IF($A127="","",IF(Raw_Data!F127="",0,IF(KPI_Config!$C$6="L",IF(Raw_Data!F127&lt;=KPI_Config!$E$6,KPI_Config!$D$6,IF(AND(KPI_Config!$F$6&gt;0,Raw_Data!F127&lt;=KPI_Config!$G$6),KPI_Config!$F$6,0)),IF(Raw_Data!F127&gt;=KPI_Config!$E$6,KPI_Config!$D$6,IF(AND(KPI_Config!$F$6&gt;0,Raw_Data!F127&gt;=KPI_Config!$G$6),KPI_Config!$F$6,0)))))</f>
        <v>0.15</v>
      </c>
      <c r="G127" s="21">
        <f>IF($A127="","",IF(Raw_Data!G127="",0,IF(KPI_Config!$C$7="L",IF(Raw_Data!G127&lt;=KPI_Config!$E$7,KPI_Config!$D$7,IF(AND(KPI_Config!$F$7&gt;0,Raw_Data!G127&lt;=KPI_Config!$G$7),KPI_Config!$F$7,0)),IF(Raw_Data!G127&gt;=KPI_Config!$E$7,KPI_Config!$D$7,IF(AND(KPI_Config!$F$7&gt;0,Raw_Data!G127&gt;=KPI_Config!$G$7),KPI_Config!$F$7,0)))))</f>
        <v>0.2</v>
      </c>
      <c r="H127" s="21">
        <f>IF($A127="","",IF(Raw_Data!H127="",0,IF(KPI_Config!$C$8="L",IF(Raw_Data!H127&lt;=KPI_Config!$E$8,KPI_Config!$D$8,IF(AND(KPI_Config!$F$8&gt;0,Raw_Data!H127&lt;=KPI_Config!$G$8),KPI_Config!$F$8,0)),IF(Raw_Data!H127&gt;=KPI_Config!$E$8,KPI_Config!$D$8,IF(AND(KPI_Config!$F$8&gt;0,Raw_Data!H127&gt;=KPI_Config!$G$8),KPI_Config!$F$8,0)))))</f>
        <v>0</v>
      </c>
      <c r="I127" s="21">
        <f>IF($A127="","",IF(Raw_Data!I127="",0,IF(KPI_Config!$C$9="L",IF(Raw_Data!I127&lt;=KPI_Config!$E$9,KPI_Config!$D$9,IF(AND(KPI_Config!$F$9&gt;0,Raw_Data!I127&lt;=KPI_Config!$G$9),KPI_Config!$F$9,0)),IF(Raw_Data!I127&gt;=KPI_Config!$E$9,KPI_Config!$D$9,IF(AND(KPI_Config!$F$9&gt;0,Raw_Data!I127&gt;=KPI_Config!$G$9),KPI_Config!$F$9,0)))))</f>
        <v>0</v>
      </c>
      <c r="J127" s="21">
        <f>IF($A127="","",IF(Raw_Data!J127="",0,IF(KPI_Config!$C$10="L",IF(Raw_Data!J127&lt;=KPI_Config!$E$10,KPI_Config!$D$10,IF(AND(KPI_Config!$F$10&gt;0,Raw_Data!J127&lt;=KPI_Config!$G$10),KPI_Config!$F$10,0)),IF(Raw_Data!J127&gt;=KPI_Config!$E$10,KPI_Config!$D$10,IF(AND(KPI_Config!$F$10&gt;0,Raw_Data!J127&gt;=KPI_Config!$G$10),KPI_Config!$F$10,0)))))</f>
        <v>0.15</v>
      </c>
      <c r="K127" s="21">
        <f>IF($A127="","",IF(Raw_Data!G127="",0,IF(KPI_Config!$C$11="L",IF(Raw_Data!G127&lt;=KPI_Config!$E$11,KPI_Config!$D$11,IF(AND(KPI_Config!$F$11&gt;0,Raw_Data!G127&lt;=KPI_Config!$G$11),KPI_Config!$F$11,0)),IF(Raw_Data!G127&gt;=KPI_Config!$E$11,KPI_Config!$D$11,IF(AND(KPI_Config!$F$11&gt;0,Raw_Data!G127&gt;=KPI_Config!$G$11),KPI_Config!$F$11,0)))))</f>
        <v>0.2</v>
      </c>
      <c r="L127" s="21">
        <f>IF($A127="","",MIN(Policy_Decisions!$B$10,IF(Policy_Decisions!$B$6="Additive",SUM(E127:K127),SUM(E127:J127)-G127+MAX(G127,K127))))</f>
        <v>0.85000000000000009</v>
      </c>
      <c r="M127" s="21">
        <f>IF($A127="","",Raw_Data!K127)</f>
        <v>0</v>
      </c>
      <c r="N127" s="21">
        <f>IF($A127="","",IFERROR(VLOOKUP(M127,KPI_Config!$I$5:$J$10,2,FALSE()),0))</f>
        <v>0</v>
      </c>
      <c r="O127" s="21">
        <f>IF($A127="","",IF(Policy_Decisions!$B$5="Percentage points",MAX(0,L127-N127),L127*(1-N127)))</f>
        <v>0.85000000000000009</v>
      </c>
      <c r="P127" s="13" t="str">
        <f>IF($A127="","",IF(U127="","Review proration",IF(O127=0,"No payout",IF(N127&gt;0,"Malus applied","Eligible"))))</f>
        <v>Eligible</v>
      </c>
      <c r="Q127" s="13" t="str">
        <f>IF($A127="","",Raw_Data!M127)</f>
        <v>MAD</v>
      </c>
      <c r="R127" s="37">
        <f>IF($A127="","",Raw_Data!N127)</f>
        <v>0</v>
      </c>
      <c r="S127" s="37">
        <f>IF($A127="","",Raw_Data!O127)</f>
        <v>0</v>
      </c>
      <c r="T127" s="37">
        <f>IF($A127="","",IF(Raw_Data!P127&gt;0,Raw_Data!P127,Raw_Data!N127*Raw_Data!O127/IF(Policy_Decisions!$B$7="Annual",12,1)))</f>
        <v>2000</v>
      </c>
      <c r="U127" s="37">
        <f>IF($A127="","",IF(OR(Raw_Data!R127="",Raw_Data!R127&lt;=0),"",MIN(1,MAX(0,Raw_Data!Q127/Raw_Data!R127))))</f>
        <v>1</v>
      </c>
      <c r="V127" s="37">
        <f>IF(OR($A127="",U127=""),"",T127*U127)</f>
        <v>2000</v>
      </c>
      <c r="W127" s="37">
        <f>IF(OR($A127="",V127=""),"",V127*L127)</f>
        <v>1700.0000000000002</v>
      </c>
      <c r="X127" s="37">
        <f>IF(OR($A127="",V127=""),"",V127*L127-V127*O127)</f>
        <v>0</v>
      </c>
      <c r="Y127" s="37">
        <f>IF(OR($A127="",V127=""),"",ROUND(V127*O127,IF(Policy_Decisions!$B$11="Whole MAD",0,2)))</f>
        <v>1700</v>
      </c>
      <c r="Z127" t="str">
        <f>Raw_Data!T127</f>
        <v>AL TAMIMI Zeynab</v>
      </c>
      <c r="AA127" t="str">
        <f>Raw_Data!U127</f>
        <v>Anas OUAKKAD</v>
      </c>
    </row>
    <row r="128" spans="1:27" ht="14.25" customHeight="1">
      <c r="A128" s="15">
        <f>IF(Raw_Data!A128="","",Raw_Data!A128)</f>
        <v>203620</v>
      </c>
      <c r="B128" s="15" t="str">
        <f>IF(Raw_Data!B128="","",Raw_Data!B128)</f>
        <v>Channane Fadwa</v>
      </c>
      <c r="C128" s="15" t="str">
        <f>IF(Raw_Data!C128="","",Raw_Data!C128)</f>
        <v>OEM FR</v>
      </c>
      <c r="D128" s="15" t="str">
        <f>IF(Raw_Data!D128="","",Raw_Data!D128)</f>
        <v>2026-07</v>
      </c>
      <c r="E128" s="16">
        <f>IF($A128="","",IF(Raw_Data!E128="",0,IF(KPI_Config!$C$5="L",IF(Raw_Data!E128&lt;=KPI_Config!$E$5,KPI_Config!$D$5,IF(AND(KPI_Config!$F$5&gt;0,Raw_Data!E128&lt;=KPI_Config!$G$5),KPI_Config!$F$5,0)),IF(Raw_Data!E128&gt;=KPI_Config!$E$5,KPI_Config!$D$5,IF(AND(KPI_Config!$F$5&gt;0,Raw_Data!E128&gt;=KPI_Config!$G$5),KPI_Config!$F$5,0)))))</f>
        <v>0.15</v>
      </c>
      <c r="F128" s="16">
        <f>IF($A128="","",IF(Raw_Data!F128="",0,IF(KPI_Config!$C$6="L",IF(Raw_Data!F128&lt;=KPI_Config!$E$6,KPI_Config!$D$6,IF(AND(KPI_Config!$F$6&gt;0,Raw_Data!F128&lt;=KPI_Config!$G$6),KPI_Config!$F$6,0)),IF(Raw_Data!F128&gt;=KPI_Config!$E$6,KPI_Config!$D$6,IF(AND(KPI_Config!$F$6&gt;0,Raw_Data!F128&gt;=KPI_Config!$G$6),KPI_Config!$F$6,0)))))</f>
        <v>0.15</v>
      </c>
      <c r="G128" s="16">
        <f>IF($A128="","",IF(Raw_Data!G128="",0,IF(KPI_Config!$C$7="L",IF(Raw_Data!G128&lt;=KPI_Config!$E$7,KPI_Config!$D$7,IF(AND(KPI_Config!$F$7&gt;0,Raw_Data!G128&lt;=KPI_Config!$G$7),KPI_Config!$F$7,0)),IF(Raw_Data!G128&gt;=KPI_Config!$E$7,KPI_Config!$D$7,IF(AND(KPI_Config!$F$7&gt;0,Raw_Data!G128&gt;=KPI_Config!$G$7),KPI_Config!$F$7,0)))))</f>
        <v>0</v>
      </c>
      <c r="H128" s="16">
        <f>IF($A128="","",IF(Raw_Data!H128="",0,IF(KPI_Config!$C$8="L",IF(Raw_Data!H128&lt;=KPI_Config!$E$8,KPI_Config!$D$8,IF(AND(KPI_Config!$F$8&gt;0,Raw_Data!H128&lt;=KPI_Config!$G$8),KPI_Config!$F$8,0)),IF(Raw_Data!H128&gt;=KPI_Config!$E$8,KPI_Config!$D$8,IF(AND(KPI_Config!$F$8&gt;0,Raw_Data!H128&gt;=KPI_Config!$G$8),KPI_Config!$F$8,0)))))</f>
        <v>0</v>
      </c>
      <c r="I128" s="16">
        <f>IF($A128="","",IF(Raw_Data!I128="",0,IF(KPI_Config!$C$9="L",IF(Raw_Data!I128&lt;=KPI_Config!$E$9,KPI_Config!$D$9,IF(AND(KPI_Config!$F$9&gt;0,Raw_Data!I128&lt;=KPI_Config!$G$9),KPI_Config!$F$9,0)),IF(Raw_Data!I128&gt;=KPI_Config!$E$9,KPI_Config!$D$9,IF(AND(KPI_Config!$F$9&gt;0,Raw_Data!I128&gt;=KPI_Config!$G$9),KPI_Config!$F$9,0)))))</f>
        <v>0</v>
      </c>
      <c r="J128" s="16">
        <f>IF($A128="","",IF(Raw_Data!J128="",0,IF(KPI_Config!$C$10="L",IF(Raw_Data!J128&lt;=KPI_Config!$E$10,KPI_Config!$D$10,IF(AND(KPI_Config!$F$10&gt;0,Raw_Data!J128&lt;=KPI_Config!$G$10),KPI_Config!$F$10,0)),IF(Raw_Data!J128&gt;=KPI_Config!$E$10,KPI_Config!$D$10,IF(AND(KPI_Config!$F$10&gt;0,Raw_Data!J128&gt;=KPI_Config!$G$10),KPI_Config!$F$10,0)))))</f>
        <v>0.15</v>
      </c>
      <c r="K128" s="16">
        <f>IF($A128="","",IF(Raw_Data!G128="",0,IF(KPI_Config!$C$11="L",IF(Raw_Data!G128&lt;=KPI_Config!$E$11,KPI_Config!$D$11,IF(AND(KPI_Config!$F$11&gt;0,Raw_Data!G128&lt;=KPI_Config!$G$11),KPI_Config!$F$11,0)),IF(Raw_Data!G128&gt;=KPI_Config!$E$11,KPI_Config!$D$11,IF(AND(KPI_Config!$F$11&gt;0,Raw_Data!G128&gt;=KPI_Config!$G$11),KPI_Config!$F$11,0)))))</f>
        <v>0</v>
      </c>
      <c r="L128" s="16">
        <f>IF($A128="","",MIN(Policy_Decisions!$B$10,IF(Policy_Decisions!$B$6="Additive",SUM(E128:K128),SUM(E128:J128)-G128+MAX(G128,K128))))</f>
        <v>0.44999999999999996</v>
      </c>
      <c r="M128" s="16">
        <f>IF($A128="","",Raw_Data!K128)</f>
        <v>0</v>
      </c>
      <c r="N128" s="16">
        <f>IF($A128="","",IFERROR(VLOOKUP(M128,KPI_Config!$I$5:$J$10,2,FALSE()),0))</f>
        <v>0</v>
      </c>
      <c r="O128" s="16">
        <f>IF($A128="","",IF(Policy_Decisions!$B$5="Percentage points",MAX(0,L128-N128),L128*(1-N128)))</f>
        <v>0.44999999999999996</v>
      </c>
      <c r="P128" s="15" t="str">
        <f>IF($A128="","",IF(U128="","Review proration",IF(O128=0,"No payout",IF(N128&gt;0,"Malus applied","Eligible"))))</f>
        <v>Eligible</v>
      </c>
      <c r="Q128" s="15" t="str">
        <f>IF($A128="","",Raw_Data!M128)</f>
        <v>MAD</v>
      </c>
      <c r="R128" s="38">
        <f>IF($A128="","",Raw_Data!N128)</f>
        <v>0</v>
      </c>
      <c r="S128" s="38">
        <f>IF($A128="","",Raw_Data!O128)</f>
        <v>0</v>
      </c>
      <c r="T128" s="38">
        <f>IF($A128="","",IF(Raw_Data!P128&gt;0,Raw_Data!P128,Raw_Data!N128*Raw_Data!O128/IF(Policy_Decisions!$B$7="Annual",12,1)))</f>
        <v>2000</v>
      </c>
      <c r="U128" s="38">
        <f>IF($A128="","",IF(OR(Raw_Data!R128="",Raw_Data!R128&lt;=0),"",MIN(1,MAX(0,Raw_Data!Q128/Raw_Data!R128))))</f>
        <v>1</v>
      </c>
      <c r="V128" s="38">
        <f>IF(OR($A128="",U128=""),"",T128*U128)</f>
        <v>2000</v>
      </c>
      <c r="W128" s="38">
        <f>IF(OR($A128="",V128=""),"",V128*L128)</f>
        <v>899.99999999999989</v>
      </c>
      <c r="X128" s="38">
        <f>IF(OR($A128="",V128=""),"",V128*L128-V128*O128)</f>
        <v>0</v>
      </c>
      <c r="Y128" s="38">
        <f>IF(OR($A128="",V128=""),"",ROUND(V128*O128,IF(Policy_Decisions!$B$11="Whole MAD",0,2)))</f>
        <v>900</v>
      </c>
      <c r="Z128" t="str">
        <f>Raw_Data!T128</f>
        <v>Kenza EL MOUMNI</v>
      </c>
      <c r="AA128" t="str">
        <f>Raw_Data!U128</f>
        <v>Anas OUAKKAD</v>
      </c>
    </row>
    <row r="129" spans="1:27" ht="14.25" customHeight="1">
      <c r="A129" s="13">
        <f>IF(Raw_Data!A129="","",Raw_Data!A129)</f>
        <v>96476</v>
      </c>
      <c r="B129" s="13" t="str">
        <f>IF(Raw_Data!B129="","",Raw_Data!B129)</f>
        <v>ULUDAG Erkan</v>
      </c>
      <c r="C129" s="13" t="str">
        <f>IF(Raw_Data!C129="","",Raw_Data!C129)</f>
        <v>RSA NL</v>
      </c>
      <c r="D129" s="13" t="str">
        <f>IF(Raw_Data!D129="","",Raw_Data!D129)</f>
        <v>2026-07</v>
      </c>
      <c r="E129" s="21">
        <f>IF($A129="","",IF(Raw_Data!E129="",0,IF(KPI_Config!$C$5="L",IF(Raw_Data!E129&lt;=KPI_Config!$E$5,KPI_Config!$D$5,IF(AND(KPI_Config!$F$5&gt;0,Raw_Data!E129&lt;=KPI_Config!$G$5),KPI_Config!$F$5,0)),IF(Raw_Data!E129&gt;=KPI_Config!$E$5,KPI_Config!$D$5,IF(AND(KPI_Config!$F$5&gt;0,Raw_Data!E129&gt;=KPI_Config!$G$5),KPI_Config!$F$5,0)))))</f>
        <v>0.15</v>
      </c>
      <c r="F129" s="21">
        <f>IF($A129="","",IF(Raw_Data!F129="",0,IF(KPI_Config!$C$6="L",IF(Raw_Data!F129&lt;=KPI_Config!$E$6,KPI_Config!$D$6,IF(AND(KPI_Config!$F$6&gt;0,Raw_Data!F129&lt;=KPI_Config!$G$6),KPI_Config!$F$6,0)),IF(Raw_Data!F129&gt;=KPI_Config!$E$6,KPI_Config!$D$6,IF(AND(KPI_Config!$F$6&gt;0,Raw_Data!F129&gt;=KPI_Config!$G$6),KPI_Config!$F$6,0)))))</f>
        <v>0.15</v>
      </c>
      <c r="G129" s="21">
        <f>IF($A129="","",IF(Raw_Data!G129="",0,IF(KPI_Config!$C$7="L",IF(Raw_Data!G129&lt;=KPI_Config!$E$7,KPI_Config!$D$7,IF(AND(KPI_Config!$F$7&gt;0,Raw_Data!G129&lt;=KPI_Config!$G$7),KPI_Config!$F$7,0)),IF(Raw_Data!G129&gt;=KPI_Config!$E$7,KPI_Config!$D$7,IF(AND(KPI_Config!$F$7&gt;0,Raw_Data!G129&gt;=KPI_Config!$G$7),KPI_Config!$F$7,0)))))</f>
        <v>0</v>
      </c>
      <c r="H129" s="21">
        <f>IF($A129="","",IF(Raw_Data!H129="",0,IF(KPI_Config!$C$8="L",IF(Raw_Data!H129&lt;=KPI_Config!$E$8,KPI_Config!$D$8,IF(AND(KPI_Config!$F$8&gt;0,Raw_Data!H129&lt;=KPI_Config!$G$8),KPI_Config!$F$8,0)),IF(Raw_Data!H129&gt;=KPI_Config!$E$8,KPI_Config!$D$8,IF(AND(KPI_Config!$F$8&gt;0,Raw_Data!H129&gt;=KPI_Config!$G$8),KPI_Config!$F$8,0)))))</f>
        <v>0</v>
      </c>
      <c r="I129" s="21">
        <f>IF($A129="","",IF(Raw_Data!I129="",0,IF(KPI_Config!$C$9="L",IF(Raw_Data!I129&lt;=KPI_Config!$E$9,KPI_Config!$D$9,IF(AND(KPI_Config!$F$9&gt;0,Raw_Data!I129&lt;=KPI_Config!$G$9),KPI_Config!$F$9,0)),IF(Raw_Data!I129&gt;=KPI_Config!$E$9,KPI_Config!$D$9,IF(AND(KPI_Config!$F$9&gt;0,Raw_Data!I129&gt;=KPI_Config!$G$9),KPI_Config!$F$9,0)))))</f>
        <v>0</v>
      </c>
      <c r="J129" s="21">
        <f>IF($A129="","",IF(Raw_Data!J129="",0,IF(KPI_Config!$C$10="L",IF(Raw_Data!J129&lt;=KPI_Config!$E$10,KPI_Config!$D$10,IF(AND(KPI_Config!$F$10&gt;0,Raw_Data!J129&lt;=KPI_Config!$G$10),KPI_Config!$F$10,0)),IF(Raw_Data!J129&gt;=KPI_Config!$E$10,KPI_Config!$D$10,IF(AND(KPI_Config!$F$10&gt;0,Raw_Data!J129&gt;=KPI_Config!$G$10),KPI_Config!$F$10,0)))))</f>
        <v>0.15</v>
      </c>
      <c r="K129" s="21">
        <f>IF($A129="","",IF(Raw_Data!G129="",0,IF(KPI_Config!$C$11="L",IF(Raw_Data!G129&lt;=KPI_Config!$E$11,KPI_Config!$D$11,IF(AND(KPI_Config!$F$11&gt;0,Raw_Data!G129&lt;=KPI_Config!$G$11),KPI_Config!$F$11,0)),IF(Raw_Data!G129&gt;=KPI_Config!$E$11,KPI_Config!$D$11,IF(AND(KPI_Config!$F$11&gt;0,Raw_Data!G129&gt;=KPI_Config!$G$11),KPI_Config!$F$11,0)))))</f>
        <v>0</v>
      </c>
      <c r="L129" s="21">
        <f>IF($A129="","",MIN(Policy_Decisions!$B$10,IF(Policy_Decisions!$B$6="Additive",SUM(E129:K129),SUM(E129:J129)-G129+MAX(G129,K129))))</f>
        <v>0.44999999999999996</v>
      </c>
      <c r="M129" s="21">
        <f>IF($A129="","",Raw_Data!K129)</f>
        <v>0</v>
      </c>
      <c r="N129" s="21">
        <f>IF($A129="","",IFERROR(VLOOKUP(M129,KPI_Config!$I$5:$J$10,2,FALSE()),0))</f>
        <v>0</v>
      </c>
      <c r="O129" s="21">
        <f>IF($A129="","",IF(Policy_Decisions!$B$5="Percentage points",MAX(0,L129-N129),L129*(1-N129)))</f>
        <v>0.44999999999999996</v>
      </c>
      <c r="P129" s="13" t="str">
        <f>IF($A129="","",IF(U129="","Review proration",IF(O129=0,"No payout",IF(N129&gt;0,"Malus applied","Eligible"))))</f>
        <v>Eligible</v>
      </c>
      <c r="Q129" s="13" t="str">
        <f>IF($A129="","",Raw_Data!M129)</f>
        <v>MAD</v>
      </c>
      <c r="R129" s="37">
        <f>IF($A129="","",Raw_Data!N129)</f>
        <v>0</v>
      </c>
      <c r="S129" s="37">
        <f>IF($A129="","",Raw_Data!O129)</f>
        <v>0</v>
      </c>
      <c r="T129" s="37">
        <f>IF($A129="","",IF(Raw_Data!P129&gt;0,Raw_Data!P129,Raw_Data!N129*Raw_Data!O129/IF(Policy_Decisions!$B$7="Annual",12,1)))</f>
        <v>2000</v>
      </c>
      <c r="U129" s="37">
        <f>IF($A129="","",IF(OR(Raw_Data!R129="",Raw_Data!R129&lt;=0),"",MIN(1,MAX(0,Raw_Data!Q129/Raw_Data!R129))))</f>
        <v>1</v>
      </c>
      <c r="V129" s="37">
        <f>IF(OR($A129="",U129=""),"",T129*U129)</f>
        <v>2000</v>
      </c>
      <c r="W129" s="37">
        <f>IF(OR($A129="",V129=""),"",V129*L129)</f>
        <v>899.99999999999989</v>
      </c>
      <c r="X129" s="37">
        <f>IF(OR($A129="",V129=""),"",V129*L129-V129*O129)</f>
        <v>0</v>
      </c>
      <c r="Y129" s="37">
        <f>IF(OR($A129="",V129=""),"",ROUND(V129*O129,IF(Policy_Decisions!$B$11="Whole MAD",0,2)))</f>
        <v>900</v>
      </c>
      <c r="Z129" t="str">
        <f>Raw_Data!T129</f>
        <v>JEANNE NKIKIO RWIBUTSO</v>
      </c>
      <c r="AA129" t="str">
        <f>Raw_Data!U129</f>
        <v>Anas OUAKKAD</v>
      </c>
    </row>
    <row r="130" spans="1:27" ht="14.25" customHeight="1">
      <c r="A130" s="15">
        <f>IF(Raw_Data!A130="","",Raw_Data!A130)</f>
        <v>223879</v>
      </c>
      <c r="B130" s="15" t="str">
        <f>IF(Raw_Data!B130="","",Raw_Data!B130)</f>
        <v>Meftaha Elfahry-Elfassi</v>
      </c>
      <c r="C130" s="15" t="str">
        <f>IF(Raw_Data!C130="","",Raw_Data!C130)</f>
        <v>RSA FR</v>
      </c>
      <c r="D130" s="15" t="str">
        <f>IF(Raw_Data!D130="","",Raw_Data!D130)</f>
        <v>2026-07</v>
      </c>
      <c r="E130" s="16">
        <f>IF($A130="","",IF(Raw_Data!E130="",0,IF(KPI_Config!$C$5="L",IF(Raw_Data!E130&lt;=KPI_Config!$E$5,KPI_Config!$D$5,IF(AND(KPI_Config!$F$5&gt;0,Raw_Data!E130&lt;=KPI_Config!$G$5),KPI_Config!$F$5,0)),IF(Raw_Data!E130&gt;=KPI_Config!$E$5,KPI_Config!$D$5,IF(AND(KPI_Config!$F$5&gt;0,Raw_Data!E130&gt;=KPI_Config!$G$5),KPI_Config!$F$5,0)))))</f>
        <v>0.15</v>
      </c>
      <c r="F130" s="16">
        <f>IF($A130="","",IF(Raw_Data!F130="",0,IF(KPI_Config!$C$6="L",IF(Raw_Data!F130&lt;=KPI_Config!$E$6,KPI_Config!$D$6,IF(AND(KPI_Config!$F$6&gt;0,Raw_Data!F130&lt;=KPI_Config!$G$6),KPI_Config!$F$6,0)),IF(Raw_Data!F130&gt;=KPI_Config!$E$6,KPI_Config!$D$6,IF(AND(KPI_Config!$F$6&gt;0,Raw_Data!F130&gt;=KPI_Config!$G$6),KPI_Config!$F$6,0)))))</f>
        <v>0.15</v>
      </c>
      <c r="G130" s="16">
        <f>IF($A130="","",IF(Raw_Data!G130="",0,IF(KPI_Config!$C$7="L",IF(Raw_Data!G130&lt;=KPI_Config!$E$7,KPI_Config!$D$7,IF(AND(KPI_Config!$F$7&gt;0,Raw_Data!G130&lt;=KPI_Config!$G$7),KPI_Config!$F$7,0)),IF(Raw_Data!G130&gt;=KPI_Config!$E$7,KPI_Config!$D$7,IF(AND(KPI_Config!$F$7&gt;0,Raw_Data!G130&gt;=KPI_Config!$G$7),KPI_Config!$F$7,0)))))</f>
        <v>0</v>
      </c>
      <c r="H130" s="16">
        <f>IF($A130="","",IF(Raw_Data!H130="",0,IF(KPI_Config!$C$8="L",IF(Raw_Data!H130&lt;=KPI_Config!$E$8,KPI_Config!$D$8,IF(AND(KPI_Config!$F$8&gt;0,Raw_Data!H130&lt;=KPI_Config!$G$8),KPI_Config!$F$8,0)),IF(Raw_Data!H130&gt;=KPI_Config!$E$8,KPI_Config!$D$8,IF(AND(KPI_Config!$F$8&gt;0,Raw_Data!H130&gt;=KPI_Config!$G$8),KPI_Config!$F$8,0)))))</f>
        <v>0</v>
      </c>
      <c r="I130" s="16">
        <f>IF($A130="","",IF(Raw_Data!I130="",0,IF(KPI_Config!$C$9="L",IF(Raw_Data!I130&lt;=KPI_Config!$E$9,KPI_Config!$D$9,IF(AND(KPI_Config!$F$9&gt;0,Raw_Data!I130&lt;=KPI_Config!$G$9),KPI_Config!$F$9,0)),IF(Raw_Data!I130&gt;=KPI_Config!$E$9,KPI_Config!$D$9,IF(AND(KPI_Config!$F$9&gt;0,Raw_Data!I130&gt;=KPI_Config!$G$9),KPI_Config!$F$9,0)))))</f>
        <v>0</v>
      </c>
      <c r="J130" s="16">
        <f>IF($A130="","",IF(Raw_Data!J130="",0,IF(KPI_Config!$C$10="L",IF(Raw_Data!J130&lt;=KPI_Config!$E$10,KPI_Config!$D$10,IF(AND(KPI_Config!$F$10&gt;0,Raw_Data!J130&lt;=KPI_Config!$G$10),KPI_Config!$F$10,0)),IF(Raw_Data!J130&gt;=KPI_Config!$E$10,KPI_Config!$D$10,IF(AND(KPI_Config!$F$10&gt;0,Raw_Data!J130&gt;=KPI_Config!$G$10),KPI_Config!$F$10,0)))))</f>
        <v>0.15</v>
      </c>
      <c r="K130" s="16">
        <f>IF($A130="","",IF(Raw_Data!G130="",0,IF(KPI_Config!$C$11="L",IF(Raw_Data!G130&lt;=KPI_Config!$E$11,KPI_Config!$D$11,IF(AND(KPI_Config!$F$11&gt;0,Raw_Data!G130&lt;=KPI_Config!$G$11),KPI_Config!$F$11,0)),IF(Raw_Data!G130&gt;=KPI_Config!$E$11,KPI_Config!$D$11,IF(AND(KPI_Config!$F$11&gt;0,Raw_Data!G130&gt;=KPI_Config!$G$11),KPI_Config!$F$11,0)))))</f>
        <v>0</v>
      </c>
      <c r="L130" s="16">
        <f>IF($A130="","",MIN(Policy_Decisions!$B$10,IF(Policy_Decisions!$B$6="Additive",SUM(E130:K130),SUM(E130:J130)-G130+MAX(G130,K130))))</f>
        <v>0.44999999999999996</v>
      </c>
      <c r="M130" s="16">
        <f>IF($A130="","",Raw_Data!K130)</f>
        <v>0</v>
      </c>
      <c r="N130" s="16">
        <f>IF($A130="","",IFERROR(VLOOKUP(M130,KPI_Config!$I$5:$J$10,2,FALSE()),0))</f>
        <v>0</v>
      </c>
      <c r="O130" s="16">
        <f>IF($A130="","",IF(Policy_Decisions!$B$5="Percentage points",MAX(0,L130-N130),L130*(1-N130)))</f>
        <v>0.44999999999999996</v>
      </c>
      <c r="P130" s="15" t="str">
        <f>IF($A130="","",IF(U130="","Review proration",IF(O130=0,"No payout",IF(N130&gt;0,"Malus applied","Eligible"))))</f>
        <v>Eligible</v>
      </c>
      <c r="Q130" s="15" t="str">
        <f>IF($A130="","",Raw_Data!M130)</f>
        <v>MAD</v>
      </c>
      <c r="R130" s="38">
        <f>IF($A130="","",Raw_Data!N130)</f>
        <v>0</v>
      </c>
      <c r="S130" s="38">
        <f>IF($A130="","",Raw_Data!O130)</f>
        <v>0</v>
      </c>
      <c r="T130" s="38">
        <f>IF($A130="","",IF(Raw_Data!P130&gt;0,Raw_Data!P130,Raw_Data!N130*Raw_Data!O130/IF(Policy_Decisions!$B$7="Annual",12,1)))</f>
        <v>2000</v>
      </c>
      <c r="U130" s="38">
        <f>IF($A130="","",IF(OR(Raw_Data!R130="",Raw_Data!R130&lt;=0),"",MIN(1,MAX(0,Raw_Data!Q130/Raw_Data!R130))))</f>
        <v>1</v>
      </c>
      <c r="V130" s="38">
        <f>IF(OR($A130="",U130=""),"",T130*U130)</f>
        <v>2000</v>
      </c>
      <c r="W130" s="38">
        <f>IF(OR($A130="",V130=""),"",V130*L130)</f>
        <v>899.99999999999989</v>
      </c>
      <c r="X130" s="38">
        <f>IF(OR($A130="",V130=""),"",V130*L130-V130*O130)</f>
        <v>0</v>
      </c>
      <c r="Y130" s="38">
        <f>IF(OR($A130="",V130=""),"",ROUND(V130*O130,IF(Policy_Decisions!$B$11="Whole MAD",0,2)))</f>
        <v>900</v>
      </c>
      <c r="Z130" t="str">
        <f>Raw_Data!T130</f>
        <v>Mohamed-Amine SADKI</v>
      </c>
      <c r="AA130" t="str">
        <f>Raw_Data!U130</f>
        <v>Anas OUAKKAD</v>
      </c>
    </row>
    <row r="131" spans="1:27" ht="14.25" customHeight="1">
      <c r="A131" s="13">
        <f>IF(Raw_Data!A131="","",Raw_Data!A131)</f>
        <v>206139</v>
      </c>
      <c r="B131" s="13" t="str">
        <f>IF(Raw_Data!B131="","",Raw_Data!B131)</f>
        <v>El Mehdi El Guiri</v>
      </c>
      <c r="C131" s="13" t="str">
        <f>IF(Raw_Data!C131="","",Raw_Data!C131)</f>
        <v>OEM FR</v>
      </c>
      <c r="D131" s="13" t="str">
        <f>IF(Raw_Data!D131="","",Raw_Data!D131)</f>
        <v>2026-07</v>
      </c>
      <c r="E131" s="21">
        <f>IF($A131="","",IF(Raw_Data!E131="",0,IF(KPI_Config!$C$5="L",IF(Raw_Data!E131&lt;=KPI_Config!$E$5,KPI_Config!$D$5,IF(AND(KPI_Config!$F$5&gt;0,Raw_Data!E131&lt;=KPI_Config!$G$5),KPI_Config!$F$5,0)),IF(Raw_Data!E131&gt;=KPI_Config!$E$5,KPI_Config!$D$5,IF(AND(KPI_Config!$F$5&gt;0,Raw_Data!E131&gt;=KPI_Config!$G$5),KPI_Config!$F$5,0)))))</f>
        <v>0</v>
      </c>
      <c r="F131" s="21">
        <f>IF($A131="","",IF(Raw_Data!F131="",0,IF(KPI_Config!$C$6="L",IF(Raw_Data!F131&lt;=KPI_Config!$E$6,KPI_Config!$D$6,IF(AND(KPI_Config!$F$6&gt;0,Raw_Data!F131&lt;=KPI_Config!$G$6),KPI_Config!$F$6,0)),IF(Raw_Data!F131&gt;=KPI_Config!$E$6,KPI_Config!$D$6,IF(AND(KPI_Config!$F$6&gt;0,Raw_Data!F131&gt;=KPI_Config!$G$6),KPI_Config!$F$6,0)))))</f>
        <v>0</v>
      </c>
      <c r="G131" s="21">
        <f>IF($A131="","",IF(Raw_Data!G131="",0,IF(KPI_Config!$C$7="L",IF(Raw_Data!G131&lt;=KPI_Config!$E$7,KPI_Config!$D$7,IF(AND(KPI_Config!$F$7&gt;0,Raw_Data!G131&lt;=KPI_Config!$G$7),KPI_Config!$F$7,0)),IF(Raw_Data!G131&gt;=KPI_Config!$E$7,KPI_Config!$D$7,IF(AND(KPI_Config!$F$7&gt;0,Raw_Data!G131&gt;=KPI_Config!$G$7),KPI_Config!$F$7,0)))))</f>
        <v>0.2</v>
      </c>
      <c r="H131" s="21">
        <f>IF($A131="","",IF(Raw_Data!H131="",0,IF(KPI_Config!$C$8="L",IF(Raw_Data!H131&lt;=KPI_Config!$E$8,KPI_Config!$D$8,IF(AND(KPI_Config!$F$8&gt;0,Raw_Data!H131&lt;=KPI_Config!$G$8),KPI_Config!$F$8,0)),IF(Raw_Data!H131&gt;=KPI_Config!$E$8,KPI_Config!$D$8,IF(AND(KPI_Config!$F$8&gt;0,Raw_Data!H131&gt;=KPI_Config!$G$8),KPI_Config!$F$8,0)))))</f>
        <v>0</v>
      </c>
      <c r="I131" s="21">
        <f>IF($A131="","",IF(Raw_Data!I131="",0,IF(KPI_Config!$C$9="L",IF(Raw_Data!I131&lt;=KPI_Config!$E$9,KPI_Config!$D$9,IF(AND(KPI_Config!$F$9&gt;0,Raw_Data!I131&lt;=KPI_Config!$G$9),KPI_Config!$F$9,0)),IF(Raw_Data!I131&gt;=KPI_Config!$E$9,KPI_Config!$D$9,IF(AND(KPI_Config!$F$9&gt;0,Raw_Data!I131&gt;=KPI_Config!$G$9),KPI_Config!$F$9,0)))))</f>
        <v>0.15</v>
      </c>
      <c r="J131" s="21">
        <f>IF($A131="","",IF(Raw_Data!J131="",0,IF(KPI_Config!$C$10="L",IF(Raw_Data!J131&lt;=KPI_Config!$E$10,KPI_Config!$D$10,IF(AND(KPI_Config!$F$10&gt;0,Raw_Data!J131&lt;=KPI_Config!$G$10),KPI_Config!$F$10,0)),IF(Raw_Data!J131&gt;=KPI_Config!$E$10,KPI_Config!$D$10,IF(AND(KPI_Config!$F$10&gt;0,Raw_Data!J131&gt;=KPI_Config!$G$10),KPI_Config!$F$10,0)))))</f>
        <v>0.15</v>
      </c>
      <c r="K131" s="21">
        <f>IF($A131="","",IF(Raw_Data!G131="",0,IF(KPI_Config!$C$11="L",IF(Raw_Data!G131&lt;=KPI_Config!$E$11,KPI_Config!$D$11,IF(AND(KPI_Config!$F$11&gt;0,Raw_Data!G131&lt;=KPI_Config!$G$11),KPI_Config!$F$11,0)),IF(Raw_Data!G131&gt;=KPI_Config!$E$11,KPI_Config!$D$11,IF(AND(KPI_Config!$F$11&gt;0,Raw_Data!G131&gt;=KPI_Config!$G$11),KPI_Config!$F$11,0)))))</f>
        <v>0.3</v>
      </c>
      <c r="L131" s="21">
        <f>IF($A131="","",MIN(Policy_Decisions!$B$10,IF(Policy_Decisions!$B$6="Additive",SUM(E131:K131),SUM(E131:J131)-G131+MAX(G131,K131))))</f>
        <v>0.8</v>
      </c>
      <c r="M131" s="21">
        <f>IF($A131="","",Raw_Data!K131)</f>
        <v>0</v>
      </c>
      <c r="N131" s="21">
        <f>IF($A131="","",IFERROR(VLOOKUP(M131,KPI_Config!$I$5:$J$10,2,FALSE()),0))</f>
        <v>0</v>
      </c>
      <c r="O131" s="21">
        <f>IF($A131="","",IF(Policy_Decisions!$B$5="Percentage points",MAX(0,L131-N131),L131*(1-N131)))</f>
        <v>0.8</v>
      </c>
      <c r="P131" s="13" t="str">
        <f>IF($A131="","",IF(U131="","Review proration",IF(O131=0,"No payout",IF(N131&gt;0,"Malus applied","Eligible"))))</f>
        <v>Eligible</v>
      </c>
      <c r="Q131" s="13" t="str">
        <f>IF($A131="","",Raw_Data!M131)</f>
        <v>MAD</v>
      </c>
      <c r="R131" s="37">
        <f>IF($A131="","",Raw_Data!N131)</f>
        <v>0</v>
      </c>
      <c r="S131" s="37">
        <f>IF($A131="","",Raw_Data!O131)</f>
        <v>0</v>
      </c>
      <c r="T131" s="37">
        <f>IF($A131="","",IF(Raw_Data!P131&gt;0,Raw_Data!P131,Raw_Data!N131*Raw_Data!O131/IF(Policy_Decisions!$B$7="Annual",12,1)))</f>
        <v>2000</v>
      </c>
      <c r="U131" s="37">
        <f>IF($A131="","",IF(OR(Raw_Data!R131="",Raw_Data!R131&lt;=0),"",MIN(1,MAX(0,Raw_Data!Q131/Raw_Data!R131))))</f>
        <v>1</v>
      </c>
      <c r="V131" s="37">
        <f>IF(OR($A131="",U131=""),"",T131*U131)</f>
        <v>2000</v>
      </c>
      <c r="W131" s="37">
        <f>IF(OR($A131="",V131=""),"",V131*L131)</f>
        <v>1600</v>
      </c>
      <c r="X131" s="37">
        <f>IF(OR($A131="",V131=""),"",V131*L131-V131*O131)</f>
        <v>0</v>
      </c>
      <c r="Y131" s="37">
        <f>IF(OR($A131="",V131=""),"",ROUND(V131*O131,IF(Policy_Decisions!$B$11="Whole MAD",0,2)))</f>
        <v>1600</v>
      </c>
      <c r="Z131" t="str">
        <f>Raw_Data!T131</f>
        <v>Kenza EL MOUMNI</v>
      </c>
      <c r="AA131" t="str">
        <f>Raw_Data!U131</f>
        <v>Anas OUAKKAD</v>
      </c>
    </row>
    <row r="132" spans="1:27" ht="14.25" customHeight="1">
      <c r="A132" s="15">
        <f>IF(Raw_Data!A132="","",Raw_Data!A132)</f>
        <v>204042</v>
      </c>
      <c r="B132" s="15" t="str">
        <f>IF(Raw_Data!B132="","",Raw_Data!B132)</f>
        <v>Moslyh El Mahdi</v>
      </c>
      <c r="C132" s="15" t="str">
        <f>IF(Raw_Data!C132="","",Raw_Data!C132)</f>
        <v>Ford Dutch</v>
      </c>
      <c r="D132" s="15" t="str">
        <f>IF(Raw_Data!D132="","",Raw_Data!D132)</f>
        <v>2026-07</v>
      </c>
      <c r="E132" s="16">
        <f>IF($A132="","",IF(Raw_Data!E132="",0,IF(KPI_Config!$C$5="L",IF(Raw_Data!E132&lt;=KPI_Config!$E$5,KPI_Config!$D$5,IF(AND(KPI_Config!$F$5&gt;0,Raw_Data!E132&lt;=KPI_Config!$G$5),KPI_Config!$F$5,0)),IF(Raw_Data!E132&gt;=KPI_Config!$E$5,KPI_Config!$D$5,IF(AND(KPI_Config!$F$5&gt;0,Raw_Data!E132&gt;=KPI_Config!$G$5),KPI_Config!$F$5,0)))))</f>
        <v>0.15</v>
      </c>
      <c r="F132" s="16">
        <f>IF($A132="","",IF(Raw_Data!F132="",0,IF(KPI_Config!$C$6="L",IF(Raw_Data!F132&lt;=KPI_Config!$E$6,KPI_Config!$D$6,IF(AND(KPI_Config!$F$6&gt;0,Raw_Data!F132&lt;=KPI_Config!$G$6),KPI_Config!$F$6,0)),IF(Raw_Data!F132&gt;=KPI_Config!$E$6,KPI_Config!$D$6,IF(AND(KPI_Config!$F$6&gt;0,Raw_Data!F132&gt;=KPI_Config!$G$6),KPI_Config!$F$6,0)))))</f>
        <v>0.15</v>
      </c>
      <c r="G132" s="16">
        <f>IF($A132="","",IF(Raw_Data!G132="",0,IF(KPI_Config!$C$7="L",IF(Raw_Data!G132&lt;=KPI_Config!$E$7,KPI_Config!$D$7,IF(AND(KPI_Config!$F$7&gt;0,Raw_Data!G132&lt;=KPI_Config!$G$7),KPI_Config!$F$7,0)),IF(Raw_Data!G132&gt;=KPI_Config!$E$7,KPI_Config!$D$7,IF(AND(KPI_Config!$F$7&gt;0,Raw_Data!G132&gt;=KPI_Config!$G$7),KPI_Config!$F$7,0)))))</f>
        <v>0.2</v>
      </c>
      <c r="H132" s="16">
        <f>IF($A132="","",IF(Raw_Data!H132="",0,IF(KPI_Config!$C$8="L",IF(Raw_Data!H132&lt;=KPI_Config!$E$8,KPI_Config!$D$8,IF(AND(KPI_Config!$F$8&gt;0,Raw_Data!H132&lt;=KPI_Config!$G$8),KPI_Config!$F$8,0)),IF(Raw_Data!H132&gt;=KPI_Config!$E$8,KPI_Config!$D$8,IF(AND(KPI_Config!$F$8&gt;0,Raw_Data!H132&gt;=KPI_Config!$G$8),KPI_Config!$F$8,0)))))</f>
        <v>0</v>
      </c>
      <c r="I132" s="16">
        <f>IF($A132="","",IF(Raw_Data!I132="",0,IF(KPI_Config!$C$9="L",IF(Raw_Data!I132&lt;=KPI_Config!$E$9,KPI_Config!$D$9,IF(AND(KPI_Config!$F$9&gt;0,Raw_Data!I132&lt;=KPI_Config!$G$9),KPI_Config!$F$9,0)),IF(Raw_Data!I132&gt;=KPI_Config!$E$9,KPI_Config!$D$9,IF(AND(KPI_Config!$F$9&gt;0,Raw_Data!I132&gt;=KPI_Config!$G$9),KPI_Config!$F$9,0)))))</f>
        <v>0</v>
      </c>
      <c r="J132" s="16">
        <f>IF($A132="","",IF(Raw_Data!J132="",0,IF(KPI_Config!$C$10="L",IF(Raw_Data!J132&lt;=KPI_Config!$E$10,KPI_Config!$D$10,IF(AND(KPI_Config!$F$10&gt;0,Raw_Data!J132&lt;=KPI_Config!$G$10),KPI_Config!$F$10,0)),IF(Raw_Data!J132&gt;=KPI_Config!$E$10,KPI_Config!$D$10,IF(AND(KPI_Config!$F$10&gt;0,Raw_Data!J132&gt;=KPI_Config!$G$10),KPI_Config!$F$10,0)))))</f>
        <v>0.15</v>
      </c>
      <c r="K132" s="16">
        <f>IF($A132="","",IF(Raw_Data!G132="",0,IF(KPI_Config!$C$11="L",IF(Raw_Data!G132&lt;=KPI_Config!$E$11,KPI_Config!$D$11,IF(AND(KPI_Config!$F$11&gt;0,Raw_Data!G132&lt;=KPI_Config!$G$11),KPI_Config!$F$11,0)),IF(Raw_Data!G132&gt;=KPI_Config!$E$11,KPI_Config!$D$11,IF(AND(KPI_Config!$F$11&gt;0,Raw_Data!G132&gt;=KPI_Config!$G$11),KPI_Config!$F$11,0)))))</f>
        <v>0.3</v>
      </c>
      <c r="L132" s="16">
        <f>IF($A132="","",MIN(Policy_Decisions!$B$10,IF(Policy_Decisions!$B$6="Additive",SUM(E132:K132),SUM(E132:J132)-G132+MAX(G132,K132))))</f>
        <v>0.95</v>
      </c>
      <c r="M132" s="16">
        <f>IF($A132="","",Raw_Data!K132)</f>
        <v>0</v>
      </c>
      <c r="N132" s="16">
        <f>IF($A132="","",IFERROR(VLOOKUP(M132,KPI_Config!$I$5:$J$10,2,FALSE()),0))</f>
        <v>0</v>
      </c>
      <c r="O132" s="16">
        <f>IF($A132="","",IF(Policy_Decisions!$B$5="Percentage points",MAX(0,L132-N132),L132*(1-N132)))</f>
        <v>0.95</v>
      </c>
      <c r="P132" s="15" t="str">
        <f>IF($A132="","",IF(U132="","Review proration",IF(O132=0,"No payout",IF(N132&gt;0,"Malus applied","Eligible"))))</f>
        <v>Eligible</v>
      </c>
      <c r="Q132" s="15" t="str">
        <f>IF($A132="","",Raw_Data!M132)</f>
        <v>MAD</v>
      </c>
      <c r="R132" s="38">
        <f>IF($A132="","",Raw_Data!N132)</f>
        <v>0</v>
      </c>
      <c r="S132" s="38">
        <f>IF($A132="","",Raw_Data!O132)</f>
        <v>0</v>
      </c>
      <c r="T132" s="38">
        <f>IF($A132="","",IF(Raw_Data!P132&gt;0,Raw_Data!P132,Raw_Data!N132*Raw_Data!O132/IF(Policy_Decisions!$B$7="Annual",12,1)))</f>
        <v>2000</v>
      </c>
      <c r="U132" s="38">
        <f>IF($A132="","",IF(OR(Raw_Data!R132="",Raw_Data!R132&lt;=0),"",MIN(1,MAX(0,Raw_Data!Q132/Raw_Data!R132))))</f>
        <v>1</v>
      </c>
      <c r="V132" s="38">
        <f>IF(OR($A132="",U132=""),"",T132*U132)</f>
        <v>2000</v>
      </c>
      <c r="W132" s="38">
        <f>IF(OR($A132="",V132=""),"",V132*L132)</f>
        <v>1900</v>
      </c>
      <c r="X132" s="38">
        <f>IF(OR($A132="",V132=""),"",V132*L132-V132*O132)</f>
        <v>0</v>
      </c>
      <c r="Y132" s="38">
        <f>IF(OR($A132="",V132=""),"",ROUND(V132*O132,IF(Policy_Decisions!$B$11="Whole MAD",0,2)))</f>
        <v>1900</v>
      </c>
      <c r="Z132" t="str">
        <f>Raw_Data!T132</f>
        <v>DERRAZI Ilyasse</v>
      </c>
      <c r="AA132" t="str">
        <f>Raw_Data!U132</f>
        <v>Anas OUAKKAD</v>
      </c>
    </row>
    <row r="133" spans="1:27" ht="14.25" customHeight="1">
      <c r="A133" s="13">
        <f>IF(Raw_Data!A133="","",Raw_Data!A133)</f>
        <v>221519</v>
      </c>
      <c r="B133" s="13" t="str">
        <f>IF(Raw_Data!B133="","",Raw_Data!B133)</f>
        <v>Dylan Joren</v>
      </c>
      <c r="C133" s="13" t="str">
        <f>IF(Raw_Data!C133="","",Raw_Data!C133)</f>
        <v>RSA NL</v>
      </c>
      <c r="D133" s="13" t="str">
        <f>IF(Raw_Data!D133="","",Raw_Data!D133)</f>
        <v>2026-07</v>
      </c>
      <c r="E133" s="21">
        <f>IF($A133="","",IF(Raw_Data!E133="",0,IF(KPI_Config!$C$5="L",IF(Raw_Data!E133&lt;=KPI_Config!$E$5,KPI_Config!$D$5,IF(AND(KPI_Config!$F$5&gt;0,Raw_Data!E133&lt;=KPI_Config!$G$5),KPI_Config!$F$5,0)),IF(Raw_Data!E133&gt;=KPI_Config!$E$5,KPI_Config!$D$5,IF(AND(KPI_Config!$F$5&gt;0,Raw_Data!E133&gt;=KPI_Config!$G$5),KPI_Config!$F$5,0)))))</f>
        <v>0.15</v>
      </c>
      <c r="F133" s="21">
        <f>IF($A133="","",IF(Raw_Data!F133="",0,IF(KPI_Config!$C$6="L",IF(Raw_Data!F133&lt;=KPI_Config!$E$6,KPI_Config!$D$6,IF(AND(KPI_Config!$F$6&gt;0,Raw_Data!F133&lt;=KPI_Config!$G$6),KPI_Config!$F$6,0)),IF(Raw_Data!F133&gt;=KPI_Config!$E$6,KPI_Config!$D$6,IF(AND(KPI_Config!$F$6&gt;0,Raw_Data!F133&gt;=KPI_Config!$G$6),KPI_Config!$F$6,0)))))</f>
        <v>0.15</v>
      </c>
      <c r="G133" s="21">
        <f>IF($A133="","",IF(Raw_Data!G133="",0,IF(KPI_Config!$C$7="L",IF(Raw_Data!G133&lt;=KPI_Config!$E$7,KPI_Config!$D$7,IF(AND(KPI_Config!$F$7&gt;0,Raw_Data!G133&lt;=KPI_Config!$G$7),KPI_Config!$F$7,0)),IF(Raw_Data!G133&gt;=KPI_Config!$E$7,KPI_Config!$D$7,IF(AND(KPI_Config!$F$7&gt;0,Raw_Data!G133&gt;=KPI_Config!$G$7),KPI_Config!$F$7,0)))))</f>
        <v>0.15</v>
      </c>
      <c r="H133" s="21">
        <f>IF($A133="","",IF(Raw_Data!H133="",0,IF(KPI_Config!$C$8="L",IF(Raw_Data!H133&lt;=KPI_Config!$E$8,KPI_Config!$D$8,IF(AND(KPI_Config!$F$8&gt;0,Raw_Data!H133&lt;=KPI_Config!$G$8),KPI_Config!$F$8,0)),IF(Raw_Data!H133&gt;=KPI_Config!$E$8,KPI_Config!$D$8,IF(AND(KPI_Config!$F$8&gt;0,Raw_Data!H133&gt;=KPI_Config!$G$8),KPI_Config!$F$8,0)))))</f>
        <v>0</v>
      </c>
      <c r="I133" s="21">
        <f>IF($A133="","",IF(Raw_Data!I133="",0,IF(KPI_Config!$C$9="L",IF(Raw_Data!I133&lt;=KPI_Config!$E$9,KPI_Config!$D$9,IF(AND(KPI_Config!$F$9&gt;0,Raw_Data!I133&lt;=KPI_Config!$G$9),KPI_Config!$F$9,0)),IF(Raw_Data!I133&gt;=KPI_Config!$E$9,KPI_Config!$D$9,IF(AND(KPI_Config!$F$9&gt;0,Raw_Data!I133&gt;=KPI_Config!$G$9),KPI_Config!$F$9,0)))))</f>
        <v>0</v>
      </c>
      <c r="J133" s="21">
        <f>IF($A133="","",IF(Raw_Data!J133="",0,IF(KPI_Config!$C$10="L",IF(Raw_Data!J133&lt;=KPI_Config!$E$10,KPI_Config!$D$10,IF(AND(KPI_Config!$F$10&gt;0,Raw_Data!J133&lt;=KPI_Config!$G$10),KPI_Config!$F$10,0)),IF(Raw_Data!J133&gt;=KPI_Config!$E$10,KPI_Config!$D$10,IF(AND(KPI_Config!$F$10&gt;0,Raw_Data!J133&gt;=KPI_Config!$G$10),KPI_Config!$F$10,0)))))</f>
        <v>0.15</v>
      </c>
      <c r="K133" s="21">
        <f>IF($A133="","",IF(Raw_Data!G133="",0,IF(KPI_Config!$C$11="L",IF(Raw_Data!G133&lt;=KPI_Config!$E$11,KPI_Config!$D$11,IF(AND(KPI_Config!$F$11&gt;0,Raw_Data!G133&lt;=KPI_Config!$G$11),KPI_Config!$F$11,0)),IF(Raw_Data!G133&gt;=KPI_Config!$E$11,KPI_Config!$D$11,IF(AND(KPI_Config!$F$11&gt;0,Raw_Data!G133&gt;=KPI_Config!$G$11),KPI_Config!$F$11,0)))))</f>
        <v>0</v>
      </c>
      <c r="L133" s="21">
        <f>IF($A133="","",MIN(Policy_Decisions!$B$10,IF(Policy_Decisions!$B$6="Additive",SUM(E133:K133),SUM(E133:J133)-G133+MAX(G133,K133))))</f>
        <v>0.6</v>
      </c>
      <c r="M133" s="21">
        <f>IF($A133="","",Raw_Data!K133)</f>
        <v>0</v>
      </c>
      <c r="N133" s="21">
        <f>IF($A133="","",IFERROR(VLOOKUP(M133,KPI_Config!$I$5:$J$10,2,FALSE()),0))</f>
        <v>0</v>
      </c>
      <c r="O133" s="21">
        <f>IF($A133="","",IF(Policy_Decisions!$B$5="Percentage points",MAX(0,L133-N133),L133*(1-N133)))</f>
        <v>0.6</v>
      </c>
      <c r="P133" s="13" t="str">
        <f>IF($A133="","",IF(U133="","Review proration",IF(O133=0,"No payout",IF(N133&gt;0,"Malus applied","Eligible"))))</f>
        <v>Eligible</v>
      </c>
      <c r="Q133" s="13" t="str">
        <f>IF($A133="","",Raw_Data!M133)</f>
        <v>MAD</v>
      </c>
      <c r="R133" s="37">
        <f>IF($A133="","",Raw_Data!N133)</f>
        <v>0</v>
      </c>
      <c r="S133" s="37">
        <f>IF($A133="","",Raw_Data!O133)</f>
        <v>0</v>
      </c>
      <c r="T133" s="37">
        <f>IF($A133="","",IF(Raw_Data!P133&gt;0,Raw_Data!P133,Raw_Data!N133*Raw_Data!O133/IF(Policy_Decisions!$B$7="Annual",12,1)))</f>
        <v>2000</v>
      </c>
      <c r="U133" s="37">
        <f>IF($A133="","",IF(OR(Raw_Data!R133="",Raw_Data!R133&lt;=0),"",MIN(1,MAX(0,Raw_Data!Q133/Raw_Data!R133))))</f>
        <v>1</v>
      </c>
      <c r="V133" s="37">
        <f>IF(OR($A133="",U133=""),"",T133*U133)</f>
        <v>2000</v>
      </c>
      <c r="W133" s="37">
        <f>IF(OR($A133="",V133=""),"",V133*L133)</f>
        <v>1200</v>
      </c>
      <c r="X133" s="37">
        <f>IF(OR($A133="",V133=""),"",V133*L133-V133*O133)</f>
        <v>0</v>
      </c>
      <c r="Y133" s="37">
        <f>IF(OR($A133="",V133=""),"",ROUND(V133*O133,IF(Policy_Decisions!$B$11="Whole MAD",0,2)))</f>
        <v>1200</v>
      </c>
      <c r="Z133" t="str">
        <f>Raw_Data!T133</f>
        <v>AL TAMIMI Zeynab</v>
      </c>
      <c r="AA133" t="str">
        <f>Raw_Data!U133</f>
        <v>Anas OUAKKAD</v>
      </c>
    </row>
    <row r="134" spans="1:27" ht="14.25" customHeight="1">
      <c r="A134" s="15">
        <f>IF(Raw_Data!A134="","",Raw_Data!A134)</f>
        <v>199550</v>
      </c>
      <c r="B134" s="15" t="str">
        <f>IF(Raw_Data!B134="","",Raw_Data!B134)</f>
        <v>Sbai Driss</v>
      </c>
      <c r="C134" s="15" t="str">
        <f>IF(Raw_Data!C134="","",Raw_Data!C134)</f>
        <v>RSA VL</v>
      </c>
      <c r="D134" s="15" t="str">
        <f>IF(Raw_Data!D134="","",Raw_Data!D134)</f>
        <v>2026-07</v>
      </c>
      <c r="E134" s="16">
        <f>IF($A134="","",IF(Raw_Data!E134="",0,IF(KPI_Config!$C$5="L",IF(Raw_Data!E134&lt;=KPI_Config!$E$5,KPI_Config!$D$5,IF(AND(KPI_Config!$F$5&gt;0,Raw_Data!E134&lt;=KPI_Config!$G$5),KPI_Config!$F$5,0)),IF(Raw_Data!E134&gt;=KPI_Config!$E$5,KPI_Config!$D$5,IF(AND(KPI_Config!$F$5&gt;0,Raw_Data!E134&gt;=KPI_Config!$G$5),KPI_Config!$F$5,0)))))</f>
        <v>0.15</v>
      </c>
      <c r="F134" s="16">
        <f>IF($A134="","",IF(Raw_Data!F134="",0,IF(KPI_Config!$C$6="L",IF(Raw_Data!F134&lt;=KPI_Config!$E$6,KPI_Config!$D$6,IF(AND(KPI_Config!$F$6&gt;0,Raw_Data!F134&lt;=KPI_Config!$G$6),KPI_Config!$F$6,0)),IF(Raw_Data!F134&gt;=KPI_Config!$E$6,KPI_Config!$D$6,IF(AND(KPI_Config!$F$6&gt;0,Raw_Data!F134&gt;=KPI_Config!$G$6),KPI_Config!$F$6,0)))))</f>
        <v>0.15</v>
      </c>
      <c r="G134" s="16">
        <f>IF($A134="","",IF(Raw_Data!G134="",0,IF(KPI_Config!$C$7="L",IF(Raw_Data!G134&lt;=KPI_Config!$E$7,KPI_Config!$D$7,IF(AND(KPI_Config!$F$7&gt;0,Raw_Data!G134&lt;=KPI_Config!$G$7),KPI_Config!$F$7,0)),IF(Raw_Data!G134&gt;=KPI_Config!$E$7,KPI_Config!$D$7,IF(AND(KPI_Config!$F$7&gt;0,Raw_Data!G134&gt;=KPI_Config!$G$7),KPI_Config!$F$7,0)))))</f>
        <v>0.15</v>
      </c>
      <c r="H134" s="16">
        <f>IF($A134="","",IF(Raw_Data!H134="",0,IF(KPI_Config!$C$8="L",IF(Raw_Data!H134&lt;=KPI_Config!$E$8,KPI_Config!$D$8,IF(AND(KPI_Config!$F$8&gt;0,Raw_Data!H134&lt;=KPI_Config!$G$8),KPI_Config!$F$8,0)),IF(Raw_Data!H134&gt;=KPI_Config!$E$8,KPI_Config!$D$8,IF(AND(KPI_Config!$F$8&gt;0,Raw_Data!H134&gt;=KPI_Config!$G$8),KPI_Config!$F$8,0)))))</f>
        <v>0</v>
      </c>
      <c r="I134" s="16">
        <f>IF($A134="","",IF(Raw_Data!I134="",0,IF(KPI_Config!$C$9="L",IF(Raw_Data!I134&lt;=KPI_Config!$E$9,KPI_Config!$D$9,IF(AND(KPI_Config!$F$9&gt;0,Raw_Data!I134&lt;=KPI_Config!$G$9),KPI_Config!$F$9,0)),IF(Raw_Data!I134&gt;=KPI_Config!$E$9,KPI_Config!$D$9,IF(AND(KPI_Config!$F$9&gt;0,Raw_Data!I134&gt;=KPI_Config!$G$9),KPI_Config!$F$9,0)))))</f>
        <v>0</v>
      </c>
      <c r="J134" s="16">
        <f>IF($A134="","",IF(Raw_Data!J134="",0,IF(KPI_Config!$C$10="L",IF(Raw_Data!J134&lt;=KPI_Config!$E$10,KPI_Config!$D$10,IF(AND(KPI_Config!$F$10&gt;0,Raw_Data!J134&lt;=KPI_Config!$G$10),KPI_Config!$F$10,0)),IF(Raw_Data!J134&gt;=KPI_Config!$E$10,KPI_Config!$D$10,IF(AND(KPI_Config!$F$10&gt;0,Raw_Data!J134&gt;=KPI_Config!$G$10),KPI_Config!$F$10,0)))))</f>
        <v>0</v>
      </c>
      <c r="K134" s="16">
        <f>IF($A134="","",IF(Raw_Data!G134="",0,IF(KPI_Config!$C$11="L",IF(Raw_Data!G134&lt;=KPI_Config!$E$11,KPI_Config!$D$11,IF(AND(KPI_Config!$F$11&gt;0,Raw_Data!G134&lt;=KPI_Config!$G$11),KPI_Config!$F$11,0)),IF(Raw_Data!G134&gt;=KPI_Config!$E$11,KPI_Config!$D$11,IF(AND(KPI_Config!$F$11&gt;0,Raw_Data!G134&gt;=KPI_Config!$G$11),KPI_Config!$F$11,0)))))</f>
        <v>0</v>
      </c>
      <c r="L134" s="16">
        <f>IF($A134="","",MIN(Policy_Decisions!$B$10,IF(Policy_Decisions!$B$6="Additive",SUM(E134:K134),SUM(E134:J134)-G134+MAX(G134,K134))))</f>
        <v>0.44999999999999996</v>
      </c>
      <c r="M134" s="16">
        <f>IF($A134="","",Raw_Data!K134)</f>
        <v>0</v>
      </c>
      <c r="N134" s="16">
        <f>IF($A134="","",IFERROR(VLOOKUP(M134,KPI_Config!$I$5:$J$10,2,FALSE()),0))</f>
        <v>0</v>
      </c>
      <c r="O134" s="16">
        <f>IF($A134="","",IF(Policy_Decisions!$B$5="Percentage points",MAX(0,L134-N134),L134*(1-N134)))</f>
        <v>0.44999999999999996</v>
      </c>
      <c r="P134" s="15" t="str">
        <f>IF($A134="","",IF(U134="","Review proration",IF(O134=0,"No payout",IF(N134&gt;0,"Malus applied","Eligible"))))</f>
        <v>Eligible</v>
      </c>
      <c r="Q134" s="15" t="str">
        <f>IF($A134="","",Raw_Data!M134)</f>
        <v>MAD</v>
      </c>
      <c r="R134" s="38">
        <f>IF($A134="","",Raw_Data!N134)</f>
        <v>0</v>
      </c>
      <c r="S134" s="38">
        <f>IF($A134="","",Raw_Data!O134)</f>
        <v>0</v>
      </c>
      <c r="T134" s="38">
        <f>IF($A134="","",IF(Raw_Data!P134&gt;0,Raw_Data!P134,Raw_Data!N134*Raw_Data!O134/IF(Policy_Decisions!$B$7="Annual",12,1)))</f>
        <v>2000</v>
      </c>
      <c r="U134" s="38">
        <f>IF($A134="","",IF(OR(Raw_Data!R134="",Raw_Data!R134&lt;=0),"",MIN(1,MAX(0,Raw_Data!Q134/Raw_Data!R134))))</f>
        <v>1</v>
      </c>
      <c r="V134" s="38">
        <f>IF(OR($A134="",U134=""),"",T134*U134)</f>
        <v>2000</v>
      </c>
      <c r="W134" s="38">
        <f>IF(OR($A134="",V134=""),"",V134*L134)</f>
        <v>899.99999999999989</v>
      </c>
      <c r="X134" s="38">
        <f>IF(OR($A134="",V134=""),"",V134*L134-V134*O134)</f>
        <v>0</v>
      </c>
      <c r="Y134" s="38">
        <f>IF(OR($A134="",V134=""),"",ROUND(V134*O134,IF(Policy_Decisions!$B$11="Whole MAD",0,2)))</f>
        <v>900</v>
      </c>
      <c r="Z134" t="str">
        <f>Raw_Data!T134</f>
        <v>Glenn Antoon</v>
      </c>
      <c r="AA134" t="str">
        <f>Raw_Data!U134</f>
        <v>Anas OUAKKAD</v>
      </c>
    </row>
    <row r="135" spans="1:27" ht="14.25" customHeight="1">
      <c r="A135" s="13">
        <f>IF(Raw_Data!A135="","",Raw_Data!A135)</f>
        <v>230748</v>
      </c>
      <c r="B135" s="13" t="str">
        <f>IF(Raw_Data!B135="","",Raw_Data!B135)</f>
        <v>Driss Oujer</v>
      </c>
      <c r="C135" s="13" t="str">
        <f>IF(Raw_Data!C135="","",Raw_Data!C135)</f>
        <v>OEM FR</v>
      </c>
      <c r="D135" s="13" t="str">
        <f>IF(Raw_Data!D135="","",Raw_Data!D135)</f>
        <v>2026-07</v>
      </c>
      <c r="E135" s="21">
        <f>IF($A135="","",IF(Raw_Data!E135="",0,IF(KPI_Config!$C$5="L",IF(Raw_Data!E135&lt;=KPI_Config!$E$5,KPI_Config!$D$5,IF(AND(KPI_Config!$F$5&gt;0,Raw_Data!E135&lt;=KPI_Config!$G$5),KPI_Config!$F$5,0)),IF(Raw_Data!E135&gt;=KPI_Config!$E$5,KPI_Config!$D$5,IF(AND(KPI_Config!$F$5&gt;0,Raw_Data!E135&gt;=KPI_Config!$G$5),KPI_Config!$F$5,0)))))</f>
        <v>0.15</v>
      </c>
      <c r="F135" s="21">
        <f>IF($A135="","",IF(Raw_Data!F135="",0,IF(KPI_Config!$C$6="L",IF(Raw_Data!F135&lt;=KPI_Config!$E$6,KPI_Config!$D$6,IF(AND(KPI_Config!$F$6&gt;0,Raw_Data!F135&lt;=KPI_Config!$G$6),KPI_Config!$F$6,0)),IF(Raw_Data!F135&gt;=KPI_Config!$E$6,KPI_Config!$D$6,IF(AND(KPI_Config!$F$6&gt;0,Raw_Data!F135&gt;=KPI_Config!$G$6),KPI_Config!$F$6,0)))))</f>
        <v>0.15</v>
      </c>
      <c r="G135" s="21">
        <f>IF($A135="","",IF(Raw_Data!G135="",0,IF(KPI_Config!$C$7="L",IF(Raw_Data!G135&lt;=KPI_Config!$E$7,KPI_Config!$D$7,IF(AND(KPI_Config!$F$7&gt;0,Raw_Data!G135&lt;=KPI_Config!$G$7),KPI_Config!$F$7,0)),IF(Raw_Data!G135&gt;=KPI_Config!$E$7,KPI_Config!$D$7,IF(AND(KPI_Config!$F$7&gt;0,Raw_Data!G135&gt;=KPI_Config!$G$7),KPI_Config!$F$7,0)))))</f>
        <v>0.15</v>
      </c>
      <c r="H135" s="21">
        <f>IF($A135="","",IF(Raw_Data!H135="",0,IF(KPI_Config!$C$8="L",IF(Raw_Data!H135&lt;=KPI_Config!$E$8,KPI_Config!$D$8,IF(AND(KPI_Config!$F$8&gt;0,Raw_Data!H135&lt;=KPI_Config!$G$8),KPI_Config!$F$8,0)),IF(Raw_Data!H135&gt;=KPI_Config!$E$8,KPI_Config!$D$8,IF(AND(KPI_Config!$F$8&gt;0,Raw_Data!H135&gt;=KPI_Config!$G$8),KPI_Config!$F$8,0)))))</f>
        <v>0</v>
      </c>
      <c r="I135" s="21">
        <f>IF($A135="","",IF(Raw_Data!I135="",0,IF(KPI_Config!$C$9="L",IF(Raw_Data!I135&lt;=KPI_Config!$E$9,KPI_Config!$D$9,IF(AND(KPI_Config!$F$9&gt;0,Raw_Data!I135&lt;=KPI_Config!$G$9),KPI_Config!$F$9,0)),IF(Raw_Data!I135&gt;=KPI_Config!$E$9,KPI_Config!$D$9,IF(AND(KPI_Config!$F$9&gt;0,Raw_Data!I135&gt;=KPI_Config!$G$9),KPI_Config!$F$9,0)))))</f>
        <v>0</v>
      </c>
      <c r="J135" s="21">
        <f>IF($A135="","",IF(Raw_Data!J135="",0,IF(KPI_Config!$C$10="L",IF(Raw_Data!J135&lt;=KPI_Config!$E$10,KPI_Config!$D$10,IF(AND(KPI_Config!$F$10&gt;0,Raw_Data!J135&lt;=KPI_Config!$G$10),KPI_Config!$F$10,0)),IF(Raw_Data!J135&gt;=KPI_Config!$E$10,KPI_Config!$D$10,IF(AND(KPI_Config!$F$10&gt;0,Raw_Data!J135&gt;=KPI_Config!$G$10),KPI_Config!$F$10,0)))))</f>
        <v>0.15</v>
      </c>
      <c r="K135" s="21">
        <f>IF($A135="","",IF(Raw_Data!G135="",0,IF(KPI_Config!$C$11="L",IF(Raw_Data!G135&lt;=KPI_Config!$E$11,KPI_Config!$D$11,IF(AND(KPI_Config!$F$11&gt;0,Raw_Data!G135&lt;=KPI_Config!$G$11),KPI_Config!$F$11,0)),IF(Raw_Data!G135&gt;=KPI_Config!$E$11,KPI_Config!$D$11,IF(AND(KPI_Config!$F$11&gt;0,Raw_Data!G135&gt;=KPI_Config!$G$11),KPI_Config!$F$11,0)))))</f>
        <v>0</v>
      </c>
      <c r="L135" s="21">
        <f>IF($A135="","",MIN(Policy_Decisions!$B$10,IF(Policy_Decisions!$B$6="Additive",SUM(E135:K135),SUM(E135:J135)-G135+MAX(G135,K135))))</f>
        <v>0.6</v>
      </c>
      <c r="M135" s="21">
        <f>IF($A135="","",Raw_Data!K135)</f>
        <v>0</v>
      </c>
      <c r="N135" s="21">
        <f>IF($A135="","",IFERROR(VLOOKUP(M135,KPI_Config!$I$5:$J$10,2,FALSE()),0))</f>
        <v>0</v>
      </c>
      <c r="O135" s="21">
        <f>IF($A135="","",IF(Policy_Decisions!$B$5="Percentage points",MAX(0,L135-N135),L135*(1-N135)))</f>
        <v>0.6</v>
      </c>
      <c r="P135" s="13" t="str">
        <f>IF($A135="","",IF(U135="","Review proration",IF(O135=0,"No payout",IF(N135&gt;0,"Malus applied","Eligible"))))</f>
        <v>Eligible</v>
      </c>
      <c r="Q135" s="13" t="str">
        <f>IF($A135="","",Raw_Data!M135)</f>
        <v>MAD</v>
      </c>
      <c r="R135" s="37">
        <f>IF($A135="","",Raw_Data!N135)</f>
        <v>0</v>
      </c>
      <c r="S135" s="37">
        <f>IF($A135="","",Raw_Data!O135)</f>
        <v>0</v>
      </c>
      <c r="T135" s="37">
        <f>IF($A135="","",IF(Raw_Data!P135&gt;0,Raw_Data!P135,Raw_Data!N135*Raw_Data!O135/IF(Policy_Decisions!$B$7="Annual",12,1)))</f>
        <v>2000</v>
      </c>
      <c r="U135" s="37">
        <f>IF($A135="","",IF(OR(Raw_Data!R135="",Raw_Data!R135&lt;=0),"",MIN(1,MAX(0,Raw_Data!Q135/Raw_Data!R135))))</f>
        <v>1</v>
      </c>
      <c r="V135" s="37">
        <f>IF(OR($A135="",U135=""),"",T135*U135)</f>
        <v>2000</v>
      </c>
      <c r="W135" s="37">
        <f>IF(OR($A135="",V135=""),"",V135*L135)</f>
        <v>1200</v>
      </c>
      <c r="X135" s="37">
        <f>IF(OR($A135="",V135=""),"",V135*L135-V135*O135)</f>
        <v>0</v>
      </c>
      <c r="Y135" s="37">
        <f>IF(OR($A135="",V135=""),"",ROUND(V135*O135,IF(Policy_Decisions!$B$11="Whole MAD",0,2)))</f>
        <v>1200</v>
      </c>
      <c r="Z135" t="str">
        <f>Raw_Data!T135</f>
        <v>Farouk BOUAZZAOUI</v>
      </c>
      <c r="AA135" t="str">
        <f>Raw_Data!U135</f>
        <v>Anas OUAKKAD</v>
      </c>
    </row>
    <row r="136" spans="1:27" ht="14.25" customHeight="1">
      <c r="A136" s="15">
        <f>IF(Raw_Data!A136="","",Raw_Data!A136)</f>
        <v>104456</v>
      </c>
      <c r="B136" s="15" t="str">
        <f>IF(Raw_Data!B136="","",Raw_Data!B136)</f>
        <v>AL GAMOUS Dounya</v>
      </c>
      <c r="C136" s="15" t="str">
        <f>IF(Raw_Data!C136="","",Raw_Data!C136)</f>
        <v>RSA NL</v>
      </c>
      <c r="D136" s="15" t="str">
        <f>IF(Raw_Data!D136="","",Raw_Data!D136)</f>
        <v>2026-07</v>
      </c>
      <c r="E136" s="16">
        <f>IF($A136="","",IF(Raw_Data!E136="",0,IF(KPI_Config!$C$5="L",IF(Raw_Data!E136&lt;=KPI_Config!$E$5,KPI_Config!$D$5,IF(AND(KPI_Config!$F$5&gt;0,Raw_Data!E136&lt;=KPI_Config!$G$5),KPI_Config!$F$5,0)),IF(Raw_Data!E136&gt;=KPI_Config!$E$5,KPI_Config!$D$5,IF(AND(KPI_Config!$F$5&gt;0,Raw_Data!E136&gt;=KPI_Config!$G$5),KPI_Config!$F$5,0)))))</f>
        <v>0.15</v>
      </c>
      <c r="F136" s="16">
        <f>IF($A136="","",IF(Raw_Data!F136="",0,IF(KPI_Config!$C$6="L",IF(Raw_Data!F136&lt;=KPI_Config!$E$6,KPI_Config!$D$6,IF(AND(KPI_Config!$F$6&gt;0,Raw_Data!F136&lt;=KPI_Config!$G$6),KPI_Config!$F$6,0)),IF(Raw_Data!F136&gt;=KPI_Config!$E$6,KPI_Config!$D$6,IF(AND(KPI_Config!$F$6&gt;0,Raw_Data!F136&gt;=KPI_Config!$G$6),KPI_Config!$F$6,0)))))</f>
        <v>0.15</v>
      </c>
      <c r="G136" s="16">
        <f>IF($A136="","",IF(Raw_Data!G136="",0,IF(KPI_Config!$C$7="L",IF(Raw_Data!G136&lt;=KPI_Config!$E$7,KPI_Config!$D$7,IF(AND(KPI_Config!$F$7&gt;0,Raw_Data!G136&lt;=KPI_Config!$G$7),KPI_Config!$F$7,0)),IF(Raw_Data!G136&gt;=KPI_Config!$E$7,KPI_Config!$D$7,IF(AND(KPI_Config!$F$7&gt;0,Raw_Data!G136&gt;=KPI_Config!$G$7),KPI_Config!$F$7,0)))))</f>
        <v>0</v>
      </c>
      <c r="H136" s="16">
        <f>IF($A136="","",IF(Raw_Data!H136="",0,IF(KPI_Config!$C$8="L",IF(Raw_Data!H136&lt;=KPI_Config!$E$8,KPI_Config!$D$8,IF(AND(KPI_Config!$F$8&gt;0,Raw_Data!H136&lt;=KPI_Config!$G$8),KPI_Config!$F$8,0)),IF(Raw_Data!H136&gt;=KPI_Config!$E$8,KPI_Config!$D$8,IF(AND(KPI_Config!$F$8&gt;0,Raw_Data!H136&gt;=KPI_Config!$G$8),KPI_Config!$F$8,0)))))</f>
        <v>0</v>
      </c>
      <c r="I136" s="16">
        <f>IF($A136="","",IF(Raw_Data!I136="",0,IF(KPI_Config!$C$9="L",IF(Raw_Data!I136&lt;=KPI_Config!$E$9,KPI_Config!$D$9,IF(AND(KPI_Config!$F$9&gt;0,Raw_Data!I136&lt;=KPI_Config!$G$9),KPI_Config!$F$9,0)),IF(Raw_Data!I136&gt;=KPI_Config!$E$9,KPI_Config!$D$9,IF(AND(KPI_Config!$F$9&gt;0,Raw_Data!I136&gt;=KPI_Config!$G$9),KPI_Config!$F$9,0)))))</f>
        <v>0.2</v>
      </c>
      <c r="J136" s="16">
        <f>IF($A136="","",IF(Raw_Data!J136="",0,IF(KPI_Config!$C$10="L",IF(Raw_Data!J136&lt;=KPI_Config!$E$10,KPI_Config!$D$10,IF(AND(KPI_Config!$F$10&gt;0,Raw_Data!J136&lt;=KPI_Config!$G$10),KPI_Config!$F$10,0)),IF(Raw_Data!J136&gt;=KPI_Config!$E$10,KPI_Config!$D$10,IF(AND(KPI_Config!$F$10&gt;0,Raw_Data!J136&gt;=KPI_Config!$G$10),KPI_Config!$F$10,0)))))</f>
        <v>0.15</v>
      </c>
      <c r="K136" s="16">
        <f>IF($A136="","",IF(Raw_Data!G136="",0,IF(KPI_Config!$C$11="L",IF(Raw_Data!G136&lt;=KPI_Config!$E$11,KPI_Config!$D$11,IF(AND(KPI_Config!$F$11&gt;0,Raw_Data!G136&lt;=KPI_Config!$G$11),KPI_Config!$F$11,0)),IF(Raw_Data!G136&gt;=KPI_Config!$E$11,KPI_Config!$D$11,IF(AND(KPI_Config!$F$11&gt;0,Raw_Data!G136&gt;=KPI_Config!$G$11),KPI_Config!$F$11,0)))))</f>
        <v>0</v>
      </c>
      <c r="L136" s="16">
        <f>IF($A136="","",MIN(Policy_Decisions!$B$10,IF(Policy_Decisions!$B$6="Additive",SUM(E136:K136),SUM(E136:J136)-G136+MAX(G136,K136))))</f>
        <v>0.65</v>
      </c>
      <c r="M136" s="16">
        <f>IF($A136="","",Raw_Data!K136)</f>
        <v>0</v>
      </c>
      <c r="N136" s="16">
        <f>IF($A136="","",IFERROR(VLOOKUP(M136,KPI_Config!$I$5:$J$10,2,FALSE()),0))</f>
        <v>0</v>
      </c>
      <c r="O136" s="16">
        <f>IF($A136="","",IF(Policy_Decisions!$B$5="Percentage points",MAX(0,L136-N136),L136*(1-N136)))</f>
        <v>0.65</v>
      </c>
      <c r="P136" s="15" t="str">
        <f>IF($A136="","",IF(U136="","Review proration",IF(O136=0,"No payout",IF(N136&gt;0,"Malus applied","Eligible"))))</f>
        <v>Eligible</v>
      </c>
      <c r="Q136" s="15" t="str">
        <f>IF($A136="","",Raw_Data!M136)</f>
        <v>MAD</v>
      </c>
      <c r="R136" s="38">
        <f>IF($A136="","",Raw_Data!N136)</f>
        <v>0</v>
      </c>
      <c r="S136" s="38">
        <f>IF($A136="","",Raw_Data!O136)</f>
        <v>0</v>
      </c>
      <c r="T136" s="38">
        <f>IF($A136="","",IF(Raw_Data!P136&gt;0,Raw_Data!P136,Raw_Data!N136*Raw_Data!O136/IF(Policy_Decisions!$B$7="Annual",12,1)))</f>
        <v>2000</v>
      </c>
      <c r="U136" s="38">
        <f>IF($A136="","",IF(OR(Raw_Data!R136="",Raw_Data!R136&lt;=0),"",MIN(1,MAX(0,Raw_Data!Q136/Raw_Data!R136))))</f>
        <v>1</v>
      </c>
      <c r="V136" s="38">
        <f>IF(OR($A136="",U136=""),"",T136*U136)</f>
        <v>2000</v>
      </c>
      <c r="W136" s="38">
        <f>IF(OR($A136="",V136=""),"",V136*L136)</f>
        <v>1300</v>
      </c>
      <c r="X136" s="38">
        <f>IF(OR($A136="",V136=""),"",V136*L136-V136*O136)</f>
        <v>0</v>
      </c>
      <c r="Y136" s="38">
        <f>IF(OR($A136="",V136=""),"",ROUND(V136*O136,IF(Policy_Decisions!$B$11="Whole MAD",0,2)))</f>
        <v>1300</v>
      </c>
      <c r="Z136" t="str">
        <f>Raw_Data!T136</f>
        <v>AL TAMIMI Zeynab</v>
      </c>
      <c r="AA136" t="str">
        <f>Raw_Data!U136</f>
        <v>Anas OUAKKAD</v>
      </c>
    </row>
    <row r="137" spans="1:27" ht="14.25" customHeight="1">
      <c r="A137" s="13">
        <f>IF(Raw_Data!A137="","",Raw_Data!A137)</f>
        <v>203636</v>
      </c>
      <c r="B137" s="13" t="str">
        <f>IF(Raw_Data!B137="","",Raw_Data!B137)</f>
        <v>Dembah Cheikh</v>
      </c>
      <c r="C137" s="13" t="str">
        <f>IF(Raw_Data!C137="","",Raw_Data!C137)</f>
        <v>OEM FR</v>
      </c>
      <c r="D137" s="13" t="str">
        <f>IF(Raw_Data!D137="","",Raw_Data!D137)</f>
        <v>2026-07</v>
      </c>
      <c r="E137" s="21">
        <f>IF($A137="","",IF(Raw_Data!E137="",0,IF(KPI_Config!$C$5="L",IF(Raw_Data!E137&lt;=KPI_Config!$E$5,KPI_Config!$D$5,IF(AND(KPI_Config!$F$5&gt;0,Raw_Data!E137&lt;=KPI_Config!$G$5),KPI_Config!$F$5,0)),IF(Raw_Data!E137&gt;=KPI_Config!$E$5,KPI_Config!$D$5,IF(AND(KPI_Config!$F$5&gt;0,Raw_Data!E137&gt;=KPI_Config!$G$5),KPI_Config!$F$5,0)))))</f>
        <v>0</v>
      </c>
      <c r="F137" s="21">
        <f>IF($A137="","",IF(Raw_Data!F137="",0,IF(KPI_Config!$C$6="L",IF(Raw_Data!F137&lt;=KPI_Config!$E$6,KPI_Config!$D$6,IF(AND(KPI_Config!$F$6&gt;0,Raw_Data!F137&lt;=KPI_Config!$G$6),KPI_Config!$F$6,0)),IF(Raw_Data!F137&gt;=KPI_Config!$E$6,KPI_Config!$D$6,IF(AND(KPI_Config!$F$6&gt;0,Raw_Data!F137&gt;=KPI_Config!$G$6),KPI_Config!$F$6,0)))))</f>
        <v>0</v>
      </c>
      <c r="G137" s="21">
        <f>IF($A137="","",IF(Raw_Data!G137="",0,IF(KPI_Config!$C$7="L",IF(Raw_Data!G137&lt;=KPI_Config!$E$7,KPI_Config!$D$7,IF(AND(KPI_Config!$F$7&gt;0,Raw_Data!G137&lt;=KPI_Config!$G$7),KPI_Config!$F$7,0)),IF(Raw_Data!G137&gt;=KPI_Config!$E$7,KPI_Config!$D$7,IF(AND(KPI_Config!$F$7&gt;0,Raw_Data!G137&gt;=KPI_Config!$G$7),KPI_Config!$F$7,0)))))</f>
        <v>0.2</v>
      </c>
      <c r="H137" s="21">
        <f>IF($A137="","",IF(Raw_Data!H137="",0,IF(KPI_Config!$C$8="L",IF(Raw_Data!H137&lt;=KPI_Config!$E$8,KPI_Config!$D$8,IF(AND(KPI_Config!$F$8&gt;0,Raw_Data!H137&lt;=KPI_Config!$G$8),KPI_Config!$F$8,0)),IF(Raw_Data!H137&gt;=KPI_Config!$E$8,KPI_Config!$D$8,IF(AND(KPI_Config!$F$8&gt;0,Raw_Data!H137&gt;=KPI_Config!$G$8),KPI_Config!$F$8,0)))))</f>
        <v>0</v>
      </c>
      <c r="I137" s="21">
        <f>IF($A137="","",IF(Raw_Data!I137="",0,IF(KPI_Config!$C$9="L",IF(Raw_Data!I137&lt;=KPI_Config!$E$9,KPI_Config!$D$9,IF(AND(KPI_Config!$F$9&gt;0,Raw_Data!I137&lt;=KPI_Config!$G$9),KPI_Config!$F$9,0)),IF(Raw_Data!I137&gt;=KPI_Config!$E$9,KPI_Config!$D$9,IF(AND(KPI_Config!$F$9&gt;0,Raw_Data!I137&gt;=KPI_Config!$G$9),KPI_Config!$F$9,0)))))</f>
        <v>0</v>
      </c>
      <c r="J137" s="21">
        <f>IF($A137="","",IF(Raw_Data!J137="",0,IF(KPI_Config!$C$10="L",IF(Raw_Data!J137&lt;=KPI_Config!$E$10,KPI_Config!$D$10,IF(AND(KPI_Config!$F$10&gt;0,Raw_Data!J137&lt;=KPI_Config!$G$10),KPI_Config!$F$10,0)),IF(Raw_Data!J137&gt;=KPI_Config!$E$10,KPI_Config!$D$10,IF(AND(KPI_Config!$F$10&gt;0,Raw_Data!J137&gt;=KPI_Config!$G$10),KPI_Config!$F$10,0)))))</f>
        <v>0.15</v>
      </c>
      <c r="K137" s="21">
        <f>IF($A137="","",IF(Raw_Data!G137="",0,IF(KPI_Config!$C$11="L",IF(Raw_Data!G137&lt;=KPI_Config!$E$11,KPI_Config!$D$11,IF(AND(KPI_Config!$F$11&gt;0,Raw_Data!G137&lt;=KPI_Config!$G$11),KPI_Config!$F$11,0)),IF(Raw_Data!G137&gt;=KPI_Config!$E$11,KPI_Config!$D$11,IF(AND(KPI_Config!$F$11&gt;0,Raw_Data!G137&gt;=KPI_Config!$G$11),KPI_Config!$F$11,0)))))</f>
        <v>0.3</v>
      </c>
      <c r="L137" s="21">
        <f>IF($A137="","",MIN(Policy_Decisions!$B$10,IF(Policy_Decisions!$B$6="Additive",SUM(E137:K137),SUM(E137:J137)-G137+MAX(G137,K137))))</f>
        <v>0.64999999999999991</v>
      </c>
      <c r="M137" s="21">
        <f>IF($A137="","",Raw_Data!K137)</f>
        <v>0</v>
      </c>
      <c r="N137" s="21">
        <f>IF($A137="","",IFERROR(VLOOKUP(M137,KPI_Config!$I$5:$J$10,2,FALSE()),0))</f>
        <v>0</v>
      </c>
      <c r="O137" s="21">
        <f>IF($A137="","",IF(Policy_Decisions!$B$5="Percentage points",MAX(0,L137-N137),L137*(1-N137)))</f>
        <v>0.64999999999999991</v>
      </c>
      <c r="P137" s="13" t="str">
        <f>IF($A137="","",IF(U137="","Review proration",IF(O137=0,"No payout",IF(N137&gt;0,"Malus applied","Eligible"))))</f>
        <v>Eligible</v>
      </c>
      <c r="Q137" s="13" t="str">
        <f>IF($A137="","",Raw_Data!M137)</f>
        <v>MAD</v>
      </c>
      <c r="R137" s="37">
        <f>IF($A137="","",Raw_Data!N137)</f>
        <v>0</v>
      </c>
      <c r="S137" s="37">
        <f>IF($A137="","",Raw_Data!O137)</f>
        <v>0</v>
      </c>
      <c r="T137" s="37">
        <f>IF($A137="","",IF(Raw_Data!P137&gt;0,Raw_Data!P137,Raw_Data!N137*Raw_Data!O137/IF(Policy_Decisions!$B$7="Annual",12,1)))</f>
        <v>2000</v>
      </c>
      <c r="U137" s="37">
        <f>IF($A137="","",IF(OR(Raw_Data!R137="",Raw_Data!R137&lt;=0),"",MIN(1,MAX(0,Raw_Data!Q137/Raw_Data!R137))))</f>
        <v>1</v>
      </c>
      <c r="V137" s="37">
        <f>IF(OR($A137="",U137=""),"",T137*U137)</f>
        <v>2000</v>
      </c>
      <c r="W137" s="37">
        <f>IF(OR($A137="",V137=""),"",V137*L137)</f>
        <v>1299.9999999999998</v>
      </c>
      <c r="X137" s="37">
        <f>IF(OR($A137="",V137=""),"",V137*L137-V137*O137)</f>
        <v>0</v>
      </c>
      <c r="Y137" s="37">
        <f>IF(OR($A137="",V137=""),"",ROUND(V137*O137,IF(Policy_Decisions!$B$11="Whole MAD",0,2)))</f>
        <v>1300</v>
      </c>
      <c r="Z137" t="str">
        <f>Raw_Data!T137</f>
        <v>Farouk BOUAZZAOUI</v>
      </c>
      <c r="AA137" t="str">
        <f>Raw_Data!U137</f>
        <v>Anas OUAKKAD</v>
      </c>
    </row>
    <row r="138" spans="1:27" ht="14.25" customHeight="1">
      <c r="A138" s="15">
        <f>IF(Raw_Data!A138="","",Raw_Data!A138)</f>
        <v>228670</v>
      </c>
      <c r="B138" s="15" t="str">
        <f>IF(Raw_Data!B138="","",Raw_Data!B138)</f>
        <v>Chaimaa Benlaghlimi</v>
      </c>
      <c r="C138" s="15" t="str">
        <f>IF(Raw_Data!C138="","",Raw_Data!C138)</f>
        <v>OEM FR</v>
      </c>
      <c r="D138" s="15" t="str">
        <f>IF(Raw_Data!D138="","",Raw_Data!D138)</f>
        <v>2026-07</v>
      </c>
      <c r="E138" s="16">
        <f>IF($A138="","",IF(Raw_Data!E138="",0,IF(KPI_Config!$C$5="L",IF(Raw_Data!E138&lt;=KPI_Config!$E$5,KPI_Config!$D$5,IF(AND(KPI_Config!$F$5&gt;0,Raw_Data!E138&lt;=KPI_Config!$G$5),KPI_Config!$F$5,0)),IF(Raw_Data!E138&gt;=KPI_Config!$E$5,KPI_Config!$D$5,IF(AND(KPI_Config!$F$5&gt;0,Raw_Data!E138&gt;=KPI_Config!$G$5),KPI_Config!$F$5,0)))))</f>
        <v>0</v>
      </c>
      <c r="F138" s="16">
        <f>IF($A138="","",IF(Raw_Data!F138="",0,IF(KPI_Config!$C$6="L",IF(Raw_Data!F138&lt;=KPI_Config!$E$6,KPI_Config!$D$6,IF(AND(KPI_Config!$F$6&gt;0,Raw_Data!F138&lt;=KPI_Config!$G$6),KPI_Config!$F$6,0)),IF(Raw_Data!F138&gt;=KPI_Config!$E$6,KPI_Config!$D$6,IF(AND(KPI_Config!$F$6&gt;0,Raw_Data!F138&gt;=KPI_Config!$G$6),KPI_Config!$F$6,0)))))</f>
        <v>0</v>
      </c>
      <c r="G138" s="16">
        <f>IF($A138="","",IF(Raw_Data!G138="",0,IF(KPI_Config!$C$7="L",IF(Raw_Data!G138&lt;=KPI_Config!$E$7,KPI_Config!$D$7,IF(AND(KPI_Config!$F$7&gt;0,Raw_Data!G138&lt;=KPI_Config!$G$7),KPI_Config!$F$7,0)),IF(Raw_Data!G138&gt;=KPI_Config!$E$7,KPI_Config!$D$7,IF(AND(KPI_Config!$F$7&gt;0,Raw_Data!G138&gt;=KPI_Config!$G$7),KPI_Config!$F$7,0)))))</f>
        <v>0</v>
      </c>
      <c r="H138" s="16">
        <f>IF($A138="","",IF(Raw_Data!H138="",0,IF(KPI_Config!$C$8="L",IF(Raw_Data!H138&lt;=KPI_Config!$E$8,KPI_Config!$D$8,IF(AND(KPI_Config!$F$8&gt;0,Raw_Data!H138&lt;=KPI_Config!$G$8),KPI_Config!$F$8,0)),IF(Raw_Data!H138&gt;=KPI_Config!$E$8,KPI_Config!$D$8,IF(AND(KPI_Config!$F$8&gt;0,Raw_Data!H138&gt;=KPI_Config!$G$8),KPI_Config!$F$8,0)))))</f>
        <v>0</v>
      </c>
      <c r="I138" s="16">
        <f>IF($A138="","",IF(Raw_Data!I138="",0,IF(KPI_Config!$C$9="L",IF(Raw_Data!I138&lt;=KPI_Config!$E$9,KPI_Config!$D$9,IF(AND(KPI_Config!$F$9&gt;0,Raw_Data!I138&lt;=KPI_Config!$G$9),KPI_Config!$F$9,0)),IF(Raw_Data!I138&gt;=KPI_Config!$E$9,KPI_Config!$D$9,IF(AND(KPI_Config!$F$9&gt;0,Raw_Data!I138&gt;=KPI_Config!$G$9),KPI_Config!$F$9,0)))))</f>
        <v>0</v>
      </c>
      <c r="J138" s="16">
        <f>IF($A138="","",IF(Raw_Data!J138="",0,IF(KPI_Config!$C$10="L",IF(Raw_Data!J138&lt;=KPI_Config!$E$10,KPI_Config!$D$10,IF(AND(KPI_Config!$F$10&gt;0,Raw_Data!J138&lt;=KPI_Config!$G$10),KPI_Config!$F$10,0)),IF(Raw_Data!J138&gt;=KPI_Config!$E$10,KPI_Config!$D$10,IF(AND(KPI_Config!$F$10&gt;0,Raw_Data!J138&gt;=KPI_Config!$G$10),KPI_Config!$F$10,0)))))</f>
        <v>0.15</v>
      </c>
      <c r="K138" s="16">
        <f>IF($A138="","",IF(Raw_Data!G138="",0,IF(KPI_Config!$C$11="L",IF(Raw_Data!G138&lt;=KPI_Config!$E$11,KPI_Config!$D$11,IF(AND(KPI_Config!$F$11&gt;0,Raw_Data!G138&lt;=KPI_Config!$G$11),KPI_Config!$F$11,0)),IF(Raw_Data!G138&gt;=KPI_Config!$E$11,KPI_Config!$D$11,IF(AND(KPI_Config!$F$11&gt;0,Raw_Data!G138&gt;=KPI_Config!$G$11),KPI_Config!$F$11,0)))))</f>
        <v>0</v>
      </c>
      <c r="L138" s="16">
        <f>IF($A138="","",MIN(Policy_Decisions!$B$10,IF(Policy_Decisions!$B$6="Additive",SUM(E138:K138),SUM(E138:J138)-G138+MAX(G138,K138))))</f>
        <v>0.15</v>
      </c>
      <c r="M138" s="16">
        <f>IF($A138="","",Raw_Data!K138)</f>
        <v>0</v>
      </c>
      <c r="N138" s="16">
        <f>IF($A138="","",IFERROR(VLOOKUP(M138,KPI_Config!$I$5:$J$10,2,FALSE()),0))</f>
        <v>0</v>
      </c>
      <c r="O138" s="16">
        <f>IF($A138="","",IF(Policy_Decisions!$B$5="Percentage points",MAX(0,L138-N138),L138*(1-N138)))</f>
        <v>0.15</v>
      </c>
      <c r="P138" s="15" t="str">
        <f>IF($A138="","",IF(U138="","Review proration",IF(O138=0,"No payout",IF(N138&gt;0,"Malus applied","Eligible"))))</f>
        <v>Eligible</v>
      </c>
      <c r="Q138" s="15" t="str">
        <f>IF($A138="","",Raw_Data!M138)</f>
        <v>MAD</v>
      </c>
      <c r="R138" s="38">
        <f>IF($A138="","",Raw_Data!N138)</f>
        <v>0</v>
      </c>
      <c r="S138" s="38">
        <f>IF($A138="","",Raw_Data!O138)</f>
        <v>0</v>
      </c>
      <c r="T138" s="38">
        <f>IF($A138="","",IF(Raw_Data!P138&gt;0,Raw_Data!P138,Raw_Data!N138*Raw_Data!O138/IF(Policy_Decisions!$B$7="Annual",12,1)))</f>
        <v>2000</v>
      </c>
      <c r="U138" s="38">
        <f>IF($A138="","",IF(OR(Raw_Data!R138="",Raw_Data!R138&lt;=0),"",MIN(1,MAX(0,Raw_Data!Q138/Raw_Data!R138))))</f>
        <v>1</v>
      </c>
      <c r="V138" s="38">
        <f>IF(OR($A138="",U138=""),"",T138*U138)</f>
        <v>2000</v>
      </c>
      <c r="W138" s="38">
        <f>IF(OR($A138="",V138=""),"",V138*L138)</f>
        <v>300</v>
      </c>
      <c r="X138" s="38">
        <f>IF(OR($A138="",V138=""),"",V138*L138-V138*O138)</f>
        <v>0</v>
      </c>
      <c r="Y138" s="38">
        <f>IF(OR($A138="",V138=""),"",ROUND(V138*O138,IF(Policy_Decisions!$B$11="Whole MAD",0,2)))</f>
        <v>300</v>
      </c>
      <c r="Z138" t="str">
        <f>Raw_Data!T138</f>
        <v>Kenza EL MOUMNI</v>
      </c>
      <c r="AA138" t="str">
        <f>Raw_Data!U138</f>
        <v>Anas OUAKKAD</v>
      </c>
    </row>
    <row r="139" spans="1:27" ht="14.25" customHeight="1">
      <c r="A139" s="13">
        <f>IF(Raw_Data!A139="","",Raw_Data!A139)</f>
        <v>224097</v>
      </c>
      <c r="B139" s="13" t="str">
        <f>IF(Raw_Data!B139="","",Raw_Data!B139)</f>
        <v>LOUKMAN CHAARA</v>
      </c>
      <c r="C139" s="13" t="str">
        <f>IF(Raw_Data!C139="","",Raw_Data!C139)</f>
        <v>RSA NL</v>
      </c>
      <c r="D139" s="13" t="str">
        <f>IF(Raw_Data!D139="","",Raw_Data!D139)</f>
        <v>2026-07</v>
      </c>
      <c r="E139" s="21">
        <f>IF($A139="","",IF(Raw_Data!E139="",0,IF(KPI_Config!$C$5="L",IF(Raw_Data!E139&lt;=KPI_Config!$E$5,KPI_Config!$D$5,IF(AND(KPI_Config!$F$5&gt;0,Raw_Data!E139&lt;=KPI_Config!$G$5),KPI_Config!$F$5,0)),IF(Raw_Data!E139&gt;=KPI_Config!$E$5,KPI_Config!$D$5,IF(AND(KPI_Config!$F$5&gt;0,Raw_Data!E139&gt;=KPI_Config!$G$5),KPI_Config!$F$5,0)))))</f>
        <v>0.15</v>
      </c>
      <c r="F139" s="21">
        <f>IF($A139="","",IF(Raw_Data!F139="",0,IF(KPI_Config!$C$6="L",IF(Raw_Data!F139&lt;=KPI_Config!$E$6,KPI_Config!$D$6,IF(AND(KPI_Config!$F$6&gt;0,Raw_Data!F139&lt;=KPI_Config!$G$6),KPI_Config!$F$6,0)),IF(Raw_Data!F139&gt;=KPI_Config!$E$6,KPI_Config!$D$6,IF(AND(KPI_Config!$F$6&gt;0,Raw_Data!F139&gt;=KPI_Config!$G$6),KPI_Config!$F$6,0)))))</f>
        <v>0.15</v>
      </c>
      <c r="G139" s="21">
        <f>IF($A139="","",IF(Raw_Data!G139="",0,IF(KPI_Config!$C$7="L",IF(Raw_Data!G139&lt;=KPI_Config!$E$7,KPI_Config!$D$7,IF(AND(KPI_Config!$F$7&gt;0,Raw_Data!G139&lt;=KPI_Config!$G$7),KPI_Config!$F$7,0)),IF(Raw_Data!G139&gt;=KPI_Config!$E$7,KPI_Config!$D$7,IF(AND(KPI_Config!$F$7&gt;0,Raw_Data!G139&gt;=KPI_Config!$G$7),KPI_Config!$F$7,0)))))</f>
        <v>0.2</v>
      </c>
      <c r="H139" s="21">
        <f>IF($A139="","",IF(Raw_Data!H139="",0,IF(KPI_Config!$C$8="L",IF(Raw_Data!H139&lt;=KPI_Config!$E$8,KPI_Config!$D$8,IF(AND(KPI_Config!$F$8&gt;0,Raw_Data!H139&lt;=KPI_Config!$G$8),KPI_Config!$F$8,0)),IF(Raw_Data!H139&gt;=KPI_Config!$E$8,KPI_Config!$D$8,IF(AND(KPI_Config!$F$8&gt;0,Raw_Data!H139&gt;=KPI_Config!$G$8),KPI_Config!$F$8,0)))))</f>
        <v>0</v>
      </c>
      <c r="I139" s="21">
        <f>IF($A139="","",IF(Raw_Data!I139="",0,IF(KPI_Config!$C$9="L",IF(Raw_Data!I139&lt;=KPI_Config!$E$9,KPI_Config!$D$9,IF(AND(KPI_Config!$F$9&gt;0,Raw_Data!I139&lt;=KPI_Config!$G$9),KPI_Config!$F$9,0)),IF(Raw_Data!I139&gt;=KPI_Config!$E$9,KPI_Config!$D$9,IF(AND(KPI_Config!$F$9&gt;0,Raw_Data!I139&gt;=KPI_Config!$G$9),KPI_Config!$F$9,0)))))</f>
        <v>0</v>
      </c>
      <c r="J139" s="21">
        <f>IF($A139="","",IF(Raw_Data!J139="",0,IF(KPI_Config!$C$10="L",IF(Raw_Data!J139&lt;=KPI_Config!$E$10,KPI_Config!$D$10,IF(AND(KPI_Config!$F$10&gt;0,Raw_Data!J139&lt;=KPI_Config!$G$10),KPI_Config!$F$10,0)),IF(Raw_Data!J139&gt;=KPI_Config!$E$10,KPI_Config!$D$10,IF(AND(KPI_Config!$F$10&gt;0,Raw_Data!J139&gt;=KPI_Config!$G$10),KPI_Config!$F$10,0)))))</f>
        <v>0.15</v>
      </c>
      <c r="K139" s="21">
        <f>IF($A139="","",IF(Raw_Data!G139="",0,IF(KPI_Config!$C$11="L",IF(Raw_Data!G139&lt;=KPI_Config!$E$11,KPI_Config!$D$11,IF(AND(KPI_Config!$F$11&gt;0,Raw_Data!G139&lt;=KPI_Config!$G$11),KPI_Config!$F$11,0)),IF(Raw_Data!G139&gt;=KPI_Config!$E$11,KPI_Config!$D$11,IF(AND(KPI_Config!$F$11&gt;0,Raw_Data!G139&gt;=KPI_Config!$G$11),KPI_Config!$F$11,0)))))</f>
        <v>0.2</v>
      </c>
      <c r="L139" s="21">
        <f>IF($A139="","",MIN(Policy_Decisions!$B$10,IF(Policy_Decisions!$B$6="Additive",SUM(E139:K139),SUM(E139:J139)-G139+MAX(G139,K139))))</f>
        <v>0.85000000000000009</v>
      </c>
      <c r="M139" s="21">
        <f>IF($A139="","",Raw_Data!K139)</f>
        <v>0</v>
      </c>
      <c r="N139" s="21">
        <f>IF($A139="","",IFERROR(VLOOKUP(M139,KPI_Config!$I$5:$J$10,2,FALSE()),0))</f>
        <v>0</v>
      </c>
      <c r="O139" s="21">
        <f>IF($A139="","",IF(Policy_Decisions!$B$5="Percentage points",MAX(0,L139-N139),L139*(1-N139)))</f>
        <v>0.85000000000000009</v>
      </c>
      <c r="P139" s="13" t="str">
        <f>IF($A139="","",IF(U139="","Review proration",IF(O139=0,"No payout",IF(N139&gt;0,"Malus applied","Eligible"))))</f>
        <v>Eligible</v>
      </c>
      <c r="Q139" s="13" t="str">
        <f>IF($A139="","",Raw_Data!M139)</f>
        <v>MAD</v>
      </c>
      <c r="R139" s="37">
        <f>IF($A139="","",Raw_Data!N139)</f>
        <v>0</v>
      </c>
      <c r="S139" s="37">
        <f>IF($A139="","",Raw_Data!O139)</f>
        <v>0</v>
      </c>
      <c r="T139" s="37">
        <f>IF($A139="","",IF(Raw_Data!P139&gt;0,Raw_Data!P139,Raw_Data!N139*Raw_Data!O139/IF(Policy_Decisions!$B$7="Annual",12,1)))</f>
        <v>2000</v>
      </c>
      <c r="U139" s="37">
        <f>IF($A139="","",IF(OR(Raw_Data!R139="",Raw_Data!R139&lt;=0),"",MIN(1,MAX(0,Raw_Data!Q139/Raw_Data!R139))))</f>
        <v>1</v>
      </c>
      <c r="V139" s="37">
        <f>IF(OR($A139="",U139=""),"",T139*U139)</f>
        <v>2000</v>
      </c>
      <c r="W139" s="37">
        <f>IF(OR($A139="",V139=""),"",V139*L139)</f>
        <v>1700.0000000000002</v>
      </c>
      <c r="X139" s="37">
        <f>IF(OR($A139="",V139=""),"",V139*L139-V139*O139)</f>
        <v>0</v>
      </c>
      <c r="Y139" s="37">
        <f>IF(OR($A139="",V139=""),"",ROUND(V139*O139,IF(Policy_Decisions!$B$11="Whole MAD",0,2)))</f>
        <v>1700</v>
      </c>
      <c r="Z139" t="str">
        <f>Raw_Data!T139</f>
        <v>EL GHAZI Youssef</v>
      </c>
      <c r="AA139" t="str">
        <f>Raw_Data!U139</f>
        <v>Anas OUAKKAD</v>
      </c>
    </row>
    <row r="140" spans="1:27" ht="14.25" customHeight="1">
      <c r="A140" s="15">
        <f>IF(Raw_Data!A140="","",Raw_Data!A140)</f>
        <v>96517</v>
      </c>
      <c r="B140" s="15" t="str">
        <f>IF(Raw_Data!B140="","",Raw_Data!B140)</f>
        <v>DAOUAYRY Bouchta</v>
      </c>
      <c r="C140" s="15" t="str">
        <f>IF(Raw_Data!C140="","",Raw_Data!C140)</f>
        <v>RSA NL</v>
      </c>
      <c r="D140" s="15" t="str">
        <f>IF(Raw_Data!D140="","",Raw_Data!D140)</f>
        <v>2026-07</v>
      </c>
      <c r="E140" s="16">
        <f>IF($A140="","",IF(Raw_Data!E140="",0,IF(KPI_Config!$C$5="L",IF(Raw_Data!E140&lt;=KPI_Config!$E$5,KPI_Config!$D$5,IF(AND(KPI_Config!$F$5&gt;0,Raw_Data!E140&lt;=KPI_Config!$G$5),KPI_Config!$F$5,0)),IF(Raw_Data!E140&gt;=KPI_Config!$E$5,KPI_Config!$D$5,IF(AND(KPI_Config!$F$5&gt;0,Raw_Data!E140&gt;=KPI_Config!$G$5),KPI_Config!$F$5,0)))))</f>
        <v>0.15</v>
      </c>
      <c r="F140" s="16">
        <f>IF($A140="","",IF(Raw_Data!F140="",0,IF(KPI_Config!$C$6="L",IF(Raw_Data!F140&lt;=KPI_Config!$E$6,KPI_Config!$D$6,IF(AND(KPI_Config!$F$6&gt;0,Raw_Data!F140&lt;=KPI_Config!$G$6),KPI_Config!$F$6,0)),IF(Raw_Data!F140&gt;=KPI_Config!$E$6,KPI_Config!$D$6,IF(AND(KPI_Config!$F$6&gt;0,Raw_Data!F140&gt;=KPI_Config!$G$6),KPI_Config!$F$6,0)))))</f>
        <v>0.15</v>
      </c>
      <c r="G140" s="16">
        <f>IF($A140="","",IF(Raw_Data!G140="",0,IF(KPI_Config!$C$7="L",IF(Raw_Data!G140&lt;=KPI_Config!$E$7,KPI_Config!$D$7,IF(AND(KPI_Config!$F$7&gt;0,Raw_Data!G140&lt;=KPI_Config!$G$7),KPI_Config!$F$7,0)),IF(Raw_Data!G140&gt;=KPI_Config!$E$7,KPI_Config!$D$7,IF(AND(KPI_Config!$F$7&gt;0,Raw_Data!G140&gt;=KPI_Config!$G$7),KPI_Config!$F$7,0)))))</f>
        <v>0</v>
      </c>
      <c r="H140" s="16">
        <f>IF($A140="","",IF(Raw_Data!H140="",0,IF(KPI_Config!$C$8="L",IF(Raw_Data!H140&lt;=KPI_Config!$E$8,KPI_Config!$D$8,IF(AND(KPI_Config!$F$8&gt;0,Raw_Data!H140&lt;=KPI_Config!$G$8),KPI_Config!$F$8,0)),IF(Raw_Data!H140&gt;=KPI_Config!$E$8,KPI_Config!$D$8,IF(AND(KPI_Config!$F$8&gt;0,Raw_Data!H140&gt;=KPI_Config!$G$8),KPI_Config!$F$8,0)))))</f>
        <v>0</v>
      </c>
      <c r="I140" s="16">
        <f>IF($A140="","",IF(Raw_Data!I140="",0,IF(KPI_Config!$C$9="L",IF(Raw_Data!I140&lt;=KPI_Config!$E$9,KPI_Config!$D$9,IF(AND(KPI_Config!$F$9&gt;0,Raw_Data!I140&lt;=KPI_Config!$G$9),KPI_Config!$F$9,0)),IF(Raw_Data!I140&gt;=KPI_Config!$E$9,KPI_Config!$D$9,IF(AND(KPI_Config!$F$9&gt;0,Raw_Data!I140&gt;=KPI_Config!$G$9),KPI_Config!$F$9,0)))))</f>
        <v>0</v>
      </c>
      <c r="J140" s="16">
        <f>IF($A140="","",IF(Raw_Data!J140="",0,IF(KPI_Config!$C$10="L",IF(Raw_Data!J140&lt;=KPI_Config!$E$10,KPI_Config!$D$10,IF(AND(KPI_Config!$F$10&gt;0,Raw_Data!J140&lt;=KPI_Config!$G$10),KPI_Config!$F$10,0)),IF(Raw_Data!J140&gt;=KPI_Config!$E$10,KPI_Config!$D$10,IF(AND(KPI_Config!$F$10&gt;0,Raw_Data!J140&gt;=KPI_Config!$G$10),KPI_Config!$F$10,0)))))</f>
        <v>0</v>
      </c>
      <c r="K140" s="16">
        <f>IF($A140="","",IF(Raw_Data!G140="",0,IF(KPI_Config!$C$11="L",IF(Raw_Data!G140&lt;=KPI_Config!$E$11,KPI_Config!$D$11,IF(AND(KPI_Config!$F$11&gt;0,Raw_Data!G140&lt;=KPI_Config!$G$11),KPI_Config!$F$11,0)),IF(Raw_Data!G140&gt;=KPI_Config!$E$11,KPI_Config!$D$11,IF(AND(KPI_Config!$F$11&gt;0,Raw_Data!G140&gt;=KPI_Config!$G$11),KPI_Config!$F$11,0)))))</f>
        <v>0</v>
      </c>
      <c r="L140" s="16">
        <f>IF($A140="","",MIN(Policy_Decisions!$B$10,IF(Policy_Decisions!$B$6="Additive",SUM(E140:K140),SUM(E140:J140)-G140+MAX(G140,K140))))</f>
        <v>0.3</v>
      </c>
      <c r="M140" s="16">
        <f>IF($A140="","",Raw_Data!K140)</f>
        <v>0</v>
      </c>
      <c r="N140" s="16">
        <f>IF($A140="","",IFERROR(VLOOKUP(M140,KPI_Config!$I$5:$J$10,2,FALSE()),0))</f>
        <v>0</v>
      </c>
      <c r="O140" s="16">
        <f>IF($A140="","",IF(Policy_Decisions!$B$5="Percentage points",MAX(0,L140-N140),L140*(1-N140)))</f>
        <v>0.3</v>
      </c>
      <c r="P140" s="15" t="str">
        <f>IF($A140="","",IF(U140="","Review proration",IF(O140=0,"No payout",IF(N140&gt;0,"Malus applied","Eligible"))))</f>
        <v>Eligible</v>
      </c>
      <c r="Q140" s="15" t="str">
        <f>IF($A140="","",Raw_Data!M140)</f>
        <v>MAD</v>
      </c>
      <c r="R140" s="38">
        <f>IF($A140="","",Raw_Data!N140)</f>
        <v>0</v>
      </c>
      <c r="S140" s="38">
        <f>IF($A140="","",Raw_Data!O140)</f>
        <v>0</v>
      </c>
      <c r="T140" s="38">
        <f>IF($A140="","",IF(Raw_Data!P140&gt;0,Raw_Data!P140,Raw_Data!N140*Raw_Data!O140/IF(Policy_Decisions!$B$7="Annual",12,1)))</f>
        <v>2000</v>
      </c>
      <c r="U140" s="38">
        <f>IF($A140="","",IF(OR(Raw_Data!R140="",Raw_Data!R140&lt;=0),"",MIN(1,MAX(0,Raw_Data!Q140/Raw_Data!R140))))</f>
        <v>1</v>
      </c>
      <c r="V140" s="38">
        <f>IF(OR($A140="",U140=""),"",T140*U140)</f>
        <v>2000</v>
      </c>
      <c r="W140" s="38">
        <f>IF(OR($A140="",V140=""),"",V140*L140)</f>
        <v>600</v>
      </c>
      <c r="X140" s="38">
        <f>IF(OR($A140="",V140=""),"",V140*L140-V140*O140)</f>
        <v>0</v>
      </c>
      <c r="Y140" s="38">
        <f>IF(OR($A140="",V140=""),"",ROUND(V140*O140,IF(Policy_Decisions!$B$11="Whole MAD",0,2)))</f>
        <v>600</v>
      </c>
      <c r="Z140" t="str">
        <f>Raw_Data!T140</f>
        <v>AL TAMIMI Zeynab</v>
      </c>
      <c r="AA140" t="str">
        <f>Raw_Data!U140</f>
        <v>Anas OUAKKAD</v>
      </c>
    </row>
    <row r="141" spans="1:27" ht="14.25" customHeight="1">
      <c r="A141" s="13">
        <f>IF(Raw_Data!A141="","",Raw_Data!A141)</f>
        <v>96520</v>
      </c>
      <c r="B141" s="13" t="str">
        <f>IF(Raw_Data!B141="","",Raw_Data!B141)</f>
        <v>TALEB Benyounes</v>
      </c>
      <c r="C141" s="13" t="str">
        <f>IF(Raw_Data!C141="","",Raw_Data!C141)</f>
        <v>RSA VL</v>
      </c>
      <c r="D141" s="13" t="str">
        <f>IF(Raw_Data!D141="","",Raw_Data!D141)</f>
        <v>2026-07</v>
      </c>
      <c r="E141" s="21">
        <f>IF($A141="","",IF(Raw_Data!E141="",0,IF(KPI_Config!$C$5="L",IF(Raw_Data!E141&lt;=KPI_Config!$E$5,KPI_Config!$D$5,IF(AND(KPI_Config!$F$5&gt;0,Raw_Data!E141&lt;=KPI_Config!$G$5),KPI_Config!$F$5,0)),IF(Raw_Data!E141&gt;=KPI_Config!$E$5,KPI_Config!$D$5,IF(AND(KPI_Config!$F$5&gt;0,Raw_Data!E141&gt;=KPI_Config!$G$5),KPI_Config!$F$5,0)))))</f>
        <v>0.15</v>
      </c>
      <c r="F141" s="21">
        <f>IF($A141="","",IF(Raw_Data!F141="",0,IF(KPI_Config!$C$6="L",IF(Raw_Data!F141&lt;=KPI_Config!$E$6,KPI_Config!$D$6,IF(AND(KPI_Config!$F$6&gt;0,Raw_Data!F141&lt;=KPI_Config!$G$6),KPI_Config!$F$6,0)),IF(Raw_Data!F141&gt;=KPI_Config!$E$6,KPI_Config!$D$6,IF(AND(KPI_Config!$F$6&gt;0,Raw_Data!F141&gt;=KPI_Config!$G$6),KPI_Config!$F$6,0)))))</f>
        <v>0.15</v>
      </c>
      <c r="G141" s="21">
        <f>IF($A141="","",IF(Raw_Data!G141="",0,IF(KPI_Config!$C$7="L",IF(Raw_Data!G141&lt;=KPI_Config!$E$7,KPI_Config!$D$7,IF(AND(KPI_Config!$F$7&gt;0,Raw_Data!G141&lt;=KPI_Config!$G$7),KPI_Config!$F$7,0)),IF(Raw_Data!G141&gt;=KPI_Config!$E$7,KPI_Config!$D$7,IF(AND(KPI_Config!$F$7&gt;0,Raw_Data!G141&gt;=KPI_Config!$G$7),KPI_Config!$F$7,0)))))</f>
        <v>0</v>
      </c>
      <c r="H141" s="21">
        <f>IF($A141="","",IF(Raw_Data!H141="",0,IF(KPI_Config!$C$8="L",IF(Raw_Data!H141&lt;=KPI_Config!$E$8,KPI_Config!$D$8,IF(AND(KPI_Config!$F$8&gt;0,Raw_Data!H141&lt;=KPI_Config!$G$8),KPI_Config!$F$8,0)),IF(Raw_Data!H141&gt;=KPI_Config!$E$8,KPI_Config!$D$8,IF(AND(KPI_Config!$F$8&gt;0,Raw_Data!H141&gt;=KPI_Config!$G$8),KPI_Config!$F$8,0)))))</f>
        <v>0</v>
      </c>
      <c r="I141" s="21">
        <f>IF($A141="","",IF(Raw_Data!I141="",0,IF(KPI_Config!$C$9="L",IF(Raw_Data!I141&lt;=KPI_Config!$E$9,KPI_Config!$D$9,IF(AND(KPI_Config!$F$9&gt;0,Raw_Data!I141&lt;=KPI_Config!$G$9),KPI_Config!$F$9,0)),IF(Raw_Data!I141&gt;=KPI_Config!$E$9,KPI_Config!$D$9,IF(AND(KPI_Config!$F$9&gt;0,Raw_Data!I141&gt;=KPI_Config!$G$9),KPI_Config!$F$9,0)))))</f>
        <v>0</v>
      </c>
      <c r="J141" s="21">
        <f>IF($A141="","",IF(Raw_Data!J141="",0,IF(KPI_Config!$C$10="L",IF(Raw_Data!J141&lt;=KPI_Config!$E$10,KPI_Config!$D$10,IF(AND(KPI_Config!$F$10&gt;0,Raw_Data!J141&lt;=KPI_Config!$G$10),KPI_Config!$F$10,0)),IF(Raw_Data!J141&gt;=KPI_Config!$E$10,KPI_Config!$D$10,IF(AND(KPI_Config!$F$10&gt;0,Raw_Data!J141&gt;=KPI_Config!$G$10),KPI_Config!$F$10,0)))))</f>
        <v>0.15</v>
      </c>
      <c r="K141" s="21">
        <f>IF($A141="","",IF(Raw_Data!G141="",0,IF(KPI_Config!$C$11="L",IF(Raw_Data!G141&lt;=KPI_Config!$E$11,KPI_Config!$D$11,IF(AND(KPI_Config!$F$11&gt;0,Raw_Data!G141&lt;=KPI_Config!$G$11),KPI_Config!$F$11,0)),IF(Raw_Data!G141&gt;=KPI_Config!$E$11,KPI_Config!$D$11,IF(AND(KPI_Config!$F$11&gt;0,Raw_Data!G141&gt;=KPI_Config!$G$11),KPI_Config!$F$11,0)))))</f>
        <v>0</v>
      </c>
      <c r="L141" s="21">
        <f>IF($A141="","",MIN(Policy_Decisions!$B$10,IF(Policy_Decisions!$B$6="Additive",SUM(E141:K141),SUM(E141:J141)-G141+MAX(G141,K141))))</f>
        <v>0.44999999999999996</v>
      </c>
      <c r="M141" s="21">
        <f>IF($A141="","",Raw_Data!K141)</f>
        <v>0</v>
      </c>
      <c r="N141" s="21">
        <f>IF($A141="","",IFERROR(VLOOKUP(M141,KPI_Config!$I$5:$J$10,2,FALSE()),0))</f>
        <v>0</v>
      </c>
      <c r="O141" s="21">
        <f>IF($A141="","",IF(Policy_Decisions!$B$5="Percentage points",MAX(0,L141-N141),L141*(1-N141)))</f>
        <v>0.44999999999999996</v>
      </c>
      <c r="P141" s="13" t="str">
        <f>IF($A141="","",IF(U141="","Review proration",IF(O141=0,"No payout",IF(N141&gt;0,"Malus applied","Eligible"))))</f>
        <v>Eligible</v>
      </c>
      <c r="Q141" s="13" t="str">
        <f>IF($A141="","",Raw_Data!M141)</f>
        <v>MAD</v>
      </c>
      <c r="R141" s="37">
        <f>IF($A141="","",Raw_Data!N141)</f>
        <v>0</v>
      </c>
      <c r="S141" s="37">
        <f>IF($A141="","",Raw_Data!O141)</f>
        <v>0</v>
      </c>
      <c r="T141" s="37">
        <f>IF($A141="","",IF(Raw_Data!P141&gt;0,Raw_Data!P141,Raw_Data!N141*Raw_Data!O141/IF(Policy_Decisions!$B$7="Annual",12,1)))</f>
        <v>2000</v>
      </c>
      <c r="U141" s="37">
        <f>IF($A141="","",IF(OR(Raw_Data!R141="",Raw_Data!R141&lt;=0),"",MIN(1,MAX(0,Raw_Data!Q141/Raw_Data!R141))))</f>
        <v>1</v>
      </c>
      <c r="V141" s="37">
        <f>IF(OR($A141="",U141=""),"",T141*U141)</f>
        <v>2000</v>
      </c>
      <c r="W141" s="37">
        <f>IF(OR($A141="",V141=""),"",V141*L141)</f>
        <v>899.99999999999989</v>
      </c>
      <c r="X141" s="37">
        <f>IF(OR($A141="",V141=""),"",V141*L141-V141*O141)</f>
        <v>0</v>
      </c>
      <c r="Y141" s="37">
        <f>IF(OR($A141="",V141=""),"",ROUND(V141*O141,IF(Policy_Decisions!$B$11="Whole MAD",0,2)))</f>
        <v>900</v>
      </c>
      <c r="Z141" t="str">
        <f>Raw_Data!T141</f>
        <v>Glenn Antoon</v>
      </c>
      <c r="AA141" t="str">
        <f>Raw_Data!U141</f>
        <v>Anas OUAKKAD</v>
      </c>
    </row>
    <row r="142" spans="1:27" ht="14.25" customHeight="1">
      <c r="A142" s="15">
        <f>IF(Raw_Data!A142="","",Raw_Data!A142)</f>
        <v>203603</v>
      </c>
      <c r="B142" s="15" t="str">
        <f>IF(Raw_Data!B142="","",Raw_Data!B142)</f>
        <v>Senghor Baptistine</v>
      </c>
      <c r="C142" s="15" t="str">
        <f>IF(Raw_Data!C142="","",Raw_Data!C142)</f>
        <v>OEM FR</v>
      </c>
      <c r="D142" s="15" t="str">
        <f>IF(Raw_Data!D142="","",Raw_Data!D142)</f>
        <v>2026-07</v>
      </c>
      <c r="E142" s="16">
        <f>IF($A142="","",IF(Raw_Data!E142="",0,IF(KPI_Config!$C$5="L",IF(Raw_Data!E142&lt;=KPI_Config!$E$5,KPI_Config!$D$5,IF(AND(KPI_Config!$F$5&gt;0,Raw_Data!E142&lt;=KPI_Config!$G$5),KPI_Config!$F$5,0)),IF(Raw_Data!E142&gt;=KPI_Config!$E$5,KPI_Config!$D$5,IF(AND(KPI_Config!$F$5&gt;0,Raw_Data!E142&gt;=KPI_Config!$G$5),KPI_Config!$F$5,0)))))</f>
        <v>0</v>
      </c>
      <c r="F142" s="16">
        <f>IF($A142="","",IF(Raw_Data!F142="",0,IF(KPI_Config!$C$6="L",IF(Raw_Data!F142&lt;=KPI_Config!$E$6,KPI_Config!$D$6,IF(AND(KPI_Config!$F$6&gt;0,Raw_Data!F142&lt;=KPI_Config!$G$6),KPI_Config!$F$6,0)),IF(Raw_Data!F142&gt;=KPI_Config!$E$6,KPI_Config!$D$6,IF(AND(KPI_Config!$F$6&gt;0,Raw_Data!F142&gt;=KPI_Config!$G$6),KPI_Config!$F$6,0)))))</f>
        <v>0</v>
      </c>
      <c r="G142" s="16">
        <f>IF($A142="","",IF(Raw_Data!G142="",0,IF(KPI_Config!$C$7="L",IF(Raw_Data!G142&lt;=KPI_Config!$E$7,KPI_Config!$D$7,IF(AND(KPI_Config!$F$7&gt;0,Raw_Data!G142&lt;=KPI_Config!$G$7),KPI_Config!$F$7,0)),IF(Raw_Data!G142&gt;=KPI_Config!$E$7,KPI_Config!$D$7,IF(AND(KPI_Config!$F$7&gt;0,Raw_Data!G142&gt;=KPI_Config!$G$7),KPI_Config!$F$7,0)))))</f>
        <v>0</v>
      </c>
      <c r="H142" s="16">
        <f>IF($A142="","",IF(Raw_Data!H142="",0,IF(KPI_Config!$C$8="L",IF(Raw_Data!H142&lt;=KPI_Config!$E$8,KPI_Config!$D$8,IF(AND(KPI_Config!$F$8&gt;0,Raw_Data!H142&lt;=KPI_Config!$G$8),KPI_Config!$F$8,0)),IF(Raw_Data!H142&gt;=KPI_Config!$E$8,KPI_Config!$D$8,IF(AND(KPI_Config!$F$8&gt;0,Raw_Data!H142&gt;=KPI_Config!$G$8),KPI_Config!$F$8,0)))))</f>
        <v>0</v>
      </c>
      <c r="I142" s="16">
        <f>IF($A142="","",IF(Raw_Data!I142="",0,IF(KPI_Config!$C$9="L",IF(Raw_Data!I142&lt;=KPI_Config!$E$9,KPI_Config!$D$9,IF(AND(KPI_Config!$F$9&gt;0,Raw_Data!I142&lt;=KPI_Config!$G$9),KPI_Config!$F$9,0)),IF(Raw_Data!I142&gt;=KPI_Config!$E$9,KPI_Config!$D$9,IF(AND(KPI_Config!$F$9&gt;0,Raw_Data!I142&gt;=KPI_Config!$G$9),KPI_Config!$F$9,0)))))</f>
        <v>0</v>
      </c>
      <c r="J142" s="16">
        <f>IF($A142="","",IF(Raw_Data!J142="",0,IF(KPI_Config!$C$10="L",IF(Raw_Data!J142&lt;=KPI_Config!$E$10,KPI_Config!$D$10,IF(AND(KPI_Config!$F$10&gt;0,Raw_Data!J142&lt;=KPI_Config!$G$10),KPI_Config!$F$10,0)),IF(Raw_Data!J142&gt;=KPI_Config!$E$10,KPI_Config!$D$10,IF(AND(KPI_Config!$F$10&gt;0,Raw_Data!J142&gt;=KPI_Config!$G$10),KPI_Config!$F$10,0)))))</f>
        <v>0.15</v>
      </c>
      <c r="K142" s="16">
        <f>IF($A142="","",IF(Raw_Data!G142="",0,IF(KPI_Config!$C$11="L",IF(Raw_Data!G142&lt;=KPI_Config!$E$11,KPI_Config!$D$11,IF(AND(KPI_Config!$F$11&gt;0,Raw_Data!G142&lt;=KPI_Config!$G$11),KPI_Config!$F$11,0)),IF(Raw_Data!G142&gt;=KPI_Config!$E$11,KPI_Config!$D$11,IF(AND(KPI_Config!$F$11&gt;0,Raw_Data!G142&gt;=KPI_Config!$G$11),KPI_Config!$F$11,0)))))</f>
        <v>0</v>
      </c>
      <c r="L142" s="16">
        <f>IF($A142="","",MIN(Policy_Decisions!$B$10,IF(Policy_Decisions!$B$6="Additive",SUM(E142:K142),SUM(E142:J142)-G142+MAX(G142,K142))))</f>
        <v>0.15</v>
      </c>
      <c r="M142" s="16">
        <f>IF($A142="","",Raw_Data!K142)</f>
        <v>0</v>
      </c>
      <c r="N142" s="16">
        <f>IF($A142="","",IFERROR(VLOOKUP(M142,KPI_Config!$I$5:$J$10,2,FALSE()),0))</f>
        <v>0</v>
      </c>
      <c r="O142" s="16">
        <f>IF($A142="","",IF(Policy_Decisions!$B$5="Percentage points",MAX(0,L142-N142),L142*(1-N142)))</f>
        <v>0.15</v>
      </c>
      <c r="P142" s="15" t="str">
        <f>IF($A142="","",IF(U142="","Review proration",IF(O142=0,"No payout",IF(N142&gt;0,"Malus applied","Eligible"))))</f>
        <v>Eligible</v>
      </c>
      <c r="Q142" s="15" t="str">
        <f>IF($A142="","",Raw_Data!M142)</f>
        <v>MAD</v>
      </c>
      <c r="R142" s="38">
        <f>IF($A142="","",Raw_Data!N142)</f>
        <v>0</v>
      </c>
      <c r="S142" s="38">
        <f>IF($A142="","",Raw_Data!O142)</f>
        <v>0</v>
      </c>
      <c r="T142" s="38">
        <f>IF($A142="","",IF(Raw_Data!P142&gt;0,Raw_Data!P142,Raw_Data!N142*Raw_Data!O142/IF(Policy_Decisions!$B$7="Annual",12,1)))</f>
        <v>2000</v>
      </c>
      <c r="U142" s="38">
        <f>IF($A142="","",IF(OR(Raw_Data!R142="",Raw_Data!R142&lt;=0),"",MIN(1,MAX(0,Raw_Data!Q142/Raw_Data!R142))))</f>
        <v>1</v>
      </c>
      <c r="V142" s="38">
        <f>IF(OR($A142="",U142=""),"",T142*U142)</f>
        <v>2000</v>
      </c>
      <c r="W142" s="38">
        <f>IF(OR($A142="",V142=""),"",V142*L142)</f>
        <v>300</v>
      </c>
      <c r="X142" s="38">
        <f>IF(OR($A142="",V142=""),"",V142*L142-V142*O142)</f>
        <v>0</v>
      </c>
      <c r="Y142" s="38">
        <f>IF(OR($A142="",V142=""),"",ROUND(V142*O142,IF(Policy_Decisions!$B$11="Whole MAD",0,2)))</f>
        <v>300</v>
      </c>
      <c r="Z142" t="str">
        <f>Raw_Data!T142</f>
        <v>Kenza EL MOUMNI</v>
      </c>
      <c r="AA142" t="str">
        <f>Raw_Data!U142</f>
        <v>Anas OUAKKAD</v>
      </c>
    </row>
    <row r="143" spans="1:27" ht="14.25" customHeight="1">
      <c r="A143" s="13">
        <f>IF(Raw_Data!A143="","",Raw_Data!A143)</f>
        <v>228669</v>
      </c>
      <c r="B143" s="13" t="str">
        <f>IF(Raw_Data!B143="","",Raw_Data!B143)</f>
        <v>Ayoub Failouss</v>
      </c>
      <c r="C143" s="13" t="str">
        <f>IF(Raw_Data!C143="","",Raw_Data!C143)</f>
        <v>OEM FR</v>
      </c>
      <c r="D143" s="13" t="str">
        <f>IF(Raw_Data!D143="","",Raw_Data!D143)</f>
        <v>2026-07</v>
      </c>
      <c r="E143" s="21">
        <f>IF($A143="","",IF(Raw_Data!E143="",0,IF(KPI_Config!$C$5="L",IF(Raw_Data!E143&lt;=KPI_Config!$E$5,KPI_Config!$D$5,IF(AND(KPI_Config!$F$5&gt;0,Raw_Data!E143&lt;=KPI_Config!$G$5),KPI_Config!$F$5,0)),IF(Raw_Data!E143&gt;=KPI_Config!$E$5,KPI_Config!$D$5,IF(AND(KPI_Config!$F$5&gt;0,Raw_Data!E143&gt;=KPI_Config!$G$5),KPI_Config!$F$5,0)))))</f>
        <v>0</v>
      </c>
      <c r="F143" s="21">
        <f>IF($A143="","",IF(Raw_Data!F143="",0,IF(KPI_Config!$C$6="L",IF(Raw_Data!F143&lt;=KPI_Config!$E$6,KPI_Config!$D$6,IF(AND(KPI_Config!$F$6&gt;0,Raw_Data!F143&lt;=KPI_Config!$G$6),KPI_Config!$F$6,0)),IF(Raw_Data!F143&gt;=KPI_Config!$E$6,KPI_Config!$D$6,IF(AND(KPI_Config!$F$6&gt;0,Raw_Data!F143&gt;=KPI_Config!$G$6),KPI_Config!$F$6,0)))))</f>
        <v>0</v>
      </c>
      <c r="G143" s="21">
        <f>IF($A143="","",IF(Raw_Data!G143="",0,IF(KPI_Config!$C$7="L",IF(Raw_Data!G143&lt;=KPI_Config!$E$7,KPI_Config!$D$7,IF(AND(KPI_Config!$F$7&gt;0,Raw_Data!G143&lt;=KPI_Config!$G$7),KPI_Config!$F$7,0)),IF(Raw_Data!G143&gt;=KPI_Config!$E$7,KPI_Config!$D$7,IF(AND(KPI_Config!$F$7&gt;0,Raw_Data!G143&gt;=KPI_Config!$G$7),KPI_Config!$F$7,0)))))</f>
        <v>0.2</v>
      </c>
      <c r="H143" s="21">
        <f>IF($A143="","",IF(Raw_Data!H143="",0,IF(KPI_Config!$C$8="L",IF(Raw_Data!H143&lt;=KPI_Config!$E$8,KPI_Config!$D$8,IF(AND(KPI_Config!$F$8&gt;0,Raw_Data!H143&lt;=KPI_Config!$G$8),KPI_Config!$F$8,0)),IF(Raw_Data!H143&gt;=KPI_Config!$E$8,KPI_Config!$D$8,IF(AND(KPI_Config!$F$8&gt;0,Raw_Data!H143&gt;=KPI_Config!$G$8),KPI_Config!$F$8,0)))))</f>
        <v>0</v>
      </c>
      <c r="I143" s="21">
        <f>IF($A143="","",IF(Raw_Data!I143="",0,IF(KPI_Config!$C$9="L",IF(Raw_Data!I143&lt;=KPI_Config!$E$9,KPI_Config!$D$9,IF(AND(KPI_Config!$F$9&gt;0,Raw_Data!I143&lt;=KPI_Config!$G$9),KPI_Config!$F$9,0)),IF(Raw_Data!I143&gt;=KPI_Config!$E$9,KPI_Config!$D$9,IF(AND(KPI_Config!$F$9&gt;0,Raw_Data!I143&gt;=KPI_Config!$G$9),KPI_Config!$F$9,0)))))</f>
        <v>0</v>
      </c>
      <c r="J143" s="21">
        <f>IF($A143="","",IF(Raw_Data!J143="",0,IF(KPI_Config!$C$10="L",IF(Raw_Data!J143&lt;=KPI_Config!$E$10,KPI_Config!$D$10,IF(AND(KPI_Config!$F$10&gt;0,Raw_Data!J143&lt;=KPI_Config!$G$10),KPI_Config!$F$10,0)),IF(Raw_Data!J143&gt;=KPI_Config!$E$10,KPI_Config!$D$10,IF(AND(KPI_Config!$F$10&gt;0,Raw_Data!J143&gt;=KPI_Config!$G$10),KPI_Config!$F$10,0)))))</f>
        <v>0.15</v>
      </c>
      <c r="K143" s="21">
        <f>IF($A143="","",IF(Raw_Data!G143="",0,IF(KPI_Config!$C$11="L",IF(Raw_Data!G143&lt;=KPI_Config!$E$11,KPI_Config!$D$11,IF(AND(KPI_Config!$F$11&gt;0,Raw_Data!G143&lt;=KPI_Config!$G$11),KPI_Config!$F$11,0)),IF(Raw_Data!G143&gt;=KPI_Config!$E$11,KPI_Config!$D$11,IF(AND(KPI_Config!$F$11&gt;0,Raw_Data!G143&gt;=KPI_Config!$G$11),KPI_Config!$F$11,0)))))</f>
        <v>0.3</v>
      </c>
      <c r="L143" s="21">
        <f>IF($A143="","",MIN(Policy_Decisions!$B$10,IF(Policy_Decisions!$B$6="Additive",SUM(E143:K143),SUM(E143:J143)-G143+MAX(G143,K143))))</f>
        <v>0.64999999999999991</v>
      </c>
      <c r="M143" s="21">
        <f>IF($A143="","",Raw_Data!K143)</f>
        <v>0</v>
      </c>
      <c r="N143" s="21">
        <f>IF($A143="","",IFERROR(VLOOKUP(M143,KPI_Config!$I$5:$J$10,2,FALSE()),0))</f>
        <v>0</v>
      </c>
      <c r="O143" s="21">
        <f>IF($A143="","",IF(Policy_Decisions!$B$5="Percentage points",MAX(0,L143-N143),L143*(1-N143)))</f>
        <v>0.64999999999999991</v>
      </c>
      <c r="P143" s="13" t="str">
        <f>IF($A143="","",IF(U143="","Review proration",IF(O143=0,"No payout",IF(N143&gt;0,"Malus applied","Eligible"))))</f>
        <v>Eligible</v>
      </c>
      <c r="Q143" s="13" t="str">
        <f>IF($A143="","",Raw_Data!M143)</f>
        <v>MAD</v>
      </c>
      <c r="R143" s="37">
        <f>IF($A143="","",Raw_Data!N143)</f>
        <v>0</v>
      </c>
      <c r="S143" s="37">
        <f>IF($A143="","",Raw_Data!O143)</f>
        <v>0</v>
      </c>
      <c r="T143" s="37">
        <f>IF($A143="","",IF(Raw_Data!P143&gt;0,Raw_Data!P143,Raw_Data!N143*Raw_Data!O143/IF(Policy_Decisions!$B$7="Annual",12,1)))</f>
        <v>2000</v>
      </c>
      <c r="U143" s="37">
        <f>IF($A143="","",IF(OR(Raw_Data!R143="",Raw_Data!R143&lt;=0),"",MIN(1,MAX(0,Raw_Data!Q143/Raw_Data!R143))))</f>
        <v>1</v>
      </c>
      <c r="V143" s="37">
        <f>IF(OR($A143="",U143=""),"",T143*U143)</f>
        <v>2000</v>
      </c>
      <c r="W143" s="37">
        <f>IF(OR($A143="",V143=""),"",V143*L143)</f>
        <v>1299.9999999999998</v>
      </c>
      <c r="X143" s="37">
        <f>IF(OR($A143="",V143=""),"",V143*L143-V143*O143)</f>
        <v>0</v>
      </c>
      <c r="Y143" s="37">
        <f>IF(OR($A143="",V143=""),"",ROUND(V143*O143,IF(Policy_Decisions!$B$11="Whole MAD",0,2)))</f>
        <v>1300</v>
      </c>
      <c r="Z143" t="str">
        <f>Raw_Data!T143</f>
        <v>Malak AZERKI</v>
      </c>
      <c r="AA143" t="str">
        <f>Raw_Data!U143</f>
        <v>Anas OUAKKAD</v>
      </c>
    </row>
    <row r="144" spans="1:27" ht="14.25" customHeight="1">
      <c r="A144" s="15">
        <f>IF(Raw_Data!A144="","",Raw_Data!A144)</f>
        <v>203592</v>
      </c>
      <c r="B144" s="15" t="str">
        <f>IF(Raw_Data!B144="","",Raw_Data!B144)</f>
        <v>Boujloud Ayoub</v>
      </c>
      <c r="C144" s="15" t="str">
        <f>IF(Raw_Data!C144="","",Raw_Data!C144)</f>
        <v>OEM FR</v>
      </c>
      <c r="D144" s="15" t="str">
        <f>IF(Raw_Data!D144="","",Raw_Data!D144)</f>
        <v>2026-07</v>
      </c>
      <c r="E144" s="16">
        <f>IF($A144="","",IF(Raw_Data!E144="",0,IF(KPI_Config!$C$5="L",IF(Raw_Data!E144&lt;=KPI_Config!$E$5,KPI_Config!$D$5,IF(AND(KPI_Config!$F$5&gt;0,Raw_Data!E144&lt;=KPI_Config!$G$5),KPI_Config!$F$5,0)),IF(Raw_Data!E144&gt;=KPI_Config!$E$5,KPI_Config!$D$5,IF(AND(KPI_Config!$F$5&gt;0,Raw_Data!E144&gt;=KPI_Config!$G$5),KPI_Config!$F$5,0)))))</f>
        <v>0</v>
      </c>
      <c r="F144" s="16">
        <f>IF($A144="","",IF(Raw_Data!F144="",0,IF(KPI_Config!$C$6="L",IF(Raw_Data!F144&lt;=KPI_Config!$E$6,KPI_Config!$D$6,IF(AND(KPI_Config!$F$6&gt;0,Raw_Data!F144&lt;=KPI_Config!$G$6),KPI_Config!$F$6,0)),IF(Raw_Data!F144&gt;=KPI_Config!$E$6,KPI_Config!$D$6,IF(AND(KPI_Config!$F$6&gt;0,Raw_Data!F144&gt;=KPI_Config!$G$6),KPI_Config!$F$6,0)))))</f>
        <v>0</v>
      </c>
      <c r="G144" s="16">
        <f>IF($A144="","",IF(Raw_Data!G144="",0,IF(KPI_Config!$C$7="L",IF(Raw_Data!G144&lt;=KPI_Config!$E$7,KPI_Config!$D$7,IF(AND(KPI_Config!$F$7&gt;0,Raw_Data!G144&lt;=KPI_Config!$G$7),KPI_Config!$F$7,0)),IF(Raw_Data!G144&gt;=KPI_Config!$E$7,KPI_Config!$D$7,IF(AND(KPI_Config!$F$7&gt;0,Raw_Data!G144&gt;=KPI_Config!$G$7),KPI_Config!$F$7,0)))))</f>
        <v>0.2</v>
      </c>
      <c r="H144" s="16">
        <f>IF($A144="","",IF(Raw_Data!H144="",0,IF(KPI_Config!$C$8="L",IF(Raw_Data!H144&lt;=KPI_Config!$E$8,KPI_Config!$D$8,IF(AND(KPI_Config!$F$8&gt;0,Raw_Data!H144&lt;=KPI_Config!$G$8),KPI_Config!$F$8,0)),IF(Raw_Data!H144&gt;=KPI_Config!$E$8,KPI_Config!$D$8,IF(AND(KPI_Config!$F$8&gt;0,Raw_Data!H144&gt;=KPI_Config!$G$8),KPI_Config!$F$8,0)))))</f>
        <v>0</v>
      </c>
      <c r="I144" s="16">
        <f>IF($A144="","",IF(Raw_Data!I144="",0,IF(KPI_Config!$C$9="L",IF(Raw_Data!I144&lt;=KPI_Config!$E$9,KPI_Config!$D$9,IF(AND(KPI_Config!$F$9&gt;0,Raw_Data!I144&lt;=KPI_Config!$G$9),KPI_Config!$F$9,0)),IF(Raw_Data!I144&gt;=KPI_Config!$E$9,KPI_Config!$D$9,IF(AND(KPI_Config!$F$9&gt;0,Raw_Data!I144&gt;=KPI_Config!$G$9),KPI_Config!$F$9,0)))))</f>
        <v>0</v>
      </c>
      <c r="J144" s="16">
        <f>IF($A144="","",IF(Raw_Data!J144="",0,IF(KPI_Config!$C$10="L",IF(Raw_Data!J144&lt;=KPI_Config!$E$10,KPI_Config!$D$10,IF(AND(KPI_Config!$F$10&gt;0,Raw_Data!J144&lt;=KPI_Config!$G$10),KPI_Config!$F$10,0)),IF(Raw_Data!J144&gt;=KPI_Config!$E$10,KPI_Config!$D$10,IF(AND(KPI_Config!$F$10&gt;0,Raw_Data!J144&gt;=KPI_Config!$G$10),KPI_Config!$F$10,0)))))</f>
        <v>0.15</v>
      </c>
      <c r="K144" s="16">
        <f>IF($A144="","",IF(Raw_Data!G144="",0,IF(KPI_Config!$C$11="L",IF(Raw_Data!G144&lt;=KPI_Config!$E$11,KPI_Config!$D$11,IF(AND(KPI_Config!$F$11&gt;0,Raw_Data!G144&lt;=KPI_Config!$G$11),KPI_Config!$F$11,0)),IF(Raw_Data!G144&gt;=KPI_Config!$E$11,KPI_Config!$D$11,IF(AND(KPI_Config!$F$11&gt;0,Raw_Data!G144&gt;=KPI_Config!$G$11),KPI_Config!$F$11,0)))))</f>
        <v>0.3</v>
      </c>
      <c r="L144" s="16">
        <f>IF($A144="","",MIN(Policy_Decisions!$B$10,IF(Policy_Decisions!$B$6="Additive",SUM(E144:K144),SUM(E144:J144)-G144+MAX(G144,K144))))</f>
        <v>0.64999999999999991</v>
      </c>
      <c r="M144" s="16">
        <f>IF($A144="","",Raw_Data!K144)</f>
        <v>0</v>
      </c>
      <c r="N144" s="16">
        <f>IF($A144="","",IFERROR(VLOOKUP(M144,KPI_Config!$I$5:$J$10,2,FALSE()),0))</f>
        <v>0</v>
      </c>
      <c r="O144" s="16">
        <f>IF($A144="","",IF(Policy_Decisions!$B$5="Percentage points",MAX(0,L144-N144),L144*(1-N144)))</f>
        <v>0.64999999999999991</v>
      </c>
      <c r="P144" s="15" t="str">
        <f>IF($A144="","",IF(U144="","Review proration",IF(O144=0,"No payout",IF(N144&gt;0,"Malus applied","Eligible"))))</f>
        <v>Eligible</v>
      </c>
      <c r="Q144" s="15" t="str">
        <f>IF($A144="","",Raw_Data!M144)</f>
        <v>MAD</v>
      </c>
      <c r="R144" s="38">
        <f>IF($A144="","",Raw_Data!N144)</f>
        <v>0</v>
      </c>
      <c r="S144" s="38">
        <f>IF($A144="","",Raw_Data!O144)</f>
        <v>0</v>
      </c>
      <c r="T144" s="38">
        <f>IF($A144="","",IF(Raw_Data!P144&gt;0,Raw_Data!P144,Raw_Data!N144*Raw_Data!O144/IF(Policy_Decisions!$B$7="Annual",12,1)))</f>
        <v>2000</v>
      </c>
      <c r="U144" s="38">
        <f>IF($A144="","",IF(OR(Raw_Data!R144="",Raw_Data!R144&lt;=0),"",MIN(1,MAX(0,Raw_Data!Q144/Raw_Data!R144))))</f>
        <v>1</v>
      </c>
      <c r="V144" s="38">
        <f>IF(OR($A144="",U144=""),"",T144*U144)</f>
        <v>2000</v>
      </c>
      <c r="W144" s="38">
        <f>IF(OR($A144="",V144=""),"",V144*L144)</f>
        <v>1299.9999999999998</v>
      </c>
      <c r="X144" s="38">
        <f>IF(OR($A144="",V144=""),"",V144*L144-V144*O144)</f>
        <v>0</v>
      </c>
      <c r="Y144" s="38">
        <f>IF(OR($A144="",V144=""),"",ROUND(V144*O144,IF(Policy_Decisions!$B$11="Whole MAD",0,2)))</f>
        <v>1300</v>
      </c>
      <c r="Z144" t="str">
        <f>Raw_Data!T144</f>
        <v>Malak AZERKI</v>
      </c>
      <c r="AA144" t="str">
        <f>Raw_Data!U144</f>
        <v>Anas OUAKKAD</v>
      </c>
    </row>
    <row r="145" spans="1:27" ht="14.25" customHeight="1">
      <c r="A145" s="13">
        <f>IF(Raw_Data!A145="","",Raw_Data!A145)</f>
        <v>250751</v>
      </c>
      <c r="B145" s="13" t="str">
        <f>IF(Raw_Data!B145="","",Raw_Data!B145)</f>
        <v>Aymen  HAFDALLAH</v>
      </c>
      <c r="C145" s="13" t="str">
        <f>IF(Raw_Data!C145="","",Raw_Data!C145)</f>
        <v>OEM FR</v>
      </c>
      <c r="D145" s="13" t="str">
        <f>IF(Raw_Data!D145="","",Raw_Data!D145)</f>
        <v>2026-07</v>
      </c>
      <c r="E145" s="21">
        <f>IF($A145="","",IF(Raw_Data!E145="",0,IF(KPI_Config!$C$5="L",IF(Raw_Data!E145&lt;=KPI_Config!$E$5,KPI_Config!$D$5,IF(AND(KPI_Config!$F$5&gt;0,Raw_Data!E145&lt;=KPI_Config!$G$5),KPI_Config!$F$5,0)),IF(Raw_Data!E145&gt;=KPI_Config!$E$5,KPI_Config!$D$5,IF(AND(KPI_Config!$F$5&gt;0,Raw_Data!E145&gt;=KPI_Config!$G$5),KPI_Config!$F$5,0)))))</f>
        <v>0</v>
      </c>
      <c r="F145" s="21">
        <f>IF($A145="","",IF(Raw_Data!F145="",0,IF(KPI_Config!$C$6="L",IF(Raw_Data!F145&lt;=KPI_Config!$E$6,KPI_Config!$D$6,IF(AND(KPI_Config!$F$6&gt;0,Raw_Data!F145&lt;=KPI_Config!$G$6),KPI_Config!$F$6,0)),IF(Raw_Data!F145&gt;=KPI_Config!$E$6,KPI_Config!$D$6,IF(AND(KPI_Config!$F$6&gt;0,Raw_Data!F145&gt;=KPI_Config!$G$6),KPI_Config!$F$6,0)))))</f>
        <v>0</v>
      </c>
      <c r="G145" s="21">
        <f>IF($A145="","",IF(Raw_Data!G145="",0,IF(KPI_Config!$C$7="L",IF(Raw_Data!G145&lt;=KPI_Config!$E$7,KPI_Config!$D$7,IF(AND(KPI_Config!$F$7&gt;0,Raw_Data!G145&lt;=KPI_Config!$G$7),KPI_Config!$F$7,0)),IF(Raw_Data!G145&gt;=KPI_Config!$E$7,KPI_Config!$D$7,IF(AND(KPI_Config!$F$7&gt;0,Raw_Data!G145&gt;=KPI_Config!$G$7),KPI_Config!$F$7,0)))))</f>
        <v>0</v>
      </c>
      <c r="H145" s="21">
        <f>IF($A145="","",IF(Raw_Data!H145="",0,IF(KPI_Config!$C$8="L",IF(Raw_Data!H145&lt;=KPI_Config!$E$8,KPI_Config!$D$8,IF(AND(KPI_Config!$F$8&gt;0,Raw_Data!H145&lt;=KPI_Config!$G$8),KPI_Config!$F$8,0)),IF(Raw_Data!H145&gt;=KPI_Config!$E$8,KPI_Config!$D$8,IF(AND(KPI_Config!$F$8&gt;0,Raw_Data!H145&gt;=KPI_Config!$G$8),KPI_Config!$F$8,0)))))</f>
        <v>0</v>
      </c>
      <c r="I145" s="21">
        <f>IF($A145="","",IF(Raw_Data!I145="",0,IF(KPI_Config!$C$9="L",IF(Raw_Data!I145&lt;=KPI_Config!$E$9,KPI_Config!$D$9,IF(AND(KPI_Config!$F$9&gt;0,Raw_Data!I145&lt;=KPI_Config!$G$9),KPI_Config!$F$9,0)),IF(Raw_Data!I145&gt;=KPI_Config!$E$9,KPI_Config!$D$9,IF(AND(KPI_Config!$F$9&gt;0,Raw_Data!I145&gt;=KPI_Config!$G$9),KPI_Config!$F$9,0)))))</f>
        <v>0</v>
      </c>
      <c r="J145" s="21">
        <f>IF($A145="","",IF(Raw_Data!J145="",0,IF(KPI_Config!$C$10="L",IF(Raw_Data!J145&lt;=KPI_Config!$E$10,KPI_Config!$D$10,IF(AND(KPI_Config!$F$10&gt;0,Raw_Data!J145&lt;=KPI_Config!$G$10),KPI_Config!$F$10,0)),IF(Raw_Data!J145&gt;=KPI_Config!$E$10,KPI_Config!$D$10,IF(AND(KPI_Config!$F$10&gt;0,Raw_Data!J145&gt;=KPI_Config!$G$10),KPI_Config!$F$10,0)))))</f>
        <v>0.15</v>
      </c>
      <c r="K145" s="21">
        <f>IF($A145="","",IF(Raw_Data!G145="",0,IF(KPI_Config!$C$11="L",IF(Raw_Data!G145&lt;=KPI_Config!$E$11,KPI_Config!$D$11,IF(AND(KPI_Config!$F$11&gt;0,Raw_Data!G145&lt;=KPI_Config!$G$11),KPI_Config!$F$11,0)),IF(Raw_Data!G145&gt;=KPI_Config!$E$11,KPI_Config!$D$11,IF(AND(KPI_Config!$F$11&gt;0,Raw_Data!G145&gt;=KPI_Config!$G$11),KPI_Config!$F$11,0)))))</f>
        <v>0</v>
      </c>
      <c r="L145" s="21">
        <f>IF($A145="","",MIN(Policy_Decisions!$B$10,IF(Policy_Decisions!$B$6="Additive",SUM(E145:K145),SUM(E145:J145)-G145+MAX(G145,K145))))</f>
        <v>0.15</v>
      </c>
      <c r="M145" s="21">
        <f>IF($A145="","",Raw_Data!K145)</f>
        <v>0</v>
      </c>
      <c r="N145" s="21">
        <f>IF($A145="","",IFERROR(VLOOKUP(M145,KPI_Config!$I$5:$J$10,2,FALSE()),0))</f>
        <v>0</v>
      </c>
      <c r="O145" s="21">
        <f>IF($A145="","",IF(Policy_Decisions!$B$5="Percentage points",MAX(0,L145-N145),L145*(1-N145)))</f>
        <v>0.15</v>
      </c>
      <c r="P145" s="13" t="str">
        <f>IF($A145="","",IF(U145="","Review proration",IF(O145=0,"No payout",IF(N145&gt;0,"Malus applied","Eligible"))))</f>
        <v>Eligible</v>
      </c>
      <c r="Q145" s="13" t="str">
        <f>IF($A145="","",Raw_Data!M145)</f>
        <v>MAD</v>
      </c>
      <c r="R145" s="37">
        <f>IF($A145="","",Raw_Data!N145)</f>
        <v>0</v>
      </c>
      <c r="S145" s="37">
        <f>IF($A145="","",Raw_Data!O145)</f>
        <v>0</v>
      </c>
      <c r="T145" s="37">
        <f>IF($A145="","",IF(Raw_Data!P145&gt;0,Raw_Data!P145,Raw_Data!N145*Raw_Data!O145/IF(Policy_Decisions!$B$7="Annual",12,1)))</f>
        <v>2000</v>
      </c>
      <c r="U145" s="37">
        <f>IF($A145="","",IF(OR(Raw_Data!R145="",Raw_Data!R145&lt;=0),"",MIN(1,MAX(0,Raw_Data!Q145/Raw_Data!R145))))</f>
        <v>1</v>
      </c>
      <c r="V145" s="37">
        <f>IF(OR($A145="",U145=""),"",T145*U145)</f>
        <v>2000</v>
      </c>
      <c r="W145" s="37">
        <f>IF(OR($A145="",V145=""),"",V145*L145)</f>
        <v>300</v>
      </c>
      <c r="X145" s="37">
        <f>IF(OR($A145="",V145=""),"",V145*L145-V145*O145)</f>
        <v>0</v>
      </c>
      <c r="Y145" s="37">
        <f>IF(OR($A145="",V145=""),"",ROUND(V145*O145,IF(Policy_Decisions!$B$11="Whole MAD",0,2)))</f>
        <v>300</v>
      </c>
      <c r="Z145" t="str">
        <f>Raw_Data!T145</f>
        <v>Malak AZERKI</v>
      </c>
      <c r="AA145" t="str">
        <f>Raw_Data!U145</f>
        <v>Anas OUAKKAD</v>
      </c>
    </row>
    <row r="146" spans="1:27" ht="14.25" customHeight="1">
      <c r="A146" s="15">
        <f>IF(Raw_Data!A146="","",Raw_Data!A146)</f>
        <v>96161</v>
      </c>
      <c r="B146" s="15" t="str">
        <f>IF(Raw_Data!B146="","",Raw_Data!B146)</f>
        <v>Islah Aymane</v>
      </c>
      <c r="C146" s="15" t="str">
        <f>IF(Raw_Data!C146="","",Raw_Data!C146)</f>
        <v>RSA VL</v>
      </c>
      <c r="D146" s="15" t="str">
        <f>IF(Raw_Data!D146="","",Raw_Data!D146)</f>
        <v>2026-07</v>
      </c>
      <c r="E146" s="16">
        <f>IF($A146="","",IF(Raw_Data!E146="",0,IF(KPI_Config!$C$5="L",IF(Raw_Data!E146&lt;=KPI_Config!$E$5,KPI_Config!$D$5,IF(AND(KPI_Config!$F$5&gt;0,Raw_Data!E146&lt;=KPI_Config!$G$5),KPI_Config!$F$5,0)),IF(Raw_Data!E146&gt;=KPI_Config!$E$5,KPI_Config!$D$5,IF(AND(KPI_Config!$F$5&gt;0,Raw_Data!E146&gt;=KPI_Config!$G$5),KPI_Config!$F$5,0)))))</f>
        <v>0.15</v>
      </c>
      <c r="F146" s="16">
        <f>IF($A146="","",IF(Raw_Data!F146="",0,IF(KPI_Config!$C$6="L",IF(Raw_Data!F146&lt;=KPI_Config!$E$6,KPI_Config!$D$6,IF(AND(KPI_Config!$F$6&gt;0,Raw_Data!F146&lt;=KPI_Config!$G$6),KPI_Config!$F$6,0)),IF(Raw_Data!F146&gt;=KPI_Config!$E$6,KPI_Config!$D$6,IF(AND(KPI_Config!$F$6&gt;0,Raw_Data!F146&gt;=KPI_Config!$G$6),KPI_Config!$F$6,0)))))</f>
        <v>0.15</v>
      </c>
      <c r="G146" s="16">
        <f>IF($A146="","",IF(Raw_Data!G146="",0,IF(KPI_Config!$C$7="L",IF(Raw_Data!G146&lt;=KPI_Config!$E$7,KPI_Config!$D$7,IF(AND(KPI_Config!$F$7&gt;0,Raw_Data!G146&lt;=KPI_Config!$G$7),KPI_Config!$F$7,0)),IF(Raw_Data!G146&gt;=KPI_Config!$E$7,KPI_Config!$D$7,IF(AND(KPI_Config!$F$7&gt;0,Raw_Data!G146&gt;=KPI_Config!$G$7),KPI_Config!$F$7,0)))))</f>
        <v>0</v>
      </c>
      <c r="H146" s="16">
        <f>IF($A146="","",IF(Raw_Data!H146="",0,IF(KPI_Config!$C$8="L",IF(Raw_Data!H146&lt;=KPI_Config!$E$8,KPI_Config!$D$8,IF(AND(KPI_Config!$F$8&gt;0,Raw_Data!H146&lt;=KPI_Config!$G$8),KPI_Config!$F$8,0)),IF(Raw_Data!H146&gt;=KPI_Config!$E$8,KPI_Config!$D$8,IF(AND(KPI_Config!$F$8&gt;0,Raw_Data!H146&gt;=KPI_Config!$G$8),KPI_Config!$F$8,0)))))</f>
        <v>0</v>
      </c>
      <c r="I146" s="16">
        <f>IF($A146="","",IF(Raw_Data!I146="",0,IF(KPI_Config!$C$9="L",IF(Raw_Data!I146&lt;=KPI_Config!$E$9,KPI_Config!$D$9,IF(AND(KPI_Config!$F$9&gt;0,Raw_Data!I146&lt;=KPI_Config!$G$9),KPI_Config!$F$9,0)),IF(Raw_Data!I146&gt;=KPI_Config!$E$9,KPI_Config!$D$9,IF(AND(KPI_Config!$F$9&gt;0,Raw_Data!I146&gt;=KPI_Config!$G$9),KPI_Config!$F$9,0)))))</f>
        <v>0.15</v>
      </c>
      <c r="J146" s="16">
        <f>IF($A146="","",IF(Raw_Data!J146="",0,IF(KPI_Config!$C$10="L",IF(Raw_Data!J146&lt;=KPI_Config!$E$10,KPI_Config!$D$10,IF(AND(KPI_Config!$F$10&gt;0,Raw_Data!J146&lt;=KPI_Config!$G$10),KPI_Config!$F$10,0)),IF(Raw_Data!J146&gt;=KPI_Config!$E$10,KPI_Config!$D$10,IF(AND(KPI_Config!$F$10&gt;0,Raw_Data!J146&gt;=KPI_Config!$G$10),KPI_Config!$F$10,0)))))</f>
        <v>0.15</v>
      </c>
      <c r="K146" s="16">
        <f>IF($A146="","",IF(Raw_Data!G146="",0,IF(KPI_Config!$C$11="L",IF(Raw_Data!G146&lt;=KPI_Config!$E$11,KPI_Config!$D$11,IF(AND(KPI_Config!$F$11&gt;0,Raw_Data!G146&lt;=KPI_Config!$G$11),KPI_Config!$F$11,0)),IF(Raw_Data!G146&gt;=KPI_Config!$E$11,KPI_Config!$D$11,IF(AND(KPI_Config!$F$11&gt;0,Raw_Data!G146&gt;=KPI_Config!$G$11),KPI_Config!$F$11,0)))))</f>
        <v>0</v>
      </c>
      <c r="L146" s="16">
        <f>IF($A146="","",MIN(Policy_Decisions!$B$10,IF(Policy_Decisions!$B$6="Additive",SUM(E146:K146),SUM(E146:J146)-G146+MAX(G146,K146))))</f>
        <v>0.6</v>
      </c>
      <c r="M146" s="16">
        <f>IF($A146="","",Raw_Data!K146)</f>
        <v>0</v>
      </c>
      <c r="N146" s="16">
        <f>IF($A146="","",IFERROR(VLOOKUP(M146,KPI_Config!$I$5:$J$10,2,FALSE()),0))</f>
        <v>0</v>
      </c>
      <c r="O146" s="16">
        <f>IF($A146="","",IF(Policy_Decisions!$B$5="Percentage points",MAX(0,L146-N146),L146*(1-N146)))</f>
        <v>0.6</v>
      </c>
      <c r="P146" s="15" t="str">
        <f>IF($A146="","",IF(U146="","Review proration",IF(O146=0,"No payout",IF(N146&gt;0,"Malus applied","Eligible"))))</f>
        <v>Eligible</v>
      </c>
      <c r="Q146" s="15" t="str">
        <f>IF($A146="","",Raw_Data!M146)</f>
        <v>MAD</v>
      </c>
      <c r="R146" s="38">
        <f>IF($A146="","",Raw_Data!N146)</f>
        <v>0</v>
      </c>
      <c r="S146" s="38">
        <f>IF($A146="","",Raw_Data!O146)</f>
        <v>0</v>
      </c>
      <c r="T146" s="38">
        <f>IF($A146="","",IF(Raw_Data!P146&gt;0,Raw_Data!P146,Raw_Data!N146*Raw_Data!O146/IF(Policy_Decisions!$B$7="Annual",12,1)))</f>
        <v>2000</v>
      </c>
      <c r="U146" s="38">
        <f>IF($A146="","",IF(OR(Raw_Data!R146="",Raw_Data!R146&lt;=0),"",MIN(1,MAX(0,Raw_Data!Q146/Raw_Data!R146))))</f>
        <v>1</v>
      </c>
      <c r="V146" s="38">
        <f>IF(OR($A146="",U146=""),"",T146*U146)</f>
        <v>2000</v>
      </c>
      <c r="W146" s="38">
        <f>IF(OR($A146="",V146=""),"",V146*L146)</f>
        <v>1200</v>
      </c>
      <c r="X146" s="38">
        <f>IF(OR($A146="",V146=""),"",V146*L146-V146*O146)</f>
        <v>0</v>
      </c>
      <c r="Y146" s="38">
        <f>IF(OR($A146="",V146=""),"",ROUND(V146*O146,IF(Policy_Decisions!$B$11="Whole MAD",0,2)))</f>
        <v>1200</v>
      </c>
      <c r="Z146" t="str">
        <f>Raw_Data!T146</f>
        <v>Glenn Antoon</v>
      </c>
      <c r="AA146" t="str">
        <f>Raw_Data!U146</f>
        <v>Anas OUAKKAD</v>
      </c>
    </row>
    <row r="147" spans="1:27" ht="14.25" customHeight="1">
      <c r="A147" s="13">
        <f>IF(Raw_Data!A147="","",Raw_Data!A147)</f>
        <v>203634</v>
      </c>
      <c r="B147" s="13" t="str">
        <f>IF(Raw_Data!B147="","",Raw_Data!B147)</f>
        <v>Kabbouh Ayman</v>
      </c>
      <c r="C147" s="13" t="str">
        <f>IF(Raw_Data!C147="","",Raw_Data!C147)</f>
        <v>OEM FR</v>
      </c>
      <c r="D147" s="13" t="str">
        <f>IF(Raw_Data!D147="","",Raw_Data!D147)</f>
        <v>2026-07</v>
      </c>
      <c r="E147" s="21">
        <f>IF($A147="","",IF(Raw_Data!E147="",0,IF(KPI_Config!$C$5="L",IF(Raw_Data!E147&lt;=KPI_Config!$E$5,KPI_Config!$D$5,IF(AND(KPI_Config!$F$5&gt;0,Raw_Data!E147&lt;=KPI_Config!$G$5),KPI_Config!$F$5,0)),IF(Raw_Data!E147&gt;=KPI_Config!$E$5,KPI_Config!$D$5,IF(AND(KPI_Config!$F$5&gt;0,Raw_Data!E147&gt;=KPI_Config!$G$5),KPI_Config!$F$5,0)))))</f>
        <v>0</v>
      </c>
      <c r="F147" s="21">
        <f>IF($A147="","",IF(Raw_Data!F147="",0,IF(KPI_Config!$C$6="L",IF(Raw_Data!F147&lt;=KPI_Config!$E$6,KPI_Config!$D$6,IF(AND(KPI_Config!$F$6&gt;0,Raw_Data!F147&lt;=KPI_Config!$G$6),KPI_Config!$F$6,0)),IF(Raw_Data!F147&gt;=KPI_Config!$E$6,KPI_Config!$D$6,IF(AND(KPI_Config!$F$6&gt;0,Raw_Data!F147&gt;=KPI_Config!$G$6),KPI_Config!$F$6,0)))))</f>
        <v>0</v>
      </c>
      <c r="G147" s="21">
        <f>IF($A147="","",IF(Raw_Data!G147="",0,IF(KPI_Config!$C$7="L",IF(Raw_Data!G147&lt;=KPI_Config!$E$7,KPI_Config!$D$7,IF(AND(KPI_Config!$F$7&gt;0,Raw_Data!G147&lt;=KPI_Config!$G$7),KPI_Config!$F$7,0)),IF(Raw_Data!G147&gt;=KPI_Config!$E$7,KPI_Config!$D$7,IF(AND(KPI_Config!$F$7&gt;0,Raw_Data!G147&gt;=KPI_Config!$G$7),KPI_Config!$F$7,0)))))</f>
        <v>0.2</v>
      </c>
      <c r="H147" s="21">
        <f>IF($A147="","",IF(Raw_Data!H147="",0,IF(KPI_Config!$C$8="L",IF(Raw_Data!H147&lt;=KPI_Config!$E$8,KPI_Config!$D$8,IF(AND(KPI_Config!$F$8&gt;0,Raw_Data!H147&lt;=KPI_Config!$G$8),KPI_Config!$F$8,0)),IF(Raw_Data!H147&gt;=KPI_Config!$E$8,KPI_Config!$D$8,IF(AND(KPI_Config!$F$8&gt;0,Raw_Data!H147&gt;=KPI_Config!$G$8),KPI_Config!$F$8,0)))))</f>
        <v>0</v>
      </c>
      <c r="I147" s="21">
        <f>IF($A147="","",IF(Raw_Data!I147="",0,IF(KPI_Config!$C$9="L",IF(Raw_Data!I147&lt;=KPI_Config!$E$9,KPI_Config!$D$9,IF(AND(KPI_Config!$F$9&gt;0,Raw_Data!I147&lt;=KPI_Config!$G$9),KPI_Config!$F$9,0)),IF(Raw_Data!I147&gt;=KPI_Config!$E$9,KPI_Config!$D$9,IF(AND(KPI_Config!$F$9&gt;0,Raw_Data!I147&gt;=KPI_Config!$G$9),KPI_Config!$F$9,0)))))</f>
        <v>0</v>
      </c>
      <c r="J147" s="21">
        <f>IF($A147="","",IF(Raw_Data!J147="",0,IF(KPI_Config!$C$10="L",IF(Raw_Data!J147&lt;=KPI_Config!$E$10,KPI_Config!$D$10,IF(AND(KPI_Config!$F$10&gt;0,Raw_Data!J147&lt;=KPI_Config!$G$10),KPI_Config!$F$10,0)),IF(Raw_Data!J147&gt;=KPI_Config!$E$10,KPI_Config!$D$10,IF(AND(KPI_Config!$F$10&gt;0,Raw_Data!J147&gt;=KPI_Config!$G$10),KPI_Config!$F$10,0)))))</f>
        <v>0.15</v>
      </c>
      <c r="K147" s="21">
        <f>IF($A147="","",IF(Raw_Data!G147="",0,IF(KPI_Config!$C$11="L",IF(Raw_Data!G147&lt;=KPI_Config!$E$11,KPI_Config!$D$11,IF(AND(KPI_Config!$F$11&gt;0,Raw_Data!G147&lt;=KPI_Config!$G$11),KPI_Config!$F$11,0)),IF(Raw_Data!G147&gt;=KPI_Config!$E$11,KPI_Config!$D$11,IF(AND(KPI_Config!$F$11&gt;0,Raw_Data!G147&gt;=KPI_Config!$G$11),KPI_Config!$F$11,0)))))</f>
        <v>0.2</v>
      </c>
      <c r="L147" s="21">
        <f>IF($A147="","",MIN(Policy_Decisions!$B$10,IF(Policy_Decisions!$B$6="Additive",SUM(E147:K147),SUM(E147:J147)-G147+MAX(G147,K147))))</f>
        <v>0.55000000000000004</v>
      </c>
      <c r="M147" s="21">
        <f>IF($A147="","",Raw_Data!K147)</f>
        <v>0</v>
      </c>
      <c r="N147" s="21">
        <f>IF($A147="","",IFERROR(VLOOKUP(M147,KPI_Config!$I$5:$J$10,2,FALSE()),0))</f>
        <v>0</v>
      </c>
      <c r="O147" s="21">
        <f>IF($A147="","",IF(Policy_Decisions!$B$5="Percentage points",MAX(0,L147-N147),L147*(1-N147)))</f>
        <v>0.55000000000000004</v>
      </c>
      <c r="P147" s="13" t="str">
        <f>IF($A147="","",IF(U147="","Review proration",IF(O147=0,"No payout",IF(N147&gt;0,"Malus applied","Eligible"))))</f>
        <v>Eligible</v>
      </c>
      <c r="Q147" s="13" t="str">
        <f>IF($A147="","",Raw_Data!M147)</f>
        <v>MAD</v>
      </c>
      <c r="R147" s="37">
        <f>IF($A147="","",Raw_Data!N147)</f>
        <v>0</v>
      </c>
      <c r="S147" s="37">
        <f>IF($A147="","",Raw_Data!O147)</f>
        <v>0</v>
      </c>
      <c r="T147" s="37">
        <f>IF($A147="","",IF(Raw_Data!P147&gt;0,Raw_Data!P147,Raw_Data!N147*Raw_Data!O147/IF(Policy_Decisions!$B$7="Annual",12,1)))</f>
        <v>2000</v>
      </c>
      <c r="U147" s="37">
        <f>IF($A147="","",IF(OR(Raw_Data!R147="",Raw_Data!R147&lt;=0),"",MIN(1,MAX(0,Raw_Data!Q147/Raw_Data!R147))))</f>
        <v>1</v>
      </c>
      <c r="V147" s="37">
        <f>IF(OR($A147="",U147=""),"",T147*U147)</f>
        <v>2000</v>
      </c>
      <c r="W147" s="37">
        <f>IF(OR($A147="",V147=""),"",V147*L147)</f>
        <v>1100</v>
      </c>
      <c r="X147" s="37">
        <f>IF(OR($A147="",V147=""),"",V147*L147-V147*O147)</f>
        <v>0</v>
      </c>
      <c r="Y147" s="37">
        <f>IF(OR($A147="",V147=""),"",ROUND(V147*O147,IF(Policy_Decisions!$B$11="Whole MAD",0,2)))</f>
        <v>1100</v>
      </c>
      <c r="Z147" t="str">
        <f>Raw_Data!T147</f>
        <v>Zineb MOUFID</v>
      </c>
      <c r="AA147" t="str">
        <f>Raw_Data!U147</f>
        <v>Anas OUAKKAD</v>
      </c>
    </row>
    <row r="148" spans="1:27" ht="14.25" customHeight="1">
      <c r="A148" s="15">
        <f>IF(Raw_Data!A148="","",Raw_Data!A148)</f>
        <v>223881</v>
      </c>
      <c r="B148" s="15" t="str">
        <f>IF(Raw_Data!B148="","",Raw_Data!B148)</f>
        <v>DICKMANNS Arno</v>
      </c>
      <c r="C148" s="15" t="str">
        <f>IF(Raw_Data!C148="","",Raw_Data!C148)</f>
        <v>RSA VL</v>
      </c>
      <c r="D148" s="15" t="str">
        <f>IF(Raw_Data!D148="","",Raw_Data!D148)</f>
        <v>2026-07</v>
      </c>
      <c r="E148" s="16">
        <f>IF($A148="","",IF(Raw_Data!E148="",0,IF(KPI_Config!$C$5="L",IF(Raw_Data!E148&lt;=KPI_Config!$E$5,KPI_Config!$D$5,IF(AND(KPI_Config!$F$5&gt;0,Raw_Data!E148&lt;=KPI_Config!$G$5),KPI_Config!$F$5,0)),IF(Raw_Data!E148&gt;=KPI_Config!$E$5,KPI_Config!$D$5,IF(AND(KPI_Config!$F$5&gt;0,Raw_Data!E148&gt;=KPI_Config!$G$5),KPI_Config!$F$5,0)))))</f>
        <v>0.15</v>
      </c>
      <c r="F148" s="16">
        <f>IF($A148="","",IF(Raw_Data!F148="",0,IF(KPI_Config!$C$6="L",IF(Raw_Data!F148&lt;=KPI_Config!$E$6,KPI_Config!$D$6,IF(AND(KPI_Config!$F$6&gt;0,Raw_Data!F148&lt;=KPI_Config!$G$6),KPI_Config!$F$6,0)),IF(Raw_Data!F148&gt;=KPI_Config!$E$6,KPI_Config!$D$6,IF(AND(KPI_Config!$F$6&gt;0,Raw_Data!F148&gt;=KPI_Config!$G$6),KPI_Config!$F$6,0)))))</f>
        <v>0.15</v>
      </c>
      <c r="G148" s="16">
        <f>IF($A148="","",IF(Raw_Data!G148="",0,IF(KPI_Config!$C$7="L",IF(Raw_Data!G148&lt;=KPI_Config!$E$7,KPI_Config!$D$7,IF(AND(KPI_Config!$F$7&gt;0,Raw_Data!G148&lt;=KPI_Config!$G$7),KPI_Config!$F$7,0)),IF(Raw_Data!G148&gt;=KPI_Config!$E$7,KPI_Config!$D$7,IF(AND(KPI_Config!$F$7&gt;0,Raw_Data!G148&gt;=KPI_Config!$G$7),KPI_Config!$F$7,0)))))</f>
        <v>0</v>
      </c>
      <c r="H148" s="16">
        <f>IF($A148="","",IF(Raw_Data!H148="",0,IF(KPI_Config!$C$8="L",IF(Raw_Data!H148&lt;=KPI_Config!$E$8,KPI_Config!$D$8,IF(AND(KPI_Config!$F$8&gt;0,Raw_Data!H148&lt;=KPI_Config!$G$8),KPI_Config!$F$8,0)),IF(Raw_Data!H148&gt;=KPI_Config!$E$8,KPI_Config!$D$8,IF(AND(KPI_Config!$F$8&gt;0,Raw_Data!H148&gt;=KPI_Config!$G$8),KPI_Config!$F$8,0)))))</f>
        <v>0</v>
      </c>
      <c r="I148" s="16">
        <f>IF($A148="","",IF(Raw_Data!I148="",0,IF(KPI_Config!$C$9="L",IF(Raw_Data!I148&lt;=KPI_Config!$E$9,KPI_Config!$D$9,IF(AND(KPI_Config!$F$9&gt;0,Raw_Data!I148&lt;=KPI_Config!$G$9),KPI_Config!$F$9,0)),IF(Raw_Data!I148&gt;=KPI_Config!$E$9,KPI_Config!$D$9,IF(AND(KPI_Config!$F$9&gt;0,Raw_Data!I148&gt;=KPI_Config!$G$9),KPI_Config!$F$9,0)))))</f>
        <v>0</v>
      </c>
      <c r="J148" s="16">
        <f>IF($A148="","",IF(Raw_Data!J148="",0,IF(KPI_Config!$C$10="L",IF(Raw_Data!J148&lt;=KPI_Config!$E$10,KPI_Config!$D$10,IF(AND(KPI_Config!$F$10&gt;0,Raw_Data!J148&lt;=KPI_Config!$G$10),KPI_Config!$F$10,0)),IF(Raw_Data!J148&gt;=KPI_Config!$E$10,KPI_Config!$D$10,IF(AND(KPI_Config!$F$10&gt;0,Raw_Data!J148&gt;=KPI_Config!$G$10),KPI_Config!$F$10,0)))))</f>
        <v>0.15</v>
      </c>
      <c r="K148" s="16">
        <f>IF($A148="","",IF(Raw_Data!G148="",0,IF(KPI_Config!$C$11="L",IF(Raw_Data!G148&lt;=KPI_Config!$E$11,KPI_Config!$D$11,IF(AND(KPI_Config!$F$11&gt;0,Raw_Data!G148&lt;=KPI_Config!$G$11),KPI_Config!$F$11,0)),IF(Raw_Data!G148&gt;=KPI_Config!$E$11,KPI_Config!$D$11,IF(AND(KPI_Config!$F$11&gt;0,Raw_Data!G148&gt;=KPI_Config!$G$11),KPI_Config!$F$11,0)))))</f>
        <v>0</v>
      </c>
      <c r="L148" s="16">
        <f>IF($A148="","",MIN(Policy_Decisions!$B$10,IF(Policy_Decisions!$B$6="Additive",SUM(E148:K148),SUM(E148:J148)-G148+MAX(G148,K148))))</f>
        <v>0.44999999999999996</v>
      </c>
      <c r="M148" s="16">
        <f>IF($A148="","",Raw_Data!K148)</f>
        <v>0</v>
      </c>
      <c r="N148" s="16">
        <f>IF($A148="","",IFERROR(VLOOKUP(M148,KPI_Config!$I$5:$J$10,2,FALSE()),0))</f>
        <v>0</v>
      </c>
      <c r="O148" s="16">
        <f>IF($A148="","",IF(Policy_Decisions!$B$5="Percentage points",MAX(0,L148-N148),L148*(1-N148)))</f>
        <v>0.44999999999999996</v>
      </c>
      <c r="P148" s="15" t="str">
        <f>IF($A148="","",IF(U148="","Review proration",IF(O148=0,"No payout",IF(N148&gt;0,"Malus applied","Eligible"))))</f>
        <v>Eligible</v>
      </c>
      <c r="Q148" s="15" t="str">
        <f>IF($A148="","",Raw_Data!M148)</f>
        <v>MAD</v>
      </c>
      <c r="R148" s="38">
        <f>IF($A148="","",Raw_Data!N148)</f>
        <v>0</v>
      </c>
      <c r="S148" s="38">
        <f>IF($A148="","",Raw_Data!O148)</f>
        <v>0</v>
      </c>
      <c r="T148" s="38">
        <f>IF($A148="","",IF(Raw_Data!P148&gt;0,Raw_Data!P148,Raw_Data!N148*Raw_Data!O148/IF(Policy_Decisions!$B$7="Annual",12,1)))</f>
        <v>2000</v>
      </c>
      <c r="U148" s="38">
        <f>IF($A148="","",IF(OR(Raw_Data!R148="",Raw_Data!R148&lt;=0),"",MIN(1,MAX(0,Raw_Data!Q148/Raw_Data!R148))))</f>
        <v>1</v>
      </c>
      <c r="V148" s="38">
        <f>IF(OR($A148="",U148=""),"",T148*U148)</f>
        <v>2000</v>
      </c>
      <c r="W148" s="38">
        <f>IF(OR($A148="",V148=""),"",V148*L148)</f>
        <v>899.99999999999989</v>
      </c>
      <c r="X148" s="38">
        <f>IF(OR($A148="",V148=""),"",V148*L148-V148*O148)</f>
        <v>0</v>
      </c>
      <c r="Y148" s="38">
        <f>IF(OR($A148="",V148=""),"",ROUND(V148*O148,IF(Policy_Decisions!$B$11="Whole MAD",0,2)))</f>
        <v>900</v>
      </c>
      <c r="Z148" t="str">
        <f>Raw_Data!T148</f>
        <v>Glenn Antoon</v>
      </c>
      <c r="AA148" t="str">
        <f>Raw_Data!U148</f>
        <v>Anas OUAKKAD</v>
      </c>
    </row>
    <row r="149" spans="1:27" ht="14.25" customHeight="1">
      <c r="A149" s="13">
        <f>IF(Raw_Data!A149="","",Raw_Data!A149)</f>
        <v>204044</v>
      </c>
      <c r="B149" s="13" t="str">
        <f>IF(Raw_Data!B149="","",Raw_Data!B149)</f>
        <v>Koppens Arko</v>
      </c>
      <c r="C149" s="13" t="str">
        <f>IF(Raw_Data!C149="","",Raw_Data!C149)</f>
        <v>Ford Dutch</v>
      </c>
      <c r="D149" s="13" t="str">
        <f>IF(Raw_Data!D149="","",Raw_Data!D149)</f>
        <v>2026-07</v>
      </c>
      <c r="E149" s="21">
        <f>IF($A149="","",IF(Raw_Data!E149="",0,IF(KPI_Config!$C$5="L",IF(Raw_Data!E149&lt;=KPI_Config!$E$5,KPI_Config!$D$5,IF(AND(KPI_Config!$F$5&gt;0,Raw_Data!E149&lt;=KPI_Config!$G$5),KPI_Config!$F$5,0)),IF(Raw_Data!E149&gt;=KPI_Config!$E$5,KPI_Config!$D$5,IF(AND(KPI_Config!$F$5&gt;0,Raw_Data!E149&gt;=KPI_Config!$G$5),KPI_Config!$F$5,0)))))</f>
        <v>0</v>
      </c>
      <c r="F149" s="21">
        <f>IF($A149="","",IF(Raw_Data!F149="",0,IF(KPI_Config!$C$6="L",IF(Raw_Data!F149&lt;=KPI_Config!$E$6,KPI_Config!$D$6,IF(AND(KPI_Config!$F$6&gt;0,Raw_Data!F149&lt;=KPI_Config!$G$6),KPI_Config!$F$6,0)),IF(Raw_Data!F149&gt;=KPI_Config!$E$6,KPI_Config!$D$6,IF(AND(KPI_Config!$F$6&gt;0,Raw_Data!F149&gt;=KPI_Config!$G$6),KPI_Config!$F$6,0)))))</f>
        <v>0</v>
      </c>
      <c r="G149" s="21">
        <f>IF($A149="","",IF(Raw_Data!G149="",0,IF(KPI_Config!$C$7="L",IF(Raw_Data!G149&lt;=KPI_Config!$E$7,KPI_Config!$D$7,IF(AND(KPI_Config!$F$7&gt;0,Raw_Data!G149&lt;=KPI_Config!$G$7),KPI_Config!$F$7,0)),IF(Raw_Data!G149&gt;=KPI_Config!$E$7,KPI_Config!$D$7,IF(AND(KPI_Config!$F$7&gt;0,Raw_Data!G149&gt;=KPI_Config!$G$7),KPI_Config!$F$7,0)))))</f>
        <v>0.2</v>
      </c>
      <c r="H149" s="21">
        <f>IF($A149="","",IF(Raw_Data!H149="",0,IF(KPI_Config!$C$8="L",IF(Raw_Data!H149&lt;=KPI_Config!$E$8,KPI_Config!$D$8,IF(AND(KPI_Config!$F$8&gt;0,Raw_Data!H149&lt;=KPI_Config!$G$8),KPI_Config!$F$8,0)),IF(Raw_Data!H149&gt;=KPI_Config!$E$8,KPI_Config!$D$8,IF(AND(KPI_Config!$F$8&gt;0,Raw_Data!H149&gt;=KPI_Config!$G$8),KPI_Config!$F$8,0)))))</f>
        <v>0</v>
      </c>
      <c r="I149" s="21">
        <f>IF($A149="","",IF(Raw_Data!I149="",0,IF(KPI_Config!$C$9="L",IF(Raw_Data!I149&lt;=KPI_Config!$E$9,KPI_Config!$D$9,IF(AND(KPI_Config!$F$9&gt;0,Raw_Data!I149&lt;=KPI_Config!$G$9),KPI_Config!$F$9,0)),IF(Raw_Data!I149&gt;=KPI_Config!$E$9,KPI_Config!$D$9,IF(AND(KPI_Config!$F$9&gt;0,Raw_Data!I149&gt;=KPI_Config!$G$9),KPI_Config!$F$9,0)))))</f>
        <v>0</v>
      </c>
      <c r="J149" s="21">
        <f>IF($A149="","",IF(Raw_Data!J149="",0,IF(KPI_Config!$C$10="L",IF(Raw_Data!J149&lt;=KPI_Config!$E$10,KPI_Config!$D$10,IF(AND(KPI_Config!$F$10&gt;0,Raw_Data!J149&lt;=KPI_Config!$G$10),KPI_Config!$F$10,0)),IF(Raw_Data!J149&gt;=KPI_Config!$E$10,KPI_Config!$D$10,IF(AND(KPI_Config!$F$10&gt;0,Raw_Data!J149&gt;=KPI_Config!$G$10),KPI_Config!$F$10,0)))))</f>
        <v>0</v>
      </c>
      <c r="K149" s="21">
        <f>IF($A149="","",IF(Raw_Data!G149="",0,IF(KPI_Config!$C$11="L",IF(Raw_Data!G149&lt;=KPI_Config!$E$11,KPI_Config!$D$11,IF(AND(KPI_Config!$F$11&gt;0,Raw_Data!G149&lt;=KPI_Config!$G$11),KPI_Config!$F$11,0)),IF(Raw_Data!G149&gt;=KPI_Config!$E$11,KPI_Config!$D$11,IF(AND(KPI_Config!$F$11&gt;0,Raw_Data!G149&gt;=KPI_Config!$G$11),KPI_Config!$F$11,0)))))</f>
        <v>0.3</v>
      </c>
      <c r="L149" s="21">
        <f>IF($A149="","",MIN(Policy_Decisions!$B$10,IF(Policy_Decisions!$B$6="Additive",SUM(E149:K149),SUM(E149:J149)-G149+MAX(G149,K149))))</f>
        <v>0.5</v>
      </c>
      <c r="M149" s="21">
        <f>IF($A149="","",Raw_Data!K149)</f>
        <v>0</v>
      </c>
      <c r="N149" s="21">
        <f>IF($A149="","",IFERROR(VLOOKUP(M149,KPI_Config!$I$5:$J$10,2,FALSE()),0))</f>
        <v>0</v>
      </c>
      <c r="O149" s="21">
        <f>IF($A149="","",IF(Policy_Decisions!$B$5="Percentage points",MAX(0,L149-N149),L149*(1-N149)))</f>
        <v>0.5</v>
      </c>
      <c r="P149" s="13" t="str">
        <f>IF($A149="","",IF(U149="","Review proration",IF(O149=0,"No payout",IF(N149&gt;0,"Malus applied","Eligible"))))</f>
        <v>Eligible</v>
      </c>
      <c r="Q149" s="13" t="str">
        <f>IF($A149="","",Raw_Data!M149)</f>
        <v>MAD</v>
      </c>
      <c r="R149" s="37">
        <f>IF($A149="","",Raw_Data!N149)</f>
        <v>0</v>
      </c>
      <c r="S149" s="37">
        <f>IF($A149="","",Raw_Data!O149)</f>
        <v>0</v>
      </c>
      <c r="T149" s="37">
        <f>IF($A149="","",IF(Raw_Data!P149&gt;0,Raw_Data!P149,Raw_Data!N149*Raw_Data!O149/IF(Policy_Decisions!$B$7="Annual",12,1)))</f>
        <v>2000</v>
      </c>
      <c r="U149" s="37">
        <f>IF($A149="","",IF(OR(Raw_Data!R149="",Raw_Data!R149&lt;=0),"",MIN(1,MAX(0,Raw_Data!Q149/Raw_Data!R149))))</f>
        <v>1</v>
      </c>
      <c r="V149" s="37">
        <f>IF(OR($A149="",U149=""),"",T149*U149)</f>
        <v>2000</v>
      </c>
      <c r="W149" s="37">
        <f>IF(OR($A149="",V149=""),"",V149*L149)</f>
        <v>1000</v>
      </c>
      <c r="X149" s="37">
        <f>IF(OR($A149="",V149=""),"",V149*L149-V149*O149)</f>
        <v>0</v>
      </c>
      <c r="Y149" s="37">
        <f>IF(OR($A149="",V149=""),"",ROUND(V149*O149,IF(Policy_Decisions!$B$11="Whole MAD",0,2)))</f>
        <v>1000</v>
      </c>
      <c r="Z149" t="str">
        <f>Raw_Data!T149</f>
        <v>DERRAZI Ilyasse</v>
      </c>
      <c r="AA149" t="str">
        <f>Raw_Data!U149</f>
        <v>Anas OUAKKAD</v>
      </c>
    </row>
    <row r="150" spans="1:27" ht="14.25" customHeight="1">
      <c r="A150" s="15">
        <f>IF(Raw_Data!A150="","",Raw_Data!A150)</f>
        <v>224093</v>
      </c>
      <c r="B150" s="15" t="str">
        <f>IF(Raw_Data!B150="","",Raw_Data!B150)</f>
        <v>YEKHLEFAnouar</v>
      </c>
      <c r="C150" s="15" t="str">
        <f>IF(Raw_Data!C150="","",Raw_Data!C150)</f>
        <v>RSA NL</v>
      </c>
      <c r="D150" s="15" t="str">
        <f>IF(Raw_Data!D150="","",Raw_Data!D150)</f>
        <v>2026-07</v>
      </c>
      <c r="E150" s="16">
        <f>IF($A150="","",IF(Raw_Data!E150="",0,IF(KPI_Config!$C$5="L",IF(Raw_Data!E150&lt;=KPI_Config!$E$5,KPI_Config!$D$5,IF(AND(KPI_Config!$F$5&gt;0,Raw_Data!E150&lt;=KPI_Config!$G$5),KPI_Config!$F$5,0)),IF(Raw_Data!E150&gt;=KPI_Config!$E$5,KPI_Config!$D$5,IF(AND(KPI_Config!$F$5&gt;0,Raw_Data!E150&gt;=KPI_Config!$G$5),KPI_Config!$F$5,0)))))</f>
        <v>0.15</v>
      </c>
      <c r="F150" s="16">
        <f>IF($A150="","",IF(Raw_Data!F150="",0,IF(KPI_Config!$C$6="L",IF(Raw_Data!F150&lt;=KPI_Config!$E$6,KPI_Config!$D$6,IF(AND(KPI_Config!$F$6&gt;0,Raw_Data!F150&lt;=KPI_Config!$G$6),KPI_Config!$F$6,0)),IF(Raw_Data!F150&gt;=KPI_Config!$E$6,KPI_Config!$D$6,IF(AND(KPI_Config!$F$6&gt;0,Raw_Data!F150&gt;=KPI_Config!$G$6),KPI_Config!$F$6,0)))))</f>
        <v>0.15</v>
      </c>
      <c r="G150" s="16">
        <f>IF($A150="","",IF(Raw_Data!G150="",0,IF(KPI_Config!$C$7="L",IF(Raw_Data!G150&lt;=KPI_Config!$E$7,KPI_Config!$D$7,IF(AND(KPI_Config!$F$7&gt;0,Raw_Data!G150&lt;=KPI_Config!$G$7),KPI_Config!$F$7,0)),IF(Raw_Data!G150&gt;=KPI_Config!$E$7,KPI_Config!$D$7,IF(AND(KPI_Config!$F$7&gt;0,Raw_Data!G150&gt;=KPI_Config!$G$7),KPI_Config!$F$7,0)))))</f>
        <v>0.15</v>
      </c>
      <c r="H150" s="16">
        <f>IF($A150="","",IF(Raw_Data!H150="",0,IF(KPI_Config!$C$8="L",IF(Raw_Data!H150&lt;=KPI_Config!$E$8,KPI_Config!$D$8,IF(AND(KPI_Config!$F$8&gt;0,Raw_Data!H150&lt;=KPI_Config!$G$8),KPI_Config!$F$8,0)),IF(Raw_Data!H150&gt;=KPI_Config!$E$8,KPI_Config!$D$8,IF(AND(KPI_Config!$F$8&gt;0,Raw_Data!H150&gt;=KPI_Config!$G$8),KPI_Config!$F$8,0)))))</f>
        <v>0</v>
      </c>
      <c r="I150" s="16">
        <f>IF($A150="","",IF(Raw_Data!I150="",0,IF(KPI_Config!$C$9="L",IF(Raw_Data!I150&lt;=KPI_Config!$E$9,KPI_Config!$D$9,IF(AND(KPI_Config!$F$9&gt;0,Raw_Data!I150&lt;=KPI_Config!$G$9),KPI_Config!$F$9,0)),IF(Raw_Data!I150&gt;=KPI_Config!$E$9,KPI_Config!$D$9,IF(AND(KPI_Config!$F$9&gt;0,Raw_Data!I150&gt;=KPI_Config!$G$9),KPI_Config!$F$9,0)))))</f>
        <v>0.15</v>
      </c>
      <c r="J150" s="16">
        <f>IF($A150="","",IF(Raw_Data!J150="",0,IF(KPI_Config!$C$10="L",IF(Raw_Data!J150&lt;=KPI_Config!$E$10,KPI_Config!$D$10,IF(AND(KPI_Config!$F$10&gt;0,Raw_Data!J150&lt;=KPI_Config!$G$10),KPI_Config!$F$10,0)),IF(Raw_Data!J150&gt;=KPI_Config!$E$10,KPI_Config!$D$10,IF(AND(KPI_Config!$F$10&gt;0,Raw_Data!J150&gt;=KPI_Config!$G$10),KPI_Config!$F$10,0)))))</f>
        <v>0.15</v>
      </c>
      <c r="K150" s="16">
        <f>IF($A150="","",IF(Raw_Data!G150="",0,IF(KPI_Config!$C$11="L",IF(Raw_Data!G150&lt;=KPI_Config!$E$11,KPI_Config!$D$11,IF(AND(KPI_Config!$F$11&gt;0,Raw_Data!G150&lt;=KPI_Config!$G$11),KPI_Config!$F$11,0)),IF(Raw_Data!G150&gt;=KPI_Config!$E$11,KPI_Config!$D$11,IF(AND(KPI_Config!$F$11&gt;0,Raw_Data!G150&gt;=KPI_Config!$G$11),KPI_Config!$F$11,0)))))</f>
        <v>0</v>
      </c>
      <c r="L150" s="16">
        <f>IF($A150="","",MIN(Policy_Decisions!$B$10,IF(Policy_Decisions!$B$6="Additive",SUM(E150:K150),SUM(E150:J150)-G150+MAX(G150,K150))))</f>
        <v>0.75</v>
      </c>
      <c r="M150" s="16">
        <f>IF($A150="","",Raw_Data!K150)</f>
        <v>0</v>
      </c>
      <c r="N150" s="16">
        <f>IF($A150="","",IFERROR(VLOOKUP(M150,KPI_Config!$I$5:$J$10,2,FALSE()),0))</f>
        <v>0</v>
      </c>
      <c r="O150" s="16">
        <f>IF($A150="","",IF(Policy_Decisions!$B$5="Percentage points",MAX(0,L150-N150),L150*(1-N150)))</f>
        <v>0.75</v>
      </c>
      <c r="P150" s="15" t="str">
        <f>IF($A150="","",IF(U150="","Review proration",IF(O150=0,"No payout",IF(N150&gt;0,"Malus applied","Eligible"))))</f>
        <v>Eligible</v>
      </c>
      <c r="Q150" s="15" t="str">
        <f>IF($A150="","",Raw_Data!M150)</f>
        <v>MAD</v>
      </c>
      <c r="R150" s="38">
        <f>IF($A150="","",Raw_Data!N150)</f>
        <v>0</v>
      </c>
      <c r="S150" s="38">
        <f>IF($A150="","",Raw_Data!O150)</f>
        <v>0</v>
      </c>
      <c r="T150" s="38">
        <f>IF($A150="","",IF(Raw_Data!P150&gt;0,Raw_Data!P150,Raw_Data!N150*Raw_Data!O150/IF(Policy_Decisions!$B$7="Annual",12,1)))</f>
        <v>2000</v>
      </c>
      <c r="U150" s="38">
        <f>IF($A150="","",IF(OR(Raw_Data!R150="",Raw_Data!R150&lt;=0),"",MIN(1,MAX(0,Raw_Data!Q150/Raw_Data!R150))))</f>
        <v>1</v>
      </c>
      <c r="V150" s="38">
        <f>IF(OR($A150="",U150=""),"",T150*U150)</f>
        <v>2000</v>
      </c>
      <c r="W150" s="38">
        <f>IF(OR($A150="",V150=""),"",V150*L150)</f>
        <v>1500</v>
      </c>
      <c r="X150" s="38">
        <f>IF(OR($A150="",V150=""),"",V150*L150-V150*O150)</f>
        <v>0</v>
      </c>
      <c r="Y150" s="38">
        <f>IF(OR($A150="",V150=""),"",ROUND(V150*O150,IF(Policy_Decisions!$B$11="Whole MAD",0,2)))</f>
        <v>1500</v>
      </c>
      <c r="Z150" t="str">
        <f>Raw_Data!T150</f>
        <v>JEANNE NKIKIO RWIBUTSO</v>
      </c>
      <c r="AA150" t="str">
        <f>Raw_Data!U150</f>
        <v>Anas OUAKKAD</v>
      </c>
    </row>
    <row r="151" spans="1:27" ht="14.25" customHeight="1">
      <c r="A151" s="13">
        <f>IF(Raw_Data!A151="","",Raw_Data!A151)</f>
        <v>203579</v>
      </c>
      <c r="B151" s="13" t="str">
        <f>IF(Raw_Data!B151="","",Raw_Data!B151)</f>
        <v>Jaouan Anouar</v>
      </c>
      <c r="C151" s="13" t="str">
        <f>IF(Raw_Data!C151="","",Raw_Data!C151)</f>
        <v>OEM FR</v>
      </c>
      <c r="D151" s="13" t="str">
        <f>IF(Raw_Data!D151="","",Raw_Data!D151)</f>
        <v>2026-07</v>
      </c>
      <c r="E151" s="21">
        <f>IF($A151="","",IF(Raw_Data!E151="",0,IF(KPI_Config!$C$5="L",IF(Raw_Data!E151&lt;=KPI_Config!$E$5,KPI_Config!$D$5,IF(AND(KPI_Config!$F$5&gt;0,Raw_Data!E151&lt;=KPI_Config!$G$5),KPI_Config!$F$5,0)),IF(Raw_Data!E151&gt;=KPI_Config!$E$5,KPI_Config!$D$5,IF(AND(KPI_Config!$F$5&gt;0,Raw_Data!E151&gt;=KPI_Config!$G$5),KPI_Config!$F$5,0)))))</f>
        <v>0.15</v>
      </c>
      <c r="F151" s="21">
        <f>IF($A151="","",IF(Raw_Data!F151="",0,IF(KPI_Config!$C$6="L",IF(Raw_Data!F151&lt;=KPI_Config!$E$6,KPI_Config!$D$6,IF(AND(KPI_Config!$F$6&gt;0,Raw_Data!F151&lt;=KPI_Config!$G$6),KPI_Config!$F$6,0)),IF(Raw_Data!F151&gt;=KPI_Config!$E$6,KPI_Config!$D$6,IF(AND(KPI_Config!$F$6&gt;0,Raw_Data!F151&gt;=KPI_Config!$G$6),KPI_Config!$F$6,0)))))</f>
        <v>0.15</v>
      </c>
      <c r="G151" s="21">
        <f>IF($A151="","",IF(Raw_Data!G151="",0,IF(KPI_Config!$C$7="L",IF(Raw_Data!G151&lt;=KPI_Config!$E$7,KPI_Config!$D$7,IF(AND(KPI_Config!$F$7&gt;0,Raw_Data!G151&lt;=KPI_Config!$G$7),KPI_Config!$F$7,0)),IF(Raw_Data!G151&gt;=KPI_Config!$E$7,KPI_Config!$D$7,IF(AND(KPI_Config!$F$7&gt;0,Raw_Data!G151&gt;=KPI_Config!$G$7),KPI_Config!$F$7,0)))))</f>
        <v>0</v>
      </c>
      <c r="H151" s="21">
        <f>IF($A151="","",IF(Raw_Data!H151="",0,IF(KPI_Config!$C$8="L",IF(Raw_Data!H151&lt;=KPI_Config!$E$8,KPI_Config!$D$8,IF(AND(KPI_Config!$F$8&gt;0,Raw_Data!H151&lt;=KPI_Config!$G$8),KPI_Config!$F$8,0)),IF(Raw_Data!H151&gt;=KPI_Config!$E$8,KPI_Config!$D$8,IF(AND(KPI_Config!$F$8&gt;0,Raw_Data!H151&gt;=KPI_Config!$G$8),KPI_Config!$F$8,0)))))</f>
        <v>0</v>
      </c>
      <c r="I151" s="21">
        <f>IF($A151="","",IF(Raw_Data!I151="",0,IF(KPI_Config!$C$9="L",IF(Raw_Data!I151&lt;=KPI_Config!$E$9,KPI_Config!$D$9,IF(AND(KPI_Config!$F$9&gt;0,Raw_Data!I151&lt;=KPI_Config!$G$9),KPI_Config!$F$9,0)),IF(Raw_Data!I151&gt;=KPI_Config!$E$9,KPI_Config!$D$9,IF(AND(KPI_Config!$F$9&gt;0,Raw_Data!I151&gt;=KPI_Config!$G$9),KPI_Config!$F$9,0)))))</f>
        <v>0</v>
      </c>
      <c r="J151" s="21">
        <f>IF($A151="","",IF(Raw_Data!J151="",0,IF(KPI_Config!$C$10="L",IF(Raw_Data!J151&lt;=KPI_Config!$E$10,KPI_Config!$D$10,IF(AND(KPI_Config!$F$10&gt;0,Raw_Data!J151&lt;=KPI_Config!$G$10),KPI_Config!$F$10,0)),IF(Raw_Data!J151&gt;=KPI_Config!$E$10,KPI_Config!$D$10,IF(AND(KPI_Config!$F$10&gt;0,Raw_Data!J151&gt;=KPI_Config!$G$10),KPI_Config!$F$10,0)))))</f>
        <v>0.15</v>
      </c>
      <c r="K151" s="21">
        <f>IF($A151="","",IF(Raw_Data!G151="",0,IF(KPI_Config!$C$11="L",IF(Raw_Data!G151&lt;=KPI_Config!$E$11,KPI_Config!$D$11,IF(AND(KPI_Config!$F$11&gt;0,Raw_Data!G151&lt;=KPI_Config!$G$11),KPI_Config!$F$11,0)),IF(Raw_Data!G151&gt;=KPI_Config!$E$11,KPI_Config!$D$11,IF(AND(KPI_Config!$F$11&gt;0,Raw_Data!G151&gt;=KPI_Config!$G$11),KPI_Config!$F$11,0)))))</f>
        <v>0</v>
      </c>
      <c r="L151" s="21">
        <f>IF($A151="","",MIN(Policy_Decisions!$B$10,IF(Policy_Decisions!$B$6="Additive",SUM(E151:K151),SUM(E151:J151)-G151+MAX(G151,K151))))</f>
        <v>0.44999999999999996</v>
      </c>
      <c r="M151" s="21">
        <f>IF($A151="","",Raw_Data!K151)</f>
        <v>0</v>
      </c>
      <c r="N151" s="21">
        <f>IF($A151="","",IFERROR(VLOOKUP(M151,KPI_Config!$I$5:$J$10,2,FALSE()),0))</f>
        <v>0</v>
      </c>
      <c r="O151" s="21">
        <f>IF($A151="","",IF(Policy_Decisions!$B$5="Percentage points",MAX(0,L151-N151),L151*(1-N151)))</f>
        <v>0.44999999999999996</v>
      </c>
      <c r="P151" s="13" t="str">
        <f>IF($A151="","",IF(U151="","Review proration",IF(O151=0,"No payout",IF(N151&gt;0,"Malus applied","Eligible"))))</f>
        <v>Eligible</v>
      </c>
      <c r="Q151" s="13" t="str">
        <f>IF($A151="","",Raw_Data!M151)</f>
        <v>MAD</v>
      </c>
      <c r="R151" s="37">
        <f>IF($A151="","",Raw_Data!N151)</f>
        <v>0</v>
      </c>
      <c r="S151" s="37">
        <f>IF($A151="","",Raw_Data!O151)</f>
        <v>0</v>
      </c>
      <c r="T151" s="37">
        <f>IF($A151="","",IF(Raw_Data!P151&gt;0,Raw_Data!P151,Raw_Data!N151*Raw_Data!O151/IF(Policy_Decisions!$B$7="Annual",12,1)))</f>
        <v>2000</v>
      </c>
      <c r="U151" s="37">
        <f>IF($A151="","",IF(OR(Raw_Data!R151="",Raw_Data!R151&lt;=0),"",MIN(1,MAX(0,Raw_Data!Q151/Raw_Data!R151))))</f>
        <v>1</v>
      </c>
      <c r="V151" s="37">
        <f>IF(OR($A151="",U151=""),"",T151*U151)</f>
        <v>2000</v>
      </c>
      <c r="W151" s="37">
        <f>IF(OR($A151="",V151=""),"",V151*L151)</f>
        <v>899.99999999999989</v>
      </c>
      <c r="X151" s="37">
        <f>IF(OR($A151="",V151=""),"",V151*L151-V151*O151)</f>
        <v>0</v>
      </c>
      <c r="Y151" s="37">
        <f>IF(OR($A151="",V151=""),"",ROUND(V151*O151,IF(Policy_Decisions!$B$11="Whole MAD",0,2)))</f>
        <v>900</v>
      </c>
      <c r="Z151" t="str">
        <f>Raw_Data!T151</f>
        <v>Kenza EL MOUMNI</v>
      </c>
      <c r="AA151" t="str">
        <f>Raw_Data!U151</f>
        <v>Anas OUAKKAD</v>
      </c>
    </row>
    <row r="152" spans="1:27" ht="14.25" customHeight="1">
      <c r="A152" s="15">
        <f>IF(Raw_Data!A152="","",Raw_Data!A152)</f>
        <v>205262</v>
      </c>
      <c r="B152" s="15" t="str">
        <f>IF(Raw_Data!B152="","",Raw_Data!B152)</f>
        <v>El Jassifi Anas</v>
      </c>
      <c r="C152" s="15" t="str">
        <f>IF(Raw_Data!C152="","",Raw_Data!C152)</f>
        <v>OEM FR</v>
      </c>
      <c r="D152" s="15" t="str">
        <f>IF(Raw_Data!D152="","",Raw_Data!D152)</f>
        <v>2026-07</v>
      </c>
      <c r="E152" s="16">
        <f>IF($A152="","",IF(Raw_Data!E152="",0,IF(KPI_Config!$C$5="L",IF(Raw_Data!E152&lt;=KPI_Config!$E$5,KPI_Config!$D$5,IF(AND(KPI_Config!$F$5&gt;0,Raw_Data!E152&lt;=KPI_Config!$G$5),KPI_Config!$F$5,0)),IF(Raw_Data!E152&gt;=KPI_Config!$E$5,KPI_Config!$D$5,IF(AND(KPI_Config!$F$5&gt;0,Raw_Data!E152&gt;=KPI_Config!$G$5),KPI_Config!$F$5,0)))))</f>
        <v>0.15</v>
      </c>
      <c r="F152" s="16">
        <f>IF($A152="","",IF(Raw_Data!F152="",0,IF(KPI_Config!$C$6="L",IF(Raw_Data!F152&lt;=KPI_Config!$E$6,KPI_Config!$D$6,IF(AND(KPI_Config!$F$6&gt;0,Raw_Data!F152&lt;=KPI_Config!$G$6),KPI_Config!$F$6,0)),IF(Raw_Data!F152&gt;=KPI_Config!$E$6,KPI_Config!$D$6,IF(AND(KPI_Config!$F$6&gt;0,Raw_Data!F152&gt;=KPI_Config!$G$6),KPI_Config!$F$6,0)))))</f>
        <v>0.15</v>
      </c>
      <c r="G152" s="16">
        <f>IF($A152="","",IF(Raw_Data!G152="",0,IF(KPI_Config!$C$7="L",IF(Raw_Data!G152&lt;=KPI_Config!$E$7,KPI_Config!$D$7,IF(AND(KPI_Config!$F$7&gt;0,Raw_Data!G152&lt;=KPI_Config!$G$7),KPI_Config!$F$7,0)),IF(Raw_Data!G152&gt;=KPI_Config!$E$7,KPI_Config!$D$7,IF(AND(KPI_Config!$F$7&gt;0,Raw_Data!G152&gt;=KPI_Config!$G$7),KPI_Config!$F$7,0)))))</f>
        <v>0</v>
      </c>
      <c r="H152" s="16">
        <f>IF($A152="","",IF(Raw_Data!H152="",0,IF(KPI_Config!$C$8="L",IF(Raw_Data!H152&lt;=KPI_Config!$E$8,KPI_Config!$D$8,IF(AND(KPI_Config!$F$8&gt;0,Raw_Data!H152&lt;=KPI_Config!$G$8),KPI_Config!$F$8,0)),IF(Raw_Data!H152&gt;=KPI_Config!$E$8,KPI_Config!$D$8,IF(AND(KPI_Config!$F$8&gt;0,Raw_Data!H152&gt;=KPI_Config!$G$8),KPI_Config!$F$8,0)))))</f>
        <v>0</v>
      </c>
      <c r="I152" s="16">
        <f>IF($A152="","",IF(Raw_Data!I152="",0,IF(KPI_Config!$C$9="L",IF(Raw_Data!I152&lt;=KPI_Config!$E$9,KPI_Config!$D$9,IF(AND(KPI_Config!$F$9&gt;0,Raw_Data!I152&lt;=KPI_Config!$G$9),KPI_Config!$F$9,0)),IF(Raw_Data!I152&gt;=KPI_Config!$E$9,KPI_Config!$D$9,IF(AND(KPI_Config!$F$9&gt;0,Raw_Data!I152&gt;=KPI_Config!$G$9),KPI_Config!$F$9,0)))))</f>
        <v>0</v>
      </c>
      <c r="J152" s="16">
        <f>IF($A152="","",IF(Raw_Data!J152="",0,IF(KPI_Config!$C$10="L",IF(Raw_Data!J152&lt;=KPI_Config!$E$10,KPI_Config!$D$10,IF(AND(KPI_Config!$F$10&gt;0,Raw_Data!J152&lt;=KPI_Config!$G$10),KPI_Config!$F$10,0)),IF(Raw_Data!J152&gt;=KPI_Config!$E$10,KPI_Config!$D$10,IF(AND(KPI_Config!$F$10&gt;0,Raw_Data!J152&gt;=KPI_Config!$G$10),KPI_Config!$F$10,0)))))</f>
        <v>0.15</v>
      </c>
      <c r="K152" s="16">
        <f>IF($A152="","",IF(Raw_Data!G152="",0,IF(KPI_Config!$C$11="L",IF(Raw_Data!G152&lt;=KPI_Config!$E$11,KPI_Config!$D$11,IF(AND(KPI_Config!$F$11&gt;0,Raw_Data!G152&lt;=KPI_Config!$G$11),KPI_Config!$F$11,0)),IF(Raw_Data!G152&gt;=KPI_Config!$E$11,KPI_Config!$D$11,IF(AND(KPI_Config!$F$11&gt;0,Raw_Data!G152&gt;=KPI_Config!$G$11),KPI_Config!$F$11,0)))))</f>
        <v>0</v>
      </c>
      <c r="L152" s="16">
        <f>IF($A152="","",MIN(Policy_Decisions!$B$10,IF(Policy_Decisions!$B$6="Additive",SUM(E152:K152),SUM(E152:J152)-G152+MAX(G152,K152))))</f>
        <v>0.44999999999999996</v>
      </c>
      <c r="M152" s="16">
        <f>IF($A152="","",Raw_Data!K152)</f>
        <v>0</v>
      </c>
      <c r="N152" s="16">
        <f>IF($A152="","",IFERROR(VLOOKUP(M152,KPI_Config!$I$5:$J$10,2,FALSE()),0))</f>
        <v>0</v>
      </c>
      <c r="O152" s="16">
        <f>IF($A152="","",IF(Policy_Decisions!$B$5="Percentage points",MAX(0,L152-N152),L152*(1-N152)))</f>
        <v>0.44999999999999996</v>
      </c>
      <c r="P152" s="15" t="str">
        <f>IF($A152="","",IF(U152="","Review proration",IF(O152=0,"No payout",IF(N152&gt;0,"Malus applied","Eligible"))))</f>
        <v>Eligible</v>
      </c>
      <c r="Q152" s="15" t="str">
        <f>IF($A152="","",Raw_Data!M152)</f>
        <v>MAD</v>
      </c>
      <c r="R152" s="38">
        <f>IF($A152="","",Raw_Data!N152)</f>
        <v>0</v>
      </c>
      <c r="S152" s="38">
        <f>IF($A152="","",Raw_Data!O152)</f>
        <v>0</v>
      </c>
      <c r="T152" s="38">
        <f>IF($A152="","",IF(Raw_Data!P152&gt;0,Raw_Data!P152,Raw_Data!N152*Raw_Data!O152/IF(Policy_Decisions!$B$7="Annual",12,1)))</f>
        <v>2000</v>
      </c>
      <c r="U152" s="38">
        <f>IF($A152="","",IF(OR(Raw_Data!R152="",Raw_Data!R152&lt;=0),"",MIN(1,MAX(0,Raw_Data!Q152/Raw_Data!R152))))</f>
        <v>1</v>
      </c>
      <c r="V152" s="38">
        <f>IF(OR($A152="",U152=""),"",T152*U152)</f>
        <v>2000</v>
      </c>
      <c r="W152" s="38">
        <f>IF(OR($A152="",V152=""),"",V152*L152)</f>
        <v>899.99999999999989</v>
      </c>
      <c r="X152" s="38">
        <f>IF(OR($A152="",V152=""),"",V152*L152-V152*O152)</f>
        <v>0</v>
      </c>
      <c r="Y152" s="38">
        <f>IF(OR($A152="",V152=""),"",ROUND(V152*O152,IF(Policy_Decisions!$B$11="Whole MAD",0,2)))</f>
        <v>900</v>
      </c>
      <c r="Z152" t="str">
        <f>Raw_Data!T152</f>
        <v>Malak AZERKI</v>
      </c>
      <c r="AA152" t="str">
        <f>Raw_Data!U152</f>
        <v>Anas OUAKKAD</v>
      </c>
    </row>
    <row r="153" spans="1:27" ht="14.25" customHeight="1">
      <c r="A153" s="13">
        <f>IF(Raw_Data!A153="","",Raw_Data!A153)</f>
        <v>203601</v>
      </c>
      <c r="B153" s="13" t="str">
        <f>IF(Raw_Data!B153="","",Raw_Data!B153)</f>
        <v>Belcaid Anas</v>
      </c>
      <c r="C153" s="13" t="str">
        <f>IF(Raw_Data!C153="","",Raw_Data!C153)</f>
        <v>OEM FR</v>
      </c>
      <c r="D153" s="13" t="str">
        <f>IF(Raw_Data!D153="","",Raw_Data!D153)</f>
        <v>2026-07</v>
      </c>
      <c r="E153" s="21">
        <f>IF($A153="","",IF(Raw_Data!E153="",0,IF(KPI_Config!$C$5="L",IF(Raw_Data!E153&lt;=KPI_Config!$E$5,KPI_Config!$D$5,IF(AND(KPI_Config!$F$5&gt;0,Raw_Data!E153&lt;=KPI_Config!$G$5),KPI_Config!$F$5,0)),IF(Raw_Data!E153&gt;=KPI_Config!$E$5,KPI_Config!$D$5,IF(AND(KPI_Config!$F$5&gt;0,Raw_Data!E153&gt;=KPI_Config!$G$5),KPI_Config!$F$5,0)))))</f>
        <v>0.15</v>
      </c>
      <c r="F153" s="21">
        <f>IF($A153="","",IF(Raw_Data!F153="",0,IF(KPI_Config!$C$6="L",IF(Raw_Data!F153&lt;=KPI_Config!$E$6,KPI_Config!$D$6,IF(AND(KPI_Config!$F$6&gt;0,Raw_Data!F153&lt;=KPI_Config!$G$6),KPI_Config!$F$6,0)),IF(Raw_Data!F153&gt;=KPI_Config!$E$6,KPI_Config!$D$6,IF(AND(KPI_Config!$F$6&gt;0,Raw_Data!F153&gt;=KPI_Config!$G$6),KPI_Config!$F$6,0)))))</f>
        <v>0.15</v>
      </c>
      <c r="G153" s="21">
        <f>IF($A153="","",IF(Raw_Data!G153="",0,IF(KPI_Config!$C$7="L",IF(Raw_Data!G153&lt;=KPI_Config!$E$7,KPI_Config!$D$7,IF(AND(KPI_Config!$F$7&gt;0,Raw_Data!G153&lt;=KPI_Config!$G$7),KPI_Config!$F$7,0)),IF(Raw_Data!G153&gt;=KPI_Config!$E$7,KPI_Config!$D$7,IF(AND(KPI_Config!$F$7&gt;0,Raw_Data!G153&gt;=KPI_Config!$G$7),KPI_Config!$F$7,0)))))</f>
        <v>0.2</v>
      </c>
      <c r="H153" s="21">
        <f>IF($A153="","",IF(Raw_Data!H153="",0,IF(KPI_Config!$C$8="L",IF(Raw_Data!H153&lt;=KPI_Config!$E$8,KPI_Config!$D$8,IF(AND(KPI_Config!$F$8&gt;0,Raw_Data!H153&lt;=KPI_Config!$G$8),KPI_Config!$F$8,0)),IF(Raw_Data!H153&gt;=KPI_Config!$E$8,KPI_Config!$D$8,IF(AND(KPI_Config!$F$8&gt;0,Raw_Data!H153&gt;=KPI_Config!$G$8),KPI_Config!$F$8,0)))))</f>
        <v>0</v>
      </c>
      <c r="I153" s="21">
        <f>IF($A153="","",IF(Raw_Data!I153="",0,IF(KPI_Config!$C$9="L",IF(Raw_Data!I153&lt;=KPI_Config!$E$9,KPI_Config!$D$9,IF(AND(KPI_Config!$F$9&gt;0,Raw_Data!I153&lt;=KPI_Config!$G$9),KPI_Config!$F$9,0)),IF(Raw_Data!I153&gt;=KPI_Config!$E$9,KPI_Config!$D$9,IF(AND(KPI_Config!$F$9&gt;0,Raw_Data!I153&gt;=KPI_Config!$G$9),KPI_Config!$F$9,0)))))</f>
        <v>0</v>
      </c>
      <c r="J153" s="21">
        <f>IF($A153="","",IF(Raw_Data!J153="",0,IF(KPI_Config!$C$10="L",IF(Raw_Data!J153&lt;=KPI_Config!$E$10,KPI_Config!$D$10,IF(AND(KPI_Config!$F$10&gt;0,Raw_Data!J153&lt;=KPI_Config!$G$10),KPI_Config!$F$10,0)),IF(Raw_Data!J153&gt;=KPI_Config!$E$10,KPI_Config!$D$10,IF(AND(KPI_Config!$F$10&gt;0,Raw_Data!J153&gt;=KPI_Config!$G$10),KPI_Config!$F$10,0)))))</f>
        <v>0.15</v>
      </c>
      <c r="K153" s="21">
        <f>IF($A153="","",IF(Raw_Data!G153="",0,IF(KPI_Config!$C$11="L",IF(Raw_Data!G153&lt;=KPI_Config!$E$11,KPI_Config!$D$11,IF(AND(KPI_Config!$F$11&gt;0,Raw_Data!G153&lt;=KPI_Config!$G$11),KPI_Config!$F$11,0)),IF(Raw_Data!G153&gt;=KPI_Config!$E$11,KPI_Config!$D$11,IF(AND(KPI_Config!$F$11&gt;0,Raw_Data!G153&gt;=KPI_Config!$G$11),KPI_Config!$F$11,0)))))</f>
        <v>0.3</v>
      </c>
      <c r="L153" s="21">
        <f>IF($A153="","",MIN(Policy_Decisions!$B$10,IF(Policy_Decisions!$B$6="Additive",SUM(E153:K153),SUM(E153:J153)-G153+MAX(G153,K153))))</f>
        <v>0.95</v>
      </c>
      <c r="M153" s="21">
        <f>IF($A153="","",Raw_Data!K153)</f>
        <v>0</v>
      </c>
      <c r="N153" s="21">
        <f>IF($A153="","",IFERROR(VLOOKUP(M153,KPI_Config!$I$5:$J$10,2,FALSE()),0))</f>
        <v>0</v>
      </c>
      <c r="O153" s="21">
        <f>IF($A153="","",IF(Policy_Decisions!$B$5="Percentage points",MAX(0,L153-N153),L153*(1-N153)))</f>
        <v>0.95</v>
      </c>
      <c r="P153" s="13" t="str">
        <f>IF($A153="","",IF(U153="","Review proration",IF(O153=0,"No payout",IF(N153&gt;0,"Malus applied","Eligible"))))</f>
        <v>Eligible</v>
      </c>
      <c r="Q153" s="13" t="str">
        <f>IF($A153="","",Raw_Data!M153)</f>
        <v>MAD</v>
      </c>
      <c r="R153" s="37">
        <f>IF($A153="","",Raw_Data!N153)</f>
        <v>0</v>
      </c>
      <c r="S153" s="37">
        <f>IF($A153="","",Raw_Data!O153)</f>
        <v>0</v>
      </c>
      <c r="T153" s="37">
        <f>IF($A153="","",IF(Raw_Data!P153&gt;0,Raw_Data!P153,Raw_Data!N153*Raw_Data!O153/IF(Policy_Decisions!$B$7="Annual",12,1)))</f>
        <v>2000</v>
      </c>
      <c r="U153" s="37">
        <f>IF($A153="","",IF(OR(Raw_Data!R153="",Raw_Data!R153&lt;=0),"",MIN(1,MAX(0,Raw_Data!Q153/Raw_Data!R153))))</f>
        <v>1</v>
      </c>
      <c r="V153" s="37">
        <f>IF(OR($A153="",U153=""),"",T153*U153)</f>
        <v>2000</v>
      </c>
      <c r="W153" s="37">
        <f>IF(OR($A153="",V153=""),"",V153*L153)</f>
        <v>1900</v>
      </c>
      <c r="X153" s="37">
        <f>IF(OR($A153="",V153=""),"",V153*L153-V153*O153)</f>
        <v>0</v>
      </c>
      <c r="Y153" s="37">
        <f>IF(OR($A153="",V153=""),"",ROUND(V153*O153,IF(Policy_Decisions!$B$11="Whole MAD",0,2)))</f>
        <v>1900</v>
      </c>
      <c r="Z153" t="str">
        <f>Raw_Data!T153</f>
        <v>Malak AZERKI</v>
      </c>
      <c r="AA153" t="str">
        <f>Raw_Data!U153</f>
        <v>Anas OUAKKAD</v>
      </c>
    </row>
    <row r="154" spans="1:27" ht="14.25" customHeight="1">
      <c r="A154" s="15">
        <f>IF(Raw_Data!A154="","",Raw_Data!A154)</f>
        <v>232198</v>
      </c>
      <c r="B154" s="15" t="str">
        <f>IF(Raw_Data!B154="","",Raw_Data!B154)</f>
        <v>Anas Belbahlol</v>
      </c>
      <c r="C154" s="15" t="str">
        <f>IF(Raw_Data!C154="","",Raw_Data!C154)</f>
        <v>RSA FR</v>
      </c>
      <c r="D154" s="15" t="str">
        <f>IF(Raw_Data!D154="","",Raw_Data!D154)</f>
        <v>2026-07</v>
      </c>
      <c r="E154" s="16">
        <f>IF($A154="","",IF(Raw_Data!E154="",0,IF(KPI_Config!$C$5="L",IF(Raw_Data!E154&lt;=KPI_Config!$E$5,KPI_Config!$D$5,IF(AND(KPI_Config!$F$5&gt;0,Raw_Data!E154&lt;=KPI_Config!$G$5),KPI_Config!$F$5,0)),IF(Raw_Data!E154&gt;=KPI_Config!$E$5,KPI_Config!$D$5,IF(AND(KPI_Config!$F$5&gt;0,Raw_Data!E154&gt;=KPI_Config!$G$5),KPI_Config!$F$5,0)))))</f>
        <v>0</v>
      </c>
      <c r="F154" s="16">
        <f>IF($A154="","",IF(Raw_Data!F154="",0,IF(KPI_Config!$C$6="L",IF(Raw_Data!F154&lt;=KPI_Config!$E$6,KPI_Config!$D$6,IF(AND(KPI_Config!$F$6&gt;0,Raw_Data!F154&lt;=KPI_Config!$G$6),KPI_Config!$F$6,0)),IF(Raw_Data!F154&gt;=KPI_Config!$E$6,KPI_Config!$D$6,IF(AND(KPI_Config!$F$6&gt;0,Raw_Data!F154&gt;=KPI_Config!$G$6),KPI_Config!$F$6,0)))))</f>
        <v>0</v>
      </c>
      <c r="G154" s="16">
        <f>IF($A154="","",IF(Raw_Data!G154="",0,IF(KPI_Config!$C$7="L",IF(Raw_Data!G154&lt;=KPI_Config!$E$7,KPI_Config!$D$7,IF(AND(KPI_Config!$F$7&gt;0,Raw_Data!G154&lt;=KPI_Config!$G$7),KPI_Config!$F$7,0)),IF(Raw_Data!G154&gt;=KPI_Config!$E$7,KPI_Config!$D$7,IF(AND(KPI_Config!$F$7&gt;0,Raw_Data!G154&gt;=KPI_Config!$G$7),KPI_Config!$F$7,0)))))</f>
        <v>0.15</v>
      </c>
      <c r="H154" s="16">
        <f>IF($A154="","",IF(Raw_Data!H154="",0,IF(KPI_Config!$C$8="L",IF(Raw_Data!H154&lt;=KPI_Config!$E$8,KPI_Config!$D$8,IF(AND(KPI_Config!$F$8&gt;0,Raw_Data!H154&lt;=KPI_Config!$G$8),KPI_Config!$F$8,0)),IF(Raw_Data!H154&gt;=KPI_Config!$E$8,KPI_Config!$D$8,IF(AND(KPI_Config!$F$8&gt;0,Raw_Data!H154&gt;=KPI_Config!$G$8),KPI_Config!$F$8,0)))))</f>
        <v>0</v>
      </c>
      <c r="I154" s="16">
        <f>IF($A154="","",IF(Raw_Data!I154="",0,IF(KPI_Config!$C$9="L",IF(Raw_Data!I154&lt;=KPI_Config!$E$9,KPI_Config!$D$9,IF(AND(KPI_Config!$F$9&gt;0,Raw_Data!I154&lt;=KPI_Config!$G$9),KPI_Config!$F$9,0)),IF(Raw_Data!I154&gt;=KPI_Config!$E$9,KPI_Config!$D$9,IF(AND(KPI_Config!$F$9&gt;0,Raw_Data!I154&gt;=KPI_Config!$G$9),KPI_Config!$F$9,0)))))</f>
        <v>0.15</v>
      </c>
      <c r="J154" s="16">
        <f>IF($A154="","",IF(Raw_Data!J154="",0,IF(KPI_Config!$C$10="L",IF(Raw_Data!J154&lt;=KPI_Config!$E$10,KPI_Config!$D$10,IF(AND(KPI_Config!$F$10&gt;0,Raw_Data!J154&lt;=KPI_Config!$G$10),KPI_Config!$F$10,0)),IF(Raw_Data!J154&gt;=KPI_Config!$E$10,KPI_Config!$D$10,IF(AND(KPI_Config!$F$10&gt;0,Raw_Data!J154&gt;=KPI_Config!$G$10),KPI_Config!$F$10,0)))))</f>
        <v>0.15</v>
      </c>
      <c r="K154" s="16">
        <f>IF($A154="","",IF(Raw_Data!G154="",0,IF(KPI_Config!$C$11="L",IF(Raw_Data!G154&lt;=KPI_Config!$E$11,KPI_Config!$D$11,IF(AND(KPI_Config!$F$11&gt;0,Raw_Data!G154&lt;=KPI_Config!$G$11),KPI_Config!$F$11,0)),IF(Raw_Data!G154&gt;=KPI_Config!$E$11,KPI_Config!$D$11,IF(AND(KPI_Config!$F$11&gt;0,Raw_Data!G154&gt;=KPI_Config!$G$11),KPI_Config!$F$11,0)))))</f>
        <v>0</v>
      </c>
      <c r="L154" s="16">
        <f>IF($A154="","",MIN(Policy_Decisions!$B$10,IF(Policy_Decisions!$B$6="Additive",SUM(E154:K154),SUM(E154:J154)-G154+MAX(G154,K154))))</f>
        <v>0.44999999999999996</v>
      </c>
      <c r="M154" s="16">
        <f>IF($A154="","",Raw_Data!K154)</f>
        <v>0</v>
      </c>
      <c r="N154" s="16">
        <f>IF($A154="","",IFERROR(VLOOKUP(M154,KPI_Config!$I$5:$J$10,2,FALSE()),0))</f>
        <v>0</v>
      </c>
      <c r="O154" s="16">
        <f>IF($A154="","",IF(Policy_Decisions!$B$5="Percentage points",MAX(0,L154-N154),L154*(1-N154)))</f>
        <v>0.44999999999999996</v>
      </c>
      <c r="P154" s="15" t="str">
        <f>IF($A154="","",IF(U154="","Review proration",IF(O154=0,"No payout",IF(N154&gt;0,"Malus applied","Eligible"))))</f>
        <v>Eligible</v>
      </c>
      <c r="Q154" s="15" t="str">
        <f>IF($A154="","",Raw_Data!M154)</f>
        <v>MAD</v>
      </c>
      <c r="R154" s="38">
        <f>IF($A154="","",Raw_Data!N154)</f>
        <v>0</v>
      </c>
      <c r="S154" s="38">
        <f>IF($A154="","",Raw_Data!O154)</f>
        <v>0</v>
      </c>
      <c r="T154" s="38">
        <f>IF($A154="","",IF(Raw_Data!P154&gt;0,Raw_Data!P154,Raw_Data!N154*Raw_Data!O154/IF(Policy_Decisions!$B$7="Annual",12,1)))</f>
        <v>2000</v>
      </c>
      <c r="U154" s="38">
        <f>IF($A154="","",IF(OR(Raw_Data!R154="",Raw_Data!R154&lt;=0),"",MIN(1,MAX(0,Raw_Data!Q154/Raw_Data!R154))))</f>
        <v>1</v>
      </c>
      <c r="V154" s="38">
        <f>IF(OR($A154="",U154=""),"",T154*U154)</f>
        <v>2000</v>
      </c>
      <c r="W154" s="38">
        <f>IF(OR($A154="",V154=""),"",V154*L154)</f>
        <v>899.99999999999989</v>
      </c>
      <c r="X154" s="38">
        <f>IF(OR($A154="",V154=""),"",V154*L154-V154*O154)</f>
        <v>0</v>
      </c>
      <c r="Y154" s="38">
        <f>IF(OR($A154="",V154=""),"",ROUND(V154*O154,IF(Policy_Decisions!$B$11="Whole MAD",0,2)))</f>
        <v>900</v>
      </c>
      <c r="Z154" t="str">
        <f>Raw_Data!T154</f>
        <v>Mohamed-Amine SADKI</v>
      </c>
      <c r="AA154" t="str">
        <f>Raw_Data!U154</f>
        <v>Anas OUAKKAD</v>
      </c>
    </row>
    <row r="155" spans="1:27" ht="14.25" customHeight="1">
      <c r="A155" s="13">
        <f>IF(Raw_Data!A155="","",Raw_Data!A155)</f>
        <v>199554</v>
      </c>
      <c r="B155" s="13" t="str">
        <f>IF(Raw_Data!B155="","",Raw_Data!B155)</f>
        <v>Ez-Zouaghi Amira</v>
      </c>
      <c r="C155" s="13" t="str">
        <f>IF(Raw_Data!C155="","",Raw_Data!C155)</f>
        <v>RSA FR</v>
      </c>
      <c r="D155" s="13" t="str">
        <f>IF(Raw_Data!D155="","",Raw_Data!D155)</f>
        <v>2026-07</v>
      </c>
      <c r="E155" s="21">
        <f>IF($A155="","",IF(Raw_Data!E155="",0,IF(KPI_Config!$C$5="L",IF(Raw_Data!E155&lt;=KPI_Config!$E$5,KPI_Config!$D$5,IF(AND(KPI_Config!$F$5&gt;0,Raw_Data!E155&lt;=KPI_Config!$G$5),KPI_Config!$F$5,0)),IF(Raw_Data!E155&gt;=KPI_Config!$E$5,KPI_Config!$D$5,IF(AND(KPI_Config!$F$5&gt;0,Raw_Data!E155&gt;=KPI_Config!$G$5),KPI_Config!$F$5,0)))))</f>
        <v>0.15</v>
      </c>
      <c r="F155" s="21">
        <f>IF($A155="","",IF(Raw_Data!F155="",0,IF(KPI_Config!$C$6="L",IF(Raw_Data!F155&lt;=KPI_Config!$E$6,KPI_Config!$D$6,IF(AND(KPI_Config!$F$6&gt;0,Raw_Data!F155&lt;=KPI_Config!$G$6),KPI_Config!$F$6,0)),IF(Raw_Data!F155&gt;=KPI_Config!$E$6,KPI_Config!$D$6,IF(AND(KPI_Config!$F$6&gt;0,Raw_Data!F155&gt;=KPI_Config!$G$6),KPI_Config!$F$6,0)))))</f>
        <v>0.15</v>
      </c>
      <c r="G155" s="21">
        <f>IF($A155="","",IF(Raw_Data!G155="",0,IF(KPI_Config!$C$7="L",IF(Raw_Data!G155&lt;=KPI_Config!$E$7,KPI_Config!$D$7,IF(AND(KPI_Config!$F$7&gt;0,Raw_Data!G155&lt;=KPI_Config!$G$7),KPI_Config!$F$7,0)),IF(Raw_Data!G155&gt;=KPI_Config!$E$7,KPI_Config!$D$7,IF(AND(KPI_Config!$F$7&gt;0,Raw_Data!G155&gt;=KPI_Config!$G$7),KPI_Config!$F$7,0)))))</f>
        <v>0</v>
      </c>
      <c r="H155" s="21">
        <f>IF($A155="","",IF(Raw_Data!H155="",0,IF(KPI_Config!$C$8="L",IF(Raw_Data!H155&lt;=KPI_Config!$E$8,KPI_Config!$D$8,IF(AND(KPI_Config!$F$8&gt;0,Raw_Data!H155&lt;=KPI_Config!$G$8),KPI_Config!$F$8,0)),IF(Raw_Data!H155&gt;=KPI_Config!$E$8,KPI_Config!$D$8,IF(AND(KPI_Config!$F$8&gt;0,Raw_Data!H155&gt;=KPI_Config!$G$8),KPI_Config!$F$8,0)))))</f>
        <v>0</v>
      </c>
      <c r="I155" s="21">
        <f>IF($A155="","",IF(Raw_Data!I155="",0,IF(KPI_Config!$C$9="L",IF(Raw_Data!I155&lt;=KPI_Config!$E$9,KPI_Config!$D$9,IF(AND(KPI_Config!$F$9&gt;0,Raw_Data!I155&lt;=KPI_Config!$G$9),KPI_Config!$F$9,0)),IF(Raw_Data!I155&gt;=KPI_Config!$E$9,KPI_Config!$D$9,IF(AND(KPI_Config!$F$9&gt;0,Raw_Data!I155&gt;=KPI_Config!$G$9),KPI_Config!$F$9,0)))))</f>
        <v>0.15</v>
      </c>
      <c r="J155" s="21">
        <f>IF($A155="","",IF(Raw_Data!J155="",0,IF(KPI_Config!$C$10="L",IF(Raw_Data!J155&lt;=KPI_Config!$E$10,KPI_Config!$D$10,IF(AND(KPI_Config!$F$10&gt;0,Raw_Data!J155&lt;=KPI_Config!$G$10),KPI_Config!$F$10,0)),IF(Raw_Data!J155&gt;=KPI_Config!$E$10,KPI_Config!$D$10,IF(AND(KPI_Config!$F$10&gt;0,Raw_Data!J155&gt;=KPI_Config!$G$10),KPI_Config!$F$10,0)))))</f>
        <v>0.15</v>
      </c>
      <c r="K155" s="21">
        <f>IF($A155="","",IF(Raw_Data!G155="",0,IF(KPI_Config!$C$11="L",IF(Raw_Data!G155&lt;=KPI_Config!$E$11,KPI_Config!$D$11,IF(AND(KPI_Config!$F$11&gt;0,Raw_Data!G155&lt;=KPI_Config!$G$11),KPI_Config!$F$11,0)),IF(Raw_Data!G155&gt;=KPI_Config!$E$11,KPI_Config!$D$11,IF(AND(KPI_Config!$F$11&gt;0,Raw_Data!G155&gt;=KPI_Config!$G$11),KPI_Config!$F$11,0)))))</f>
        <v>0</v>
      </c>
      <c r="L155" s="21">
        <f>IF($A155="","",MIN(Policy_Decisions!$B$10,IF(Policy_Decisions!$B$6="Additive",SUM(E155:K155),SUM(E155:J155)-G155+MAX(G155,K155))))</f>
        <v>0.6</v>
      </c>
      <c r="M155" s="21">
        <f>IF($A155="","",Raw_Data!K155)</f>
        <v>0</v>
      </c>
      <c r="N155" s="21">
        <f>IF($A155="","",IFERROR(VLOOKUP(M155,KPI_Config!$I$5:$J$10,2,FALSE()),0))</f>
        <v>0</v>
      </c>
      <c r="O155" s="21">
        <f>IF($A155="","",IF(Policy_Decisions!$B$5="Percentage points",MAX(0,L155-N155),L155*(1-N155)))</f>
        <v>0.6</v>
      </c>
      <c r="P155" s="13" t="str">
        <f>IF($A155="","",IF(U155="","Review proration",IF(O155=0,"No payout",IF(N155&gt;0,"Malus applied","Eligible"))))</f>
        <v>Eligible</v>
      </c>
      <c r="Q155" s="13" t="str">
        <f>IF($A155="","",Raw_Data!M155)</f>
        <v>MAD</v>
      </c>
      <c r="R155" s="37">
        <f>IF($A155="","",Raw_Data!N155)</f>
        <v>0</v>
      </c>
      <c r="S155" s="37">
        <f>IF($A155="","",Raw_Data!O155)</f>
        <v>0</v>
      </c>
      <c r="T155" s="37">
        <f>IF($A155="","",IF(Raw_Data!P155&gt;0,Raw_Data!P155,Raw_Data!N155*Raw_Data!O155/IF(Policy_Decisions!$B$7="Annual",12,1)))</f>
        <v>2000</v>
      </c>
      <c r="U155" s="37">
        <f>IF($A155="","",IF(OR(Raw_Data!R155="",Raw_Data!R155&lt;=0),"",MIN(1,MAX(0,Raw_Data!Q155/Raw_Data!R155))))</f>
        <v>1</v>
      </c>
      <c r="V155" s="37">
        <f>IF(OR($A155="",U155=""),"",T155*U155)</f>
        <v>2000</v>
      </c>
      <c r="W155" s="37">
        <f>IF(OR($A155="",V155=""),"",V155*L155)</f>
        <v>1200</v>
      </c>
      <c r="X155" s="37">
        <f>IF(OR($A155="",V155=""),"",V155*L155-V155*O155)</f>
        <v>0</v>
      </c>
      <c r="Y155" s="37">
        <f>IF(OR($A155="",V155=""),"",ROUND(V155*O155,IF(Policy_Decisions!$B$11="Whole MAD",0,2)))</f>
        <v>1200</v>
      </c>
      <c r="Z155" t="str">
        <f>Raw_Data!T155</f>
        <v>Mohamed-Amine SADKI</v>
      </c>
      <c r="AA155" t="str">
        <f>Raw_Data!U155</f>
        <v>Anas OUAKKAD</v>
      </c>
    </row>
    <row r="156" spans="1:27" ht="14.25" customHeight="1">
      <c r="A156" s="15">
        <f>IF(Raw_Data!A156="","",Raw_Data!A156)</f>
        <v>203630</v>
      </c>
      <c r="B156" s="15" t="str">
        <f>IF(Raw_Data!B156="","",Raw_Data!B156)</f>
        <v>Wajid Amine</v>
      </c>
      <c r="C156" s="15" t="str">
        <f>IF(Raw_Data!C156="","",Raw_Data!C156)</f>
        <v>OEM FR</v>
      </c>
      <c r="D156" s="15" t="str">
        <f>IF(Raw_Data!D156="","",Raw_Data!D156)</f>
        <v>2026-07</v>
      </c>
      <c r="E156" s="16">
        <f>IF($A156="","",IF(Raw_Data!E156="",0,IF(KPI_Config!$C$5="L",IF(Raw_Data!E156&lt;=KPI_Config!$E$5,KPI_Config!$D$5,IF(AND(KPI_Config!$F$5&gt;0,Raw_Data!E156&lt;=KPI_Config!$G$5),KPI_Config!$F$5,0)),IF(Raw_Data!E156&gt;=KPI_Config!$E$5,KPI_Config!$D$5,IF(AND(KPI_Config!$F$5&gt;0,Raw_Data!E156&gt;=KPI_Config!$G$5),KPI_Config!$F$5,0)))))</f>
        <v>0.15</v>
      </c>
      <c r="F156" s="16">
        <f>IF($A156="","",IF(Raw_Data!F156="",0,IF(KPI_Config!$C$6="L",IF(Raw_Data!F156&lt;=KPI_Config!$E$6,KPI_Config!$D$6,IF(AND(KPI_Config!$F$6&gt;0,Raw_Data!F156&lt;=KPI_Config!$G$6),KPI_Config!$F$6,0)),IF(Raw_Data!F156&gt;=KPI_Config!$E$6,KPI_Config!$D$6,IF(AND(KPI_Config!$F$6&gt;0,Raw_Data!F156&gt;=KPI_Config!$G$6),KPI_Config!$F$6,0)))))</f>
        <v>0.15</v>
      </c>
      <c r="G156" s="16">
        <f>IF($A156="","",IF(Raw_Data!G156="",0,IF(KPI_Config!$C$7="L",IF(Raw_Data!G156&lt;=KPI_Config!$E$7,KPI_Config!$D$7,IF(AND(KPI_Config!$F$7&gt;0,Raw_Data!G156&lt;=KPI_Config!$G$7),KPI_Config!$F$7,0)),IF(Raw_Data!G156&gt;=KPI_Config!$E$7,KPI_Config!$D$7,IF(AND(KPI_Config!$F$7&gt;0,Raw_Data!G156&gt;=KPI_Config!$G$7),KPI_Config!$F$7,0)))))</f>
        <v>0.2</v>
      </c>
      <c r="H156" s="16">
        <f>IF($A156="","",IF(Raw_Data!H156="",0,IF(KPI_Config!$C$8="L",IF(Raw_Data!H156&lt;=KPI_Config!$E$8,KPI_Config!$D$8,IF(AND(KPI_Config!$F$8&gt;0,Raw_Data!H156&lt;=KPI_Config!$G$8),KPI_Config!$F$8,0)),IF(Raw_Data!H156&gt;=KPI_Config!$E$8,KPI_Config!$D$8,IF(AND(KPI_Config!$F$8&gt;0,Raw_Data!H156&gt;=KPI_Config!$G$8),KPI_Config!$F$8,0)))))</f>
        <v>0</v>
      </c>
      <c r="I156" s="16">
        <f>IF($A156="","",IF(Raw_Data!I156="",0,IF(KPI_Config!$C$9="L",IF(Raw_Data!I156&lt;=KPI_Config!$E$9,KPI_Config!$D$9,IF(AND(KPI_Config!$F$9&gt;0,Raw_Data!I156&lt;=KPI_Config!$G$9),KPI_Config!$F$9,0)),IF(Raw_Data!I156&gt;=KPI_Config!$E$9,KPI_Config!$D$9,IF(AND(KPI_Config!$F$9&gt;0,Raw_Data!I156&gt;=KPI_Config!$G$9),KPI_Config!$F$9,0)))))</f>
        <v>0</v>
      </c>
      <c r="J156" s="16">
        <f>IF($A156="","",IF(Raw_Data!J156="",0,IF(KPI_Config!$C$10="L",IF(Raw_Data!J156&lt;=KPI_Config!$E$10,KPI_Config!$D$10,IF(AND(KPI_Config!$F$10&gt;0,Raw_Data!J156&lt;=KPI_Config!$G$10),KPI_Config!$F$10,0)),IF(Raw_Data!J156&gt;=KPI_Config!$E$10,KPI_Config!$D$10,IF(AND(KPI_Config!$F$10&gt;0,Raw_Data!J156&gt;=KPI_Config!$G$10),KPI_Config!$F$10,0)))))</f>
        <v>0.15</v>
      </c>
      <c r="K156" s="16">
        <f>IF($A156="","",IF(Raw_Data!G156="",0,IF(KPI_Config!$C$11="L",IF(Raw_Data!G156&lt;=KPI_Config!$E$11,KPI_Config!$D$11,IF(AND(KPI_Config!$F$11&gt;0,Raw_Data!G156&lt;=KPI_Config!$G$11),KPI_Config!$F$11,0)),IF(Raw_Data!G156&gt;=KPI_Config!$E$11,KPI_Config!$D$11,IF(AND(KPI_Config!$F$11&gt;0,Raw_Data!G156&gt;=KPI_Config!$G$11),KPI_Config!$F$11,0)))))</f>
        <v>0.3</v>
      </c>
      <c r="L156" s="16">
        <f>IF($A156="","",MIN(Policy_Decisions!$B$10,IF(Policy_Decisions!$B$6="Additive",SUM(E156:K156),SUM(E156:J156)-G156+MAX(G156,K156))))</f>
        <v>0.95</v>
      </c>
      <c r="M156" s="16">
        <f>IF($A156="","",Raw_Data!K156)</f>
        <v>0</v>
      </c>
      <c r="N156" s="16">
        <f>IF($A156="","",IFERROR(VLOOKUP(M156,KPI_Config!$I$5:$J$10,2,FALSE()),0))</f>
        <v>0</v>
      </c>
      <c r="O156" s="16">
        <f>IF($A156="","",IF(Policy_Decisions!$B$5="Percentage points",MAX(0,L156-N156),L156*(1-N156)))</f>
        <v>0.95</v>
      </c>
      <c r="P156" s="15" t="str">
        <f>IF($A156="","",IF(U156="","Review proration",IF(O156=0,"No payout",IF(N156&gt;0,"Malus applied","Eligible"))))</f>
        <v>Eligible</v>
      </c>
      <c r="Q156" s="15" t="str">
        <f>IF($A156="","",Raw_Data!M156)</f>
        <v>MAD</v>
      </c>
      <c r="R156" s="38">
        <f>IF($A156="","",Raw_Data!N156)</f>
        <v>0</v>
      </c>
      <c r="S156" s="38">
        <f>IF($A156="","",Raw_Data!O156)</f>
        <v>0</v>
      </c>
      <c r="T156" s="38">
        <f>IF($A156="","",IF(Raw_Data!P156&gt;0,Raw_Data!P156,Raw_Data!N156*Raw_Data!O156/IF(Policy_Decisions!$B$7="Annual",12,1)))</f>
        <v>2000</v>
      </c>
      <c r="U156" s="38">
        <f>IF($A156="","",IF(OR(Raw_Data!R156="",Raw_Data!R156&lt;=0),"",MIN(1,MAX(0,Raw_Data!Q156/Raw_Data!R156))))</f>
        <v>1</v>
      </c>
      <c r="V156" s="38">
        <f>IF(OR($A156="",U156=""),"",T156*U156)</f>
        <v>2000</v>
      </c>
      <c r="W156" s="38">
        <f>IF(OR($A156="",V156=""),"",V156*L156)</f>
        <v>1900</v>
      </c>
      <c r="X156" s="38">
        <f>IF(OR($A156="",V156=""),"",V156*L156-V156*O156)</f>
        <v>0</v>
      </c>
      <c r="Y156" s="38">
        <f>IF(OR($A156="",V156=""),"",ROUND(V156*O156,IF(Policy_Decisions!$B$11="Whole MAD",0,2)))</f>
        <v>1900</v>
      </c>
      <c r="Z156" t="str">
        <f>Raw_Data!T156</f>
        <v>Kenza EL MOUMNI</v>
      </c>
      <c r="AA156" t="str">
        <f>Raw_Data!U156</f>
        <v>Anas OUAKKAD</v>
      </c>
    </row>
    <row r="157" spans="1:27" ht="14.25" customHeight="1">
      <c r="A157" s="13">
        <f>IF(Raw_Data!A157="","",Raw_Data!A157)</f>
        <v>228204</v>
      </c>
      <c r="B157" s="13" t="str">
        <f>IF(Raw_Data!B157="","",Raw_Data!B157)</f>
        <v>Amine HAMDAOUI</v>
      </c>
      <c r="C157" s="13" t="str">
        <f>IF(Raw_Data!C157="","",Raw_Data!C157)</f>
        <v>OEM FR</v>
      </c>
      <c r="D157" s="13" t="str">
        <f>IF(Raw_Data!D157="","",Raw_Data!D157)</f>
        <v>2026-07</v>
      </c>
      <c r="E157" s="21">
        <f>IF($A157="","",IF(Raw_Data!E157="",0,IF(KPI_Config!$C$5="L",IF(Raw_Data!E157&lt;=KPI_Config!$E$5,KPI_Config!$D$5,IF(AND(KPI_Config!$F$5&gt;0,Raw_Data!E157&lt;=KPI_Config!$G$5),KPI_Config!$F$5,0)),IF(Raw_Data!E157&gt;=KPI_Config!$E$5,KPI_Config!$D$5,IF(AND(KPI_Config!$F$5&gt;0,Raw_Data!E157&gt;=KPI_Config!$G$5),KPI_Config!$F$5,0)))))</f>
        <v>0</v>
      </c>
      <c r="F157" s="21">
        <f>IF($A157="","",IF(Raw_Data!F157="",0,IF(KPI_Config!$C$6="L",IF(Raw_Data!F157&lt;=KPI_Config!$E$6,KPI_Config!$D$6,IF(AND(KPI_Config!$F$6&gt;0,Raw_Data!F157&lt;=KPI_Config!$G$6),KPI_Config!$F$6,0)),IF(Raw_Data!F157&gt;=KPI_Config!$E$6,KPI_Config!$D$6,IF(AND(KPI_Config!$F$6&gt;0,Raw_Data!F157&gt;=KPI_Config!$G$6),KPI_Config!$F$6,0)))))</f>
        <v>0</v>
      </c>
      <c r="G157" s="21">
        <f>IF($A157="","",IF(Raw_Data!G157="",0,IF(KPI_Config!$C$7="L",IF(Raw_Data!G157&lt;=KPI_Config!$E$7,KPI_Config!$D$7,IF(AND(KPI_Config!$F$7&gt;0,Raw_Data!G157&lt;=KPI_Config!$G$7),KPI_Config!$F$7,0)),IF(Raw_Data!G157&gt;=KPI_Config!$E$7,KPI_Config!$D$7,IF(AND(KPI_Config!$F$7&gt;0,Raw_Data!G157&gt;=KPI_Config!$G$7),KPI_Config!$F$7,0)))))</f>
        <v>0.2</v>
      </c>
      <c r="H157" s="21">
        <f>IF($A157="","",IF(Raw_Data!H157="",0,IF(KPI_Config!$C$8="L",IF(Raw_Data!H157&lt;=KPI_Config!$E$8,KPI_Config!$D$8,IF(AND(KPI_Config!$F$8&gt;0,Raw_Data!H157&lt;=KPI_Config!$G$8),KPI_Config!$F$8,0)),IF(Raw_Data!H157&gt;=KPI_Config!$E$8,KPI_Config!$D$8,IF(AND(KPI_Config!$F$8&gt;0,Raw_Data!H157&gt;=KPI_Config!$G$8),KPI_Config!$F$8,0)))))</f>
        <v>0</v>
      </c>
      <c r="I157" s="21">
        <f>IF($A157="","",IF(Raw_Data!I157="",0,IF(KPI_Config!$C$9="L",IF(Raw_Data!I157&lt;=KPI_Config!$E$9,KPI_Config!$D$9,IF(AND(KPI_Config!$F$9&gt;0,Raw_Data!I157&lt;=KPI_Config!$G$9),KPI_Config!$F$9,0)),IF(Raw_Data!I157&gt;=KPI_Config!$E$9,KPI_Config!$D$9,IF(AND(KPI_Config!$F$9&gt;0,Raw_Data!I157&gt;=KPI_Config!$G$9),KPI_Config!$F$9,0)))))</f>
        <v>0</v>
      </c>
      <c r="J157" s="21">
        <f>IF($A157="","",IF(Raw_Data!J157="",0,IF(KPI_Config!$C$10="L",IF(Raw_Data!J157&lt;=KPI_Config!$E$10,KPI_Config!$D$10,IF(AND(KPI_Config!$F$10&gt;0,Raw_Data!J157&lt;=KPI_Config!$G$10),KPI_Config!$F$10,0)),IF(Raw_Data!J157&gt;=KPI_Config!$E$10,KPI_Config!$D$10,IF(AND(KPI_Config!$F$10&gt;0,Raw_Data!J157&gt;=KPI_Config!$G$10),KPI_Config!$F$10,0)))))</f>
        <v>0.15</v>
      </c>
      <c r="K157" s="21">
        <f>IF($A157="","",IF(Raw_Data!G157="",0,IF(KPI_Config!$C$11="L",IF(Raw_Data!G157&lt;=KPI_Config!$E$11,KPI_Config!$D$11,IF(AND(KPI_Config!$F$11&gt;0,Raw_Data!G157&lt;=KPI_Config!$G$11),KPI_Config!$F$11,0)),IF(Raw_Data!G157&gt;=KPI_Config!$E$11,KPI_Config!$D$11,IF(AND(KPI_Config!$F$11&gt;0,Raw_Data!G157&gt;=KPI_Config!$G$11),KPI_Config!$F$11,0)))))</f>
        <v>0.3</v>
      </c>
      <c r="L157" s="21">
        <f>IF($A157="","",MIN(Policy_Decisions!$B$10,IF(Policy_Decisions!$B$6="Additive",SUM(E157:K157),SUM(E157:J157)-G157+MAX(G157,K157))))</f>
        <v>0.64999999999999991</v>
      </c>
      <c r="M157" s="21">
        <f>IF($A157="","",Raw_Data!K157)</f>
        <v>0</v>
      </c>
      <c r="N157" s="21">
        <f>IF($A157="","",IFERROR(VLOOKUP(M157,KPI_Config!$I$5:$J$10,2,FALSE()),0))</f>
        <v>0</v>
      </c>
      <c r="O157" s="21">
        <f>IF($A157="","",IF(Policy_Decisions!$B$5="Percentage points",MAX(0,L157-N157),L157*(1-N157)))</f>
        <v>0.64999999999999991</v>
      </c>
      <c r="P157" s="13" t="str">
        <f>IF($A157="","",IF(U157="","Review proration",IF(O157=0,"No payout",IF(N157&gt;0,"Malus applied","Eligible"))))</f>
        <v>Eligible</v>
      </c>
      <c r="Q157" s="13" t="str">
        <f>IF($A157="","",Raw_Data!M157)</f>
        <v>MAD</v>
      </c>
      <c r="R157" s="37">
        <f>IF($A157="","",Raw_Data!N157)</f>
        <v>0</v>
      </c>
      <c r="S157" s="37">
        <f>IF($A157="","",Raw_Data!O157)</f>
        <v>0</v>
      </c>
      <c r="T157" s="37">
        <f>IF($A157="","",IF(Raw_Data!P157&gt;0,Raw_Data!P157,Raw_Data!N157*Raw_Data!O157/IF(Policy_Decisions!$B$7="Annual",12,1)))</f>
        <v>2000</v>
      </c>
      <c r="U157" s="37">
        <f>IF($A157="","",IF(OR(Raw_Data!R157="",Raw_Data!R157&lt;=0),"",MIN(1,MAX(0,Raw_Data!Q157/Raw_Data!R157))))</f>
        <v>1</v>
      </c>
      <c r="V157" s="37">
        <f>IF(OR($A157="",U157=""),"",T157*U157)</f>
        <v>2000</v>
      </c>
      <c r="W157" s="37">
        <f>IF(OR($A157="",V157=""),"",V157*L157)</f>
        <v>1299.9999999999998</v>
      </c>
      <c r="X157" s="37">
        <f>IF(OR($A157="",V157=""),"",V157*L157-V157*O157)</f>
        <v>0</v>
      </c>
      <c r="Y157" s="37">
        <f>IF(OR($A157="",V157=""),"",ROUND(V157*O157,IF(Policy_Decisions!$B$11="Whole MAD",0,2)))</f>
        <v>1300</v>
      </c>
      <c r="Z157" t="str">
        <f>Raw_Data!T157</f>
        <v>Kenza EL MOUMNI</v>
      </c>
      <c r="AA157" t="str">
        <f>Raw_Data!U157</f>
        <v>Anas OUAKKAD</v>
      </c>
    </row>
    <row r="158" spans="1:27" ht="14.25" customHeight="1">
      <c r="A158" s="15">
        <f>IF(Raw_Data!A158="","",Raw_Data!A158)</f>
        <v>207050</v>
      </c>
      <c r="B158" s="15" t="str">
        <f>IF(Raw_Data!B158="","",Raw_Data!B158)</f>
        <v>Cissokho Alioune</v>
      </c>
      <c r="C158" s="15" t="str">
        <f>IF(Raw_Data!C158="","",Raw_Data!C158)</f>
        <v>OEM FR</v>
      </c>
      <c r="D158" s="15" t="str">
        <f>IF(Raw_Data!D158="","",Raw_Data!D158)</f>
        <v>2026-07</v>
      </c>
      <c r="E158" s="16">
        <f>IF($A158="","",IF(Raw_Data!E158="",0,IF(KPI_Config!$C$5="L",IF(Raw_Data!E158&lt;=KPI_Config!$E$5,KPI_Config!$D$5,IF(AND(KPI_Config!$F$5&gt;0,Raw_Data!E158&lt;=KPI_Config!$G$5),KPI_Config!$F$5,0)),IF(Raw_Data!E158&gt;=KPI_Config!$E$5,KPI_Config!$D$5,IF(AND(KPI_Config!$F$5&gt;0,Raw_Data!E158&gt;=KPI_Config!$G$5),KPI_Config!$F$5,0)))))</f>
        <v>0</v>
      </c>
      <c r="F158" s="16">
        <f>IF($A158="","",IF(Raw_Data!F158="",0,IF(KPI_Config!$C$6="L",IF(Raw_Data!F158&lt;=KPI_Config!$E$6,KPI_Config!$D$6,IF(AND(KPI_Config!$F$6&gt;0,Raw_Data!F158&lt;=KPI_Config!$G$6),KPI_Config!$F$6,0)),IF(Raw_Data!F158&gt;=KPI_Config!$E$6,KPI_Config!$D$6,IF(AND(KPI_Config!$F$6&gt;0,Raw_Data!F158&gt;=KPI_Config!$G$6),KPI_Config!$F$6,0)))))</f>
        <v>0</v>
      </c>
      <c r="G158" s="16">
        <f>IF($A158="","",IF(Raw_Data!G158="",0,IF(KPI_Config!$C$7="L",IF(Raw_Data!G158&lt;=KPI_Config!$E$7,KPI_Config!$D$7,IF(AND(KPI_Config!$F$7&gt;0,Raw_Data!G158&lt;=KPI_Config!$G$7),KPI_Config!$F$7,0)),IF(Raw_Data!G158&gt;=KPI_Config!$E$7,KPI_Config!$D$7,IF(AND(KPI_Config!$F$7&gt;0,Raw_Data!G158&gt;=KPI_Config!$G$7),KPI_Config!$F$7,0)))))</f>
        <v>0.2</v>
      </c>
      <c r="H158" s="16">
        <f>IF($A158="","",IF(Raw_Data!H158="",0,IF(KPI_Config!$C$8="L",IF(Raw_Data!H158&lt;=KPI_Config!$E$8,KPI_Config!$D$8,IF(AND(KPI_Config!$F$8&gt;0,Raw_Data!H158&lt;=KPI_Config!$G$8),KPI_Config!$F$8,0)),IF(Raw_Data!H158&gt;=KPI_Config!$E$8,KPI_Config!$D$8,IF(AND(KPI_Config!$F$8&gt;0,Raw_Data!H158&gt;=KPI_Config!$G$8),KPI_Config!$F$8,0)))))</f>
        <v>0</v>
      </c>
      <c r="I158" s="16">
        <f>IF($A158="","",IF(Raw_Data!I158="",0,IF(KPI_Config!$C$9="L",IF(Raw_Data!I158&lt;=KPI_Config!$E$9,KPI_Config!$D$9,IF(AND(KPI_Config!$F$9&gt;0,Raw_Data!I158&lt;=KPI_Config!$G$9),KPI_Config!$F$9,0)),IF(Raw_Data!I158&gt;=KPI_Config!$E$9,KPI_Config!$D$9,IF(AND(KPI_Config!$F$9&gt;0,Raw_Data!I158&gt;=KPI_Config!$G$9),KPI_Config!$F$9,0)))))</f>
        <v>0</v>
      </c>
      <c r="J158" s="16">
        <f>IF($A158="","",IF(Raw_Data!J158="",0,IF(KPI_Config!$C$10="L",IF(Raw_Data!J158&lt;=KPI_Config!$E$10,KPI_Config!$D$10,IF(AND(KPI_Config!$F$10&gt;0,Raw_Data!J158&lt;=KPI_Config!$G$10),KPI_Config!$F$10,0)),IF(Raw_Data!J158&gt;=KPI_Config!$E$10,KPI_Config!$D$10,IF(AND(KPI_Config!$F$10&gt;0,Raw_Data!J158&gt;=KPI_Config!$G$10),KPI_Config!$F$10,0)))))</f>
        <v>0.15</v>
      </c>
      <c r="K158" s="16">
        <f>IF($A158="","",IF(Raw_Data!G158="",0,IF(KPI_Config!$C$11="L",IF(Raw_Data!G158&lt;=KPI_Config!$E$11,KPI_Config!$D$11,IF(AND(KPI_Config!$F$11&gt;0,Raw_Data!G158&lt;=KPI_Config!$G$11),KPI_Config!$F$11,0)),IF(Raw_Data!G158&gt;=KPI_Config!$E$11,KPI_Config!$D$11,IF(AND(KPI_Config!$F$11&gt;0,Raw_Data!G158&gt;=KPI_Config!$G$11),KPI_Config!$F$11,0)))))</f>
        <v>0.3</v>
      </c>
      <c r="L158" s="16">
        <f>IF($A158="","",MIN(Policy_Decisions!$B$10,IF(Policy_Decisions!$B$6="Additive",SUM(E158:K158),SUM(E158:J158)-G158+MAX(G158,K158))))</f>
        <v>0.64999999999999991</v>
      </c>
      <c r="M158" s="16">
        <f>IF($A158="","",Raw_Data!K158)</f>
        <v>0</v>
      </c>
      <c r="N158" s="16">
        <f>IF($A158="","",IFERROR(VLOOKUP(M158,KPI_Config!$I$5:$J$10,2,FALSE()),0))</f>
        <v>0</v>
      </c>
      <c r="O158" s="16">
        <f>IF($A158="","",IF(Policy_Decisions!$B$5="Percentage points",MAX(0,L158-N158),L158*(1-N158)))</f>
        <v>0.64999999999999991</v>
      </c>
      <c r="P158" s="15" t="str">
        <f>IF($A158="","",IF(U158="","Review proration",IF(O158=0,"No payout",IF(N158&gt;0,"Malus applied","Eligible"))))</f>
        <v>Eligible</v>
      </c>
      <c r="Q158" s="15" t="str">
        <f>IF($A158="","",Raw_Data!M158)</f>
        <v>MAD</v>
      </c>
      <c r="R158" s="38">
        <f>IF($A158="","",Raw_Data!N158)</f>
        <v>0</v>
      </c>
      <c r="S158" s="38">
        <f>IF($A158="","",Raw_Data!O158)</f>
        <v>0</v>
      </c>
      <c r="T158" s="38">
        <f>IF($A158="","",IF(Raw_Data!P158&gt;0,Raw_Data!P158,Raw_Data!N158*Raw_Data!O158/IF(Policy_Decisions!$B$7="Annual",12,1)))</f>
        <v>2000</v>
      </c>
      <c r="U158" s="38">
        <f>IF($A158="","",IF(OR(Raw_Data!R158="",Raw_Data!R158&lt;=0),"",MIN(1,MAX(0,Raw_Data!Q158/Raw_Data!R158))))</f>
        <v>1</v>
      </c>
      <c r="V158" s="38">
        <f>IF(OR($A158="",U158=""),"",T158*U158)</f>
        <v>2000</v>
      </c>
      <c r="W158" s="38">
        <f>IF(OR($A158="",V158=""),"",V158*L158)</f>
        <v>1299.9999999999998</v>
      </c>
      <c r="X158" s="38">
        <f>IF(OR($A158="",V158=""),"",V158*L158-V158*O158)</f>
        <v>0</v>
      </c>
      <c r="Y158" s="38">
        <f>IF(OR($A158="",V158=""),"",ROUND(V158*O158,IF(Policy_Decisions!$B$11="Whole MAD",0,2)))</f>
        <v>1300</v>
      </c>
      <c r="Z158" t="str">
        <f>Raw_Data!T158</f>
        <v>Farouk BOUAZZAOUI</v>
      </c>
      <c r="AA158" t="str">
        <f>Raw_Data!U158</f>
        <v>Anas OUAKKAD</v>
      </c>
    </row>
    <row r="159" spans="1:27" ht="14.25" customHeight="1">
      <c r="A159" s="13">
        <f>IF(Raw_Data!A159="","",Raw_Data!A159)</f>
        <v>204035</v>
      </c>
      <c r="B159" s="13" t="str">
        <f>IF(Raw_Data!B159="","",Raw_Data!B159)</f>
        <v>Cetin Ali</v>
      </c>
      <c r="C159" s="13" t="str">
        <f>IF(Raw_Data!C159="","",Raw_Data!C159)</f>
        <v>Ford Dutch</v>
      </c>
      <c r="D159" s="13" t="str">
        <f>IF(Raw_Data!D159="","",Raw_Data!D159)</f>
        <v>2026-07</v>
      </c>
      <c r="E159" s="21">
        <f>IF($A159="","",IF(Raw_Data!E159="",0,IF(KPI_Config!$C$5="L",IF(Raw_Data!E159&lt;=KPI_Config!$E$5,KPI_Config!$D$5,IF(AND(KPI_Config!$F$5&gt;0,Raw_Data!E159&lt;=KPI_Config!$G$5),KPI_Config!$F$5,0)),IF(Raw_Data!E159&gt;=KPI_Config!$E$5,KPI_Config!$D$5,IF(AND(KPI_Config!$F$5&gt;0,Raw_Data!E159&gt;=KPI_Config!$G$5),KPI_Config!$F$5,0)))))</f>
        <v>0.15</v>
      </c>
      <c r="F159" s="21">
        <f>IF($A159="","",IF(Raw_Data!F159="",0,IF(KPI_Config!$C$6="L",IF(Raw_Data!F159&lt;=KPI_Config!$E$6,KPI_Config!$D$6,IF(AND(KPI_Config!$F$6&gt;0,Raw_Data!F159&lt;=KPI_Config!$G$6),KPI_Config!$F$6,0)),IF(Raw_Data!F159&gt;=KPI_Config!$E$6,KPI_Config!$D$6,IF(AND(KPI_Config!$F$6&gt;0,Raw_Data!F159&gt;=KPI_Config!$G$6),KPI_Config!$F$6,0)))))</f>
        <v>0.15</v>
      </c>
      <c r="G159" s="21">
        <f>IF($A159="","",IF(Raw_Data!G159="",0,IF(KPI_Config!$C$7="L",IF(Raw_Data!G159&lt;=KPI_Config!$E$7,KPI_Config!$D$7,IF(AND(KPI_Config!$F$7&gt;0,Raw_Data!G159&lt;=KPI_Config!$G$7),KPI_Config!$F$7,0)),IF(Raw_Data!G159&gt;=KPI_Config!$E$7,KPI_Config!$D$7,IF(AND(KPI_Config!$F$7&gt;0,Raw_Data!G159&gt;=KPI_Config!$G$7),KPI_Config!$F$7,0)))))</f>
        <v>0</v>
      </c>
      <c r="H159" s="21">
        <f>IF($A159="","",IF(Raw_Data!H159="",0,IF(KPI_Config!$C$8="L",IF(Raw_Data!H159&lt;=KPI_Config!$E$8,KPI_Config!$D$8,IF(AND(KPI_Config!$F$8&gt;0,Raw_Data!H159&lt;=KPI_Config!$G$8),KPI_Config!$F$8,0)),IF(Raw_Data!H159&gt;=KPI_Config!$E$8,KPI_Config!$D$8,IF(AND(KPI_Config!$F$8&gt;0,Raw_Data!H159&gt;=KPI_Config!$G$8),KPI_Config!$F$8,0)))))</f>
        <v>0</v>
      </c>
      <c r="I159" s="21">
        <f>IF($A159="","",IF(Raw_Data!I159="",0,IF(KPI_Config!$C$9="L",IF(Raw_Data!I159&lt;=KPI_Config!$E$9,KPI_Config!$D$9,IF(AND(KPI_Config!$F$9&gt;0,Raw_Data!I159&lt;=KPI_Config!$G$9),KPI_Config!$F$9,0)),IF(Raw_Data!I159&gt;=KPI_Config!$E$9,KPI_Config!$D$9,IF(AND(KPI_Config!$F$9&gt;0,Raw_Data!I159&gt;=KPI_Config!$G$9),KPI_Config!$F$9,0)))))</f>
        <v>0</v>
      </c>
      <c r="J159" s="21">
        <f>IF($A159="","",IF(Raw_Data!J159="",0,IF(KPI_Config!$C$10="L",IF(Raw_Data!J159&lt;=KPI_Config!$E$10,KPI_Config!$D$10,IF(AND(KPI_Config!$F$10&gt;0,Raw_Data!J159&lt;=KPI_Config!$G$10),KPI_Config!$F$10,0)),IF(Raw_Data!J159&gt;=KPI_Config!$E$10,KPI_Config!$D$10,IF(AND(KPI_Config!$F$10&gt;0,Raw_Data!J159&gt;=KPI_Config!$G$10),KPI_Config!$F$10,0)))))</f>
        <v>0.15</v>
      </c>
      <c r="K159" s="21">
        <f>IF($A159="","",IF(Raw_Data!G159="",0,IF(KPI_Config!$C$11="L",IF(Raw_Data!G159&lt;=KPI_Config!$E$11,KPI_Config!$D$11,IF(AND(KPI_Config!$F$11&gt;0,Raw_Data!G159&lt;=KPI_Config!$G$11),KPI_Config!$F$11,0)),IF(Raw_Data!G159&gt;=KPI_Config!$E$11,KPI_Config!$D$11,IF(AND(KPI_Config!$F$11&gt;0,Raw_Data!G159&gt;=KPI_Config!$G$11),KPI_Config!$F$11,0)))))</f>
        <v>0</v>
      </c>
      <c r="L159" s="21">
        <f>IF($A159="","",MIN(Policy_Decisions!$B$10,IF(Policy_Decisions!$B$6="Additive",SUM(E159:K159),SUM(E159:J159)-G159+MAX(G159,K159))))</f>
        <v>0.44999999999999996</v>
      </c>
      <c r="M159" s="21">
        <f>IF($A159="","",Raw_Data!K159)</f>
        <v>0</v>
      </c>
      <c r="N159" s="21">
        <f>IF($A159="","",IFERROR(VLOOKUP(M159,KPI_Config!$I$5:$J$10,2,FALSE()),0))</f>
        <v>0</v>
      </c>
      <c r="O159" s="21">
        <f>IF($A159="","",IF(Policy_Decisions!$B$5="Percentage points",MAX(0,L159-N159),L159*(1-N159)))</f>
        <v>0.44999999999999996</v>
      </c>
      <c r="P159" s="13" t="str">
        <f>IF($A159="","",IF(U159="","Review proration",IF(O159=0,"No payout",IF(N159&gt;0,"Malus applied","Eligible"))))</f>
        <v>Eligible</v>
      </c>
      <c r="Q159" s="13" t="str">
        <f>IF($A159="","",Raw_Data!M159)</f>
        <v>MAD</v>
      </c>
      <c r="R159" s="37">
        <f>IF($A159="","",Raw_Data!N159)</f>
        <v>0</v>
      </c>
      <c r="S159" s="37">
        <f>IF($A159="","",Raw_Data!O159)</f>
        <v>0</v>
      </c>
      <c r="T159" s="37">
        <f>IF($A159="","",IF(Raw_Data!P159&gt;0,Raw_Data!P159,Raw_Data!N159*Raw_Data!O159/IF(Policy_Decisions!$B$7="Annual",12,1)))</f>
        <v>2000</v>
      </c>
      <c r="U159" s="37">
        <f>IF($A159="","",IF(OR(Raw_Data!R159="",Raw_Data!R159&lt;=0),"",MIN(1,MAX(0,Raw_Data!Q159/Raw_Data!R159))))</f>
        <v>1</v>
      </c>
      <c r="V159" s="37">
        <f>IF(OR($A159="",U159=""),"",T159*U159)</f>
        <v>2000</v>
      </c>
      <c r="W159" s="37">
        <f>IF(OR($A159="",V159=""),"",V159*L159)</f>
        <v>899.99999999999989</v>
      </c>
      <c r="X159" s="37">
        <f>IF(OR($A159="",V159=""),"",V159*L159-V159*O159)</f>
        <v>0</v>
      </c>
      <c r="Y159" s="37">
        <f>IF(OR($A159="",V159=""),"",ROUND(V159*O159,IF(Policy_Decisions!$B$11="Whole MAD",0,2)))</f>
        <v>900</v>
      </c>
      <c r="Z159" t="str">
        <f>Raw_Data!T159</f>
        <v>EL GHAZI Youssef</v>
      </c>
      <c r="AA159" t="str">
        <f>Raw_Data!U159</f>
        <v>Anas OUAKKAD</v>
      </c>
    </row>
    <row r="160" spans="1:27" ht="14.25" customHeight="1">
      <c r="A160" s="15">
        <f>IF(Raw_Data!A160="","",Raw_Data!A160)</f>
        <v>205242</v>
      </c>
      <c r="B160" s="15" t="str">
        <f>IF(Raw_Data!B160="","",Raw_Data!B160)</f>
        <v>El Mansouri Ajaoud</v>
      </c>
      <c r="C160" s="15" t="str">
        <f>IF(Raw_Data!C160="","",Raw_Data!C160)</f>
        <v>Ford Dutch</v>
      </c>
      <c r="D160" s="15" t="str">
        <f>IF(Raw_Data!D160="","",Raw_Data!D160)</f>
        <v>2026-07</v>
      </c>
      <c r="E160" s="16">
        <f>IF($A160="","",IF(Raw_Data!E160="",0,IF(KPI_Config!$C$5="L",IF(Raw_Data!E160&lt;=KPI_Config!$E$5,KPI_Config!$D$5,IF(AND(KPI_Config!$F$5&gt;0,Raw_Data!E160&lt;=KPI_Config!$G$5),KPI_Config!$F$5,0)),IF(Raw_Data!E160&gt;=KPI_Config!$E$5,KPI_Config!$D$5,IF(AND(KPI_Config!$F$5&gt;0,Raw_Data!E160&gt;=KPI_Config!$G$5),KPI_Config!$F$5,0)))))</f>
        <v>0.15</v>
      </c>
      <c r="F160" s="16">
        <f>IF($A160="","",IF(Raw_Data!F160="",0,IF(KPI_Config!$C$6="L",IF(Raw_Data!F160&lt;=KPI_Config!$E$6,KPI_Config!$D$6,IF(AND(KPI_Config!$F$6&gt;0,Raw_Data!F160&lt;=KPI_Config!$G$6),KPI_Config!$F$6,0)),IF(Raw_Data!F160&gt;=KPI_Config!$E$6,KPI_Config!$D$6,IF(AND(KPI_Config!$F$6&gt;0,Raw_Data!F160&gt;=KPI_Config!$G$6),KPI_Config!$F$6,0)))))</f>
        <v>0.15</v>
      </c>
      <c r="G160" s="16">
        <f>IF($A160="","",IF(Raw_Data!G160="",0,IF(KPI_Config!$C$7="L",IF(Raw_Data!G160&lt;=KPI_Config!$E$7,KPI_Config!$D$7,IF(AND(KPI_Config!$F$7&gt;0,Raw_Data!G160&lt;=KPI_Config!$G$7),KPI_Config!$F$7,0)),IF(Raw_Data!G160&gt;=KPI_Config!$E$7,KPI_Config!$D$7,IF(AND(KPI_Config!$F$7&gt;0,Raw_Data!G160&gt;=KPI_Config!$G$7),KPI_Config!$F$7,0)))))</f>
        <v>0</v>
      </c>
      <c r="H160" s="16">
        <f>IF($A160="","",IF(Raw_Data!H160="",0,IF(KPI_Config!$C$8="L",IF(Raw_Data!H160&lt;=KPI_Config!$E$8,KPI_Config!$D$8,IF(AND(KPI_Config!$F$8&gt;0,Raw_Data!H160&lt;=KPI_Config!$G$8),KPI_Config!$F$8,0)),IF(Raw_Data!H160&gt;=KPI_Config!$E$8,KPI_Config!$D$8,IF(AND(KPI_Config!$F$8&gt;0,Raw_Data!H160&gt;=KPI_Config!$G$8),KPI_Config!$F$8,0)))))</f>
        <v>0</v>
      </c>
      <c r="I160" s="16">
        <f>IF($A160="","",IF(Raw_Data!I160="",0,IF(KPI_Config!$C$9="L",IF(Raw_Data!I160&lt;=KPI_Config!$E$9,KPI_Config!$D$9,IF(AND(KPI_Config!$F$9&gt;0,Raw_Data!I160&lt;=KPI_Config!$G$9),KPI_Config!$F$9,0)),IF(Raw_Data!I160&gt;=KPI_Config!$E$9,KPI_Config!$D$9,IF(AND(KPI_Config!$F$9&gt;0,Raw_Data!I160&gt;=KPI_Config!$G$9),KPI_Config!$F$9,0)))))</f>
        <v>0</v>
      </c>
      <c r="J160" s="16">
        <f>IF($A160="","",IF(Raw_Data!J160="",0,IF(KPI_Config!$C$10="L",IF(Raw_Data!J160&lt;=KPI_Config!$E$10,KPI_Config!$D$10,IF(AND(KPI_Config!$F$10&gt;0,Raw_Data!J160&lt;=KPI_Config!$G$10),KPI_Config!$F$10,0)),IF(Raw_Data!J160&gt;=KPI_Config!$E$10,KPI_Config!$D$10,IF(AND(KPI_Config!$F$10&gt;0,Raw_Data!J160&gt;=KPI_Config!$G$10),KPI_Config!$F$10,0)))))</f>
        <v>0</v>
      </c>
      <c r="K160" s="16">
        <f>IF($A160="","",IF(Raw_Data!G160="",0,IF(KPI_Config!$C$11="L",IF(Raw_Data!G160&lt;=KPI_Config!$E$11,KPI_Config!$D$11,IF(AND(KPI_Config!$F$11&gt;0,Raw_Data!G160&lt;=KPI_Config!$G$11),KPI_Config!$F$11,0)),IF(Raw_Data!G160&gt;=KPI_Config!$E$11,KPI_Config!$D$11,IF(AND(KPI_Config!$F$11&gt;0,Raw_Data!G160&gt;=KPI_Config!$G$11),KPI_Config!$F$11,0)))))</f>
        <v>0</v>
      </c>
      <c r="L160" s="16">
        <f>IF($A160="","",MIN(Policy_Decisions!$B$10,IF(Policy_Decisions!$B$6="Additive",SUM(E160:K160),SUM(E160:J160)-G160+MAX(G160,K160))))</f>
        <v>0.3</v>
      </c>
      <c r="M160" s="16">
        <f>IF($A160="","",Raw_Data!K160)</f>
        <v>0</v>
      </c>
      <c r="N160" s="16">
        <f>IF($A160="","",IFERROR(VLOOKUP(M160,KPI_Config!$I$5:$J$10,2,FALSE()),0))</f>
        <v>0</v>
      </c>
      <c r="O160" s="16">
        <f>IF($A160="","",IF(Policy_Decisions!$B$5="Percentage points",MAX(0,L160-N160),L160*(1-N160)))</f>
        <v>0.3</v>
      </c>
      <c r="P160" s="15" t="str">
        <f>IF($A160="","",IF(U160="","Review proration",IF(O160=0,"No payout",IF(N160&gt;0,"Malus applied","Eligible"))))</f>
        <v>Eligible</v>
      </c>
      <c r="Q160" s="15" t="str">
        <f>IF($A160="","",Raw_Data!M160)</f>
        <v>MAD</v>
      </c>
      <c r="R160" s="38">
        <f>IF($A160="","",Raw_Data!N160)</f>
        <v>0</v>
      </c>
      <c r="S160" s="38">
        <f>IF($A160="","",Raw_Data!O160)</f>
        <v>0</v>
      </c>
      <c r="T160" s="38">
        <f>IF($A160="","",IF(Raw_Data!P160&gt;0,Raw_Data!P160,Raw_Data!N160*Raw_Data!O160/IF(Policy_Decisions!$B$7="Annual",12,1)))</f>
        <v>2000</v>
      </c>
      <c r="U160" s="38">
        <f>IF($A160="","",IF(OR(Raw_Data!R160="",Raw_Data!R160&lt;=0),"",MIN(1,MAX(0,Raw_Data!Q160/Raw_Data!R160))))</f>
        <v>1</v>
      </c>
      <c r="V160" s="38">
        <f>IF(OR($A160="",U160=""),"",T160*U160)</f>
        <v>2000</v>
      </c>
      <c r="W160" s="38">
        <f>IF(OR($A160="",V160=""),"",V160*L160)</f>
        <v>600</v>
      </c>
      <c r="X160" s="38">
        <f>IF(OR($A160="",V160=""),"",V160*L160-V160*O160)</f>
        <v>0</v>
      </c>
      <c r="Y160" s="38">
        <f>IF(OR($A160="",V160=""),"",ROUND(V160*O160,IF(Policy_Decisions!$B$11="Whole MAD",0,2)))</f>
        <v>600</v>
      </c>
      <c r="Z160" t="str">
        <f>Raw_Data!T160</f>
        <v>EL GHAZI Youssef</v>
      </c>
      <c r="AA160" t="str">
        <f>Raw_Data!U160</f>
        <v>Anas OUAKKAD</v>
      </c>
    </row>
    <row r="161" spans="1:27" ht="14.25" customHeight="1">
      <c r="A161" s="13">
        <f>IF(Raw_Data!A161="","",Raw_Data!A161)</f>
        <v>96491</v>
      </c>
      <c r="B161" s="13" t="str">
        <f>IF(Raw_Data!B161="","",Raw_Data!B161)</f>
        <v>AHLAL Ainane</v>
      </c>
      <c r="C161" s="13" t="str">
        <f>IF(Raw_Data!C161="","",Raw_Data!C161)</f>
        <v>RSA NL</v>
      </c>
      <c r="D161" s="13" t="str">
        <f>IF(Raw_Data!D161="","",Raw_Data!D161)</f>
        <v>2026-07</v>
      </c>
      <c r="E161" s="21">
        <f>IF($A161="","",IF(Raw_Data!E161="",0,IF(KPI_Config!$C$5="L",IF(Raw_Data!E161&lt;=KPI_Config!$E$5,KPI_Config!$D$5,IF(AND(KPI_Config!$F$5&gt;0,Raw_Data!E161&lt;=KPI_Config!$G$5),KPI_Config!$F$5,0)),IF(Raw_Data!E161&gt;=KPI_Config!$E$5,KPI_Config!$D$5,IF(AND(KPI_Config!$F$5&gt;0,Raw_Data!E161&gt;=KPI_Config!$G$5),KPI_Config!$F$5,0)))))</f>
        <v>0.15</v>
      </c>
      <c r="F161" s="21">
        <f>IF($A161="","",IF(Raw_Data!F161="",0,IF(KPI_Config!$C$6="L",IF(Raw_Data!F161&lt;=KPI_Config!$E$6,KPI_Config!$D$6,IF(AND(KPI_Config!$F$6&gt;0,Raw_Data!F161&lt;=KPI_Config!$G$6),KPI_Config!$F$6,0)),IF(Raw_Data!F161&gt;=KPI_Config!$E$6,KPI_Config!$D$6,IF(AND(KPI_Config!$F$6&gt;0,Raw_Data!F161&gt;=KPI_Config!$G$6),KPI_Config!$F$6,0)))))</f>
        <v>0.15</v>
      </c>
      <c r="G161" s="21">
        <f>IF($A161="","",IF(Raw_Data!G161="",0,IF(KPI_Config!$C$7="L",IF(Raw_Data!G161&lt;=KPI_Config!$E$7,KPI_Config!$D$7,IF(AND(KPI_Config!$F$7&gt;0,Raw_Data!G161&lt;=KPI_Config!$G$7),KPI_Config!$F$7,0)),IF(Raw_Data!G161&gt;=KPI_Config!$E$7,KPI_Config!$D$7,IF(AND(KPI_Config!$F$7&gt;0,Raw_Data!G161&gt;=KPI_Config!$G$7),KPI_Config!$F$7,0)))))</f>
        <v>0</v>
      </c>
      <c r="H161" s="21">
        <f>IF($A161="","",IF(Raw_Data!H161="",0,IF(KPI_Config!$C$8="L",IF(Raw_Data!H161&lt;=KPI_Config!$E$8,KPI_Config!$D$8,IF(AND(KPI_Config!$F$8&gt;0,Raw_Data!H161&lt;=KPI_Config!$G$8),KPI_Config!$F$8,0)),IF(Raw_Data!H161&gt;=KPI_Config!$E$8,KPI_Config!$D$8,IF(AND(KPI_Config!$F$8&gt;0,Raw_Data!H161&gt;=KPI_Config!$G$8),KPI_Config!$F$8,0)))))</f>
        <v>0</v>
      </c>
      <c r="I161" s="21">
        <f>IF($A161="","",IF(Raw_Data!I161="",0,IF(KPI_Config!$C$9="L",IF(Raw_Data!I161&lt;=KPI_Config!$E$9,KPI_Config!$D$9,IF(AND(KPI_Config!$F$9&gt;0,Raw_Data!I161&lt;=KPI_Config!$G$9),KPI_Config!$F$9,0)),IF(Raw_Data!I161&gt;=KPI_Config!$E$9,KPI_Config!$D$9,IF(AND(KPI_Config!$F$9&gt;0,Raw_Data!I161&gt;=KPI_Config!$G$9),KPI_Config!$F$9,0)))))</f>
        <v>0</v>
      </c>
      <c r="J161" s="21">
        <f>IF($A161="","",IF(Raw_Data!J161="",0,IF(KPI_Config!$C$10="L",IF(Raw_Data!J161&lt;=KPI_Config!$E$10,KPI_Config!$D$10,IF(AND(KPI_Config!$F$10&gt;0,Raw_Data!J161&lt;=KPI_Config!$G$10),KPI_Config!$F$10,0)),IF(Raw_Data!J161&gt;=KPI_Config!$E$10,KPI_Config!$D$10,IF(AND(KPI_Config!$F$10&gt;0,Raw_Data!J161&gt;=KPI_Config!$G$10),KPI_Config!$F$10,0)))))</f>
        <v>0.15</v>
      </c>
      <c r="K161" s="21">
        <f>IF($A161="","",IF(Raw_Data!G161="",0,IF(KPI_Config!$C$11="L",IF(Raw_Data!G161&lt;=KPI_Config!$E$11,KPI_Config!$D$11,IF(AND(KPI_Config!$F$11&gt;0,Raw_Data!G161&lt;=KPI_Config!$G$11),KPI_Config!$F$11,0)),IF(Raw_Data!G161&gt;=KPI_Config!$E$11,KPI_Config!$D$11,IF(AND(KPI_Config!$F$11&gt;0,Raw_Data!G161&gt;=KPI_Config!$G$11),KPI_Config!$F$11,0)))))</f>
        <v>0</v>
      </c>
      <c r="L161" s="21">
        <f>IF($A161="","",MIN(Policy_Decisions!$B$10,IF(Policy_Decisions!$B$6="Additive",SUM(E161:K161),SUM(E161:J161)-G161+MAX(G161,K161))))</f>
        <v>0.44999999999999996</v>
      </c>
      <c r="M161" s="21">
        <f>IF($A161="","",Raw_Data!K161)</f>
        <v>0</v>
      </c>
      <c r="N161" s="21">
        <f>IF($A161="","",IFERROR(VLOOKUP(M161,KPI_Config!$I$5:$J$10,2,FALSE()),0))</f>
        <v>0</v>
      </c>
      <c r="O161" s="21">
        <f>IF($A161="","",IF(Policy_Decisions!$B$5="Percentage points",MAX(0,L161-N161),L161*(1-N161)))</f>
        <v>0.44999999999999996</v>
      </c>
      <c r="P161" s="13" t="str">
        <f>IF($A161="","",IF(U161="","Review proration",IF(O161=0,"No payout",IF(N161&gt;0,"Malus applied","Eligible"))))</f>
        <v>Eligible</v>
      </c>
      <c r="Q161" s="13" t="str">
        <f>IF($A161="","",Raw_Data!M161)</f>
        <v>MAD</v>
      </c>
      <c r="R161" s="37">
        <f>IF($A161="","",Raw_Data!N161)</f>
        <v>0</v>
      </c>
      <c r="S161" s="37">
        <f>IF($A161="","",Raw_Data!O161)</f>
        <v>0</v>
      </c>
      <c r="T161" s="37">
        <f>IF($A161="","",IF(Raw_Data!P161&gt;0,Raw_Data!P161,Raw_Data!N161*Raw_Data!O161/IF(Policy_Decisions!$B$7="Annual",12,1)))</f>
        <v>2000</v>
      </c>
      <c r="U161" s="37">
        <f>IF($A161="","",IF(OR(Raw_Data!R161="",Raw_Data!R161&lt;=0),"",MIN(1,MAX(0,Raw_Data!Q161/Raw_Data!R161))))</f>
        <v>1</v>
      </c>
      <c r="V161" s="37">
        <f>IF(OR($A161="",U161=""),"",T161*U161)</f>
        <v>2000</v>
      </c>
      <c r="W161" s="37">
        <f>IF(OR($A161="",V161=""),"",V161*L161)</f>
        <v>899.99999999999989</v>
      </c>
      <c r="X161" s="37">
        <f>IF(OR($A161="",V161=""),"",V161*L161-V161*O161)</f>
        <v>0</v>
      </c>
      <c r="Y161" s="37">
        <f>IF(OR($A161="",V161=""),"",ROUND(V161*O161,IF(Policy_Decisions!$B$11="Whole MAD",0,2)))</f>
        <v>900</v>
      </c>
      <c r="Z161" t="str">
        <f>Raw_Data!T161</f>
        <v>AL TAMIMI Zeynab</v>
      </c>
      <c r="AA161" t="str">
        <f>Raw_Data!U161</f>
        <v>Anas OUAKKAD</v>
      </c>
    </row>
    <row r="162" spans="1:27" ht="14.25" customHeight="1">
      <c r="A162" s="15">
        <f>IF(Raw_Data!A162="","",Raw_Data!A162)</f>
        <v>244548</v>
      </c>
      <c r="B162" s="15" t="str">
        <f>IF(Raw_Data!B162="","",Raw_Data!B162)</f>
        <v>ADIL Hachhouch</v>
      </c>
      <c r="C162" s="15" t="str">
        <f>IF(Raw_Data!C162="","",Raw_Data!C162)</f>
        <v>RSA NL</v>
      </c>
      <c r="D162" s="15" t="str">
        <f>IF(Raw_Data!D162="","",Raw_Data!D162)</f>
        <v>2026-07</v>
      </c>
      <c r="E162" s="16">
        <f>IF($A162="","",IF(Raw_Data!E162="",0,IF(KPI_Config!$C$5="L",IF(Raw_Data!E162&lt;=KPI_Config!$E$5,KPI_Config!$D$5,IF(AND(KPI_Config!$F$5&gt;0,Raw_Data!E162&lt;=KPI_Config!$G$5),KPI_Config!$F$5,0)),IF(Raw_Data!E162&gt;=KPI_Config!$E$5,KPI_Config!$D$5,IF(AND(KPI_Config!$F$5&gt;0,Raw_Data!E162&gt;=KPI_Config!$G$5),KPI_Config!$F$5,0)))))</f>
        <v>0</v>
      </c>
      <c r="F162" s="16">
        <f>IF($A162="","",IF(Raw_Data!F162="",0,IF(KPI_Config!$C$6="L",IF(Raw_Data!F162&lt;=KPI_Config!$E$6,KPI_Config!$D$6,IF(AND(KPI_Config!$F$6&gt;0,Raw_Data!F162&lt;=KPI_Config!$G$6),KPI_Config!$F$6,0)),IF(Raw_Data!F162&gt;=KPI_Config!$E$6,KPI_Config!$D$6,IF(AND(KPI_Config!$F$6&gt;0,Raw_Data!F162&gt;=KPI_Config!$G$6),KPI_Config!$F$6,0)))))</f>
        <v>0</v>
      </c>
      <c r="G162" s="16">
        <f>IF($A162="","",IF(Raw_Data!G162="",0,IF(KPI_Config!$C$7="L",IF(Raw_Data!G162&lt;=KPI_Config!$E$7,KPI_Config!$D$7,IF(AND(KPI_Config!$F$7&gt;0,Raw_Data!G162&lt;=KPI_Config!$G$7),KPI_Config!$F$7,0)),IF(Raw_Data!G162&gt;=KPI_Config!$E$7,KPI_Config!$D$7,IF(AND(KPI_Config!$F$7&gt;0,Raw_Data!G162&gt;=KPI_Config!$G$7),KPI_Config!$F$7,0)))))</f>
        <v>0</v>
      </c>
      <c r="H162" s="16">
        <f>IF($A162="","",IF(Raw_Data!H162="",0,IF(KPI_Config!$C$8="L",IF(Raw_Data!H162&lt;=KPI_Config!$E$8,KPI_Config!$D$8,IF(AND(KPI_Config!$F$8&gt;0,Raw_Data!H162&lt;=KPI_Config!$G$8),KPI_Config!$F$8,0)),IF(Raw_Data!H162&gt;=KPI_Config!$E$8,KPI_Config!$D$8,IF(AND(KPI_Config!$F$8&gt;0,Raw_Data!H162&gt;=KPI_Config!$G$8),KPI_Config!$F$8,0)))))</f>
        <v>0</v>
      </c>
      <c r="I162" s="16">
        <f>IF($A162="","",IF(Raw_Data!I162="",0,IF(KPI_Config!$C$9="L",IF(Raw_Data!I162&lt;=KPI_Config!$E$9,KPI_Config!$D$9,IF(AND(KPI_Config!$F$9&gt;0,Raw_Data!I162&lt;=KPI_Config!$G$9),KPI_Config!$F$9,0)),IF(Raw_Data!I162&gt;=KPI_Config!$E$9,KPI_Config!$D$9,IF(AND(KPI_Config!$F$9&gt;0,Raw_Data!I162&gt;=KPI_Config!$G$9),KPI_Config!$F$9,0)))))</f>
        <v>0</v>
      </c>
      <c r="J162" s="16">
        <f>IF($A162="","",IF(Raw_Data!J162="",0,IF(KPI_Config!$C$10="L",IF(Raw_Data!J162&lt;=KPI_Config!$E$10,KPI_Config!$D$10,IF(AND(KPI_Config!$F$10&gt;0,Raw_Data!J162&lt;=KPI_Config!$G$10),KPI_Config!$F$10,0)),IF(Raw_Data!J162&gt;=KPI_Config!$E$10,KPI_Config!$D$10,IF(AND(KPI_Config!$F$10&gt;0,Raw_Data!J162&gt;=KPI_Config!$G$10),KPI_Config!$F$10,0)))))</f>
        <v>0</v>
      </c>
      <c r="K162" s="16">
        <f>IF($A162="","",IF(Raw_Data!G162="",0,IF(KPI_Config!$C$11="L",IF(Raw_Data!G162&lt;=KPI_Config!$E$11,KPI_Config!$D$11,IF(AND(KPI_Config!$F$11&gt;0,Raw_Data!G162&lt;=KPI_Config!$G$11),KPI_Config!$F$11,0)),IF(Raw_Data!G162&gt;=KPI_Config!$E$11,KPI_Config!$D$11,IF(AND(KPI_Config!$F$11&gt;0,Raw_Data!G162&gt;=KPI_Config!$G$11),KPI_Config!$F$11,0)))))</f>
        <v>0</v>
      </c>
      <c r="L162" s="16">
        <f>IF($A162="","",MIN(Policy_Decisions!$B$10,IF(Policy_Decisions!$B$6="Additive",SUM(E162:K162),SUM(E162:J162)-G162+MAX(G162,K162))))</f>
        <v>0</v>
      </c>
      <c r="M162" s="16">
        <f>IF($A162="","",Raw_Data!K162)</f>
        <v>0</v>
      </c>
      <c r="N162" s="16">
        <f>IF($A162="","",IFERROR(VLOOKUP(M162,KPI_Config!$I$5:$J$10,2,FALSE()),0))</f>
        <v>0</v>
      </c>
      <c r="O162" s="16">
        <f>IF($A162="","",IF(Policy_Decisions!$B$5="Percentage points",MAX(0,L162-N162),L162*(1-N162)))</f>
        <v>0</v>
      </c>
      <c r="P162" s="15" t="str">
        <f>IF($A162="","",IF(U162="","Review proration",IF(O162=0,"No payout",IF(N162&gt;0,"Malus applied","Eligible"))))</f>
        <v>No payout</v>
      </c>
      <c r="Q162" s="15" t="str">
        <f>IF($A162="","",Raw_Data!M162)</f>
        <v>MAD</v>
      </c>
      <c r="R162" s="38">
        <f>IF($A162="","",Raw_Data!N162)</f>
        <v>0</v>
      </c>
      <c r="S162" s="38">
        <f>IF($A162="","",Raw_Data!O162)</f>
        <v>0</v>
      </c>
      <c r="T162" s="38">
        <f>IF($A162="","",IF(Raw_Data!P162&gt;0,Raw_Data!P162,Raw_Data!N162*Raw_Data!O162/IF(Policy_Decisions!$B$7="Annual",12,1)))</f>
        <v>2000</v>
      </c>
      <c r="U162" s="38">
        <f>IF($A162="","",IF(OR(Raw_Data!R162="",Raw_Data!R162&lt;=0),"",MIN(1,MAX(0,Raw_Data!Q162/Raw_Data!R162))))</f>
        <v>1</v>
      </c>
      <c r="V162" s="38">
        <f>IF(OR($A162="",U162=""),"",T162*U162)</f>
        <v>2000</v>
      </c>
      <c r="W162" s="38">
        <f>IF(OR($A162="",V162=""),"",V162*L162)</f>
        <v>0</v>
      </c>
      <c r="X162" s="38">
        <f>IF(OR($A162="",V162=""),"",V162*L162-V162*O162)</f>
        <v>0</v>
      </c>
      <c r="Y162" s="38">
        <f>IF(OR($A162="",V162=""),"",ROUND(V162*O162,IF(Policy_Decisions!$B$11="Whole MAD",0,2)))</f>
        <v>0</v>
      </c>
      <c r="Z162" t="str">
        <f>Raw_Data!T162</f>
        <v>KAIKAI Faissal</v>
      </c>
      <c r="AA162" t="str">
        <f>Raw_Data!U162</f>
        <v>Anas OUAKKAD</v>
      </c>
    </row>
    <row r="163" spans="1:27" ht="14.25" customHeight="1">
      <c r="A163" s="13">
        <f>IF(Raw_Data!A163="","",Raw_Data!A163)</f>
        <v>204025</v>
      </c>
      <c r="B163" s="13" t="str">
        <f>IF(Raw_Data!B163="","",Raw_Data!B163)</f>
        <v xml:space="preserve">Adil Chouhaibi </v>
      </c>
      <c r="C163" s="13" t="str">
        <f>IF(Raw_Data!C163="","",Raw_Data!C163)</f>
        <v>Ford Dutch</v>
      </c>
      <c r="D163" s="13" t="str">
        <f>IF(Raw_Data!D163="","",Raw_Data!D163)</f>
        <v>2026-07</v>
      </c>
      <c r="E163" s="21">
        <f>IF($A163="","",IF(Raw_Data!E163="",0,IF(KPI_Config!$C$5="L",IF(Raw_Data!E163&lt;=KPI_Config!$E$5,KPI_Config!$D$5,IF(AND(KPI_Config!$F$5&gt;0,Raw_Data!E163&lt;=KPI_Config!$G$5),KPI_Config!$F$5,0)),IF(Raw_Data!E163&gt;=KPI_Config!$E$5,KPI_Config!$D$5,IF(AND(KPI_Config!$F$5&gt;0,Raw_Data!E163&gt;=KPI_Config!$G$5),KPI_Config!$F$5,0)))))</f>
        <v>0</v>
      </c>
      <c r="F163" s="21">
        <f>IF($A163="","",IF(Raw_Data!F163="",0,IF(KPI_Config!$C$6="L",IF(Raw_Data!F163&lt;=KPI_Config!$E$6,KPI_Config!$D$6,IF(AND(KPI_Config!$F$6&gt;0,Raw_Data!F163&lt;=KPI_Config!$G$6),KPI_Config!$F$6,0)),IF(Raw_Data!F163&gt;=KPI_Config!$E$6,KPI_Config!$D$6,IF(AND(KPI_Config!$F$6&gt;0,Raw_Data!F163&gt;=KPI_Config!$G$6),KPI_Config!$F$6,0)))))</f>
        <v>0</v>
      </c>
      <c r="G163" s="21">
        <f>IF($A163="","",IF(Raw_Data!G163="",0,IF(KPI_Config!$C$7="L",IF(Raw_Data!G163&lt;=KPI_Config!$E$7,KPI_Config!$D$7,IF(AND(KPI_Config!$F$7&gt;0,Raw_Data!G163&lt;=KPI_Config!$G$7),KPI_Config!$F$7,0)),IF(Raw_Data!G163&gt;=KPI_Config!$E$7,KPI_Config!$D$7,IF(AND(KPI_Config!$F$7&gt;0,Raw_Data!G163&gt;=KPI_Config!$G$7),KPI_Config!$F$7,0)))))</f>
        <v>0.2</v>
      </c>
      <c r="H163" s="21">
        <f>IF($A163="","",IF(Raw_Data!H163="",0,IF(KPI_Config!$C$8="L",IF(Raw_Data!H163&lt;=KPI_Config!$E$8,KPI_Config!$D$8,IF(AND(KPI_Config!$F$8&gt;0,Raw_Data!H163&lt;=KPI_Config!$G$8),KPI_Config!$F$8,0)),IF(Raw_Data!H163&gt;=KPI_Config!$E$8,KPI_Config!$D$8,IF(AND(KPI_Config!$F$8&gt;0,Raw_Data!H163&gt;=KPI_Config!$G$8),KPI_Config!$F$8,0)))))</f>
        <v>0</v>
      </c>
      <c r="I163" s="21">
        <f>IF($A163="","",IF(Raw_Data!I163="",0,IF(KPI_Config!$C$9="L",IF(Raw_Data!I163&lt;=KPI_Config!$E$9,KPI_Config!$D$9,IF(AND(KPI_Config!$F$9&gt;0,Raw_Data!I163&lt;=KPI_Config!$G$9),KPI_Config!$F$9,0)),IF(Raw_Data!I163&gt;=KPI_Config!$E$9,KPI_Config!$D$9,IF(AND(KPI_Config!$F$9&gt;0,Raw_Data!I163&gt;=KPI_Config!$G$9),KPI_Config!$F$9,0)))))</f>
        <v>0</v>
      </c>
      <c r="J163" s="21">
        <f>IF($A163="","",IF(Raw_Data!J163="",0,IF(KPI_Config!$C$10="L",IF(Raw_Data!J163&lt;=KPI_Config!$E$10,KPI_Config!$D$10,IF(AND(KPI_Config!$F$10&gt;0,Raw_Data!J163&lt;=KPI_Config!$G$10),KPI_Config!$F$10,0)),IF(Raw_Data!J163&gt;=KPI_Config!$E$10,KPI_Config!$D$10,IF(AND(KPI_Config!$F$10&gt;0,Raw_Data!J163&gt;=KPI_Config!$G$10),KPI_Config!$F$10,0)))))</f>
        <v>0.15</v>
      </c>
      <c r="K163" s="21">
        <f>IF($A163="","",IF(Raw_Data!G163="",0,IF(KPI_Config!$C$11="L",IF(Raw_Data!G163&lt;=KPI_Config!$E$11,KPI_Config!$D$11,IF(AND(KPI_Config!$F$11&gt;0,Raw_Data!G163&lt;=KPI_Config!$G$11),KPI_Config!$F$11,0)),IF(Raw_Data!G163&gt;=KPI_Config!$E$11,KPI_Config!$D$11,IF(AND(KPI_Config!$F$11&gt;0,Raw_Data!G163&gt;=KPI_Config!$G$11),KPI_Config!$F$11,0)))))</f>
        <v>0.3</v>
      </c>
      <c r="L163" s="21">
        <f>IF($A163="","",MIN(Policy_Decisions!$B$10,IF(Policy_Decisions!$B$6="Additive",SUM(E163:K163),SUM(E163:J163)-G163+MAX(G163,K163))))</f>
        <v>0.64999999999999991</v>
      </c>
      <c r="M163" s="21">
        <f>IF($A163="","",Raw_Data!K163)</f>
        <v>0</v>
      </c>
      <c r="N163" s="21">
        <f>IF($A163="","",IFERROR(VLOOKUP(M163,KPI_Config!$I$5:$J$10,2,FALSE()),0))</f>
        <v>0</v>
      </c>
      <c r="O163" s="21">
        <f>IF($A163="","",IF(Policy_Decisions!$B$5="Percentage points",MAX(0,L163-N163),L163*(1-N163)))</f>
        <v>0.64999999999999991</v>
      </c>
      <c r="P163" s="13" t="str">
        <f>IF($A163="","",IF(U163="","Review proration",IF(O163=0,"No payout",IF(N163&gt;0,"Malus applied","Eligible"))))</f>
        <v>Eligible</v>
      </c>
      <c r="Q163" s="13" t="str">
        <f>IF($A163="","",Raw_Data!M163)</f>
        <v>MAD</v>
      </c>
      <c r="R163" s="37">
        <f>IF($A163="","",Raw_Data!N163)</f>
        <v>0</v>
      </c>
      <c r="S163" s="37">
        <f>IF($A163="","",Raw_Data!O163)</f>
        <v>0</v>
      </c>
      <c r="T163" s="37">
        <f>IF($A163="","",IF(Raw_Data!P163&gt;0,Raw_Data!P163,Raw_Data!N163*Raw_Data!O163/IF(Policy_Decisions!$B$7="Annual",12,1)))</f>
        <v>2000</v>
      </c>
      <c r="U163" s="37">
        <f>IF($A163="","",IF(OR(Raw_Data!R163="",Raw_Data!R163&lt;=0),"",MIN(1,MAX(0,Raw_Data!Q163/Raw_Data!R163))))</f>
        <v>1</v>
      </c>
      <c r="V163" s="37">
        <f>IF(OR($A163="",U163=""),"",T163*U163)</f>
        <v>2000</v>
      </c>
      <c r="W163" s="37">
        <f>IF(OR($A163="",V163=""),"",V163*L163)</f>
        <v>1299.9999999999998</v>
      </c>
      <c r="X163" s="37">
        <f>IF(OR($A163="",V163=""),"",V163*L163-V163*O163)</f>
        <v>0</v>
      </c>
      <c r="Y163" s="37">
        <f>IF(OR($A163="",V163=""),"",ROUND(V163*O163,IF(Policy_Decisions!$B$11="Whole MAD",0,2)))</f>
        <v>1300</v>
      </c>
      <c r="Z163" t="str">
        <f>Raw_Data!T163</f>
        <v>DERRAZI Ilyasse</v>
      </c>
      <c r="AA163" t="str">
        <f>Raw_Data!U163</f>
        <v>Anas OUAKKAD</v>
      </c>
    </row>
    <row r="164" spans="1:27" ht="14.25" customHeight="1">
      <c r="A164" s="15">
        <f>IF(Raw_Data!A164="","",Raw_Data!A164)</f>
        <v>96479</v>
      </c>
      <c r="B164" s="15" t="str">
        <f>IF(Raw_Data!B164="","",Raw_Data!B164)</f>
        <v>SBAI Abderrahim</v>
      </c>
      <c r="C164" s="15" t="str">
        <f>IF(Raw_Data!C164="","",Raw_Data!C164)</f>
        <v>RSA VL</v>
      </c>
      <c r="D164" s="15" t="str">
        <f>IF(Raw_Data!D164="","",Raw_Data!D164)</f>
        <v>2026-07</v>
      </c>
      <c r="E164" s="16">
        <f>IF($A164="","",IF(Raw_Data!E164="",0,IF(KPI_Config!$C$5="L",IF(Raw_Data!E164&lt;=KPI_Config!$E$5,KPI_Config!$D$5,IF(AND(KPI_Config!$F$5&gt;0,Raw_Data!E164&lt;=KPI_Config!$G$5),KPI_Config!$F$5,0)),IF(Raw_Data!E164&gt;=KPI_Config!$E$5,KPI_Config!$D$5,IF(AND(KPI_Config!$F$5&gt;0,Raw_Data!E164&gt;=KPI_Config!$G$5),KPI_Config!$F$5,0)))))</f>
        <v>0.15</v>
      </c>
      <c r="F164" s="16">
        <f>IF($A164="","",IF(Raw_Data!F164="",0,IF(KPI_Config!$C$6="L",IF(Raw_Data!F164&lt;=KPI_Config!$E$6,KPI_Config!$D$6,IF(AND(KPI_Config!$F$6&gt;0,Raw_Data!F164&lt;=KPI_Config!$G$6),KPI_Config!$F$6,0)),IF(Raw_Data!F164&gt;=KPI_Config!$E$6,KPI_Config!$D$6,IF(AND(KPI_Config!$F$6&gt;0,Raw_Data!F164&gt;=KPI_Config!$G$6),KPI_Config!$F$6,0)))))</f>
        <v>0.15</v>
      </c>
      <c r="G164" s="16">
        <f>IF($A164="","",IF(Raw_Data!G164="",0,IF(KPI_Config!$C$7="L",IF(Raw_Data!G164&lt;=KPI_Config!$E$7,KPI_Config!$D$7,IF(AND(KPI_Config!$F$7&gt;0,Raw_Data!G164&lt;=KPI_Config!$G$7),KPI_Config!$F$7,0)),IF(Raw_Data!G164&gt;=KPI_Config!$E$7,KPI_Config!$D$7,IF(AND(KPI_Config!$F$7&gt;0,Raw_Data!G164&gt;=KPI_Config!$G$7),KPI_Config!$F$7,0)))))</f>
        <v>0.2</v>
      </c>
      <c r="H164" s="16">
        <f>IF($A164="","",IF(Raw_Data!H164="",0,IF(KPI_Config!$C$8="L",IF(Raw_Data!H164&lt;=KPI_Config!$E$8,KPI_Config!$D$8,IF(AND(KPI_Config!$F$8&gt;0,Raw_Data!H164&lt;=KPI_Config!$G$8),KPI_Config!$F$8,0)),IF(Raw_Data!H164&gt;=KPI_Config!$E$8,KPI_Config!$D$8,IF(AND(KPI_Config!$F$8&gt;0,Raw_Data!H164&gt;=KPI_Config!$G$8),KPI_Config!$F$8,0)))))</f>
        <v>0</v>
      </c>
      <c r="I164" s="16">
        <f>IF($A164="","",IF(Raw_Data!I164="",0,IF(KPI_Config!$C$9="L",IF(Raw_Data!I164&lt;=KPI_Config!$E$9,KPI_Config!$D$9,IF(AND(KPI_Config!$F$9&gt;0,Raw_Data!I164&lt;=KPI_Config!$G$9),KPI_Config!$F$9,0)),IF(Raw_Data!I164&gt;=KPI_Config!$E$9,KPI_Config!$D$9,IF(AND(KPI_Config!$F$9&gt;0,Raw_Data!I164&gt;=KPI_Config!$G$9),KPI_Config!$F$9,0)))))</f>
        <v>0.15</v>
      </c>
      <c r="J164" s="16">
        <f>IF($A164="","",IF(Raw_Data!J164="",0,IF(KPI_Config!$C$10="L",IF(Raw_Data!J164&lt;=KPI_Config!$E$10,KPI_Config!$D$10,IF(AND(KPI_Config!$F$10&gt;0,Raw_Data!J164&lt;=KPI_Config!$G$10),KPI_Config!$F$10,0)),IF(Raw_Data!J164&gt;=KPI_Config!$E$10,KPI_Config!$D$10,IF(AND(KPI_Config!$F$10&gt;0,Raw_Data!J164&gt;=KPI_Config!$G$10),KPI_Config!$F$10,0)))))</f>
        <v>0.15</v>
      </c>
      <c r="K164" s="16">
        <f>IF($A164="","",IF(Raw_Data!G164="",0,IF(KPI_Config!$C$11="L",IF(Raw_Data!G164&lt;=KPI_Config!$E$11,KPI_Config!$D$11,IF(AND(KPI_Config!$F$11&gt;0,Raw_Data!G164&lt;=KPI_Config!$G$11),KPI_Config!$F$11,0)),IF(Raw_Data!G164&gt;=KPI_Config!$E$11,KPI_Config!$D$11,IF(AND(KPI_Config!$F$11&gt;0,Raw_Data!G164&gt;=KPI_Config!$G$11),KPI_Config!$F$11,0)))))</f>
        <v>0.3</v>
      </c>
      <c r="L164" s="16">
        <f>IF($A164="","",MIN(Policy_Decisions!$B$10,IF(Policy_Decisions!$B$6="Additive",SUM(E164:K164),SUM(E164:J164)-G164+MAX(G164,K164))))</f>
        <v>1.1000000000000001</v>
      </c>
      <c r="M164" s="16">
        <f>IF($A164="","",Raw_Data!K164)</f>
        <v>0</v>
      </c>
      <c r="N164" s="16">
        <f>IF($A164="","",IFERROR(VLOOKUP(M164,KPI_Config!$I$5:$J$10,2,FALSE()),0))</f>
        <v>0</v>
      </c>
      <c r="O164" s="16">
        <f>IF($A164="","",IF(Policy_Decisions!$B$5="Percentage points",MAX(0,L164-N164),L164*(1-N164)))</f>
        <v>1.1000000000000001</v>
      </c>
      <c r="P164" s="15" t="str">
        <f>IF($A164="","",IF(U164="","Review proration",IF(O164=0,"No payout",IF(N164&gt;0,"Malus applied","Eligible"))))</f>
        <v>Eligible</v>
      </c>
      <c r="Q164" s="15" t="str">
        <f>IF($A164="","",Raw_Data!M164)</f>
        <v>MAD</v>
      </c>
      <c r="R164" s="38">
        <f>IF($A164="","",Raw_Data!N164)</f>
        <v>0</v>
      </c>
      <c r="S164" s="38">
        <f>IF($A164="","",Raw_Data!O164)</f>
        <v>0</v>
      </c>
      <c r="T164" s="38">
        <f>IF($A164="","",IF(Raw_Data!P164&gt;0,Raw_Data!P164,Raw_Data!N164*Raw_Data!O164/IF(Policy_Decisions!$B$7="Annual",12,1)))</f>
        <v>2000</v>
      </c>
      <c r="U164" s="38">
        <f>IF($A164="","",IF(OR(Raw_Data!R164="",Raw_Data!R164&lt;=0),"",MIN(1,MAX(0,Raw_Data!Q164/Raw_Data!R164))))</f>
        <v>1</v>
      </c>
      <c r="V164" s="38">
        <f>IF(OR($A164="",U164=""),"",T164*U164)</f>
        <v>2000</v>
      </c>
      <c r="W164" s="38">
        <f>IF(OR($A164="",V164=""),"",V164*L164)</f>
        <v>2200</v>
      </c>
      <c r="X164" s="38">
        <f>IF(OR($A164="",V164=""),"",V164*L164-V164*O164)</f>
        <v>0</v>
      </c>
      <c r="Y164" s="38">
        <f>IF(OR($A164="",V164=""),"",ROUND(V164*O164,IF(Policy_Decisions!$B$11="Whole MAD",0,2)))</f>
        <v>2200</v>
      </c>
      <c r="Z164" t="str">
        <f>Raw_Data!T164</f>
        <v>Glenn Antoon</v>
      </c>
      <c r="AA164" t="str">
        <f>Raw_Data!U164</f>
        <v>Anas OUAKKAD</v>
      </c>
    </row>
    <row r="165" spans="1:27" ht="14.25" customHeight="1">
      <c r="A165" s="13">
        <f>IF(Raw_Data!A165="","",Raw_Data!A165)</f>
        <v>205263</v>
      </c>
      <c r="B165" s="13" t="str">
        <f>IF(Raw_Data!B165="","",Raw_Data!B165)</f>
        <v>Assague Abderrahim</v>
      </c>
      <c r="C165" s="13" t="str">
        <f>IF(Raw_Data!C165="","",Raw_Data!C165)</f>
        <v>OEM FR</v>
      </c>
      <c r="D165" s="13" t="str">
        <f>IF(Raw_Data!D165="","",Raw_Data!D165)</f>
        <v>2026-07</v>
      </c>
      <c r="E165" s="21">
        <f>IF($A165="","",IF(Raw_Data!E165="",0,IF(KPI_Config!$C$5="L",IF(Raw_Data!E165&lt;=KPI_Config!$E$5,KPI_Config!$D$5,IF(AND(KPI_Config!$F$5&gt;0,Raw_Data!E165&lt;=KPI_Config!$G$5),KPI_Config!$F$5,0)),IF(Raw_Data!E165&gt;=KPI_Config!$E$5,KPI_Config!$D$5,IF(AND(KPI_Config!$F$5&gt;0,Raw_Data!E165&gt;=KPI_Config!$G$5),KPI_Config!$F$5,0)))))</f>
        <v>0</v>
      </c>
      <c r="F165" s="21">
        <f>IF($A165="","",IF(Raw_Data!F165="",0,IF(KPI_Config!$C$6="L",IF(Raw_Data!F165&lt;=KPI_Config!$E$6,KPI_Config!$D$6,IF(AND(KPI_Config!$F$6&gt;0,Raw_Data!F165&lt;=KPI_Config!$G$6),KPI_Config!$F$6,0)),IF(Raw_Data!F165&gt;=KPI_Config!$E$6,KPI_Config!$D$6,IF(AND(KPI_Config!$F$6&gt;0,Raw_Data!F165&gt;=KPI_Config!$G$6),KPI_Config!$F$6,0)))))</f>
        <v>0</v>
      </c>
      <c r="G165" s="21">
        <f>IF($A165="","",IF(Raw_Data!G165="",0,IF(KPI_Config!$C$7="L",IF(Raw_Data!G165&lt;=KPI_Config!$E$7,KPI_Config!$D$7,IF(AND(KPI_Config!$F$7&gt;0,Raw_Data!G165&lt;=KPI_Config!$G$7),KPI_Config!$F$7,0)),IF(Raw_Data!G165&gt;=KPI_Config!$E$7,KPI_Config!$D$7,IF(AND(KPI_Config!$F$7&gt;0,Raw_Data!G165&gt;=KPI_Config!$G$7),KPI_Config!$F$7,0)))))</f>
        <v>0.2</v>
      </c>
      <c r="H165" s="21">
        <f>IF($A165="","",IF(Raw_Data!H165="",0,IF(KPI_Config!$C$8="L",IF(Raw_Data!H165&lt;=KPI_Config!$E$8,KPI_Config!$D$8,IF(AND(KPI_Config!$F$8&gt;0,Raw_Data!H165&lt;=KPI_Config!$G$8),KPI_Config!$F$8,0)),IF(Raw_Data!H165&gt;=KPI_Config!$E$8,KPI_Config!$D$8,IF(AND(KPI_Config!$F$8&gt;0,Raw_Data!H165&gt;=KPI_Config!$G$8),KPI_Config!$F$8,0)))))</f>
        <v>0</v>
      </c>
      <c r="I165" s="21">
        <f>IF($A165="","",IF(Raw_Data!I165="",0,IF(KPI_Config!$C$9="L",IF(Raw_Data!I165&lt;=KPI_Config!$E$9,KPI_Config!$D$9,IF(AND(KPI_Config!$F$9&gt;0,Raw_Data!I165&lt;=KPI_Config!$G$9),KPI_Config!$F$9,0)),IF(Raw_Data!I165&gt;=KPI_Config!$E$9,KPI_Config!$D$9,IF(AND(KPI_Config!$F$9&gt;0,Raw_Data!I165&gt;=KPI_Config!$G$9),KPI_Config!$F$9,0)))))</f>
        <v>0</v>
      </c>
      <c r="J165" s="21">
        <f>IF($A165="","",IF(Raw_Data!J165="",0,IF(KPI_Config!$C$10="L",IF(Raw_Data!J165&lt;=KPI_Config!$E$10,KPI_Config!$D$10,IF(AND(KPI_Config!$F$10&gt;0,Raw_Data!J165&lt;=KPI_Config!$G$10),KPI_Config!$F$10,0)),IF(Raw_Data!J165&gt;=KPI_Config!$E$10,KPI_Config!$D$10,IF(AND(KPI_Config!$F$10&gt;0,Raw_Data!J165&gt;=KPI_Config!$G$10),KPI_Config!$F$10,0)))))</f>
        <v>0</v>
      </c>
      <c r="K165" s="21">
        <f>IF($A165="","",IF(Raw_Data!G165="",0,IF(KPI_Config!$C$11="L",IF(Raw_Data!G165&lt;=KPI_Config!$E$11,KPI_Config!$D$11,IF(AND(KPI_Config!$F$11&gt;0,Raw_Data!G165&lt;=KPI_Config!$G$11),KPI_Config!$F$11,0)),IF(Raw_Data!G165&gt;=KPI_Config!$E$11,KPI_Config!$D$11,IF(AND(KPI_Config!$F$11&gt;0,Raw_Data!G165&gt;=KPI_Config!$G$11),KPI_Config!$F$11,0)))))</f>
        <v>0.3</v>
      </c>
      <c r="L165" s="21">
        <f>IF($A165="","",MIN(Policy_Decisions!$B$10,IF(Policy_Decisions!$B$6="Additive",SUM(E165:K165),SUM(E165:J165)-G165+MAX(G165,K165))))</f>
        <v>0.5</v>
      </c>
      <c r="M165" s="21">
        <f>IF($A165="","",Raw_Data!K165)</f>
        <v>0</v>
      </c>
      <c r="N165" s="21">
        <f>IF($A165="","",IFERROR(VLOOKUP(M165,KPI_Config!$I$5:$J$10,2,FALSE()),0))</f>
        <v>0</v>
      </c>
      <c r="O165" s="21">
        <f>IF($A165="","",IF(Policy_Decisions!$B$5="Percentage points",MAX(0,L165-N165),L165*(1-N165)))</f>
        <v>0.5</v>
      </c>
      <c r="P165" s="13" t="str">
        <f>IF($A165="","",IF(U165="","Review proration",IF(O165=0,"No payout",IF(N165&gt;0,"Malus applied","Eligible"))))</f>
        <v>Eligible</v>
      </c>
      <c r="Q165" s="13" t="str">
        <f>IF($A165="","",Raw_Data!M165)</f>
        <v>MAD</v>
      </c>
      <c r="R165" s="37">
        <f>IF($A165="","",Raw_Data!N165)</f>
        <v>0</v>
      </c>
      <c r="S165" s="37">
        <f>IF($A165="","",Raw_Data!O165)</f>
        <v>0</v>
      </c>
      <c r="T165" s="37">
        <f>IF($A165="","",IF(Raw_Data!P165&gt;0,Raw_Data!P165,Raw_Data!N165*Raw_Data!O165/IF(Policy_Decisions!$B$7="Annual",12,1)))</f>
        <v>2000</v>
      </c>
      <c r="U165" s="37">
        <f>IF($A165="","",IF(OR(Raw_Data!R165="",Raw_Data!R165&lt;=0),"",MIN(1,MAX(0,Raw_Data!Q165/Raw_Data!R165))))</f>
        <v>1</v>
      </c>
      <c r="V165" s="37">
        <f>IF(OR($A165="",U165=""),"",T165*U165)</f>
        <v>2000</v>
      </c>
      <c r="W165" s="37">
        <f>IF(OR($A165="",V165=""),"",V165*L165)</f>
        <v>1000</v>
      </c>
      <c r="X165" s="37">
        <f>IF(OR($A165="",V165=""),"",V165*L165-V165*O165)</f>
        <v>0</v>
      </c>
      <c r="Y165" s="37">
        <f>IF(OR($A165="",V165=""),"",ROUND(V165*O165,IF(Policy_Decisions!$B$11="Whole MAD",0,2)))</f>
        <v>1000</v>
      </c>
      <c r="Z165" t="str">
        <f>Raw_Data!T165</f>
        <v>Zineb MOUFID</v>
      </c>
      <c r="AA165" t="str">
        <f>Raw_Data!U165</f>
        <v>Anas OUAKKAD</v>
      </c>
    </row>
    <row r="166" spans="1:27" ht="14.25" customHeight="1">
      <c r="A166" s="15">
        <f>IF(Raw_Data!A166="","",Raw_Data!A166)</f>
        <v>205226</v>
      </c>
      <c r="B166" s="15" t="str">
        <f>IF(Raw_Data!B166="","",Raw_Data!B166)</f>
        <v>Farahi Abdelmalek</v>
      </c>
      <c r="C166" s="15" t="str">
        <f>IF(Raw_Data!C166="","",Raw_Data!C166)</f>
        <v>Ford Dutch</v>
      </c>
      <c r="D166" s="15" t="str">
        <f>IF(Raw_Data!D166="","",Raw_Data!D166)</f>
        <v>2026-07</v>
      </c>
      <c r="E166" s="16">
        <f>IF($A166="","",IF(Raw_Data!E166="",0,IF(KPI_Config!$C$5="L",IF(Raw_Data!E166&lt;=KPI_Config!$E$5,KPI_Config!$D$5,IF(AND(KPI_Config!$F$5&gt;0,Raw_Data!E166&lt;=KPI_Config!$G$5),KPI_Config!$F$5,0)),IF(Raw_Data!E166&gt;=KPI_Config!$E$5,KPI_Config!$D$5,IF(AND(KPI_Config!$F$5&gt;0,Raw_Data!E166&gt;=KPI_Config!$G$5),KPI_Config!$F$5,0)))))</f>
        <v>0</v>
      </c>
      <c r="F166" s="16">
        <f>IF($A166="","",IF(Raw_Data!F166="",0,IF(KPI_Config!$C$6="L",IF(Raw_Data!F166&lt;=KPI_Config!$E$6,KPI_Config!$D$6,IF(AND(KPI_Config!$F$6&gt;0,Raw_Data!F166&lt;=KPI_Config!$G$6),KPI_Config!$F$6,0)),IF(Raw_Data!F166&gt;=KPI_Config!$E$6,KPI_Config!$D$6,IF(AND(KPI_Config!$F$6&gt;0,Raw_Data!F166&gt;=KPI_Config!$G$6),KPI_Config!$F$6,0)))))</f>
        <v>0.15</v>
      </c>
      <c r="G166" s="16">
        <f>IF($A166="","",IF(Raw_Data!G166="",0,IF(KPI_Config!$C$7="L",IF(Raw_Data!G166&lt;=KPI_Config!$E$7,KPI_Config!$D$7,IF(AND(KPI_Config!$F$7&gt;0,Raw_Data!G166&lt;=KPI_Config!$G$7),KPI_Config!$F$7,0)),IF(Raw_Data!G166&gt;=KPI_Config!$E$7,KPI_Config!$D$7,IF(AND(KPI_Config!$F$7&gt;0,Raw_Data!G166&gt;=KPI_Config!$G$7),KPI_Config!$F$7,0)))))</f>
        <v>0.2</v>
      </c>
      <c r="H166" s="16">
        <f>IF($A166="","",IF(Raw_Data!H166="",0,IF(KPI_Config!$C$8="L",IF(Raw_Data!H166&lt;=KPI_Config!$E$8,KPI_Config!$D$8,IF(AND(KPI_Config!$F$8&gt;0,Raw_Data!H166&lt;=KPI_Config!$G$8),KPI_Config!$F$8,0)),IF(Raw_Data!H166&gt;=KPI_Config!$E$8,KPI_Config!$D$8,IF(AND(KPI_Config!$F$8&gt;0,Raw_Data!H166&gt;=KPI_Config!$G$8),KPI_Config!$F$8,0)))))</f>
        <v>0</v>
      </c>
      <c r="I166" s="16">
        <f>IF($A166="","",IF(Raw_Data!I166="",0,IF(KPI_Config!$C$9="L",IF(Raw_Data!I166&lt;=KPI_Config!$E$9,KPI_Config!$D$9,IF(AND(KPI_Config!$F$9&gt;0,Raw_Data!I166&lt;=KPI_Config!$G$9),KPI_Config!$F$9,0)),IF(Raw_Data!I166&gt;=KPI_Config!$E$9,KPI_Config!$D$9,IF(AND(KPI_Config!$F$9&gt;0,Raw_Data!I166&gt;=KPI_Config!$G$9),KPI_Config!$F$9,0)))))</f>
        <v>0</v>
      </c>
      <c r="J166" s="16">
        <f>IF($A166="","",IF(Raw_Data!J166="",0,IF(KPI_Config!$C$10="L",IF(Raw_Data!J166&lt;=KPI_Config!$E$10,KPI_Config!$D$10,IF(AND(KPI_Config!$F$10&gt;0,Raw_Data!J166&lt;=KPI_Config!$G$10),KPI_Config!$F$10,0)),IF(Raw_Data!J166&gt;=KPI_Config!$E$10,KPI_Config!$D$10,IF(AND(KPI_Config!$F$10&gt;0,Raw_Data!J166&gt;=KPI_Config!$G$10),KPI_Config!$F$10,0)))))</f>
        <v>0.15</v>
      </c>
      <c r="K166" s="16">
        <f>IF($A166="","",IF(Raw_Data!G166="",0,IF(KPI_Config!$C$11="L",IF(Raw_Data!G166&lt;=KPI_Config!$E$11,KPI_Config!$D$11,IF(AND(KPI_Config!$F$11&gt;0,Raw_Data!G166&lt;=KPI_Config!$G$11),KPI_Config!$F$11,0)),IF(Raw_Data!G166&gt;=KPI_Config!$E$11,KPI_Config!$D$11,IF(AND(KPI_Config!$F$11&gt;0,Raw_Data!G166&gt;=KPI_Config!$G$11),KPI_Config!$F$11,0)))))</f>
        <v>0.2</v>
      </c>
      <c r="L166" s="16">
        <f>IF($A166="","",MIN(Policy_Decisions!$B$10,IF(Policy_Decisions!$B$6="Additive",SUM(E166:K166),SUM(E166:J166)-G166+MAX(G166,K166))))</f>
        <v>0.7</v>
      </c>
      <c r="M166" s="16">
        <f>IF($A166="","",Raw_Data!K166)</f>
        <v>0</v>
      </c>
      <c r="N166" s="16">
        <f>IF($A166="","",IFERROR(VLOOKUP(M166,KPI_Config!$I$5:$J$10,2,FALSE()),0))</f>
        <v>0</v>
      </c>
      <c r="O166" s="16">
        <f>IF($A166="","",IF(Policy_Decisions!$B$5="Percentage points",MAX(0,L166-N166),L166*(1-N166)))</f>
        <v>0.7</v>
      </c>
      <c r="P166" s="15" t="str">
        <f>IF($A166="","",IF(U166="","Review proration",IF(O166=0,"No payout",IF(N166&gt;0,"Malus applied","Eligible"))))</f>
        <v>Eligible</v>
      </c>
      <c r="Q166" s="15" t="str">
        <f>IF($A166="","",Raw_Data!M166)</f>
        <v>MAD</v>
      </c>
      <c r="R166" s="38">
        <f>IF($A166="","",Raw_Data!N166)</f>
        <v>0</v>
      </c>
      <c r="S166" s="38">
        <f>IF($A166="","",Raw_Data!O166)</f>
        <v>0</v>
      </c>
      <c r="T166" s="38">
        <f>IF($A166="","",IF(Raw_Data!P166&gt;0,Raw_Data!P166,Raw_Data!N166*Raw_Data!O166/IF(Policy_Decisions!$B$7="Annual",12,1)))</f>
        <v>2000</v>
      </c>
      <c r="U166" s="38">
        <f>IF($A166="","",IF(OR(Raw_Data!R166="",Raw_Data!R166&lt;=0),"",MIN(1,MAX(0,Raw_Data!Q166/Raw_Data!R166))))</f>
        <v>1</v>
      </c>
      <c r="V166" s="38">
        <f>IF(OR($A166="",U166=""),"",T166*U166)</f>
        <v>2000</v>
      </c>
      <c r="W166" s="38">
        <f>IF(OR($A166="",V166=""),"",V166*L166)</f>
        <v>1400</v>
      </c>
      <c r="X166" s="38">
        <f>IF(OR($A166="",V166=""),"",V166*L166-V166*O166)</f>
        <v>0</v>
      </c>
      <c r="Y166" s="38">
        <f>IF(OR($A166="",V166=""),"",ROUND(V166*O166,IF(Policy_Decisions!$B$11="Whole MAD",0,2)))</f>
        <v>1400</v>
      </c>
      <c r="Z166" t="str">
        <f>Raw_Data!T166</f>
        <v>DERRAZI Ilyasse</v>
      </c>
      <c r="AA166" t="str">
        <f>Raw_Data!U166</f>
        <v>Anas OUAKKAD</v>
      </c>
    </row>
    <row r="167" spans="1:27" ht="14.25" customHeight="1">
      <c r="A167" s="13">
        <f>IF(Raw_Data!A167="","",Raw_Data!A167)</f>
        <v>204040</v>
      </c>
      <c r="B167" s="13" t="str">
        <f>IF(Raw_Data!B167="","",Raw_Data!B167)</f>
        <v>Redouane Abdelhamid</v>
      </c>
      <c r="C167" s="13" t="str">
        <f>IF(Raw_Data!C167="","",Raw_Data!C167)</f>
        <v>Ford Dutch</v>
      </c>
      <c r="D167" s="13" t="str">
        <f>IF(Raw_Data!D167="","",Raw_Data!D167)</f>
        <v>2026-07</v>
      </c>
      <c r="E167" s="21">
        <f>IF($A167="","",IF(Raw_Data!E167="",0,IF(KPI_Config!$C$5="L",IF(Raw_Data!E167&lt;=KPI_Config!$E$5,KPI_Config!$D$5,IF(AND(KPI_Config!$F$5&gt;0,Raw_Data!E167&lt;=KPI_Config!$G$5),KPI_Config!$F$5,0)),IF(Raw_Data!E167&gt;=KPI_Config!$E$5,KPI_Config!$D$5,IF(AND(KPI_Config!$F$5&gt;0,Raw_Data!E167&gt;=KPI_Config!$G$5),KPI_Config!$F$5,0)))))</f>
        <v>0</v>
      </c>
      <c r="F167" s="21">
        <f>IF($A167="","",IF(Raw_Data!F167="",0,IF(KPI_Config!$C$6="L",IF(Raw_Data!F167&lt;=KPI_Config!$E$6,KPI_Config!$D$6,IF(AND(KPI_Config!$F$6&gt;0,Raw_Data!F167&lt;=KPI_Config!$G$6),KPI_Config!$F$6,0)),IF(Raw_Data!F167&gt;=KPI_Config!$E$6,KPI_Config!$D$6,IF(AND(KPI_Config!$F$6&gt;0,Raw_Data!F167&gt;=KPI_Config!$G$6),KPI_Config!$F$6,0)))))</f>
        <v>0</v>
      </c>
      <c r="G167" s="21">
        <f>IF($A167="","",IF(Raw_Data!G167="",0,IF(KPI_Config!$C$7="L",IF(Raw_Data!G167&lt;=KPI_Config!$E$7,KPI_Config!$D$7,IF(AND(KPI_Config!$F$7&gt;0,Raw_Data!G167&lt;=KPI_Config!$G$7),KPI_Config!$F$7,0)),IF(Raw_Data!G167&gt;=KPI_Config!$E$7,KPI_Config!$D$7,IF(AND(KPI_Config!$F$7&gt;0,Raw_Data!G167&gt;=KPI_Config!$G$7),KPI_Config!$F$7,0)))))</f>
        <v>0.15</v>
      </c>
      <c r="H167" s="21">
        <f>IF($A167="","",IF(Raw_Data!H167="",0,IF(KPI_Config!$C$8="L",IF(Raw_Data!H167&lt;=KPI_Config!$E$8,KPI_Config!$D$8,IF(AND(KPI_Config!$F$8&gt;0,Raw_Data!H167&lt;=KPI_Config!$G$8),KPI_Config!$F$8,0)),IF(Raw_Data!H167&gt;=KPI_Config!$E$8,KPI_Config!$D$8,IF(AND(KPI_Config!$F$8&gt;0,Raw_Data!H167&gt;=KPI_Config!$G$8),KPI_Config!$F$8,0)))))</f>
        <v>0</v>
      </c>
      <c r="I167" s="21">
        <f>IF($A167="","",IF(Raw_Data!I167="",0,IF(KPI_Config!$C$9="L",IF(Raw_Data!I167&lt;=KPI_Config!$E$9,KPI_Config!$D$9,IF(AND(KPI_Config!$F$9&gt;0,Raw_Data!I167&lt;=KPI_Config!$G$9),KPI_Config!$F$9,0)),IF(Raw_Data!I167&gt;=KPI_Config!$E$9,KPI_Config!$D$9,IF(AND(KPI_Config!$F$9&gt;0,Raw_Data!I167&gt;=KPI_Config!$G$9),KPI_Config!$F$9,0)))))</f>
        <v>0</v>
      </c>
      <c r="J167" s="21">
        <f>IF($A167="","",IF(Raw_Data!J167="",0,IF(KPI_Config!$C$10="L",IF(Raw_Data!J167&lt;=KPI_Config!$E$10,KPI_Config!$D$10,IF(AND(KPI_Config!$F$10&gt;0,Raw_Data!J167&lt;=KPI_Config!$G$10),KPI_Config!$F$10,0)),IF(Raw_Data!J167&gt;=KPI_Config!$E$10,KPI_Config!$D$10,IF(AND(KPI_Config!$F$10&gt;0,Raw_Data!J167&gt;=KPI_Config!$G$10),KPI_Config!$F$10,0)))))</f>
        <v>0.15</v>
      </c>
      <c r="K167" s="21">
        <f>IF($A167="","",IF(Raw_Data!G167="",0,IF(KPI_Config!$C$11="L",IF(Raw_Data!G167&lt;=KPI_Config!$E$11,KPI_Config!$D$11,IF(AND(KPI_Config!$F$11&gt;0,Raw_Data!G167&lt;=KPI_Config!$G$11),KPI_Config!$F$11,0)),IF(Raw_Data!G167&gt;=KPI_Config!$E$11,KPI_Config!$D$11,IF(AND(KPI_Config!$F$11&gt;0,Raw_Data!G167&gt;=KPI_Config!$G$11),KPI_Config!$F$11,0)))))</f>
        <v>0</v>
      </c>
      <c r="L167" s="21">
        <f>IF($A167="","",MIN(Policy_Decisions!$B$10,IF(Policy_Decisions!$B$6="Additive",SUM(E167:K167),SUM(E167:J167)-G167+MAX(G167,K167))))</f>
        <v>0.3</v>
      </c>
      <c r="M167" s="21">
        <f>IF($A167="","",Raw_Data!K167)</f>
        <v>0</v>
      </c>
      <c r="N167" s="21">
        <f>IF($A167="","",IFERROR(VLOOKUP(M167,KPI_Config!$I$5:$J$10,2,FALSE()),0))</f>
        <v>0</v>
      </c>
      <c r="O167" s="21">
        <f>IF($A167="","",IF(Policy_Decisions!$B$5="Percentage points",MAX(0,L167-N167),L167*(1-N167)))</f>
        <v>0.3</v>
      </c>
      <c r="P167" s="13" t="str">
        <f>IF($A167="","",IF(U167="","Review proration",IF(O167=0,"No payout",IF(N167&gt;0,"Malus applied","Eligible"))))</f>
        <v>Eligible</v>
      </c>
      <c r="Q167" s="13" t="str">
        <f>IF($A167="","",Raw_Data!M167)</f>
        <v>MAD</v>
      </c>
      <c r="R167" s="37">
        <f>IF($A167="","",Raw_Data!N167)</f>
        <v>0</v>
      </c>
      <c r="S167" s="37">
        <f>IF($A167="","",Raw_Data!O167)</f>
        <v>0</v>
      </c>
      <c r="T167" s="37">
        <f>IF($A167="","",IF(Raw_Data!P167&gt;0,Raw_Data!P167,Raw_Data!N167*Raw_Data!O167/IF(Policy_Decisions!$B$7="Annual",12,1)))</f>
        <v>2000</v>
      </c>
      <c r="U167" s="37">
        <f>IF($A167="","",IF(OR(Raw_Data!R167="",Raw_Data!R167&lt;=0),"",MIN(1,MAX(0,Raw_Data!Q167/Raw_Data!R167))))</f>
        <v>1</v>
      </c>
      <c r="V167" s="37">
        <f>IF(OR($A167="",U167=""),"",T167*U167)</f>
        <v>2000</v>
      </c>
      <c r="W167" s="37">
        <f>IF(OR($A167="",V167=""),"",V167*L167)</f>
        <v>600</v>
      </c>
      <c r="X167" s="37">
        <f>IF(OR($A167="",V167=""),"",V167*L167-V167*O167)</f>
        <v>0</v>
      </c>
      <c r="Y167" s="37">
        <f>IF(OR($A167="",V167=""),"",ROUND(V167*O167,IF(Policy_Decisions!$B$11="Whole MAD",0,2)))</f>
        <v>600</v>
      </c>
      <c r="Z167" t="str">
        <f>Raw_Data!T167</f>
        <v>DERRAZI Ilyasse</v>
      </c>
      <c r="AA167" t="str">
        <f>Raw_Data!U167</f>
        <v>Anas OUAKKAD</v>
      </c>
    </row>
    <row r="168" spans="1:27" ht="14.25" customHeight="1">
      <c r="A168" s="15">
        <f>IF(Raw_Data!A168="","",Raw_Data!A168)</f>
        <v>203624</v>
      </c>
      <c r="B168" s="15" t="str">
        <f>IF(Raw_Data!B168="","",Raw_Data!B168)</f>
        <v>Khillane Abdelfattah</v>
      </c>
      <c r="C168" s="15" t="str">
        <f>IF(Raw_Data!C168="","",Raw_Data!C168)</f>
        <v>OEM FR</v>
      </c>
      <c r="D168" s="15" t="str">
        <f>IF(Raw_Data!D168="","",Raw_Data!D168)</f>
        <v>2026-07</v>
      </c>
      <c r="E168" s="16">
        <f>IF($A168="","",IF(Raw_Data!E168="",0,IF(KPI_Config!$C$5="L",IF(Raw_Data!E168&lt;=KPI_Config!$E$5,KPI_Config!$D$5,IF(AND(KPI_Config!$F$5&gt;0,Raw_Data!E168&lt;=KPI_Config!$G$5),KPI_Config!$F$5,0)),IF(Raw_Data!E168&gt;=KPI_Config!$E$5,KPI_Config!$D$5,IF(AND(KPI_Config!$F$5&gt;0,Raw_Data!E168&gt;=KPI_Config!$G$5),KPI_Config!$F$5,0)))))</f>
        <v>0</v>
      </c>
      <c r="F168" s="16">
        <f>IF($A168="","",IF(Raw_Data!F168="",0,IF(KPI_Config!$C$6="L",IF(Raw_Data!F168&lt;=KPI_Config!$E$6,KPI_Config!$D$6,IF(AND(KPI_Config!$F$6&gt;0,Raw_Data!F168&lt;=KPI_Config!$G$6),KPI_Config!$F$6,0)),IF(Raw_Data!F168&gt;=KPI_Config!$E$6,KPI_Config!$D$6,IF(AND(KPI_Config!$F$6&gt;0,Raw_Data!F168&gt;=KPI_Config!$G$6),KPI_Config!$F$6,0)))))</f>
        <v>0.15</v>
      </c>
      <c r="G168" s="16">
        <f>IF($A168="","",IF(Raw_Data!G168="",0,IF(KPI_Config!$C$7="L",IF(Raw_Data!G168&lt;=KPI_Config!$E$7,KPI_Config!$D$7,IF(AND(KPI_Config!$F$7&gt;0,Raw_Data!G168&lt;=KPI_Config!$G$7),KPI_Config!$F$7,0)),IF(Raw_Data!G168&gt;=KPI_Config!$E$7,KPI_Config!$D$7,IF(AND(KPI_Config!$F$7&gt;0,Raw_Data!G168&gt;=KPI_Config!$G$7),KPI_Config!$F$7,0)))))</f>
        <v>0.15</v>
      </c>
      <c r="H168" s="16">
        <f>IF($A168="","",IF(Raw_Data!H168="",0,IF(KPI_Config!$C$8="L",IF(Raw_Data!H168&lt;=KPI_Config!$E$8,KPI_Config!$D$8,IF(AND(KPI_Config!$F$8&gt;0,Raw_Data!H168&lt;=KPI_Config!$G$8),KPI_Config!$F$8,0)),IF(Raw_Data!H168&gt;=KPI_Config!$E$8,KPI_Config!$D$8,IF(AND(KPI_Config!$F$8&gt;0,Raw_Data!H168&gt;=KPI_Config!$G$8),KPI_Config!$F$8,0)))))</f>
        <v>0</v>
      </c>
      <c r="I168" s="16">
        <f>IF($A168="","",IF(Raw_Data!I168="",0,IF(KPI_Config!$C$9="L",IF(Raw_Data!I168&lt;=KPI_Config!$E$9,KPI_Config!$D$9,IF(AND(KPI_Config!$F$9&gt;0,Raw_Data!I168&lt;=KPI_Config!$G$9),KPI_Config!$F$9,0)),IF(Raw_Data!I168&gt;=KPI_Config!$E$9,KPI_Config!$D$9,IF(AND(KPI_Config!$F$9&gt;0,Raw_Data!I168&gt;=KPI_Config!$G$9),KPI_Config!$F$9,0)))))</f>
        <v>0</v>
      </c>
      <c r="J168" s="16">
        <f>IF($A168="","",IF(Raw_Data!J168="",0,IF(KPI_Config!$C$10="L",IF(Raw_Data!J168&lt;=KPI_Config!$E$10,KPI_Config!$D$10,IF(AND(KPI_Config!$F$10&gt;0,Raw_Data!J168&lt;=KPI_Config!$G$10),KPI_Config!$F$10,0)),IF(Raw_Data!J168&gt;=KPI_Config!$E$10,KPI_Config!$D$10,IF(AND(KPI_Config!$F$10&gt;0,Raw_Data!J168&gt;=KPI_Config!$G$10),KPI_Config!$F$10,0)))))</f>
        <v>0.15</v>
      </c>
      <c r="K168" s="16">
        <f>IF($A168="","",IF(Raw_Data!G168="",0,IF(KPI_Config!$C$11="L",IF(Raw_Data!G168&lt;=KPI_Config!$E$11,KPI_Config!$D$11,IF(AND(KPI_Config!$F$11&gt;0,Raw_Data!G168&lt;=KPI_Config!$G$11),KPI_Config!$F$11,0)),IF(Raw_Data!G168&gt;=KPI_Config!$E$11,KPI_Config!$D$11,IF(AND(KPI_Config!$F$11&gt;0,Raw_Data!G168&gt;=KPI_Config!$G$11),KPI_Config!$F$11,0)))))</f>
        <v>0</v>
      </c>
      <c r="L168" s="16">
        <f>IF($A168="","",MIN(Policy_Decisions!$B$10,IF(Policy_Decisions!$B$6="Additive",SUM(E168:K168),SUM(E168:J168)-G168+MAX(G168,K168))))</f>
        <v>0.44999999999999996</v>
      </c>
      <c r="M168" s="16">
        <f>IF($A168="","",Raw_Data!K168)</f>
        <v>0</v>
      </c>
      <c r="N168" s="16">
        <f>IF($A168="","",IFERROR(VLOOKUP(M168,KPI_Config!$I$5:$J$10,2,FALSE()),0))</f>
        <v>0</v>
      </c>
      <c r="O168" s="16">
        <f>IF($A168="","",IF(Policy_Decisions!$B$5="Percentage points",MAX(0,L168-N168),L168*(1-N168)))</f>
        <v>0.44999999999999996</v>
      </c>
      <c r="P168" s="15" t="str">
        <f>IF($A168="","",IF(U168="","Review proration",IF(O168=0,"No payout",IF(N168&gt;0,"Malus applied","Eligible"))))</f>
        <v>Eligible</v>
      </c>
      <c r="Q168" s="15" t="str">
        <f>IF($A168="","",Raw_Data!M168)</f>
        <v>MAD</v>
      </c>
      <c r="R168" s="38">
        <f>IF($A168="","",Raw_Data!N168)</f>
        <v>0</v>
      </c>
      <c r="S168" s="38">
        <f>IF($A168="","",Raw_Data!O168)</f>
        <v>0</v>
      </c>
      <c r="T168" s="38">
        <f>IF($A168="","",IF(Raw_Data!P168&gt;0,Raw_Data!P168,Raw_Data!N168*Raw_Data!O168/IF(Policy_Decisions!$B$7="Annual",12,1)))</f>
        <v>2000</v>
      </c>
      <c r="U168" s="38">
        <f>IF($A168="","",IF(OR(Raw_Data!R168="",Raw_Data!R168&lt;=0),"",MIN(1,MAX(0,Raw_Data!Q168/Raw_Data!R168))))</f>
        <v>1</v>
      </c>
      <c r="V168" s="38">
        <f>IF(OR($A168="",U168=""),"",T168*U168)</f>
        <v>2000</v>
      </c>
      <c r="W168" s="38">
        <f>IF(OR($A168="",V168=""),"",V168*L168)</f>
        <v>899.99999999999989</v>
      </c>
      <c r="X168" s="38">
        <f>IF(OR($A168="",V168=""),"",V168*L168-V168*O168)</f>
        <v>0</v>
      </c>
      <c r="Y168" s="38">
        <f>IF(OR($A168="",V168=""),"",ROUND(V168*O168,IF(Policy_Decisions!$B$11="Whole MAD",0,2)))</f>
        <v>900</v>
      </c>
      <c r="Z168" t="str">
        <f>Raw_Data!T168</f>
        <v>Farouk BOUAZZAOUI</v>
      </c>
      <c r="AA168" t="str">
        <f>Raw_Data!U168</f>
        <v>Anas OUAKKAD</v>
      </c>
    </row>
    <row r="169" spans="1:27" ht="14.25" customHeight="1">
      <c r="A169" s="13">
        <f>IF(Raw_Data!A169="","",Raw_Data!A169)</f>
        <v>205225</v>
      </c>
      <c r="B169" s="13" t="str">
        <f>IF(Raw_Data!B169="","",Raw_Data!B169)</f>
        <v>Hajjab Abdelfatah</v>
      </c>
      <c r="C169" s="13" t="str">
        <f>IF(Raw_Data!C169="","",Raw_Data!C169)</f>
        <v>Ford Dutch</v>
      </c>
      <c r="D169" s="13" t="str">
        <f>IF(Raw_Data!D169="","",Raw_Data!D169)</f>
        <v>2026-07</v>
      </c>
      <c r="E169" s="21">
        <f>IF($A169="","",IF(Raw_Data!E169="",0,IF(KPI_Config!$C$5="L",IF(Raw_Data!E169&lt;=KPI_Config!$E$5,KPI_Config!$D$5,IF(AND(KPI_Config!$F$5&gt;0,Raw_Data!E169&lt;=KPI_Config!$G$5),KPI_Config!$F$5,0)),IF(Raw_Data!E169&gt;=KPI_Config!$E$5,KPI_Config!$D$5,IF(AND(KPI_Config!$F$5&gt;0,Raw_Data!E169&gt;=KPI_Config!$G$5),KPI_Config!$F$5,0)))))</f>
        <v>0</v>
      </c>
      <c r="F169" s="21">
        <f>IF($A169="","",IF(Raw_Data!F169="",0,IF(KPI_Config!$C$6="L",IF(Raw_Data!F169&lt;=KPI_Config!$E$6,KPI_Config!$D$6,IF(AND(KPI_Config!$F$6&gt;0,Raw_Data!F169&lt;=KPI_Config!$G$6),KPI_Config!$F$6,0)),IF(Raw_Data!F169&gt;=KPI_Config!$E$6,KPI_Config!$D$6,IF(AND(KPI_Config!$F$6&gt;0,Raw_Data!F169&gt;=KPI_Config!$G$6),KPI_Config!$F$6,0)))))</f>
        <v>0</v>
      </c>
      <c r="G169" s="21">
        <f>IF($A169="","",IF(Raw_Data!G169="",0,IF(KPI_Config!$C$7="L",IF(Raw_Data!G169&lt;=KPI_Config!$E$7,KPI_Config!$D$7,IF(AND(KPI_Config!$F$7&gt;0,Raw_Data!G169&lt;=KPI_Config!$G$7),KPI_Config!$F$7,0)),IF(Raw_Data!G169&gt;=KPI_Config!$E$7,KPI_Config!$D$7,IF(AND(KPI_Config!$F$7&gt;0,Raw_Data!G169&gt;=KPI_Config!$G$7),KPI_Config!$F$7,0)))))</f>
        <v>0</v>
      </c>
      <c r="H169" s="21">
        <f>IF($A169="","",IF(Raw_Data!H169="",0,IF(KPI_Config!$C$8="L",IF(Raw_Data!H169&lt;=KPI_Config!$E$8,KPI_Config!$D$8,IF(AND(KPI_Config!$F$8&gt;0,Raw_Data!H169&lt;=KPI_Config!$G$8),KPI_Config!$F$8,0)),IF(Raw_Data!H169&gt;=KPI_Config!$E$8,KPI_Config!$D$8,IF(AND(KPI_Config!$F$8&gt;0,Raw_Data!H169&gt;=KPI_Config!$G$8),KPI_Config!$F$8,0)))))</f>
        <v>0</v>
      </c>
      <c r="I169" s="21">
        <f>IF($A169="","",IF(Raw_Data!I169="",0,IF(KPI_Config!$C$9="L",IF(Raw_Data!I169&lt;=KPI_Config!$E$9,KPI_Config!$D$9,IF(AND(KPI_Config!$F$9&gt;0,Raw_Data!I169&lt;=KPI_Config!$G$9),KPI_Config!$F$9,0)),IF(Raw_Data!I169&gt;=KPI_Config!$E$9,KPI_Config!$D$9,IF(AND(KPI_Config!$F$9&gt;0,Raw_Data!I169&gt;=KPI_Config!$G$9),KPI_Config!$F$9,0)))))</f>
        <v>0</v>
      </c>
      <c r="J169" s="21">
        <f>IF($A169="","",IF(Raw_Data!J169="",0,IF(KPI_Config!$C$10="L",IF(Raw_Data!J169&lt;=KPI_Config!$E$10,KPI_Config!$D$10,IF(AND(KPI_Config!$F$10&gt;0,Raw_Data!J169&lt;=KPI_Config!$G$10),KPI_Config!$F$10,0)),IF(Raw_Data!J169&gt;=KPI_Config!$E$10,KPI_Config!$D$10,IF(AND(KPI_Config!$F$10&gt;0,Raw_Data!J169&gt;=KPI_Config!$G$10),KPI_Config!$F$10,0)))))</f>
        <v>0.15</v>
      </c>
      <c r="K169" s="21">
        <f>IF($A169="","",IF(Raw_Data!G169="",0,IF(KPI_Config!$C$11="L",IF(Raw_Data!G169&lt;=KPI_Config!$E$11,KPI_Config!$D$11,IF(AND(KPI_Config!$F$11&gt;0,Raw_Data!G169&lt;=KPI_Config!$G$11),KPI_Config!$F$11,0)),IF(Raw_Data!G169&gt;=KPI_Config!$E$11,KPI_Config!$D$11,IF(AND(KPI_Config!$F$11&gt;0,Raw_Data!G169&gt;=KPI_Config!$G$11),KPI_Config!$F$11,0)))))</f>
        <v>0</v>
      </c>
      <c r="L169" s="21">
        <f>IF($A169="","",MIN(Policy_Decisions!$B$10,IF(Policy_Decisions!$B$6="Additive",SUM(E169:K169),SUM(E169:J169)-G169+MAX(G169,K169))))</f>
        <v>0.15</v>
      </c>
      <c r="M169" s="21">
        <f>IF($A169="","",Raw_Data!K169)</f>
        <v>0</v>
      </c>
      <c r="N169" s="21">
        <f>IF($A169="","",IFERROR(VLOOKUP(M169,KPI_Config!$I$5:$J$10,2,FALSE()),0))</f>
        <v>0</v>
      </c>
      <c r="O169" s="21">
        <f>IF($A169="","",IF(Policy_Decisions!$B$5="Percentage points",MAX(0,L169-N169),L169*(1-N169)))</f>
        <v>0.15</v>
      </c>
      <c r="P169" s="13" t="str">
        <f>IF($A169="","",IF(U169="","Review proration",IF(O169=0,"No payout",IF(N169&gt;0,"Malus applied","Eligible"))))</f>
        <v>Eligible</v>
      </c>
      <c r="Q169" s="13" t="str">
        <f>IF($A169="","",Raw_Data!M169)</f>
        <v>MAD</v>
      </c>
      <c r="R169" s="37">
        <f>IF($A169="","",Raw_Data!N169)</f>
        <v>0</v>
      </c>
      <c r="S169" s="37">
        <f>IF($A169="","",Raw_Data!O169)</f>
        <v>0</v>
      </c>
      <c r="T169" s="37">
        <f>IF($A169="","",IF(Raw_Data!P169&gt;0,Raw_Data!P169,Raw_Data!N169*Raw_Data!O169/IF(Policy_Decisions!$B$7="Annual",12,1)))</f>
        <v>2000</v>
      </c>
      <c r="U169" s="37">
        <f>IF($A169="","",IF(OR(Raw_Data!R169="",Raw_Data!R169&lt;=0),"",MIN(1,MAX(0,Raw_Data!Q169/Raw_Data!R169))))</f>
        <v>1</v>
      </c>
      <c r="V169" s="37">
        <f>IF(OR($A169="",U169=""),"",T169*U169)</f>
        <v>2000</v>
      </c>
      <c r="W169" s="37">
        <f>IF(OR($A169="",V169=""),"",V169*L169)</f>
        <v>300</v>
      </c>
      <c r="X169" s="37">
        <f>IF(OR($A169="",V169=""),"",V169*L169-V169*O169)</f>
        <v>0</v>
      </c>
      <c r="Y169" s="37">
        <f>IF(OR($A169="",V169=""),"",ROUND(V169*O169,IF(Policy_Decisions!$B$11="Whole MAD",0,2)))</f>
        <v>300</v>
      </c>
      <c r="Z169" t="str">
        <f>Raw_Data!T169</f>
        <v>DERRAZI Ilyasse</v>
      </c>
      <c r="AA169" t="str">
        <f>Raw_Data!U169</f>
        <v>Anas OUAKKAD</v>
      </c>
    </row>
    <row r="170" spans="1:27" ht="14.25" customHeight="1">
      <c r="A170" s="15">
        <f>IF(Raw_Data!A170="","",Raw_Data!A170)</f>
        <v>96528</v>
      </c>
      <c r="B170" s="15" t="str">
        <f>IF(Raw_Data!B170="","",Raw_Data!B170)</f>
        <v>BEN SALAH Abdelali</v>
      </c>
      <c r="C170" s="15" t="str">
        <f>IF(Raw_Data!C170="","",Raw_Data!C170)</f>
        <v>RSA NL</v>
      </c>
      <c r="D170" s="15" t="str">
        <f>IF(Raw_Data!D170="","",Raw_Data!D170)</f>
        <v>2026-07</v>
      </c>
      <c r="E170" s="16">
        <f>IF($A170="","",IF(Raw_Data!E170="",0,IF(KPI_Config!$C$5="L",IF(Raw_Data!E170&lt;=KPI_Config!$E$5,KPI_Config!$D$5,IF(AND(KPI_Config!$F$5&gt;0,Raw_Data!E170&lt;=KPI_Config!$G$5),KPI_Config!$F$5,0)),IF(Raw_Data!E170&gt;=KPI_Config!$E$5,KPI_Config!$D$5,IF(AND(KPI_Config!$F$5&gt;0,Raw_Data!E170&gt;=KPI_Config!$G$5),KPI_Config!$F$5,0)))))</f>
        <v>0.15</v>
      </c>
      <c r="F170" s="16">
        <f>IF($A170="","",IF(Raw_Data!F170="",0,IF(KPI_Config!$C$6="L",IF(Raw_Data!F170&lt;=KPI_Config!$E$6,KPI_Config!$D$6,IF(AND(KPI_Config!$F$6&gt;0,Raw_Data!F170&lt;=KPI_Config!$G$6),KPI_Config!$F$6,0)),IF(Raw_Data!F170&gt;=KPI_Config!$E$6,KPI_Config!$D$6,IF(AND(KPI_Config!$F$6&gt;0,Raw_Data!F170&gt;=KPI_Config!$G$6),KPI_Config!$F$6,0)))))</f>
        <v>0.15</v>
      </c>
      <c r="G170" s="16">
        <f>IF($A170="","",IF(Raw_Data!G170="",0,IF(KPI_Config!$C$7="L",IF(Raw_Data!G170&lt;=KPI_Config!$E$7,KPI_Config!$D$7,IF(AND(KPI_Config!$F$7&gt;0,Raw_Data!G170&lt;=KPI_Config!$G$7),KPI_Config!$F$7,0)),IF(Raw_Data!G170&gt;=KPI_Config!$E$7,KPI_Config!$D$7,IF(AND(KPI_Config!$F$7&gt;0,Raw_Data!G170&gt;=KPI_Config!$G$7),KPI_Config!$F$7,0)))))</f>
        <v>0</v>
      </c>
      <c r="H170" s="16">
        <f>IF($A170="","",IF(Raw_Data!H170="",0,IF(KPI_Config!$C$8="L",IF(Raw_Data!H170&lt;=KPI_Config!$E$8,KPI_Config!$D$8,IF(AND(KPI_Config!$F$8&gt;0,Raw_Data!H170&lt;=KPI_Config!$G$8),KPI_Config!$F$8,0)),IF(Raw_Data!H170&gt;=KPI_Config!$E$8,KPI_Config!$D$8,IF(AND(KPI_Config!$F$8&gt;0,Raw_Data!H170&gt;=KPI_Config!$G$8),KPI_Config!$F$8,0)))))</f>
        <v>0</v>
      </c>
      <c r="I170" s="16">
        <f>IF($A170="","",IF(Raw_Data!I170="",0,IF(KPI_Config!$C$9="L",IF(Raw_Data!I170&lt;=KPI_Config!$E$9,KPI_Config!$D$9,IF(AND(KPI_Config!$F$9&gt;0,Raw_Data!I170&lt;=KPI_Config!$G$9),KPI_Config!$F$9,0)),IF(Raw_Data!I170&gt;=KPI_Config!$E$9,KPI_Config!$D$9,IF(AND(KPI_Config!$F$9&gt;0,Raw_Data!I170&gt;=KPI_Config!$G$9),KPI_Config!$F$9,0)))))</f>
        <v>0</v>
      </c>
      <c r="J170" s="16">
        <f>IF($A170="","",IF(Raw_Data!J170="",0,IF(KPI_Config!$C$10="L",IF(Raw_Data!J170&lt;=KPI_Config!$E$10,KPI_Config!$D$10,IF(AND(KPI_Config!$F$10&gt;0,Raw_Data!J170&lt;=KPI_Config!$G$10),KPI_Config!$F$10,0)),IF(Raw_Data!J170&gt;=KPI_Config!$E$10,KPI_Config!$D$10,IF(AND(KPI_Config!$F$10&gt;0,Raw_Data!J170&gt;=KPI_Config!$G$10),KPI_Config!$F$10,0)))))</f>
        <v>0.15</v>
      </c>
      <c r="K170" s="16">
        <f>IF($A170="","",IF(Raw_Data!G170="",0,IF(KPI_Config!$C$11="L",IF(Raw_Data!G170&lt;=KPI_Config!$E$11,KPI_Config!$D$11,IF(AND(KPI_Config!$F$11&gt;0,Raw_Data!G170&lt;=KPI_Config!$G$11),KPI_Config!$F$11,0)),IF(Raw_Data!G170&gt;=KPI_Config!$E$11,KPI_Config!$D$11,IF(AND(KPI_Config!$F$11&gt;0,Raw_Data!G170&gt;=KPI_Config!$G$11),KPI_Config!$F$11,0)))))</f>
        <v>0</v>
      </c>
      <c r="L170" s="16">
        <f>IF($A170="","",MIN(Policy_Decisions!$B$10,IF(Policy_Decisions!$B$6="Additive",SUM(E170:K170),SUM(E170:J170)-G170+MAX(G170,K170))))</f>
        <v>0.44999999999999996</v>
      </c>
      <c r="M170" s="16">
        <f>IF($A170="","",Raw_Data!K170)</f>
        <v>0</v>
      </c>
      <c r="N170" s="16">
        <f>IF($A170="","",IFERROR(VLOOKUP(M170,KPI_Config!$I$5:$J$10,2,FALSE()),0))</f>
        <v>0</v>
      </c>
      <c r="O170" s="16">
        <f>IF($A170="","",IF(Policy_Decisions!$B$5="Percentage points",MAX(0,L170-N170),L170*(1-N170)))</f>
        <v>0.44999999999999996</v>
      </c>
      <c r="P170" s="15" t="str">
        <f>IF($A170="","",IF(U170="","Review proration",IF(O170=0,"No payout",IF(N170&gt;0,"Malus applied","Eligible"))))</f>
        <v>Eligible</v>
      </c>
      <c r="Q170" s="15" t="str">
        <f>IF($A170="","",Raw_Data!M170)</f>
        <v>MAD</v>
      </c>
      <c r="R170" s="38">
        <f>IF($A170="","",Raw_Data!N170)</f>
        <v>0</v>
      </c>
      <c r="S170" s="38">
        <f>IF($A170="","",Raw_Data!O170)</f>
        <v>0</v>
      </c>
      <c r="T170" s="38">
        <f>IF($A170="","",IF(Raw_Data!P170&gt;0,Raw_Data!P170,Raw_Data!N170*Raw_Data!O170/IF(Policy_Decisions!$B$7="Annual",12,1)))</f>
        <v>2000</v>
      </c>
      <c r="U170" s="38">
        <f>IF($A170="","",IF(OR(Raw_Data!R170="",Raw_Data!R170&lt;=0),"",MIN(1,MAX(0,Raw_Data!Q170/Raw_Data!R170))))</f>
        <v>1</v>
      </c>
      <c r="V170" s="38">
        <f>IF(OR($A170="",U170=""),"",T170*U170)</f>
        <v>2000</v>
      </c>
      <c r="W170" s="38">
        <f>IF(OR($A170="",V170=""),"",V170*L170)</f>
        <v>899.99999999999989</v>
      </c>
      <c r="X170" s="38">
        <f>IF(OR($A170="",V170=""),"",V170*L170-V170*O170)</f>
        <v>0</v>
      </c>
      <c r="Y170" s="38">
        <f>IF(OR($A170="",V170=""),"",ROUND(V170*O170,IF(Policy_Decisions!$B$11="Whole MAD",0,2)))</f>
        <v>900</v>
      </c>
      <c r="Z170" t="str">
        <f>Raw_Data!T170</f>
        <v>AL TAMIMI Zeynab</v>
      </c>
      <c r="AA170" t="str">
        <f>Raw_Data!U170</f>
        <v>Anas OUAKKAD</v>
      </c>
    </row>
    <row r="171" spans="1:27" ht="14.25" customHeight="1">
      <c r="A171" s="13">
        <f>IF(Raw_Data!A171="","",Raw_Data!A171)</f>
        <v>247912</v>
      </c>
      <c r="B171" s="13" t="str">
        <f>IF(Raw_Data!B171="","",Raw_Data!B171)</f>
        <v>Abdel Halim Pakhrou</v>
      </c>
      <c r="C171" s="13" t="str">
        <f>IF(Raw_Data!C171="","",Raw_Data!C171)</f>
        <v>RSA NL</v>
      </c>
      <c r="D171" s="13" t="str">
        <f>IF(Raw_Data!D171="","",Raw_Data!D171)</f>
        <v>2026-07</v>
      </c>
      <c r="E171" s="21">
        <f>IF($A171="","",IF(Raw_Data!E171="",0,IF(KPI_Config!$C$5="L",IF(Raw_Data!E171&lt;=KPI_Config!$E$5,KPI_Config!$D$5,IF(AND(KPI_Config!$F$5&gt;0,Raw_Data!E171&lt;=KPI_Config!$G$5),KPI_Config!$F$5,0)),IF(Raw_Data!E171&gt;=KPI_Config!$E$5,KPI_Config!$D$5,IF(AND(KPI_Config!$F$5&gt;0,Raw_Data!E171&gt;=KPI_Config!$G$5),KPI_Config!$F$5,0)))))</f>
        <v>0</v>
      </c>
      <c r="F171" s="21">
        <f>IF($A171="","",IF(Raw_Data!F171="",0,IF(KPI_Config!$C$6="L",IF(Raw_Data!F171&lt;=KPI_Config!$E$6,KPI_Config!$D$6,IF(AND(KPI_Config!$F$6&gt;0,Raw_Data!F171&lt;=KPI_Config!$G$6),KPI_Config!$F$6,0)),IF(Raw_Data!F171&gt;=KPI_Config!$E$6,KPI_Config!$D$6,IF(AND(KPI_Config!$F$6&gt;0,Raw_Data!F171&gt;=KPI_Config!$G$6),KPI_Config!$F$6,0)))))</f>
        <v>0</v>
      </c>
      <c r="G171" s="21">
        <f>IF($A171="","",IF(Raw_Data!G171="",0,IF(KPI_Config!$C$7="L",IF(Raw_Data!G171&lt;=KPI_Config!$E$7,KPI_Config!$D$7,IF(AND(KPI_Config!$F$7&gt;0,Raw_Data!G171&lt;=KPI_Config!$G$7),KPI_Config!$F$7,0)),IF(Raw_Data!G171&gt;=KPI_Config!$E$7,KPI_Config!$D$7,IF(AND(KPI_Config!$F$7&gt;0,Raw_Data!G171&gt;=KPI_Config!$G$7),KPI_Config!$F$7,0)))))</f>
        <v>0</v>
      </c>
      <c r="H171" s="21">
        <f>IF($A171="","",IF(Raw_Data!H171="",0,IF(KPI_Config!$C$8="L",IF(Raw_Data!H171&lt;=KPI_Config!$E$8,KPI_Config!$D$8,IF(AND(KPI_Config!$F$8&gt;0,Raw_Data!H171&lt;=KPI_Config!$G$8),KPI_Config!$F$8,0)),IF(Raw_Data!H171&gt;=KPI_Config!$E$8,KPI_Config!$D$8,IF(AND(KPI_Config!$F$8&gt;0,Raw_Data!H171&gt;=KPI_Config!$G$8),KPI_Config!$F$8,0)))))</f>
        <v>0</v>
      </c>
      <c r="I171" s="21">
        <f>IF($A171="","",IF(Raw_Data!I171="",0,IF(KPI_Config!$C$9="L",IF(Raw_Data!I171&lt;=KPI_Config!$E$9,KPI_Config!$D$9,IF(AND(KPI_Config!$F$9&gt;0,Raw_Data!I171&lt;=KPI_Config!$G$9),KPI_Config!$F$9,0)),IF(Raw_Data!I171&gt;=KPI_Config!$E$9,KPI_Config!$D$9,IF(AND(KPI_Config!$F$9&gt;0,Raw_Data!I171&gt;=KPI_Config!$G$9),KPI_Config!$F$9,0)))))</f>
        <v>0</v>
      </c>
      <c r="J171" s="21">
        <f>IF($A171="","",IF(Raw_Data!J171="",0,IF(KPI_Config!$C$10="L",IF(Raw_Data!J171&lt;=KPI_Config!$E$10,KPI_Config!$D$10,IF(AND(KPI_Config!$F$10&gt;0,Raw_Data!J171&lt;=KPI_Config!$G$10),KPI_Config!$F$10,0)),IF(Raw_Data!J171&gt;=KPI_Config!$E$10,KPI_Config!$D$10,IF(AND(KPI_Config!$F$10&gt;0,Raw_Data!J171&gt;=KPI_Config!$G$10),KPI_Config!$F$10,0)))))</f>
        <v>0</v>
      </c>
      <c r="K171" s="21">
        <f>IF($A171="","",IF(Raw_Data!G171="",0,IF(KPI_Config!$C$11="L",IF(Raw_Data!G171&lt;=KPI_Config!$E$11,KPI_Config!$D$11,IF(AND(KPI_Config!$F$11&gt;0,Raw_Data!G171&lt;=KPI_Config!$G$11),KPI_Config!$F$11,0)),IF(Raw_Data!G171&gt;=KPI_Config!$E$11,KPI_Config!$D$11,IF(AND(KPI_Config!$F$11&gt;0,Raw_Data!G171&gt;=KPI_Config!$G$11),KPI_Config!$F$11,0)))))</f>
        <v>0</v>
      </c>
      <c r="L171" s="21">
        <f>IF($A171="","",MIN(Policy_Decisions!$B$10,IF(Policy_Decisions!$B$6="Additive",SUM(E171:K171),SUM(E171:J171)-G171+MAX(G171,K171))))</f>
        <v>0</v>
      </c>
      <c r="M171" s="21">
        <f>IF($A171="","",Raw_Data!K171)</f>
        <v>0</v>
      </c>
      <c r="N171" s="21">
        <f>IF($A171="","",IFERROR(VLOOKUP(M171,KPI_Config!$I$5:$J$10,2,FALSE()),0))</f>
        <v>0</v>
      </c>
      <c r="O171" s="21">
        <f>IF($A171="","",IF(Policy_Decisions!$B$5="Percentage points",MAX(0,L171-N171),L171*(1-N171)))</f>
        <v>0</v>
      </c>
      <c r="P171" s="13" t="str">
        <f>IF($A171="","",IF(U171="","Review proration",IF(O171=0,"No payout",IF(N171&gt;0,"Malus applied","Eligible"))))</f>
        <v>No payout</v>
      </c>
      <c r="Q171" s="13" t="str">
        <f>IF($A171="","",Raw_Data!M171)</f>
        <v>MAD</v>
      </c>
      <c r="R171" s="37">
        <f>IF($A171="","",Raw_Data!N171)</f>
        <v>0</v>
      </c>
      <c r="S171" s="37">
        <f>IF($A171="","",Raw_Data!O171)</f>
        <v>0</v>
      </c>
      <c r="T171" s="37">
        <f>IF($A171="","",IF(Raw_Data!P171&gt;0,Raw_Data!P171,Raw_Data!N171*Raw_Data!O171/IF(Policy_Decisions!$B$7="Annual",12,1)))</f>
        <v>2000</v>
      </c>
      <c r="U171" s="37">
        <f>IF($A171="","",IF(OR(Raw_Data!R171="",Raw_Data!R171&lt;=0),"",MIN(1,MAX(0,Raw_Data!Q171/Raw_Data!R171))))</f>
        <v>1</v>
      </c>
      <c r="V171" s="37">
        <f>IF(OR($A171="",U171=""),"",T171*U171)</f>
        <v>2000</v>
      </c>
      <c r="W171" s="37">
        <f>IF(OR($A171="",V171=""),"",V171*L171)</f>
        <v>0</v>
      </c>
      <c r="X171" s="37">
        <f>IF(OR($A171="",V171=""),"",V171*L171-V171*O171)</f>
        <v>0</v>
      </c>
      <c r="Y171" s="37">
        <f>IF(OR($A171="",V171=""),"",ROUND(V171*O171,IF(Policy_Decisions!$B$11="Whole MAD",0,2)))</f>
        <v>0</v>
      </c>
      <c r="Z171" t="str">
        <f>Raw_Data!T171</f>
        <v>KAIKAI Faissal</v>
      </c>
      <c r="AA171" t="str">
        <f>Raw_Data!U171</f>
        <v>Anas OUAKKAD</v>
      </c>
    </row>
    <row r="172" spans="1:27" ht="14.25" customHeight="1">
      <c r="A172" s="15" t="str">
        <f>IF(Raw_Data!A172="","",Raw_Data!A172)</f>
        <v/>
      </c>
      <c r="B172" s="15" t="str">
        <f>IF(Raw_Data!B172="","",Raw_Data!B172)</f>
        <v/>
      </c>
      <c r="C172" s="15" t="str">
        <f>IF(Raw_Data!C172="","",Raw_Data!C172)</f>
        <v/>
      </c>
      <c r="D172" s="15" t="str">
        <f>IF(Raw_Data!D172="","",Raw_Data!D172)</f>
        <v/>
      </c>
      <c r="E172" s="16" t="str">
        <f>IF($A172="","",IF(Raw_Data!E172="",0,IF(KPI_Config!$C$5="L",IF(Raw_Data!E172&lt;=KPI_Config!$E$5,KPI_Config!$D$5,IF(AND(KPI_Config!$F$5&gt;0,Raw_Data!E172&lt;=KPI_Config!$G$5),KPI_Config!$F$5,0)),IF(Raw_Data!E172&gt;=KPI_Config!$E$5,KPI_Config!$D$5,IF(AND(KPI_Config!$F$5&gt;0,Raw_Data!E172&gt;=KPI_Config!$G$5),KPI_Config!$F$5,0)))))</f>
        <v/>
      </c>
      <c r="F172" s="16" t="str">
        <f>IF($A172="","",IF(Raw_Data!F172="",0,IF(KPI_Config!$C$6="L",IF(Raw_Data!F172&lt;=KPI_Config!$E$6,KPI_Config!$D$6,IF(AND(KPI_Config!$F$6&gt;0,Raw_Data!F172&lt;=KPI_Config!$G$6),KPI_Config!$F$6,0)),IF(Raw_Data!F172&gt;=KPI_Config!$E$6,KPI_Config!$D$6,IF(AND(KPI_Config!$F$6&gt;0,Raw_Data!F172&gt;=KPI_Config!$G$6),KPI_Config!$F$6,0)))))</f>
        <v/>
      </c>
      <c r="G172" s="16" t="str">
        <f>IF($A172="","",IF(Raw_Data!G172="",0,IF(KPI_Config!$C$7="L",IF(Raw_Data!G172&lt;=KPI_Config!$E$7,KPI_Config!$D$7,IF(AND(KPI_Config!$F$7&gt;0,Raw_Data!G172&lt;=KPI_Config!$G$7),KPI_Config!$F$7,0)),IF(Raw_Data!G172&gt;=KPI_Config!$E$7,KPI_Config!$D$7,IF(AND(KPI_Config!$F$7&gt;0,Raw_Data!G172&gt;=KPI_Config!$G$7),KPI_Config!$F$7,0)))))</f>
        <v/>
      </c>
      <c r="H172" s="16" t="str">
        <f>IF($A172="","",IF(Raw_Data!H172="",0,IF(KPI_Config!$C$8="L",IF(Raw_Data!H172&lt;=KPI_Config!$E$8,KPI_Config!$D$8,IF(AND(KPI_Config!$F$8&gt;0,Raw_Data!H172&lt;=KPI_Config!$G$8),KPI_Config!$F$8,0)),IF(Raw_Data!H172&gt;=KPI_Config!$E$8,KPI_Config!$D$8,IF(AND(KPI_Config!$F$8&gt;0,Raw_Data!H172&gt;=KPI_Config!$G$8),KPI_Config!$F$8,0)))))</f>
        <v/>
      </c>
      <c r="I172" s="16" t="str">
        <f>IF($A172="","",IF(Raw_Data!I172="",0,IF(KPI_Config!$C$9="L",IF(Raw_Data!I172&lt;=KPI_Config!$E$9,KPI_Config!$D$9,IF(AND(KPI_Config!$F$9&gt;0,Raw_Data!I172&lt;=KPI_Config!$G$9),KPI_Config!$F$9,0)),IF(Raw_Data!I172&gt;=KPI_Config!$E$9,KPI_Config!$D$9,IF(AND(KPI_Config!$F$9&gt;0,Raw_Data!I172&gt;=KPI_Config!$G$9),KPI_Config!$F$9,0)))))</f>
        <v/>
      </c>
      <c r="J172" s="16" t="str">
        <f>IF($A172="","",IF(Raw_Data!J172="",0,IF(KPI_Config!$C$10="L",IF(Raw_Data!J172&lt;=KPI_Config!$E$10,KPI_Config!$D$10,IF(AND(KPI_Config!$F$10&gt;0,Raw_Data!J172&lt;=KPI_Config!$G$10),KPI_Config!$F$10,0)),IF(Raw_Data!J172&gt;=KPI_Config!$E$10,KPI_Config!$D$10,IF(AND(KPI_Config!$F$10&gt;0,Raw_Data!J172&gt;=KPI_Config!$G$10),KPI_Config!$F$10,0)))))</f>
        <v/>
      </c>
      <c r="K172" s="16" t="str">
        <f>IF($A172="","",IF(Raw_Data!G172="",0,IF(KPI_Config!$C$11="L",IF(Raw_Data!G172&lt;=KPI_Config!$E$11,KPI_Config!$D$11,IF(AND(KPI_Config!$F$11&gt;0,Raw_Data!G172&lt;=KPI_Config!$G$11),KPI_Config!$F$11,0)),IF(Raw_Data!G172&gt;=KPI_Config!$E$11,KPI_Config!$D$11,IF(AND(KPI_Config!$F$11&gt;0,Raw_Data!G172&gt;=KPI_Config!$G$11),KPI_Config!$F$11,0)))))</f>
        <v/>
      </c>
      <c r="L172" s="16" t="str">
        <f>IF($A172="","",MIN(Policy_Decisions!$B$10,IF(Policy_Decisions!$B$6="Additive",SUM(E172:K172),SUM(E172:J172)-G172+MAX(G172,K172))))</f>
        <v/>
      </c>
      <c r="M172" s="16" t="str">
        <f>IF($A172="","",Raw_Data!K172)</f>
        <v/>
      </c>
      <c r="N172" s="16" t="str">
        <f>IF($A172="","",IFERROR(VLOOKUP(M172,KPI_Config!$I$5:$J$10,2,FALSE()),0))</f>
        <v/>
      </c>
      <c r="O172" s="16" t="str">
        <f>IF($A172="","",IF(Policy_Decisions!$B$5="Percentage points",MAX(0,L172-N172),L172*(1-N172)))</f>
        <v/>
      </c>
      <c r="P172" s="15" t="str">
        <f>IF($A172="","",IF(U172="","Review proration",IF(O172=0,"No payout",IF(N172&gt;0,"Malus applied","Eligible"))))</f>
        <v/>
      </c>
      <c r="Q172" s="15" t="str">
        <f>IF($A172="","",Raw_Data!M172)</f>
        <v/>
      </c>
      <c r="R172" s="38" t="str">
        <f>IF($A172="","",Raw_Data!N172)</f>
        <v/>
      </c>
      <c r="S172" s="38" t="str">
        <f>IF($A172="","",Raw_Data!O172)</f>
        <v/>
      </c>
      <c r="T172" s="38" t="str">
        <f>IF($A172="","",IF(Raw_Data!P172&gt;0,Raw_Data!P172,Raw_Data!N172*Raw_Data!O172/IF(Policy_Decisions!$B$7="Annual",12,1)))</f>
        <v/>
      </c>
      <c r="U172" s="38" t="str">
        <f>IF($A172="","",IF(OR(Raw_Data!R172="",Raw_Data!R172&lt;=0),"",MIN(1,MAX(0,Raw_Data!Q172/Raw_Data!R172))))</f>
        <v/>
      </c>
      <c r="V172" s="38" t="str">
        <f>IF(OR($A172="",U172=""),"",T172*U172)</f>
        <v/>
      </c>
      <c r="W172" s="38" t="str">
        <f>IF(OR($A172="",V172=""),"",V172*L172)</f>
        <v/>
      </c>
      <c r="X172" s="38" t="str">
        <f>IF(OR($A172="",V172=""),"",V172*L172-V172*O172)</f>
        <v/>
      </c>
      <c r="Y172" s="38" t="str">
        <f>IF(OR($A172="",V172=""),"",ROUND(V172*O172,IF(Policy_Decisions!$B$11="Whole MAD",0,2)))</f>
        <v/>
      </c>
      <c r="Z172">
        <f>Raw_Data!T172</f>
        <v>0</v>
      </c>
      <c r="AA172">
        <f>Raw_Data!U172</f>
        <v>0</v>
      </c>
    </row>
    <row r="173" spans="1:27" ht="14.25" customHeight="1">
      <c r="A173" s="13" t="str">
        <f>IF(Raw_Data!A173="","",Raw_Data!A173)</f>
        <v/>
      </c>
      <c r="B173" s="13" t="str">
        <f>IF(Raw_Data!B173="","",Raw_Data!B173)</f>
        <v/>
      </c>
      <c r="C173" s="13" t="str">
        <f>IF(Raw_Data!C173="","",Raw_Data!C173)</f>
        <v/>
      </c>
      <c r="D173" s="13" t="str">
        <f>IF(Raw_Data!D173="","",Raw_Data!D173)</f>
        <v/>
      </c>
      <c r="E173" s="21" t="str">
        <f>IF($A173="","",IF(Raw_Data!E173="",0,IF(KPI_Config!$C$5="L",IF(Raw_Data!E173&lt;=KPI_Config!$E$5,KPI_Config!$D$5,IF(AND(KPI_Config!$F$5&gt;0,Raw_Data!E173&lt;=KPI_Config!$G$5),KPI_Config!$F$5,0)),IF(Raw_Data!E173&gt;=KPI_Config!$E$5,KPI_Config!$D$5,IF(AND(KPI_Config!$F$5&gt;0,Raw_Data!E173&gt;=KPI_Config!$G$5),KPI_Config!$F$5,0)))))</f>
        <v/>
      </c>
      <c r="F173" s="21" t="str">
        <f>IF($A173="","",IF(Raw_Data!F173="",0,IF(KPI_Config!$C$6="L",IF(Raw_Data!F173&lt;=KPI_Config!$E$6,KPI_Config!$D$6,IF(AND(KPI_Config!$F$6&gt;0,Raw_Data!F173&lt;=KPI_Config!$G$6),KPI_Config!$F$6,0)),IF(Raw_Data!F173&gt;=KPI_Config!$E$6,KPI_Config!$D$6,IF(AND(KPI_Config!$F$6&gt;0,Raw_Data!F173&gt;=KPI_Config!$G$6),KPI_Config!$F$6,0)))))</f>
        <v/>
      </c>
      <c r="G173" s="21" t="str">
        <f>IF($A173="","",IF(Raw_Data!G173="",0,IF(KPI_Config!$C$7="L",IF(Raw_Data!G173&lt;=KPI_Config!$E$7,KPI_Config!$D$7,IF(AND(KPI_Config!$F$7&gt;0,Raw_Data!G173&lt;=KPI_Config!$G$7),KPI_Config!$F$7,0)),IF(Raw_Data!G173&gt;=KPI_Config!$E$7,KPI_Config!$D$7,IF(AND(KPI_Config!$F$7&gt;0,Raw_Data!G173&gt;=KPI_Config!$G$7),KPI_Config!$F$7,0)))))</f>
        <v/>
      </c>
      <c r="H173" s="21" t="str">
        <f>IF($A173="","",IF(Raw_Data!H173="",0,IF(KPI_Config!$C$8="L",IF(Raw_Data!H173&lt;=KPI_Config!$E$8,KPI_Config!$D$8,IF(AND(KPI_Config!$F$8&gt;0,Raw_Data!H173&lt;=KPI_Config!$G$8),KPI_Config!$F$8,0)),IF(Raw_Data!H173&gt;=KPI_Config!$E$8,KPI_Config!$D$8,IF(AND(KPI_Config!$F$8&gt;0,Raw_Data!H173&gt;=KPI_Config!$G$8),KPI_Config!$F$8,0)))))</f>
        <v/>
      </c>
      <c r="I173" s="21" t="str">
        <f>IF($A173="","",IF(Raw_Data!I173="",0,IF(KPI_Config!$C$9="L",IF(Raw_Data!I173&lt;=KPI_Config!$E$9,KPI_Config!$D$9,IF(AND(KPI_Config!$F$9&gt;0,Raw_Data!I173&lt;=KPI_Config!$G$9),KPI_Config!$F$9,0)),IF(Raw_Data!I173&gt;=KPI_Config!$E$9,KPI_Config!$D$9,IF(AND(KPI_Config!$F$9&gt;0,Raw_Data!I173&gt;=KPI_Config!$G$9),KPI_Config!$F$9,0)))))</f>
        <v/>
      </c>
      <c r="J173" s="21" t="str">
        <f>IF($A173="","",IF(Raw_Data!J173="",0,IF(KPI_Config!$C$10="L",IF(Raw_Data!J173&lt;=KPI_Config!$E$10,KPI_Config!$D$10,IF(AND(KPI_Config!$F$10&gt;0,Raw_Data!J173&lt;=KPI_Config!$G$10),KPI_Config!$F$10,0)),IF(Raw_Data!J173&gt;=KPI_Config!$E$10,KPI_Config!$D$10,IF(AND(KPI_Config!$F$10&gt;0,Raw_Data!J173&gt;=KPI_Config!$G$10),KPI_Config!$F$10,0)))))</f>
        <v/>
      </c>
      <c r="K173" s="21" t="str">
        <f>IF($A173="","",IF(Raw_Data!G173="",0,IF(KPI_Config!$C$11="L",IF(Raw_Data!G173&lt;=KPI_Config!$E$11,KPI_Config!$D$11,IF(AND(KPI_Config!$F$11&gt;0,Raw_Data!G173&lt;=KPI_Config!$G$11),KPI_Config!$F$11,0)),IF(Raw_Data!G173&gt;=KPI_Config!$E$11,KPI_Config!$D$11,IF(AND(KPI_Config!$F$11&gt;0,Raw_Data!G173&gt;=KPI_Config!$G$11),KPI_Config!$F$11,0)))))</f>
        <v/>
      </c>
      <c r="L173" s="21" t="str">
        <f>IF($A173="","",MIN(Policy_Decisions!$B$10,IF(Policy_Decisions!$B$6="Additive",SUM(E173:K173),SUM(E173:J173)-G173+MAX(G173,K173))))</f>
        <v/>
      </c>
      <c r="M173" s="21" t="str">
        <f>IF($A173="","",Raw_Data!K173)</f>
        <v/>
      </c>
      <c r="N173" s="21" t="str">
        <f>IF($A173="","",IFERROR(VLOOKUP(M173,KPI_Config!$I$5:$J$10,2,FALSE()),0))</f>
        <v/>
      </c>
      <c r="O173" s="21" t="str">
        <f>IF($A173="","",IF(Policy_Decisions!$B$5="Percentage points",MAX(0,L173-N173),L173*(1-N173)))</f>
        <v/>
      </c>
      <c r="P173" s="13" t="str">
        <f>IF($A173="","",IF(U173="","Review proration",IF(O173=0,"No payout",IF(N173&gt;0,"Malus applied","Eligible"))))</f>
        <v/>
      </c>
      <c r="Q173" s="13" t="str">
        <f>IF($A173="","",Raw_Data!M173)</f>
        <v/>
      </c>
      <c r="R173" s="37" t="str">
        <f>IF($A173="","",Raw_Data!N173)</f>
        <v/>
      </c>
      <c r="S173" s="37" t="str">
        <f>IF($A173="","",Raw_Data!O173)</f>
        <v/>
      </c>
      <c r="T173" s="37" t="str">
        <f>IF($A173="","",IF(Raw_Data!P173&gt;0,Raw_Data!P173,Raw_Data!N173*Raw_Data!O173/IF(Policy_Decisions!$B$7="Annual",12,1)))</f>
        <v/>
      </c>
      <c r="U173" s="37" t="str">
        <f>IF($A173="","",IF(OR(Raw_Data!R173="",Raw_Data!R173&lt;=0),"",MIN(1,MAX(0,Raw_Data!Q173/Raw_Data!R173))))</f>
        <v/>
      </c>
      <c r="V173" s="37" t="str">
        <f>IF(OR($A173="",U173=""),"",T173*U173)</f>
        <v/>
      </c>
      <c r="W173" s="37" t="str">
        <f>IF(OR($A173="",V173=""),"",V173*L173)</f>
        <v/>
      </c>
      <c r="X173" s="37" t="str">
        <f>IF(OR($A173="",V173=""),"",V173*L173-V173*O173)</f>
        <v/>
      </c>
      <c r="Y173" s="37" t="str">
        <f>IF(OR($A173="",V173=""),"",ROUND(V173*O173,IF(Policy_Decisions!$B$11="Whole MAD",0,2)))</f>
        <v/>
      </c>
      <c r="Z173">
        <f>Raw_Data!T173</f>
        <v>0</v>
      </c>
      <c r="AA173">
        <f>Raw_Data!U173</f>
        <v>0</v>
      </c>
    </row>
    <row r="174" spans="1:27" ht="14.25" customHeight="1">
      <c r="A174" s="15" t="str">
        <f>IF(Raw_Data!A174="","",Raw_Data!A174)</f>
        <v/>
      </c>
      <c r="B174" s="15" t="str">
        <f>IF(Raw_Data!B174="","",Raw_Data!B174)</f>
        <v/>
      </c>
      <c r="C174" s="15" t="str">
        <f>IF(Raw_Data!C174="","",Raw_Data!C174)</f>
        <v/>
      </c>
      <c r="D174" s="15" t="str">
        <f>IF(Raw_Data!D174="","",Raw_Data!D174)</f>
        <v/>
      </c>
      <c r="E174" s="16" t="str">
        <f>IF($A174="","",IF(Raw_Data!E174="",0,IF(KPI_Config!$C$5="L",IF(Raw_Data!E174&lt;=KPI_Config!$E$5,KPI_Config!$D$5,IF(AND(KPI_Config!$F$5&gt;0,Raw_Data!E174&lt;=KPI_Config!$G$5),KPI_Config!$F$5,0)),IF(Raw_Data!E174&gt;=KPI_Config!$E$5,KPI_Config!$D$5,IF(AND(KPI_Config!$F$5&gt;0,Raw_Data!E174&gt;=KPI_Config!$G$5),KPI_Config!$F$5,0)))))</f>
        <v/>
      </c>
      <c r="F174" s="16" t="str">
        <f>IF($A174="","",IF(Raw_Data!F174="",0,IF(KPI_Config!$C$6="L",IF(Raw_Data!F174&lt;=KPI_Config!$E$6,KPI_Config!$D$6,IF(AND(KPI_Config!$F$6&gt;0,Raw_Data!F174&lt;=KPI_Config!$G$6),KPI_Config!$F$6,0)),IF(Raw_Data!F174&gt;=KPI_Config!$E$6,KPI_Config!$D$6,IF(AND(KPI_Config!$F$6&gt;0,Raw_Data!F174&gt;=KPI_Config!$G$6),KPI_Config!$F$6,0)))))</f>
        <v/>
      </c>
      <c r="G174" s="16" t="str">
        <f>IF($A174="","",IF(Raw_Data!G174="",0,IF(KPI_Config!$C$7="L",IF(Raw_Data!G174&lt;=KPI_Config!$E$7,KPI_Config!$D$7,IF(AND(KPI_Config!$F$7&gt;0,Raw_Data!G174&lt;=KPI_Config!$G$7),KPI_Config!$F$7,0)),IF(Raw_Data!G174&gt;=KPI_Config!$E$7,KPI_Config!$D$7,IF(AND(KPI_Config!$F$7&gt;0,Raw_Data!G174&gt;=KPI_Config!$G$7),KPI_Config!$F$7,0)))))</f>
        <v/>
      </c>
      <c r="H174" s="16" t="str">
        <f>IF($A174="","",IF(Raw_Data!H174="",0,IF(KPI_Config!$C$8="L",IF(Raw_Data!H174&lt;=KPI_Config!$E$8,KPI_Config!$D$8,IF(AND(KPI_Config!$F$8&gt;0,Raw_Data!H174&lt;=KPI_Config!$G$8),KPI_Config!$F$8,0)),IF(Raw_Data!H174&gt;=KPI_Config!$E$8,KPI_Config!$D$8,IF(AND(KPI_Config!$F$8&gt;0,Raw_Data!H174&gt;=KPI_Config!$G$8),KPI_Config!$F$8,0)))))</f>
        <v/>
      </c>
      <c r="I174" s="16" t="str">
        <f>IF($A174="","",IF(Raw_Data!I174="",0,IF(KPI_Config!$C$9="L",IF(Raw_Data!I174&lt;=KPI_Config!$E$9,KPI_Config!$D$9,IF(AND(KPI_Config!$F$9&gt;0,Raw_Data!I174&lt;=KPI_Config!$G$9),KPI_Config!$F$9,0)),IF(Raw_Data!I174&gt;=KPI_Config!$E$9,KPI_Config!$D$9,IF(AND(KPI_Config!$F$9&gt;0,Raw_Data!I174&gt;=KPI_Config!$G$9),KPI_Config!$F$9,0)))))</f>
        <v/>
      </c>
      <c r="J174" s="16" t="str">
        <f>IF($A174="","",IF(Raw_Data!J174="",0,IF(KPI_Config!$C$10="L",IF(Raw_Data!J174&lt;=KPI_Config!$E$10,KPI_Config!$D$10,IF(AND(KPI_Config!$F$10&gt;0,Raw_Data!J174&lt;=KPI_Config!$G$10),KPI_Config!$F$10,0)),IF(Raw_Data!J174&gt;=KPI_Config!$E$10,KPI_Config!$D$10,IF(AND(KPI_Config!$F$10&gt;0,Raw_Data!J174&gt;=KPI_Config!$G$10),KPI_Config!$F$10,0)))))</f>
        <v/>
      </c>
      <c r="K174" s="16" t="str">
        <f>IF($A174="","",IF(Raw_Data!G174="",0,IF(KPI_Config!$C$11="L",IF(Raw_Data!G174&lt;=KPI_Config!$E$11,KPI_Config!$D$11,IF(AND(KPI_Config!$F$11&gt;0,Raw_Data!G174&lt;=KPI_Config!$G$11),KPI_Config!$F$11,0)),IF(Raw_Data!G174&gt;=KPI_Config!$E$11,KPI_Config!$D$11,IF(AND(KPI_Config!$F$11&gt;0,Raw_Data!G174&gt;=KPI_Config!$G$11),KPI_Config!$F$11,0)))))</f>
        <v/>
      </c>
      <c r="L174" s="16" t="str">
        <f>IF($A174="","",MIN(Policy_Decisions!$B$10,IF(Policy_Decisions!$B$6="Additive",SUM(E174:K174),SUM(E174:J174)-G174+MAX(G174,K174))))</f>
        <v/>
      </c>
      <c r="M174" s="16" t="str">
        <f>IF($A174="","",Raw_Data!K174)</f>
        <v/>
      </c>
      <c r="N174" s="16" t="str">
        <f>IF($A174="","",IFERROR(VLOOKUP(M174,KPI_Config!$I$5:$J$10,2,FALSE()),0))</f>
        <v/>
      </c>
      <c r="O174" s="16" t="str">
        <f>IF($A174="","",IF(Policy_Decisions!$B$5="Percentage points",MAX(0,L174-N174),L174*(1-N174)))</f>
        <v/>
      </c>
      <c r="P174" s="15" t="str">
        <f>IF($A174="","",IF(U174="","Review proration",IF(O174=0,"No payout",IF(N174&gt;0,"Malus applied","Eligible"))))</f>
        <v/>
      </c>
      <c r="Q174" s="15" t="str">
        <f>IF($A174="","",Raw_Data!M174)</f>
        <v/>
      </c>
      <c r="R174" s="38" t="str">
        <f>IF($A174="","",Raw_Data!N174)</f>
        <v/>
      </c>
      <c r="S174" s="38" t="str">
        <f>IF($A174="","",Raw_Data!O174)</f>
        <v/>
      </c>
      <c r="T174" s="38" t="str">
        <f>IF($A174="","",IF(Raw_Data!P174&gt;0,Raw_Data!P174,Raw_Data!N174*Raw_Data!O174/IF(Policy_Decisions!$B$7="Annual",12,1)))</f>
        <v/>
      </c>
      <c r="U174" s="38" t="str">
        <f>IF($A174="","",IF(OR(Raw_Data!R174="",Raw_Data!R174&lt;=0),"",MIN(1,MAX(0,Raw_Data!Q174/Raw_Data!R174))))</f>
        <v/>
      </c>
      <c r="V174" s="38" t="str">
        <f>IF(OR($A174="",U174=""),"",T174*U174)</f>
        <v/>
      </c>
      <c r="W174" s="38" t="str">
        <f>IF(OR($A174="",V174=""),"",V174*L174)</f>
        <v/>
      </c>
      <c r="X174" s="38" t="str">
        <f>IF(OR($A174="",V174=""),"",V174*L174-V174*O174)</f>
        <v/>
      </c>
      <c r="Y174" s="38" t="str">
        <f>IF(OR($A174="",V174=""),"",ROUND(V174*O174,IF(Policy_Decisions!$B$11="Whole MAD",0,2)))</f>
        <v/>
      </c>
      <c r="Z174">
        <f>Raw_Data!T174</f>
        <v>0</v>
      </c>
      <c r="AA174">
        <f>Raw_Data!U174</f>
        <v>0</v>
      </c>
    </row>
    <row r="175" spans="1:27" ht="14.25" customHeight="1">
      <c r="A175" s="13" t="str">
        <f>IF(Raw_Data!A175="","",Raw_Data!A175)</f>
        <v/>
      </c>
      <c r="B175" s="13" t="str">
        <f>IF(Raw_Data!B175="","",Raw_Data!B175)</f>
        <v/>
      </c>
      <c r="C175" s="13" t="str">
        <f>IF(Raw_Data!C175="","",Raw_Data!C175)</f>
        <v/>
      </c>
      <c r="D175" s="13" t="str">
        <f>IF(Raw_Data!D175="","",Raw_Data!D175)</f>
        <v/>
      </c>
      <c r="E175" s="21" t="str">
        <f>IF($A175="","",IF(Raw_Data!E175="",0,IF(KPI_Config!$C$5="L",IF(Raw_Data!E175&lt;=KPI_Config!$E$5,KPI_Config!$D$5,IF(AND(KPI_Config!$F$5&gt;0,Raw_Data!E175&lt;=KPI_Config!$G$5),KPI_Config!$F$5,0)),IF(Raw_Data!E175&gt;=KPI_Config!$E$5,KPI_Config!$D$5,IF(AND(KPI_Config!$F$5&gt;0,Raw_Data!E175&gt;=KPI_Config!$G$5),KPI_Config!$F$5,0)))))</f>
        <v/>
      </c>
      <c r="F175" s="21" t="str">
        <f>IF($A175="","",IF(Raw_Data!F175="",0,IF(KPI_Config!$C$6="L",IF(Raw_Data!F175&lt;=KPI_Config!$E$6,KPI_Config!$D$6,IF(AND(KPI_Config!$F$6&gt;0,Raw_Data!F175&lt;=KPI_Config!$G$6),KPI_Config!$F$6,0)),IF(Raw_Data!F175&gt;=KPI_Config!$E$6,KPI_Config!$D$6,IF(AND(KPI_Config!$F$6&gt;0,Raw_Data!F175&gt;=KPI_Config!$G$6),KPI_Config!$F$6,0)))))</f>
        <v/>
      </c>
      <c r="G175" s="21" t="str">
        <f>IF($A175="","",IF(Raw_Data!G175="",0,IF(KPI_Config!$C$7="L",IF(Raw_Data!G175&lt;=KPI_Config!$E$7,KPI_Config!$D$7,IF(AND(KPI_Config!$F$7&gt;0,Raw_Data!G175&lt;=KPI_Config!$G$7),KPI_Config!$F$7,0)),IF(Raw_Data!G175&gt;=KPI_Config!$E$7,KPI_Config!$D$7,IF(AND(KPI_Config!$F$7&gt;0,Raw_Data!G175&gt;=KPI_Config!$G$7),KPI_Config!$F$7,0)))))</f>
        <v/>
      </c>
      <c r="H175" s="21" t="str">
        <f>IF($A175="","",IF(Raw_Data!H175="",0,IF(KPI_Config!$C$8="L",IF(Raw_Data!H175&lt;=KPI_Config!$E$8,KPI_Config!$D$8,IF(AND(KPI_Config!$F$8&gt;0,Raw_Data!H175&lt;=KPI_Config!$G$8),KPI_Config!$F$8,0)),IF(Raw_Data!H175&gt;=KPI_Config!$E$8,KPI_Config!$D$8,IF(AND(KPI_Config!$F$8&gt;0,Raw_Data!H175&gt;=KPI_Config!$G$8),KPI_Config!$F$8,0)))))</f>
        <v/>
      </c>
      <c r="I175" s="21" t="str">
        <f>IF($A175="","",IF(Raw_Data!I175="",0,IF(KPI_Config!$C$9="L",IF(Raw_Data!I175&lt;=KPI_Config!$E$9,KPI_Config!$D$9,IF(AND(KPI_Config!$F$9&gt;0,Raw_Data!I175&lt;=KPI_Config!$G$9),KPI_Config!$F$9,0)),IF(Raw_Data!I175&gt;=KPI_Config!$E$9,KPI_Config!$D$9,IF(AND(KPI_Config!$F$9&gt;0,Raw_Data!I175&gt;=KPI_Config!$G$9),KPI_Config!$F$9,0)))))</f>
        <v/>
      </c>
      <c r="J175" s="21" t="str">
        <f>IF($A175="","",IF(Raw_Data!J175="",0,IF(KPI_Config!$C$10="L",IF(Raw_Data!J175&lt;=KPI_Config!$E$10,KPI_Config!$D$10,IF(AND(KPI_Config!$F$10&gt;0,Raw_Data!J175&lt;=KPI_Config!$G$10),KPI_Config!$F$10,0)),IF(Raw_Data!J175&gt;=KPI_Config!$E$10,KPI_Config!$D$10,IF(AND(KPI_Config!$F$10&gt;0,Raw_Data!J175&gt;=KPI_Config!$G$10),KPI_Config!$F$10,0)))))</f>
        <v/>
      </c>
      <c r="K175" s="21" t="str">
        <f>IF($A175="","",IF(Raw_Data!G175="",0,IF(KPI_Config!$C$11="L",IF(Raw_Data!G175&lt;=KPI_Config!$E$11,KPI_Config!$D$11,IF(AND(KPI_Config!$F$11&gt;0,Raw_Data!G175&lt;=KPI_Config!$G$11),KPI_Config!$F$11,0)),IF(Raw_Data!G175&gt;=KPI_Config!$E$11,KPI_Config!$D$11,IF(AND(KPI_Config!$F$11&gt;0,Raw_Data!G175&gt;=KPI_Config!$G$11),KPI_Config!$F$11,0)))))</f>
        <v/>
      </c>
      <c r="L175" s="21" t="str">
        <f>IF($A175="","",MIN(Policy_Decisions!$B$10,IF(Policy_Decisions!$B$6="Additive",SUM(E175:K175),SUM(E175:J175)-G175+MAX(G175,K175))))</f>
        <v/>
      </c>
      <c r="M175" s="21" t="str">
        <f>IF($A175="","",Raw_Data!K175)</f>
        <v/>
      </c>
      <c r="N175" s="21" t="str">
        <f>IF($A175="","",IFERROR(VLOOKUP(M175,KPI_Config!$I$5:$J$10,2,FALSE()),0))</f>
        <v/>
      </c>
      <c r="O175" s="21" t="str">
        <f>IF($A175="","",IF(Policy_Decisions!$B$5="Percentage points",MAX(0,L175-N175),L175*(1-N175)))</f>
        <v/>
      </c>
      <c r="P175" s="13" t="str">
        <f>IF($A175="","",IF(U175="","Review proration",IF(O175=0,"No payout",IF(N175&gt;0,"Malus applied","Eligible"))))</f>
        <v/>
      </c>
      <c r="Q175" s="13" t="str">
        <f>IF($A175="","",Raw_Data!M175)</f>
        <v/>
      </c>
      <c r="R175" s="37" t="str">
        <f>IF($A175="","",Raw_Data!N175)</f>
        <v/>
      </c>
      <c r="S175" s="37" t="str">
        <f>IF($A175="","",Raw_Data!O175)</f>
        <v/>
      </c>
      <c r="T175" s="37" t="str">
        <f>IF($A175="","",IF(Raw_Data!P175&gt;0,Raw_Data!P175,Raw_Data!N175*Raw_Data!O175/IF(Policy_Decisions!$B$7="Annual",12,1)))</f>
        <v/>
      </c>
      <c r="U175" s="37" t="str">
        <f>IF($A175="","",IF(OR(Raw_Data!R175="",Raw_Data!R175&lt;=0),"",MIN(1,MAX(0,Raw_Data!Q175/Raw_Data!R175))))</f>
        <v/>
      </c>
      <c r="V175" s="37" t="str">
        <f>IF(OR($A175="",U175=""),"",T175*U175)</f>
        <v/>
      </c>
      <c r="W175" s="37" t="str">
        <f>IF(OR($A175="",V175=""),"",V175*L175)</f>
        <v/>
      </c>
      <c r="X175" s="37" t="str">
        <f>IF(OR($A175="",V175=""),"",V175*L175-V175*O175)</f>
        <v/>
      </c>
      <c r="Y175" s="37" t="str">
        <f>IF(OR($A175="",V175=""),"",ROUND(V175*O175,IF(Policy_Decisions!$B$11="Whole MAD",0,2)))</f>
        <v/>
      </c>
      <c r="Z175">
        <f>Raw_Data!T175</f>
        <v>0</v>
      </c>
      <c r="AA175">
        <f>Raw_Data!U175</f>
        <v>0</v>
      </c>
    </row>
    <row r="176" spans="1:27" ht="14.25" customHeight="1">
      <c r="A176" s="15" t="str">
        <f>IF(Raw_Data!A176="","",Raw_Data!A176)</f>
        <v/>
      </c>
      <c r="B176" s="15" t="str">
        <f>IF(Raw_Data!B176="","",Raw_Data!B176)</f>
        <v/>
      </c>
      <c r="C176" s="15" t="str">
        <f>IF(Raw_Data!C176="","",Raw_Data!C176)</f>
        <v/>
      </c>
      <c r="D176" s="15" t="str">
        <f>IF(Raw_Data!D176="","",Raw_Data!D176)</f>
        <v/>
      </c>
      <c r="E176" s="16" t="str">
        <f>IF($A176="","",IF(Raw_Data!E176="",0,IF(KPI_Config!$C$5="L",IF(Raw_Data!E176&lt;=KPI_Config!$E$5,KPI_Config!$D$5,IF(AND(KPI_Config!$F$5&gt;0,Raw_Data!E176&lt;=KPI_Config!$G$5),KPI_Config!$F$5,0)),IF(Raw_Data!E176&gt;=KPI_Config!$E$5,KPI_Config!$D$5,IF(AND(KPI_Config!$F$5&gt;0,Raw_Data!E176&gt;=KPI_Config!$G$5),KPI_Config!$F$5,0)))))</f>
        <v/>
      </c>
      <c r="F176" s="16" t="str">
        <f>IF($A176="","",IF(Raw_Data!F176="",0,IF(KPI_Config!$C$6="L",IF(Raw_Data!F176&lt;=KPI_Config!$E$6,KPI_Config!$D$6,IF(AND(KPI_Config!$F$6&gt;0,Raw_Data!F176&lt;=KPI_Config!$G$6),KPI_Config!$F$6,0)),IF(Raw_Data!F176&gt;=KPI_Config!$E$6,KPI_Config!$D$6,IF(AND(KPI_Config!$F$6&gt;0,Raw_Data!F176&gt;=KPI_Config!$G$6),KPI_Config!$F$6,0)))))</f>
        <v/>
      </c>
      <c r="G176" s="16" t="str">
        <f>IF($A176="","",IF(Raw_Data!G176="",0,IF(KPI_Config!$C$7="L",IF(Raw_Data!G176&lt;=KPI_Config!$E$7,KPI_Config!$D$7,IF(AND(KPI_Config!$F$7&gt;0,Raw_Data!G176&lt;=KPI_Config!$G$7),KPI_Config!$F$7,0)),IF(Raw_Data!G176&gt;=KPI_Config!$E$7,KPI_Config!$D$7,IF(AND(KPI_Config!$F$7&gt;0,Raw_Data!G176&gt;=KPI_Config!$G$7),KPI_Config!$F$7,0)))))</f>
        <v/>
      </c>
      <c r="H176" s="16" t="str">
        <f>IF($A176="","",IF(Raw_Data!H176="",0,IF(KPI_Config!$C$8="L",IF(Raw_Data!H176&lt;=KPI_Config!$E$8,KPI_Config!$D$8,IF(AND(KPI_Config!$F$8&gt;0,Raw_Data!H176&lt;=KPI_Config!$G$8),KPI_Config!$F$8,0)),IF(Raw_Data!H176&gt;=KPI_Config!$E$8,KPI_Config!$D$8,IF(AND(KPI_Config!$F$8&gt;0,Raw_Data!H176&gt;=KPI_Config!$G$8),KPI_Config!$F$8,0)))))</f>
        <v/>
      </c>
      <c r="I176" s="16" t="str">
        <f>IF($A176="","",IF(Raw_Data!I176="",0,IF(KPI_Config!$C$9="L",IF(Raw_Data!I176&lt;=KPI_Config!$E$9,KPI_Config!$D$9,IF(AND(KPI_Config!$F$9&gt;0,Raw_Data!I176&lt;=KPI_Config!$G$9),KPI_Config!$F$9,0)),IF(Raw_Data!I176&gt;=KPI_Config!$E$9,KPI_Config!$D$9,IF(AND(KPI_Config!$F$9&gt;0,Raw_Data!I176&gt;=KPI_Config!$G$9),KPI_Config!$F$9,0)))))</f>
        <v/>
      </c>
      <c r="J176" s="16" t="str">
        <f>IF($A176="","",IF(Raw_Data!J176="",0,IF(KPI_Config!$C$10="L",IF(Raw_Data!J176&lt;=KPI_Config!$E$10,KPI_Config!$D$10,IF(AND(KPI_Config!$F$10&gt;0,Raw_Data!J176&lt;=KPI_Config!$G$10),KPI_Config!$F$10,0)),IF(Raw_Data!J176&gt;=KPI_Config!$E$10,KPI_Config!$D$10,IF(AND(KPI_Config!$F$10&gt;0,Raw_Data!J176&gt;=KPI_Config!$G$10),KPI_Config!$F$10,0)))))</f>
        <v/>
      </c>
      <c r="K176" s="16" t="str">
        <f>IF($A176="","",IF(Raw_Data!G176="",0,IF(KPI_Config!$C$11="L",IF(Raw_Data!G176&lt;=KPI_Config!$E$11,KPI_Config!$D$11,IF(AND(KPI_Config!$F$11&gt;0,Raw_Data!G176&lt;=KPI_Config!$G$11),KPI_Config!$F$11,0)),IF(Raw_Data!G176&gt;=KPI_Config!$E$11,KPI_Config!$D$11,IF(AND(KPI_Config!$F$11&gt;0,Raw_Data!G176&gt;=KPI_Config!$G$11),KPI_Config!$F$11,0)))))</f>
        <v/>
      </c>
      <c r="L176" s="16" t="str">
        <f>IF($A176="","",MIN(Policy_Decisions!$B$10,IF(Policy_Decisions!$B$6="Additive",SUM(E176:K176),SUM(E176:J176)-G176+MAX(G176,K176))))</f>
        <v/>
      </c>
      <c r="M176" s="16" t="str">
        <f>IF($A176="","",Raw_Data!K176)</f>
        <v/>
      </c>
      <c r="N176" s="16" t="str">
        <f>IF($A176="","",IFERROR(VLOOKUP(M176,KPI_Config!$I$5:$J$10,2,FALSE()),0))</f>
        <v/>
      </c>
      <c r="O176" s="16" t="str">
        <f>IF($A176="","",IF(Policy_Decisions!$B$5="Percentage points",MAX(0,L176-N176),L176*(1-N176)))</f>
        <v/>
      </c>
      <c r="P176" s="15" t="str">
        <f>IF($A176="","",IF(U176="","Review proration",IF(O176=0,"No payout",IF(N176&gt;0,"Malus applied","Eligible"))))</f>
        <v/>
      </c>
      <c r="Q176" s="15" t="str">
        <f>IF($A176="","",Raw_Data!M176)</f>
        <v/>
      </c>
      <c r="R176" s="38" t="str">
        <f>IF($A176="","",Raw_Data!N176)</f>
        <v/>
      </c>
      <c r="S176" s="38" t="str">
        <f>IF($A176="","",Raw_Data!O176)</f>
        <v/>
      </c>
      <c r="T176" s="38" t="str">
        <f>IF($A176="","",IF(Raw_Data!P176&gt;0,Raw_Data!P176,Raw_Data!N176*Raw_Data!O176/IF(Policy_Decisions!$B$7="Annual",12,1)))</f>
        <v/>
      </c>
      <c r="U176" s="38" t="str">
        <f>IF($A176="","",IF(OR(Raw_Data!R176="",Raw_Data!R176&lt;=0),"",MIN(1,MAX(0,Raw_Data!Q176/Raw_Data!R176))))</f>
        <v/>
      </c>
      <c r="V176" s="38" t="str">
        <f>IF(OR($A176="",U176=""),"",T176*U176)</f>
        <v/>
      </c>
      <c r="W176" s="38" t="str">
        <f>IF(OR($A176="",V176=""),"",V176*L176)</f>
        <v/>
      </c>
      <c r="X176" s="38" t="str">
        <f>IF(OR($A176="",V176=""),"",V176*L176-V176*O176)</f>
        <v/>
      </c>
      <c r="Y176" s="38" t="str">
        <f>IF(OR($A176="",V176=""),"",ROUND(V176*O176,IF(Policy_Decisions!$B$11="Whole MAD",0,2)))</f>
        <v/>
      </c>
      <c r="Z176">
        <f>Raw_Data!T176</f>
        <v>0</v>
      </c>
      <c r="AA176">
        <f>Raw_Data!U176</f>
        <v>0</v>
      </c>
    </row>
    <row r="177" spans="1:27" ht="14.25" customHeight="1">
      <c r="A177" s="13" t="str">
        <f>IF(Raw_Data!A177="","",Raw_Data!A177)</f>
        <v/>
      </c>
      <c r="B177" s="13" t="str">
        <f>IF(Raw_Data!B177="","",Raw_Data!B177)</f>
        <v/>
      </c>
      <c r="C177" s="13" t="str">
        <f>IF(Raw_Data!C177="","",Raw_Data!C177)</f>
        <v/>
      </c>
      <c r="D177" s="13" t="str">
        <f>IF(Raw_Data!D177="","",Raw_Data!D177)</f>
        <v/>
      </c>
      <c r="E177" s="21" t="str">
        <f>IF($A177="","",IF(Raw_Data!E177="",0,IF(KPI_Config!$C$5="L",IF(Raw_Data!E177&lt;=KPI_Config!$E$5,KPI_Config!$D$5,IF(AND(KPI_Config!$F$5&gt;0,Raw_Data!E177&lt;=KPI_Config!$G$5),KPI_Config!$F$5,0)),IF(Raw_Data!E177&gt;=KPI_Config!$E$5,KPI_Config!$D$5,IF(AND(KPI_Config!$F$5&gt;0,Raw_Data!E177&gt;=KPI_Config!$G$5),KPI_Config!$F$5,0)))))</f>
        <v/>
      </c>
      <c r="F177" s="21" t="str">
        <f>IF($A177="","",IF(Raw_Data!F177="",0,IF(KPI_Config!$C$6="L",IF(Raw_Data!F177&lt;=KPI_Config!$E$6,KPI_Config!$D$6,IF(AND(KPI_Config!$F$6&gt;0,Raw_Data!F177&lt;=KPI_Config!$G$6),KPI_Config!$F$6,0)),IF(Raw_Data!F177&gt;=KPI_Config!$E$6,KPI_Config!$D$6,IF(AND(KPI_Config!$F$6&gt;0,Raw_Data!F177&gt;=KPI_Config!$G$6),KPI_Config!$F$6,0)))))</f>
        <v/>
      </c>
      <c r="G177" s="21" t="str">
        <f>IF($A177="","",IF(Raw_Data!G177="",0,IF(KPI_Config!$C$7="L",IF(Raw_Data!G177&lt;=KPI_Config!$E$7,KPI_Config!$D$7,IF(AND(KPI_Config!$F$7&gt;0,Raw_Data!G177&lt;=KPI_Config!$G$7),KPI_Config!$F$7,0)),IF(Raw_Data!G177&gt;=KPI_Config!$E$7,KPI_Config!$D$7,IF(AND(KPI_Config!$F$7&gt;0,Raw_Data!G177&gt;=KPI_Config!$G$7),KPI_Config!$F$7,0)))))</f>
        <v/>
      </c>
      <c r="H177" s="21" t="str">
        <f>IF($A177="","",IF(Raw_Data!H177="",0,IF(KPI_Config!$C$8="L",IF(Raw_Data!H177&lt;=KPI_Config!$E$8,KPI_Config!$D$8,IF(AND(KPI_Config!$F$8&gt;0,Raw_Data!H177&lt;=KPI_Config!$G$8),KPI_Config!$F$8,0)),IF(Raw_Data!H177&gt;=KPI_Config!$E$8,KPI_Config!$D$8,IF(AND(KPI_Config!$F$8&gt;0,Raw_Data!H177&gt;=KPI_Config!$G$8),KPI_Config!$F$8,0)))))</f>
        <v/>
      </c>
      <c r="I177" s="21" t="str">
        <f>IF($A177="","",IF(Raw_Data!I177="",0,IF(KPI_Config!$C$9="L",IF(Raw_Data!I177&lt;=KPI_Config!$E$9,KPI_Config!$D$9,IF(AND(KPI_Config!$F$9&gt;0,Raw_Data!I177&lt;=KPI_Config!$G$9),KPI_Config!$F$9,0)),IF(Raw_Data!I177&gt;=KPI_Config!$E$9,KPI_Config!$D$9,IF(AND(KPI_Config!$F$9&gt;0,Raw_Data!I177&gt;=KPI_Config!$G$9),KPI_Config!$F$9,0)))))</f>
        <v/>
      </c>
      <c r="J177" s="21" t="str">
        <f>IF($A177="","",IF(Raw_Data!J177="",0,IF(KPI_Config!$C$10="L",IF(Raw_Data!J177&lt;=KPI_Config!$E$10,KPI_Config!$D$10,IF(AND(KPI_Config!$F$10&gt;0,Raw_Data!J177&lt;=KPI_Config!$G$10),KPI_Config!$F$10,0)),IF(Raw_Data!J177&gt;=KPI_Config!$E$10,KPI_Config!$D$10,IF(AND(KPI_Config!$F$10&gt;0,Raw_Data!J177&gt;=KPI_Config!$G$10),KPI_Config!$F$10,0)))))</f>
        <v/>
      </c>
      <c r="K177" s="21" t="str">
        <f>IF($A177="","",IF(Raw_Data!G177="",0,IF(KPI_Config!$C$11="L",IF(Raw_Data!G177&lt;=KPI_Config!$E$11,KPI_Config!$D$11,IF(AND(KPI_Config!$F$11&gt;0,Raw_Data!G177&lt;=KPI_Config!$G$11),KPI_Config!$F$11,0)),IF(Raw_Data!G177&gt;=KPI_Config!$E$11,KPI_Config!$D$11,IF(AND(KPI_Config!$F$11&gt;0,Raw_Data!G177&gt;=KPI_Config!$G$11),KPI_Config!$F$11,0)))))</f>
        <v/>
      </c>
      <c r="L177" s="21" t="str">
        <f>IF($A177="","",MIN(Policy_Decisions!$B$10,IF(Policy_Decisions!$B$6="Additive",SUM(E177:K177),SUM(E177:J177)-G177+MAX(G177,K177))))</f>
        <v/>
      </c>
      <c r="M177" s="21" t="str">
        <f>IF($A177="","",Raw_Data!K177)</f>
        <v/>
      </c>
      <c r="N177" s="21" t="str">
        <f>IF($A177="","",IFERROR(VLOOKUP(M177,KPI_Config!$I$5:$J$10,2,FALSE()),0))</f>
        <v/>
      </c>
      <c r="O177" s="21" t="str">
        <f>IF($A177="","",IF(Policy_Decisions!$B$5="Percentage points",MAX(0,L177-N177),L177*(1-N177)))</f>
        <v/>
      </c>
      <c r="P177" s="13" t="str">
        <f>IF($A177="","",IF(U177="","Review proration",IF(O177=0,"No payout",IF(N177&gt;0,"Malus applied","Eligible"))))</f>
        <v/>
      </c>
      <c r="Q177" s="13" t="str">
        <f>IF($A177="","",Raw_Data!M177)</f>
        <v/>
      </c>
      <c r="R177" s="37" t="str">
        <f>IF($A177="","",Raw_Data!N177)</f>
        <v/>
      </c>
      <c r="S177" s="37" t="str">
        <f>IF($A177="","",Raw_Data!O177)</f>
        <v/>
      </c>
      <c r="T177" s="37" t="str">
        <f>IF($A177="","",IF(Raw_Data!P177&gt;0,Raw_Data!P177,Raw_Data!N177*Raw_Data!O177/IF(Policy_Decisions!$B$7="Annual",12,1)))</f>
        <v/>
      </c>
      <c r="U177" s="37" t="str">
        <f>IF($A177="","",IF(OR(Raw_Data!R177="",Raw_Data!R177&lt;=0),"",MIN(1,MAX(0,Raw_Data!Q177/Raw_Data!R177))))</f>
        <v/>
      </c>
      <c r="V177" s="37" t="str">
        <f>IF(OR($A177="",U177=""),"",T177*U177)</f>
        <v/>
      </c>
      <c r="W177" s="37" t="str">
        <f>IF(OR($A177="",V177=""),"",V177*L177)</f>
        <v/>
      </c>
      <c r="X177" s="37" t="str">
        <f>IF(OR($A177="",V177=""),"",V177*L177-V177*O177)</f>
        <v/>
      </c>
      <c r="Y177" s="37" t="str">
        <f>IF(OR($A177="",V177=""),"",ROUND(V177*O177,IF(Policy_Decisions!$B$11="Whole MAD",0,2)))</f>
        <v/>
      </c>
      <c r="Z177">
        <f>Raw_Data!T177</f>
        <v>0</v>
      </c>
      <c r="AA177">
        <f>Raw_Data!U177</f>
        <v>0</v>
      </c>
    </row>
    <row r="178" spans="1:27" ht="14.25" customHeight="1">
      <c r="A178" s="15" t="str">
        <f>IF(Raw_Data!A178="","",Raw_Data!A178)</f>
        <v/>
      </c>
      <c r="B178" s="15" t="str">
        <f>IF(Raw_Data!B178="","",Raw_Data!B178)</f>
        <v/>
      </c>
      <c r="C178" s="15" t="str">
        <f>IF(Raw_Data!C178="","",Raw_Data!C178)</f>
        <v/>
      </c>
      <c r="D178" s="15" t="str">
        <f>IF(Raw_Data!D178="","",Raw_Data!D178)</f>
        <v/>
      </c>
      <c r="E178" s="16" t="str">
        <f>IF($A178="","",IF(Raw_Data!E178="",0,IF(KPI_Config!$C$5="L",IF(Raw_Data!E178&lt;=KPI_Config!$E$5,KPI_Config!$D$5,IF(AND(KPI_Config!$F$5&gt;0,Raw_Data!E178&lt;=KPI_Config!$G$5),KPI_Config!$F$5,0)),IF(Raw_Data!E178&gt;=KPI_Config!$E$5,KPI_Config!$D$5,IF(AND(KPI_Config!$F$5&gt;0,Raw_Data!E178&gt;=KPI_Config!$G$5),KPI_Config!$F$5,0)))))</f>
        <v/>
      </c>
      <c r="F178" s="16" t="str">
        <f>IF($A178="","",IF(Raw_Data!F178="",0,IF(KPI_Config!$C$6="L",IF(Raw_Data!F178&lt;=KPI_Config!$E$6,KPI_Config!$D$6,IF(AND(KPI_Config!$F$6&gt;0,Raw_Data!F178&lt;=KPI_Config!$G$6),KPI_Config!$F$6,0)),IF(Raw_Data!F178&gt;=KPI_Config!$E$6,KPI_Config!$D$6,IF(AND(KPI_Config!$F$6&gt;0,Raw_Data!F178&gt;=KPI_Config!$G$6),KPI_Config!$F$6,0)))))</f>
        <v/>
      </c>
      <c r="G178" s="16" t="str">
        <f>IF($A178="","",IF(Raw_Data!G178="",0,IF(KPI_Config!$C$7="L",IF(Raw_Data!G178&lt;=KPI_Config!$E$7,KPI_Config!$D$7,IF(AND(KPI_Config!$F$7&gt;0,Raw_Data!G178&lt;=KPI_Config!$G$7),KPI_Config!$F$7,0)),IF(Raw_Data!G178&gt;=KPI_Config!$E$7,KPI_Config!$D$7,IF(AND(KPI_Config!$F$7&gt;0,Raw_Data!G178&gt;=KPI_Config!$G$7),KPI_Config!$F$7,0)))))</f>
        <v/>
      </c>
      <c r="H178" s="16" t="str">
        <f>IF($A178="","",IF(Raw_Data!H178="",0,IF(KPI_Config!$C$8="L",IF(Raw_Data!H178&lt;=KPI_Config!$E$8,KPI_Config!$D$8,IF(AND(KPI_Config!$F$8&gt;0,Raw_Data!H178&lt;=KPI_Config!$G$8),KPI_Config!$F$8,0)),IF(Raw_Data!H178&gt;=KPI_Config!$E$8,KPI_Config!$D$8,IF(AND(KPI_Config!$F$8&gt;0,Raw_Data!H178&gt;=KPI_Config!$G$8),KPI_Config!$F$8,0)))))</f>
        <v/>
      </c>
      <c r="I178" s="16" t="str">
        <f>IF($A178="","",IF(Raw_Data!I178="",0,IF(KPI_Config!$C$9="L",IF(Raw_Data!I178&lt;=KPI_Config!$E$9,KPI_Config!$D$9,IF(AND(KPI_Config!$F$9&gt;0,Raw_Data!I178&lt;=KPI_Config!$G$9),KPI_Config!$F$9,0)),IF(Raw_Data!I178&gt;=KPI_Config!$E$9,KPI_Config!$D$9,IF(AND(KPI_Config!$F$9&gt;0,Raw_Data!I178&gt;=KPI_Config!$G$9),KPI_Config!$F$9,0)))))</f>
        <v/>
      </c>
      <c r="J178" s="16" t="str">
        <f>IF($A178="","",IF(Raw_Data!J178="",0,IF(KPI_Config!$C$10="L",IF(Raw_Data!J178&lt;=KPI_Config!$E$10,KPI_Config!$D$10,IF(AND(KPI_Config!$F$10&gt;0,Raw_Data!J178&lt;=KPI_Config!$G$10),KPI_Config!$F$10,0)),IF(Raw_Data!J178&gt;=KPI_Config!$E$10,KPI_Config!$D$10,IF(AND(KPI_Config!$F$10&gt;0,Raw_Data!J178&gt;=KPI_Config!$G$10),KPI_Config!$F$10,0)))))</f>
        <v/>
      </c>
      <c r="K178" s="16" t="str">
        <f>IF($A178="","",IF(Raw_Data!G178="",0,IF(KPI_Config!$C$11="L",IF(Raw_Data!G178&lt;=KPI_Config!$E$11,KPI_Config!$D$11,IF(AND(KPI_Config!$F$11&gt;0,Raw_Data!G178&lt;=KPI_Config!$G$11),KPI_Config!$F$11,0)),IF(Raw_Data!G178&gt;=KPI_Config!$E$11,KPI_Config!$D$11,IF(AND(KPI_Config!$F$11&gt;0,Raw_Data!G178&gt;=KPI_Config!$G$11),KPI_Config!$F$11,0)))))</f>
        <v/>
      </c>
      <c r="L178" s="16" t="str">
        <f>IF($A178="","",MIN(Policy_Decisions!$B$10,IF(Policy_Decisions!$B$6="Additive",SUM(E178:K178),SUM(E178:J178)-G178+MAX(G178,K178))))</f>
        <v/>
      </c>
      <c r="M178" s="16" t="str">
        <f>IF($A178="","",Raw_Data!K178)</f>
        <v/>
      </c>
      <c r="N178" s="16" t="str">
        <f>IF($A178="","",IFERROR(VLOOKUP(M178,KPI_Config!$I$5:$J$10,2,FALSE()),0))</f>
        <v/>
      </c>
      <c r="O178" s="16" t="str">
        <f>IF($A178="","",IF(Policy_Decisions!$B$5="Percentage points",MAX(0,L178-N178),L178*(1-N178)))</f>
        <v/>
      </c>
      <c r="P178" s="15" t="str">
        <f>IF($A178="","",IF(U178="","Review proration",IF(O178=0,"No payout",IF(N178&gt;0,"Malus applied","Eligible"))))</f>
        <v/>
      </c>
      <c r="Q178" s="15" t="str">
        <f>IF($A178="","",Raw_Data!M178)</f>
        <v/>
      </c>
      <c r="R178" s="38" t="str">
        <f>IF($A178="","",Raw_Data!N178)</f>
        <v/>
      </c>
      <c r="S178" s="38" t="str">
        <f>IF($A178="","",Raw_Data!O178)</f>
        <v/>
      </c>
      <c r="T178" s="38" t="str">
        <f>IF($A178="","",IF(Raw_Data!P178&gt;0,Raw_Data!P178,Raw_Data!N178*Raw_Data!O178/IF(Policy_Decisions!$B$7="Annual",12,1)))</f>
        <v/>
      </c>
      <c r="U178" s="38" t="str">
        <f>IF($A178="","",IF(OR(Raw_Data!R178="",Raw_Data!R178&lt;=0),"",MIN(1,MAX(0,Raw_Data!Q178/Raw_Data!R178))))</f>
        <v/>
      </c>
      <c r="V178" s="38" t="str">
        <f>IF(OR($A178="",U178=""),"",T178*U178)</f>
        <v/>
      </c>
      <c r="W178" s="38" t="str">
        <f>IF(OR($A178="",V178=""),"",V178*L178)</f>
        <v/>
      </c>
      <c r="X178" s="38" t="str">
        <f>IF(OR($A178="",V178=""),"",V178*L178-V178*O178)</f>
        <v/>
      </c>
      <c r="Y178" s="38" t="str">
        <f>IF(OR($A178="",V178=""),"",ROUND(V178*O178,IF(Policy_Decisions!$B$11="Whole MAD",0,2)))</f>
        <v/>
      </c>
      <c r="Z178">
        <f>Raw_Data!T178</f>
        <v>0</v>
      </c>
      <c r="AA178">
        <f>Raw_Data!U178</f>
        <v>0</v>
      </c>
    </row>
    <row r="179" spans="1:27" ht="14.25" customHeight="1">
      <c r="A179" s="13" t="str">
        <f>IF(Raw_Data!A179="","",Raw_Data!A179)</f>
        <v/>
      </c>
      <c r="B179" s="13" t="str">
        <f>IF(Raw_Data!B179="","",Raw_Data!B179)</f>
        <v/>
      </c>
      <c r="C179" s="13" t="str">
        <f>IF(Raw_Data!C179="","",Raw_Data!C179)</f>
        <v/>
      </c>
      <c r="D179" s="13" t="str">
        <f>IF(Raw_Data!D179="","",Raw_Data!D179)</f>
        <v/>
      </c>
      <c r="E179" s="21" t="str">
        <f>IF($A179="","",IF(Raw_Data!E179="",0,IF(KPI_Config!$C$5="L",IF(Raw_Data!E179&lt;=KPI_Config!$E$5,KPI_Config!$D$5,IF(AND(KPI_Config!$F$5&gt;0,Raw_Data!E179&lt;=KPI_Config!$G$5),KPI_Config!$F$5,0)),IF(Raw_Data!E179&gt;=KPI_Config!$E$5,KPI_Config!$D$5,IF(AND(KPI_Config!$F$5&gt;0,Raw_Data!E179&gt;=KPI_Config!$G$5),KPI_Config!$F$5,0)))))</f>
        <v/>
      </c>
      <c r="F179" s="21" t="str">
        <f>IF($A179="","",IF(Raw_Data!F179="",0,IF(KPI_Config!$C$6="L",IF(Raw_Data!F179&lt;=KPI_Config!$E$6,KPI_Config!$D$6,IF(AND(KPI_Config!$F$6&gt;0,Raw_Data!F179&lt;=KPI_Config!$G$6),KPI_Config!$F$6,0)),IF(Raw_Data!F179&gt;=KPI_Config!$E$6,KPI_Config!$D$6,IF(AND(KPI_Config!$F$6&gt;0,Raw_Data!F179&gt;=KPI_Config!$G$6),KPI_Config!$F$6,0)))))</f>
        <v/>
      </c>
      <c r="G179" s="21" t="str">
        <f>IF($A179="","",IF(Raw_Data!G179="",0,IF(KPI_Config!$C$7="L",IF(Raw_Data!G179&lt;=KPI_Config!$E$7,KPI_Config!$D$7,IF(AND(KPI_Config!$F$7&gt;0,Raw_Data!G179&lt;=KPI_Config!$G$7),KPI_Config!$F$7,0)),IF(Raw_Data!G179&gt;=KPI_Config!$E$7,KPI_Config!$D$7,IF(AND(KPI_Config!$F$7&gt;0,Raw_Data!G179&gt;=KPI_Config!$G$7),KPI_Config!$F$7,0)))))</f>
        <v/>
      </c>
      <c r="H179" s="21" t="str">
        <f>IF($A179="","",IF(Raw_Data!H179="",0,IF(KPI_Config!$C$8="L",IF(Raw_Data!H179&lt;=KPI_Config!$E$8,KPI_Config!$D$8,IF(AND(KPI_Config!$F$8&gt;0,Raw_Data!H179&lt;=KPI_Config!$G$8),KPI_Config!$F$8,0)),IF(Raw_Data!H179&gt;=KPI_Config!$E$8,KPI_Config!$D$8,IF(AND(KPI_Config!$F$8&gt;0,Raw_Data!H179&gt;=KPI_Config!$G$8),KPI_Config!$F$8,0)))))</f>
        <v/>
      </c>
      <c r="I179" s="21" t="str">
        <f>IF($A179="","",IF(Raw_Data!I179="",0,IF(KPI_Config!$C$9="L",IF(Raw_Data!I179&lt;=KPI_Config!$E$9,KPI_Config!$D$9,IF(AND(KPI_Config!$F$9&gt;0,Raw_Data!I179&lt;=KPI_Config!$G$9),KPI_Config!$F$9,0)),IF(Raw_Data!I179&gt;=KPI_Config!$E$9,KPI_Config!$D$9,IF(AND(KPI_Config!$F$9&gt;0,Raw_Data!I179&gt;=KPI_Config!$G$9),KPI_Config!$F$9,0)))))</f>
        <v/>
      </c>
      <c r="J179" s="21" t="str">
        <f>IF($A179="","",IF(Raw_Data!J179="",0,IF(KPI_Config!$C$10="L",IF(Raw_Data!J179&lt;=KPI_Config!$E$10,KPI_Config!$D$10,IF(AND(KPI_Config!$F$10&gt;0,Raw_Data!J179&lt;=KPI_Config!$G$10),KPI_Config!$F$10,0)),IF(Raw_Data!J179&gt;=KPI_Config!$E$10,KPI_Config!$D$10,IF(AND(KPI_Config!$F$10&gt;0,Raw_Data!J179&gt;=KPI_Config!$G$10),KPI_Config!$F$10,0)))))</f>
        <v/>
      </c>
      <c r="K179" s="21" t="str">
        <f>IF($A179="","",IF(Raw_Data!G179="",0,IF(KPI_Config!$C$11="L",IF(Raw_Data!G179&lt;=KPI_Config!$E$11,KPI_Config!$D$11,IF(AND(KPI_Config!$F$11&gt;0,Raw_Data!G179&lt;=KPI_Config!$G$11),KPI_Config!$F$11,0)),IF(Raw_Data!G179&gt;=KPI_Config!$E$11,KPI_Config!$D$11,IF(AND(KPI_Config!$F$11&gt;0,Raw_Data!G179&gt;=KPI_Config!$G$11),KPI_Config!$F$11,0)))))</f>
        <v/>
      </c>
      <c r="L179" s="21" t="str">
        <f>IF($A179="","",MIN(Policy_Decisions!$B$10,IF(Policy_Decisions!$B$6="Additive",SUM(E179:K179),SUM(E179:J179)-G179+MAX(G179,K179))))</f>
        <v/>
      </c>
      <c r="M179" s="21" t="str">
        <f>IF($A179="","",Raw_Data!K179)</f>
        <v/>
      </c>
      <c r="N179" s="21" t="str">
        <f>IF($A179="","",IFERROR(VLOOKUP(M179,KPI_Config!$I$5:$J$10,2,FALSE()),0))</f>
        <v/>
      </c>
      <c r="O179" s="21" t="str">
        <f>IF($A179="","",IF(Policy_Decisions!$B$5="Percentage points",MAX(0,L179-N179),L179*(1-N179)))</f>
        <v/>
      </c>
      <c r="P179" s="13" t="str">
        <f>IF($A179="","",IF(U179="","Review proration",IF(O179=0,"No payout",IF(N179&gt;0,"Malus applied","Eligible"))))</f>
        <v/>
      </c>
      <c r="Q179" s="13" t="str">
        <f>IF($A179="","",Raw_Data!M179)</f>
        <v/>
      </c>
      <c r="R179" s="37" t="str">
        <f>IF($A179="","",Raw_Data!N179)</f>
        <v/>
      </c>
      <c r="S179" s="37" t="str">
        <f>IF($A179="","",Raw_Data!O179)</f>
        <v/>
      </c>
      <c r="T179" s="37" t="str">
        <f>IF($A179="","",IF(Raw_Data!P179&gt;0,Raw_Data!P179,Raw_Data!N179*Raw_Data!O179/IF(Policy_Decisions!$B$7="Annual",12,1)))</f>
        <v/>
      </c>
      <c r="U179" s="37" t="str">
        <f>IF($A179="","",IF(OR(Raw_Data!R179="",Raw_Data!R179&lt;=0),"",MIN(1,MAX(0,Raw_Data!Q179/Raw_Data!R179))))</f>
        <v/>
      </c>
      <c r="V179" s="37" t="str">
        <f>IF(OR($A179="",U179=""),"",T179*U179)</f>
        <v/>
      </c>
      <c r="W179" s="37" t="str">
        <f>IF(OR($A179="",V179=""),"",V179*L179)</f>
        <v/>
      </c>
      <c r="X179" s="37" t="str">
        <f>IF(OR($A179="",V179=""),"",V179*L179-V179*O179)</f>
        <v/>
      </c>
      <c r="Y179" s="37" t="str">
        <f>IF(OR($A179="",V179=""),"",ROUND(V179*O179,IF(Policy_Decisions!$B$11="Whole MAD",0,2)))</f>
        <v/>
      </c>
      <c r="Z179">
        <f>Raw_Data!T179</f>
        <v>0</v>
      </c>
      <c r="AA179">
        <f>Raw_Data!U179</f>
        <v>0</v>
      </c>
    </row>
    <row r="180" spans="1:27" ht="14.25" customHeight="1">
      <c r="A180" s="15" t="str">
        <f>IF(Raw_Data!A180="","",Raw_Data!A180)</f>
        <v/>
      </c>
      <c r="B180" s="15" t="str">
        <f>IF(Raw_Data!B180="","",Raw_Data!B180)</f>
        <v/>
      </c>
      <c r="C180" s="15" t="str">
        <f>IF(Raw_Data!C180="","",Raw_Data!C180)</f>
        <v/>
      </c>
      <c r="D180" s="15" t="str">
        <f>IF(Raw_Data!D180="","",Raw_Data!D180)</f>
        <v/>
      </c>
      <c r="E180" s="16" t="str">
        <f>IF($A180="","",IF(Raw_Data!E180="",0,IF(KPI_Config!$C$5="L",IF(Raw_Data!E180&lt;=KPI_Config!$E$5,KPI_Config!$D$5,IF(AND(KPI_Config!$F$5&gt;0,Raw_Data!E180&lt;=KPI_Config!$G$5),KPI_Config!$F$5,0)),IF(Raw_Data!E180&gt;=KPI_Config!$E$5,KPI_Config!$D$5,IF(AND(KPI_Config!$F$5&gt;0,Raw_Data!E180&gt;=KPI_Config!$G$5),KPI_Config!$F$5,0)))))</f>
        <v/>
      </c>
      <c r="F180" s="16" t="str">
        <f>IF($A180="","",IF(Raw_Data!F180="",0,IF(KPI_Config!$C$6="L",IF(Raw_Data!F180&lt;=KPI_Config!$E$6,KPI_Config!$D$6,IF(AND(KPI_Config!$F$6&gt;0,Raw_Data!F180&lt;=KPI_Config!$G$6),KPI_Config!$F$6,0)),IF(Raw_Data!F180&gt;=KPI_Config!$E$6,KPI_Config!$D$6,IF(AND(KPI_Config!$F$6&gt;0,Raw_Data!F180&gt;=KPI_Config!$G$6),KPI_Config!$F$6,0)))))</f>
        <v/>
      </c>
      <c r="G180" s="16" t="str">
        <f>IF($A180="","",IF(Raw_Data!G180="",0,IF(KPI_Config!$C$7="L",IF(Raw_Data!G180&lt;=KPI_Config!$E$7,KPI_Config!$D$7,IF(AND(KPI_Config!$F$7&gt;0,Raw_Data!G180&lt;=KPI_Config!$G$7),KPI_Config!$F$7,0)),IF(Raw_Data!G180&gt;=KPI_Config!$E$7,KPI_Config!$D$7,IF(AND(KPI_Config!$F$7&gt;0,Raw_Data!G180&gt;=KPI_Config!$G$7),KPI_Config!$F$7,0)))))</f>
        <v/>
      </c>
      <c r="H180" s="16" t="str">
        <f>IF($A180="","",IF(Raw_Data!H180="",0,IF(KPI_Config!$C$8="L",IF(Raw_Data!H180&lt;=KPI_Config!$E$8,KPI_Config!$D$8,IF(AND(KPI_Config!$F$8&gt;0,Raw_Data!H180&lt;=KPI_Config!$G$8),KPI_Config!$F$8,0)),IF(Raw_Data!H180&gt;=KPI_Config!$E$8,KPI_Config!$D$8,IF(AND(KPI_Config!$F$8&gt;0,Raw_Data!H180&gt;=KPI_Config!$G$8),KPI_Config!$F$8,0)))))</f>
        <v/>
      </c>
      <c r="I180" s="16" t="str">
        <f>IF($A180="","",IF(Raw_Data!I180="",0,IF(KPI_Config!$C$9="L",IF(Raw_Data!I180&lt;=KPI_Config!$E$9,KPI_Config!$D$9,IF(AND(KPI_Config!$F$9&gt;0,Raw_Data!I180&lt;=KPI_Config!$G$9),KPI_Config!$F$9,0)),IF(Raw_Data!I180&gt;=KPI_Config!$E$9,KPI_Config!$D$9,IF(AND(KPI_Config!$F$9&gt;0,Raw_Data!I180&gt;=KPI_Config!$G$9),KPI_Config!$F$9,0)))))</f>
        <v/>
      </c>
      <c r="J180" s="16" t="str">
        <f>IF($A180="","",IF(Raw_Data!J180="",0,IF(KPI_Config!$C$10="L",IF(Raw_Data!J180&lt;=KPI_Config!$E$10,KPI_Config!$D$10,IF(AND(KPI_Config!$F$10&gt;0,Raw_Data!J180&lt;=KPI_Config!$G$10),KPI_Config!$F$10,0)),IF(Raw_Data!J180&gt;=KPI_Config!$E$10,KPI_Config!$D$10,IF(AND(KPI_Config!$F$10&gt;0,Raw_Data!J180&gt;=KPI_Config!$G$10),KPI_Config!$F$10,0)))))</f>
        <v/>
      </c>
      <c r="K180" s="16" t="str">
        <f>IF($A180="","",IF(Raw_Data!G180="",0,IF(KPI_Config!$C$11="L",IF(Raw_Data!G180&lt;=KPI_Config!$E$11,KPI_Config!$D$11,IF(AND(KPI_Config!$F$11&gt;0,Raw_Data!G180&lt;=KPI_Config!$G$11),KPI_Config!$F$11,0)),IF(Raw_Data!G180&gt;=KPI_Config!$E$11,KPI_Config!$D$11,IF(AND(KPI_Config!$F$11&gt;0,Raw_Data!G180&gt;=KPI_Config!$G$11),KPI_Config!$F$11,0)))))</f>
        <v/>
      </c>
      <c r="L180" s="16" t="str">
        <f>IF($A180="","",MIN(Policy_Decisions!$B$10,IF(Policy_Decisions!$B$6="Additive",SUM(E180:K180),SUM(E180:J180)-G180+MAX(G180,K180))))</f>
        <v/>
      </c>
      <c r="M180" s="16" t="str">
        <f>IF($A180="","",Raw_Data!K180)</f>
        <v/>
      </c>
      <c r="N180" s="16" t="str">
        <f>IF($A180="","",IFERROR(VLOOKUP(M180,KPI_Config!$I$5:$J$10,2,FALSE()),0))</f>
        <v/>
      </c>
      <c r="O180" s="16" t="str">
        <f>IF($A180="","",IF(Policy_Decisions!$B$5="Percentage points",MAX(0,L180-N180),L180*(1-N180)))</f>
        <v/>
      </c>
      <c r="P180" s="15" t="str">
        <f>IF($A180="","",IF(U180="","Review proration",IF(O180=0,"No payout",IF(N180&gt;0,"Malus applied","Eligible"))))</f>
        <v/>
      </c>
      <c r="Q180" s="15" t="str">
        <f>IF($A180="","",Raw_Data!M180)</f>
        <v/>
      </c>
      <c r="R180" s="38" t="str">
        <f>IF($A180="","",Raw_Data!N180)</f>
        <v/>
      </c>
      <c r="S180" s="38" t="str">
        <f>IF($A180="","",Raw_Data!O180)</f>
        <v/>
      </c>
      <c r="T180" s="38" t="str">
        <f>IF($A180="","",IF(Raw_Data!P180&gt;0,Raw_Data!P180,Raw_Data!N180*Raw_Data!O180/IF(Policy_Decisions!$B$7="Annual",12,1)))</f>
        <v/>
      </c>
      <c r="U180" s="38" t="str">
        <f>IF($A180="","",IF(OR(Raw_Data!R180="",Raw_Data!R180&lt;=0),"",MIN(1,MAX(0,Raw_Data!Q180/Raw_Data!R180))))</f>
        <v/>
      </c>
      <c r="V180" s="38" t="str">
        <f>IF(OR($A180="",U180=""),"",T180*U180)</f>
        <v/>
      </c>
      <c r="W180" s="38" t="str">
        <f>IF(OR($A180="",V180=""),"",V180*L180)</f>
        <v/>
      </c>
      <c r="X180" s="38" t="str">
        <f>IF(OR($A180="",V180=""),"",V180*L180-V180*O180)</f>
        <v/>
      </c>
      <c r="Y180" s="38" t="str">
        <f>IF(OR($A180="",V180=""),"",ROUND(V180*O180,IF(Policy_Decisions!$B$11="Whole MAD",0,2)))</f>
        <v/>
      </c>
      <c r="Z180">
        <f>Raw_Data!T180</f>
        <v>0</v>
      </c>
      <c r="AA180">
        <f>Raw_Data!U180</f>
        <v>0</v>
      </c>
    </row>
    <row r="181" spans="1:27" ht="14.25" customHeight="1">
      <c r="A181" s="13" t="str">
        <f>IF(Raw_Data!A181="","",Raw_Data!A181)</f>
        <v/>
      </c>
      <c r="B181" s="13" t="str">
        <f>IF(Raw_Data!B181="","",Raw_Data!B181)</f>
        <v/>
      </c>
      <c r="C181" s="13" t="str">
        <f>IF(Raw_Data!C181="","",Raw_Data!C181)</f>
        <v/>
      </c>
      <c r="D181" s="13" t="str">
        <f>IF(Raw_Data!D181="","",Raw_Data!D181)</f>
        <v/>
      </c>
      <c r="E181" s="21" t="str">
        <f>IF($A181="","",IF(Raw_Data!E181="",0,IF(KPI_Config!$C$5="L",IF(Raw_Data!E181&lt;=KPI_Config!$E$5,KPI_Config!$D$5,IF(AND(KPI_Config!$F$5&gt;0,Raw_Data!E181&lt;=KPI_Config!$G$5),KPI_Config!$F$5,0)),IF(Raw_Data!E181&gt;=KPI_Config!$E$5,KPI_Config!$D$5,IF(AND(KPI_Config!$F$5&gt;0,Raw_Data!E181&gt;=KPI_Config!$G$5),KPI_Config!$F$5,0)))))</f>
        <v/>
      </c>
      <c r="F181" s="21" t="str">
        <f>IF($A181="","",IF(Raw_Data!F181="",0,IF(KPI_Config!$C$6="L",IF(Raw_Data!F181&lt;=KPI_Config!$E$6,KPI_Config!$D$6,IF(AND(KPI_Config!$F$6&gt;0,Raw_Data!F181&lt;=KPI_Config!$G$6),KPI_Config!$F$6,0)),IF(Raw_Data!F181&gt;=KPI_Config!$E$6,KPI_Config!$D$6,IF(AND(KPI_Config!$F$6&gt;0,Raw_Data!F181&gt;=KPI_Config!$G$6),KPI_Config!$F$6,0)))))</f>
        <v/>
      </c>
      <c r="G181" s="21" t="str">
        <f>IF($A181="","",IF(Raw_Data!G181="",0,IF(KPI_Config!$C$7="L",IF(Raw_Data!G181&lt;=KPI_Config!$E$7,KPI_Config!$D$7,IF(AND(KPI_Config!$F$7&gt;0,Raw_Data!G181&lt;=KPI_Config!$G$7),KPI_Config!$F$7,0)),IF(Raw_Data!G181&gt;=KPI_Config!$E$7,KPI_Config!$D$7,IF(AND(KPI_Config!$F$7&gt;0,Raw_Data!G181&gt;=KPI_Config!$G$7),KPI_Config!$F$7,0)))))</f>
        <v/>
      </c>
      <c r="H181" s="21" t="str">
        <f>IF($A181="","",IF(Raw_Data!H181="",0,IF(KPI_Config!$C$8="L",IF(Raw_Data!H181&lt;=KPI_Config!$E$8,KPI_Config!$D$8,IF(AND(KPI_Config!$F$8&gt;0,Raw_Data!H181&lt;=KPI_Config!$G$8),KPI_Config!$F$8,0)),IF(Raw_Data!H181&gt;=KPI_Config!$E$8,KPI_Config!$D$8,IF(AND(KPI_Config!$F$8&gt;0,Raw_Data!H181&gt;=KPI_Config!$G$8),KPI_Config!$F$8,0)))))</f>
        <v/>
      </c>
      <c r="I181" s="21" t="str">
        <f>IF($A181="","",IF(Raw_Data!I181="",0,IF(KPI_Config!$C$9="L",IF(Raw_Data!I181&lt;=KPI_Config!$E$9,KPI_Config!$D$9,IF(AND(KPI_Config!$F$9&gt;0,Raw_Data!I181&lt;=KPI_Config!$G$9),KPI_Config!$F$9,0)),IF(Raw_Data!I181&gt;=KPI_Config!$E$9,KPI_Config!$D$9,IF(AND(KPI_Config!$F$9&gt;0,Raw_Data!I181&gt;=KPI_Config!$G$9),KPI_Config!$F$9,0)))))</f>
        <v/>
      </c>
      <c r="J181" s="21" t="str">
        <f>IF($A181="","",IF(Raw_Data!J181="",0,IF(KPI_Config!$C$10="L",IF(Raw_Data!J181&lt;=KPI_Config!$E$10,KPI_Config!$D$10,IF(AND(KPI_Config!$F$10&gt;0,Raw_Data!J181&lt;=KPI_Config!$G$10),KPI_Config!$F$10,0)),IF(Raw_Data!J181&gt;=KPI_Config!$E$10,KPI_Config!$D$10,IF(AND(KPI_Config!$F$10&gt;0,Raw_Data!J181&gt;=KPI_Config!$G$10),KPI_Config!$F$10,0)))))</f>
        <v/>
      </c>
      <c r="K181" s="21" t="str">
        <f>IF($A181="","",IF(Raw_Data!G181="",0,IF(KPI_Config!$C$11="L",IF(Raw_Data!G181&lt;=KPI_Config!$E$11,KPI_Config!$D$11,IF(AND(KPI_Config!$F$11&gt;0,Raw_Data!G181&lt;=KPI_Config!$G$11),KPI_Config!$F$11,0)),IF(Raw_Data!G181&gt;=KPI_Config!$E$11,KPI_Config!$D$11,IF(AND(KPI_Config!$F$11&gt;0,Raw_Data!G181&gt;=KPI_Config!$G$11),KPI_Config!$F$11,0)))))</f>
        <v/>
      </c>
      <c r="L181" s="21" t="str">
        <f>IF($A181="","",MIN(Policy_Decisions!$B$10,IF(Policy_Decisions!$B$6="Additive",SUM(E181:K181),SUM(E181:J181)-G181+MAX(G181,K181))))</f>
        <v/>
      </c>
      <c r="M181" s="21" t="str">
        <f>IF($A181="","",Raw_Data!K181)</f>
        <v/>
      </c>
      <c r="N181" s="21" t="str">
        <f>IF($A181="","",IFERROR(VLOOKUP(M181,KPI_Config!$I$5:$J$10,2,FALSE()),0))</f>
        <v/>
      </c>
      <c r="O181" s="21" t="str">
        <f>IF($A181="","",IF(Policy_Decisions!$B$5="Percentage points",MAX(0,L181-N181),L181*(1-N181)))</f>
        <v/>
      </c>
      <c r="P181" s="13" t="str">
        <f>IF($A181="","",IF(U181="","Review proration",IF(O181=0,"No payout",IF(N181&gt;0,"Malus applied","Eligible"))))</f>
        <v/>
      </c>
      <c r="Q181" s="13" t="str">
        <f>IF($A181="","",Raw_Data!M181)</f>
        <v/>
      </c>
      <c r="R181" s="37" t="str">
        <f>IF($A181="","",Raw_Data!N181)</f>
        <v/>
      </c>
      <c r="S181" s="37" t="str">
        <f>IF($A181="","",Raw_Data!O181)</f>
        <v/>
      </c>
      <c r="T181" s="37" t="str">
        <f>IF($A181="","",IF(Raw_Data!P181&gt;0,Raw_Data!P181,Raw_Data!N181*Raw_Data!O181/IF(Policy_Decisions!$B$7="Annual",12,1)))</f>
        <v/>
      </c>
      <c r="U181" s="37" t="str">
        <f>IF($A181="","",IF(OR(Raw_Data!R181="",Raw_Data!R181&lt;=0),"",MIN(1,MAX(0,Raw_Data!Q181/Raw_Data!R181))))</f>
        <v/>
      </c>
      <c r="V181" s="37" t="str">
        <f>IF(OR($A181="",U181=""),"",T181*U181)</f>
        <v/>
      </c>
      <c r="W181" s="37" t="str">
        <f>IF(OR($A181="",V181=""),"",V181*L181)</f>
        <v/>
      </c>
      <c r="X181" s="37" t="str">
        <f>IF(OR($A181="",V181=""),"",V181*L181-V181*O181)</f>
        <v/>
      </c>
      <c r="Y181" s="37" t="str">
        <f>IF(OR($A181="",V181=""),"",ROUND(V181*O181,IF(Policy_Decisions!$B$11="Whole MAD",0,2)))</f>
        <v/>
      </c>
      <c r="Z181">
        <f>Raw_Data!T181</f>
        <v>0</v>
      </c>
      <c r="AA181">
        <f>Raw_Data!U181</f>
        <v>0</v>
      </c>
    </row>
    <row r="182" spans="1:27" ht="14.25" customHeight="1">
      <c r="A182" s="15" t="str">
        <f>IF(Raw_Data!A182="","",Raw_Data!A182)</f>
        <v/>
      </c>
      <c r="B182" s="15" t="str">
        <f>IF(Raw_Data!B182="","",Raw_Data!B182)</f>
        <v/>
      </c>
      <c r="C182" s="15" t="str">
        <f>IF(Raw_Data!C182="","",Raw_Data!C182)</f>
        <v/>
      </c>
      <c r="D182" s="15" t="str">
        <f>IF(Raw_Data!D182="","",Raw_Data!D182)</f>
        <v/>
      </c>
      <c r="E182" s="16" t="str">
        <f>IF($A182="","",IF(Raw_Data!E182="",0,IF(KPI_Config!$C$5="L",IF(Raw_Data!E182&lt;=KPI_Config!$E$5,KPI_Config!$D$5,IF(AND(KPI_Config!$F$5&gt;0,Raw_Data!E182&lt;=KPI_Config!$G$5),KPI_Config!$F$5,0)),IF(Raw_Data!E182&gt;=KPI_Config!$E$5,KPI_Config!$D$5,IF(AND(KPI_Config!$F$5&gt;0,Raw_Data!E182&gt;=KPI_Config!$G$5),KPI_Config!$F$5,0)))))</f>
        <v/>
      </c>
      <c r="F182" s="16" t="str">
        <f>IF($A182="","",IF(Raw_Data!F182="",0,IF(KPI_Config!$C$6="L",IF(Raw_Data!F182&lt;=KPI_Config!$E$6,KPI_Config!$D$6,IF(AND(KPI_Config!$F$6&gt;0,Raw_Data!F182&lt;=KPI_Config!$G$6),KPI_Config!$F$6,0)),IF(Raw_Data!F182&gt;=KPI_Config!$E$6,KPI_Config!$D$6,IF(AND(KPI_Config!$F$6&gt;0,Raw_Data!F182&gt;=KPI_Config!$G$6),KPI_Config!$F$6,0)))))</f>
        <v/>
      </c>
      <c r="G182" s="16" t="str">
        <f>IF($A182="","",IF(Raw_Data!G182="",0,IF(KPI_Config!$C$7="L",IF(Raw_Data!G182&lt;=KPI_Config!$E$7,KPI_Config!$D$7,IF(AND(KPI_Config!$F$7&gt;0,Raw_Data!G182&lt;=KPI_Config!$G$7),KPI_Config!$F$7,0)),IF(Raw_Data!G182&gt;=KPI_Config!$E$7,KPI_Config!$D$7,IF(AND(KPI_Config!$F$7&gt;0,Raw_Data!G182&gt;=KPI_Config!$G$7),KPI_Config!$F$7,0)))))</f>
        <v/>
      </c>
      <c r="H182" s="16" t="str">
        <f>IF($A182="","",IF(Raw_Data!H182="",0,IF(KPI_Config!$C$8="L",IF(Raw_Data!H182&lt;=KPI_Config!$E$8,KPI_Config!$D$8,IF(AND(KPI_Config!$F$8&gt;0,Raw_Data!H182&lt;=KPI_Config!$G$8),KPI_Config!$F$8,0)),IF(Raw_Data!H182&gt;=KPI_Config!$E$8,KPI_Config!$D$8,IF(AND(KPI_Config!$F$8&gt;0,Raw_Data!H182&gt;=KPI_Config!$G$8),KPI_Config!$F$8,0)))))</f>
        <v/>
      </c>
      <c r="I182" s="16" t="str">
        <f>IF($A182="","",IF(Raw_Data!I182="",0,IF(KPI_Config!$C$9="L",IF(Raw_Data!I182&lt;=KPI_Config!$E$9,KPI_Config!$D$9,IF(AND(KPI_Config!$F$9&gt;0,Raw_Data!I182&lt;=KPI_Config!$G$9),KPI_Config!$F$9,0)),IF(Raw_Data!I182&gt;=KPI_Config!$E$9,KPI_Config!$D$9,IF(AND(KPI_Config!$F$9&gt;0,Raw_Data!I182&gt;=KPI_Config!$G$9),KPI_Config!$F$9,0)))))</f>
        <v/>
      </c>
      <c r="J182" s="16" t="str">
        <f>IF($A182="","",IF(Raw_Data!J182="",0,IF(KPI_Config!$C$10="L",IF(Raw_Data!J182&lt;=KPI_Config!$E$10,KPI_Config!$D$10,IF(AND(KPI_Config!$F$10&gt;0,Raw_Data!J182&lt;=KPI_Config!$G$10),KPI_Config!$F$10,0)),IF(Raw_Data!J182&gt;=KPI_Config!$E$10,KPI_Config!$D$10,IF(AND(KPI_Config!$F$10&gt;0,Raw_Data!J182&gt;=KPI_Config!$G$10),KPI_Config!$F$10,0)))))</f>
        <v/>
      </c>
      <c r="K182" s="16" t="str">
        <f>IF($A182="","",IF(Raw_Data!G182="",0,IF(KPI_Config!$C$11="L",IF(Raw_Data!G182&lt;=KPI_Config!$E$11,KPI_Config!$D$11,IF(AND(KPI_Config!$F$11&gt;0,Raw_Data!G182&lt;=KPI_Config!$G$11),KPI_Config!$F$11,0)),IF(Raw_Data!G182&gt;=KPI_Config!$E$11,KPI_Config!$D$11,IF(AND(KPI_Config!$F$11&gt;0,Raw_Data!G182&gt;=KPI_Config!$G$11),KPI_Config!$F$11,0)))))</f>
        <v/>
      </c>
      <c r="L182" s="16" t="str">
        <f>IF($A182="","",MIN(Policy_Decisions!$B$10,IF(Policy_Decisions!$B$6="Additive",SUM(E182:K182),SUM(E182:J182)-G182+MAX(G182,K182))))</f>
        <v/>
      </c>
      <c r="M182" s="16" t="str">
        <f>IF($A182="","",Raw_Data!K182)</f>
        <v/>
      </c>
      <c r="N182" s="16" t="str">
        <f>IF($A182="","",IFERROR(VLOOKUP(M182,KPI_Config!$I$5:$J$10,2,FALSE()),0))</f>
        <v/>
      </c>
      <c r="O182" s="16" t="str">
        <f>IF($A182="","",IF(Policy_Decisions!$B$5="Percentage points",MAX(0,L182-N182),L182*(1-N182)))</f>
        <v/>
      </c>
      <c r="P182" s="15" t="str">
        <f>IF($A182="","",IF(U182="","Review proration",IF(O182=0,"No payout",IF(N182&gt;0,"Malus applied","Eligible"))))</f>
        <v/>
      </c>
      <c r="Q182" s="15" t="str">
        <f>IF($A182="","",Raw_Data!M182)</f>
        <v/>
      </c>
      <c r="R182" s="38" t="str">
        <f>IF($A182="","",Raw_Data!N182)</f>
        <v/>
      </c>
      <c r="S182" s="38" t="str">
        <f>IF($A182="","",Raw_Data!O182)</f>
        <v/>
      </c>
      <c r="T182" s="38" t="str">
        <f>IF($A182="","",IF(Raw_Data!P182&gt;0,Raw_Data!P182,Raw_Data!N182*Raw_Data!O182/IF(Policy_Decisions!$B$7="Annual",12,1)))</f>
        <v/>
      </c>
      <c r="U182" s="38" t="str">
        <f>IF($A182="","",IF(OR(Raw_Data!R182="",Raw_Data!R182&lt;=0),"",MIN(1,MAX(0,Raw_Data!Q182/Raw_Data!R182))))</f>
        <v/>
      </c>
      <c r="V182" s="38" t="str">
        <f>IF(OR($A182="",U182=""),"",T182*U182)</f>
        <v/>
      </c>
      <c r="W182" s="38" t="str">
        <f>IF(OR($A182="",V182=""),"",V182*L182)</f>
        <v/>
      </c>
      <c r="X182" s="38" t="str">
        <f>IF(OR($A182="",V182=""),"",V182*L182-V182*O182)</f>
        <v/>
      </c>
      <c r="Y182" s="38" t="str">
        <f>IF(OR($A182="",V182=""),"",ROUND(V182*O182,IF(Policy_Decisions!$B$11="Whole MAD",0,2)))</f>
        <v/>
      </c>
      <c r="Z182">
        <f>Raw_Data!T182</f>
        <v>0</v>
      </c>
      <c r="AA182">
        <f>Raw_Data!U182</f>
        <v>0</v>
      </c>
    </row>
    <row r="183" spans="1:27" ht="14.25" customHeight="1">
      <c r="A183" s="13" t="str">
        <f>IF(Raw_Data!A183="","",Raw_Data!A183)</f>
        <v/>
      </c>
      <c r="B183" s="13" t="str">
        <f>IF(Raw_Data!B183="","",Raw_Data!B183)</f>
        <v/>
      </c>
      <c r="C183" s="13" t="str">
        <f>IF(Raw_Data!C183="","",Raw_Data!C183)</f>
        <v/>
      </c>
      <c r="D183" s="13" t="str">
        <f>IF(Raw_Data!D183="","",Raw_Data!D183)</f>
        <v/>
      </c>
      <c r="E183" s="21" t="str">
        <f>IF($A183="","",IF(Raw_Data!E183="",0,IF(KPI_Config!$C$5="L",IF(Raw_Data!E183&lt;=KPI_Config!$E$5,KPI_Config!$D$5,IF(AND(KPI_Config!$F$5&gt;0,Raw_Data!E183&lt;=KPI_Config!$G$5),KPI_Config!$F$5,0)),IF(Raw_Data!E183&gt;=KPI_Config!$E$5,KPI_Config!$D$5,IF(AND(KPI_Config!$F$5&gt;0,Raw_Data!E183&gt;=KPI_Config!$G$5),KPI_Config!$F$5,0)))))</f>
        <v/>
      </c>
      <c r="F183" s="21" t="str">
        <f>IF($A183="","",IF(Raw_Data!F183="",0,IF(KPI_Config!$C$6="L",IF(Raw_Data!F183&lt;=KPI_Config!$E$6,KPI_Config!$D$6,IF(AND(KPI_Config!$F$6&gt;0,Raw_Data!F183&lt;=KPI_Config!$G$6),KPI_Config!$F$6,0)),IF(Raw_Data!F183&gt;=KPI_Config!$E$6,KPI_Config!$D$6,IF(AND(KPI_Config!$F$6&gt;0,Raw_Data!F183&gt;=KPI_Config!$G$6),KPI_Config!$F$6,0)))))</f>
        <v/>
      </c>
      <c r="G183" s="21" t="str">
        <f>IF($A183="","",IF(Raw_Data!G183="",0,IF(KPI_Config!$C$7="L",IF(Raw_Data!G183&lt;=KPI_Config!$E$7,KPI_Config!$D$7,IF(AND(KPI_Config!$F$7&gt;0,Raw_Data!G183&lt;=KPI_Config!$G$7),KPI_Config!$F$7,0)),IF(Raw_Data!G183&gt;=KPI_Config!$E$7,KPI_Config!$D$7,IF(AND(KPI_Config!$F$7&gt;0,Raw_Data!G183&gt;=KPI_Config!$G$7),KPI_Config!$F$7,0)))))</f>
        <v/>
      </c>
      <c r="H183" s="21" t="str">
        <f>IF($A183="","",IF(Raw_Data!H183="",0,IF(KPI_Config!$C$8="L",IF(Raw_Data!H183&lt;=KPI_Config!$E$8,KPI_Config!$D$8,IF(AND(KPI_Config!$F$8&gt;0,Raw_Data!H183&lt;=KPI_Config!$G$8),KPI_Config!$F$8,0)),IF(Raw_Data!H183&gt;=KPI_Config!$E$8,KPI_Config!$D$8,IF(AND(KPI_Config!$F$8&gt;0,Raw_Data!H183&gt;=KPI_Config!$G$8),KPI_Config!$F$8,0)))))</f>
        <v/>
      </c>
      <c r="I183" s="21" t="str">
        <f>IF($A183="","",IF(Raw_Data!I183="",0,IF(KPI_Config!$C$9="L",IF(Raw_Data!I183&lt;=KPI_Config!$E$9,KPI_Config!$D$9,IF(AND(KPI_Config!$F$9&gt;0,Raw_Data!I183&lt;=KPI_Config!$G$9),KPI_Config!$F$9,0)),IF(Raw_Data!I183&gt;=KPI_Config!$E$9,KPI_Config!$D$9,IF(AND(KPI_Config!$F$9&gt;0,Raw_Data!I183&gt;=KPI_Config!$G$9),KPI_Config!$F$9,0)))))</f>
        <v/>
      </c>
      <c r="J183" s="21" t="str">
        <f>IF($A183="","",IF(Raw_Data!J183="",0,IF(KPI_Config!$C$10="L",IF(Raw_Data!J183&lt;=KPI_Config!$E$10,KPI_Config!$D$10,IF(AND(KPI_Config!$F$10&gt;0,Raw_Data!J183&lt;=KPI_Config!$G$10),KPI_Config!$F$10,0)),IF(Raw_Data!J183&gt;=KPI_Config!$E$10,KPI_Config!$D$10,IF(AND(KPI_Config!$F$10&gt;0,Raw_Data!J183&gt;=KPI_Config!$G$10),KPI_Config!$F$10,0)))))</f>
        <v/>
      </c>
      <c r="K183" s="21" t="str">
        <f>IF($A183="","",IF(Raw_Data!G183="",0,IF(KPI_Config!$C$11="L",IF(Raw_Data!G183&lt;=KPI_Config!$E$11,KPI_Config!$D$11,IF(AND(KPI_Config!$F$11&gt;0,Raw_Data!G183&lt;=KPI_Config!$G$11),KPI_Config!$F$11,0)),IF(Raw_Data!G183&gt;=KPI_Config!$E$11,KPI_Config!$D$11,IF(AND(KPI_Config!$F$11&gt;0,Raw_Data!G183&gt;=KPI_Config!$G$11),KPI_Config!$F$11,0)))))</f>
        <v/>
      </c>
      <c r="L183" s="21" t="str">
        <f>IF($A183="","",MIN(Policy_Decisions!$B$10,IF(Policy_Decisions!$B$6="Additive",SUM(E183:K183),SUM(E183:J183)-G183+MAX(G183,K183))))</f>
        <v/>
      </c>
      <c r="M183" s="21" t="str">
        <f>IF($A183="","",Raw_Data!K183)</f>
        <v/>
      </c>
      <c r="N183" s="21" t="str">
        <f>IF($A183="","",IFERROR(VLOOKUP(M183,KPI_Config!$I$5:$J$10,2,FALSE()),0))</f>
        <v/>
      </c>
      <c r="O183" s="21" t="str">
        <f>IF($A183="","",IF(Policy_Decisions!$B$5="Percentage points",MAX(0,L183-N183),L183*(1-N183)))</f>
        <v/>
      </c>
      <c r="P183" s="13" t="str">
        <f>IF($A183="","",IF(U183="","Review proration",IF(O183=0,"No payout",IF(N183&gt;0,"Malus applied","Eligible"))))</f>
        <v/>
      </c>
      <c r="Q183" s="13" t="str">
        <f>IF($A183="","",Raw_Data!M183)</f>
        <v/>
      </c>
      <c r="R183" s="37" t="str">
        <f>IF($A183="","",Raw_Data!N183)</f>
        <v/>
      </c>
      <c r="S183" s="37" t="str">
        <f>IF($A183="","",Raw_Data!O183)</f>
        <v/>
      </c>
      <c r="T183" s="37" t="str">
        <f>IF($A183="","",IF(Raw_Data!P183&gt;0,Raw_Data!P183,Raw_Data!N183*Raw_Data!O183/IF(Policy_Decisions!$B$7="Annual",12,1)))</f>
        <v/>
      </c>
      <c r="U183" s="37" t="str">
        <f>IF($A183="","",IF(OR(Raw_Data!R183="",Raw_Data!R183&lt;=0),"",MIN(1,MAX(0,Raw_Data!Q183/Raw_Data!R183))))</f>
        <v/>
      </c>
      <c r="V183" s="37" t="str">
        <f>IF(OR($A183="",U183=""),"",T183*U183)</f>
        <v/>
      </c>
      <c r="W183" s="37" t="str">
        <f>IF(OR($A183="",V183=""),"",V183*L183)</f>
        <v/>
      </c>
      <c r="X183" s="37" t="str">
        <f>IF(OR($A183="",V183=""),"",V183*L183-V183*O183)</f>
        <v/>
      </c>
      <c r="Y183" s="37" t="str">
        <f>IF(OR($A183="",V183=""),"",ROUND(V183*O183,IF(Policy_Decisions!$B$11="Whole MAD",0,2)))</f>
        <v/>
      </c>
      <c r="Z183">
        <f>Raw_Data!T183</f>
        <v>0</v>
      </c>
      <c r="AA183">
        <f>Raw_Data!U183</f>
        <v>0</v>
      </c>
    </row>
    <row r="184" spans="1:27" ht="14.25" customHeight="1">
      <c r="A184" s="15" t="str">
        <f>IF(Raw_Data!A184="","",Raw_Data!A184)</f>
        <v/>
      </c>
      <c r="B184" s="15" t="str">
        <f>IF(Raw_Data!B184="","",Raw_Data!B184)</f>
        <v/>
      </c>
      <c r="C184" s="15" t="str">
        <f>IF(Raw_Data!C184="","",Raw_Data!C184)</f>
        <v/>
      </c>
      <c r="D184" s="15" t="str">
        <f>IF(Raw_Data!D184="","",Raw_Data!D184)</f>
        <v/>
      </c>
      <c r="E184" s="16" t="str">
        <f>IF($A184="","",IF(Raw_Data!E184="",0,IF(KPI_Config!$C$5="L",IF(Raw_Data!E184&lt;=KPI_Config!$E$5,KPI_Config!$D$5,IF(AND(KPI_Config!$F$5&gt;0,Raw_Data!E184&lt;=KPI_Config!$G$5),KPI_Config!$F$5,0)),IF(Raw_Data!E184&gt;=KPI_Config!$E$5,KPI_Config!$D$5,IF(AND(KPI_Config!$F$5&gt;0,Raw_Data!E184&gt;=KPI_Config!$G$5),KPI_Config!$F$5,0)))))</f>
        <v/>
      </c>
      <c r="F184" s="16" t="str">
        <f>IF($A184="","",IF(Raw_Data!F184="",0,IF(KPI_Config!$C$6="L",IF(Raw_Data!F184&lt;=KPI_Config!$E$6,KPI_Config!$D$6,IF(AND(KPI_Config!$F$6&gt;0,Raw_Data!F184&lt;=KPI_Config!$G$6),KPI_Config!$F$6,0)),IF(Raw_Data!F184&gt;=KPI_Config!$E$6,KPI_Config!$D$6,IF(AND(KPI_Config!$F$6&gt;0,Raw_Data!F184&gt;=KPI_Config!$G$6),KPI_Config!$F$6,0)))))</f>
        <v/>
      </c>
      <c r="G184" s="16" t="str">
        <f>IF($A184="","",IF(Raw_Data!G184="",0,IF(KPI_Config!$C$7="L",IF(Raw_Data!G184&lt;=KPI_Config!$E$7,KPI_Config!$D$7,IF(AND(KPI_Config!$F$7&gt;0,Raw_Data!G184&lt;=KPI_Config!$G$7),KPI_Config!$F$7,0)),IF(Raw_Data!G184&gt;=KPI_Config!$E$7,KPI_Config!$D$7,IF(AND(KPI_Config!$F$7&gt;0,Raw_Data!G184&gt;=KPI_Config!$G$7),KPI_Config!$F$7,0)))))</f>
        <v/>
      </c>
      <c r="H184" s="16" t="str">
        <f>IF($A184="","",IF(Raw_Data!H184="",0,IF(KPI_Config!$C$8="L",IF(Raw_Data!H184&lt;=KPI_Config!$E$8,KPI_Config!$D$8,IF(AND(KPI_Config!$F$8&gt;0,Raw_Data!H184&lt;=KPI_Config!$G$8),KPI_Config!$F$8,0)),IF(Raw_Data!H184&gt;=KPI_Config!$E$8,KPI_Config!$D$8,IF(AND(KPI_Config!$F$8&gt;0,Raw_Data!H184&gt;=KPI_Config!$G$8),KPI_Config!$F$8,0)))))</f>
        <v/>
      </c>
      <c r="I184" s="16" t="str">
        <f>IF($A184="","",IF(Raw_Data!I184="",0,IF(KPI_Config!$C$9="L",IF(Raw_Data!I184&lt;=KPI_Config!$E$9,KPI_Config!$D$9,IF(AND(KPI_Config!$F$9&gt;0,Raw_Data!I184&lt;=KPI_Config!$G$9),KPI_Config!$F$9,0)),IF(Raw_Data!I184&gt;=KPI_Config!$E$9,KPI_Config!$D$9,IF(AND(KPI_Config!$F$9&gt;0,Raw_Data!I184&gt;=KPI_Config!$G$9),KPI_Config!$F$9,0)))))</f>
        <v/>
      </c>
      <c r="J184" s="16" t="str">
        <f>IF($A184="","",IF(Raw_Data!J184="",0,IF(KPI_Config!$C$10="L",IF(Raw_Data!J184&lt;=KPI_Config!$E$10,KPI_Config!$D$10,IF(AND(KPI_Config!$F$10&gt;0,Raw_Data!J184&lt;=KPI_Config!$G$10),KPI_Config!$F$10,0)),IF(Raw_Data!J184&gt;=KPI_Config!$E$10,KPI_Config!$D$10,IF(AND(KPI_Config!$F$10&gt;0,Raw_Data!J184&gt;=KPI_Config!$G$10),KPI_Config!$F$10,0)))))</f>
        <v/>
      </c>
      <c r="K184" s="16" t="str">
        <f>IF($A184="","",IF(Raw_Data!G184="",0,IF(KPI_Config!$C$11="L",IF(Raw_Data!G184&lt;=KPI_Config!$E$11,KPI_Config!$D$11,IF(AND(KPI_Config!$F$11&gt;0,Raw_Data!G184&lt;=KPI_Config!$G$11),KPI_Config!$F$11,0)),IF(Raw_Data!G184&gt;=KPI_Config!$E$11,KPI_Config!$D$11,IF(AND(KPI_Config!$F$11&gt;0,Raw_Data!G184&gt;=KPI_Config!$G$11),KPI_Config!$F$11,0)))))</f>
        <v/>
      </c>
      <c r="L184" s="16" t="str">
        <f>IF($A184="","",MIN(Policy_Decisions!$B$10,IF(Policy_Decisions!$B$6="Additive",SUM(E184:K184),SUM(E184:J184)-G184+MAX(G184,K184))))</f>
        <v/>
      </c>
      <c r="M184" s="16" t="str">
        <f>IF($A184="","",Raw_Data!K184)</f>
        <v/>
      </c>
      <c r="N184" s="16" t="str">
        <f>IF($A184="","",IFERROR(VLOOKUP(M184,KPI_Config!$I$5:$J$10,2,FALSE()),0))</f>
        <v/>
      </c>
      <c r="O184" s="16" t="str">
        <f>IF($A184="","",IF(Policy_Decisions!$B$5="Percentage points",MAX(0,L184-N184),L184*(1-N184)))</f>
        <v/>
      </c>
      <c r="P184" s="15" t="str">
        <f>IF($A184="","",IF(U184="","Review proration",IF(O184=0,"No payout",IF(N184&gt;0,"Malus applied","Eligible"))))</f>
        <v/>
      </c>
      <c r="Q184" s="15" t="str">
        <f>IF($A184="","",Raw_Data!M184)</f>
        <v/>
      </c>
      <c r="R184" s="38" t="str">
        <f>IF($A184="","",Raw_Data!N184)</f>
        <v/>
      </c>
      <c r="S184" s="38" t="str">
        <f>IF($A184="","",Raw_Data!O184)</f>
        <v/>
      </c>
      <c r="T184" s="38" t="str">
        <f>IF($A184="","",IF(Raw_Data!P184&gt;0,Raw_Data!P184,Raw_Data!N184*Raw_Data!O184/IF(Policy_Decisions!$B$7="Annual",12,1)))</f>
        <v/>
      </c>
      <c r="U184" s="38" t="str">
        <f>IF($A184="","",IF(OR(Raw_Data!R184="",Raw_Data!R184&lt;=0),"",MIN(1,MAX(0,Raw_Data!Q184/Raw_Data!R184))))</f>
        <v/>
      </c>
      <c r="V184" s="38" t="str">
        <f>IF(OR($A184="",U184=""),"",T184*U184)</f>
        <v/>
      </c>
      <c r="W184" s="38" t="str">
        <f>IF(OR($A184="",V184=""),"",V184*L184)</f>
        <v/>
      </c>
      <c r="X184" s="38" t="str">
        <f>IF(OR($A184="",V184=""),"",V184*L184-V184*O184)</f>
        <v/>
      </c>
      <c r="Y184" s="38" t="str">
        <f>IF(OR($A184="",V184=""),"",ROUND(V184*O184,IF(Policy_Decisions!$B$11="Whole MAD",0,2)))</f>
        <v/>
      </c>
      <c r="Z184">
        <f>Raw_Data!T184</f>
        <v>0</v>
      </c>
      <c r="AA184">
        <f>Raw_Data!U184</f>
        <v>0</v>
      </c>
    </row>
    <row r="185" spans="1:27" ht="14.25" customHeight="1">
      <c r="A185" s="13" t="str">
        <f>IF(Raw_Data!A185="","",Raw_Data!A185)</f>
        <v/>
      </c>
      <c r="B185" s="13" t="str">
        <f>IF(Raw_Data!B185="","",Raw_Data!B185)</f>
        <v/>
      </c>
      <c r="C185" s="13" t="str">
        <f>IF(Raw_Data!C185="","",Raw_Data!C185)</f>
        <v/>
      </c>
      <c r="D185" s="13" t="str">
        <f>IF(Raw_Data!D185="","",Raw_Data!D185)</f>
        <v/>
      </c>
      <c r="E185" s="21" t="str">
        <f>IF($A185="","",IF(Raw_Data!E185="",0,IF(KPI_Config!$C$5="L",IF(Raw_Data!E185&lt;=KPI_Config!$E$5,KPI_Config!$D$5,IF(AND(KPI_Config!$F$5&gt;0,Raw_Data!E185&lt;=KPI_Config!$G$5),KPI_Config!$F$5,0)),IF(Raw_Data!E185&gt;=KPI_Config!$E$5,KPI_Config!$D$5,IF(AND(KPI_Config!$F$5&gt;0,Raw_Data!E185&gt;=KPI_Config!$G$5),KPI_Config!$F$5,0)))))</f>
        <v/>
      </c>
      <c r="F185" s="21" t="str">
        <f>IF($A185="","",IF(Raw_Data!F185="",0,IF(KPI_Config!$C$6="L",IF(Raw_Data!F185&lt;=KPI_Config!$E$6,KPI_Config!$D$6,IF(AND(KPI_Config!$F$6&gt;0,Raw_Data!F185&lt;=KPI_Config!$G$6),KPI_Config!$F$6,0)),IF(Raw_Data!F185&gt;=KPI_Config!$E$6,KPI_Config!$D$6,IF(AND(KPI_Config!$F$6&gt;0,Raw_Data!F185&gt;=KPI_Config!$G$6),KPI_Config!$F$6,0)))))</f>
        <v/>
      </c>
      <c r="G185" s="21" t="str">
        <f>IF($A185="","",IF(Raw_Data!G185="",0,IF(KPI_Config!$C$7="L",IF(Raw_Data!G185&lt;=KPI_Config!$E$7,KPI_Config!$D$7,IF(AND(KPI_Config!$F$7&gt;0,Raw_Data!G185&lt;=KPI_Config!$G$7),KPI_Config!$F$7,0)),IF(Raw_Data!G185&gt;=KPI_Config!$E$7,KPI_Config!$D$7,IF(AND(KPI_Config!$F$7&gt;0,Raw_Data!G185&gt;=KPI_Config!$G$7),KPI_Config!$F$7,0)))))</f>
        <v/>
      </c>
      <c r="H185" s="21" t="str">
        <f>IF($A185="","",IF(Raw_Data!H185="",0,IF(KPI_Config!$C$8="L",IF(Raw_Data!H185&lt;=KPI_Config!$E$8,KPI_Config!$D$8,IF(AND(KPI_Config!$F$8&gt;0,Raw_Data!H185&lt;=KPI_Config!$G$8),KPI_Config!$F$8,0)),IF(Raw_Data!H185&gt;=KPI_Config!$E$8,KPI_Config!$D$8,IF(AND(KPI_Config!$F$8&gt;0,Raw_Data!H185&gt;=KPI_Config!$G$8),KPI_Config!$F$8,0)))))</f>
        <v/>
      </c>
      <c r="I185" s="21" t="str">
        <f>IF($A185="","",IF(Raw_Data!I185="",0,IF(KPI_Config!$C$9="L",IF(Raw_Data!I185&lt;=KPI_Config!$E$9,KPI_Config!$D$9,IF(AND(KPI_Config!$F$9&gt;0,Raw_Data!I185&lt;=KPI_Config!$G$9),KPI_Config!$F$9,0)),IF(Raw_Data!I185&gt;=KPI_Config!$E$9,KPI_Config!$D$9,IF(AND(KPI_Config!$F$9&gt;0,Raw_Data!I185&gt;=KPI_Config!$G$9),KPI_Config!$F$9,0)))))</f>
        <v/>
      </c>
      <c r="J185" s="21" t="str">
        <f>IF($A185="","",IF(Raw_Data!J185="",0,IF(KPI_Config!$C$10="L",IF(Raw_Data!J185&lt;=KPI_Config!$E$10,KPI_Config!$D$10,IF(AND(KPI_Config!$F$10&gt;0,Raw_Data!J185&lt;=KPI_Config!$G$10),KPI_Config!$F$10,0)),IF(Raw_Data!J185&gt;=KPI_Config!$E$10,KPI_Config!$D$10,IF(AND(KPI_Config!$F$10&gt;0,Raw_Data!J185&gt;=KPI_Config!$G$10),KPI_Config!$F$10,0)))))</f>
        <v/>
      </c>
      <c r="K185" s="21" t="str">
        <f>IF($A185="","",IF(Raw_Data!G185="",0,IF(KPI_Config!$C$11="L",IF(Raw_Data!G185&lt;=KPI_Config!$E$11,KPI_Config!$D$11,IF(AND(KPI_Config!$F$11&gt;0,Raw_Data!G185&lt;=KPI_Config!$G$11),KPI_Config!$F$11,0)),IF(Raw_Data!G185&gt;=KPI_Config!$E$11,KPI_Config!$D$11,IF(AND(KPI_Config!$F$11&gt;0,Raw_Data!G185&gt;=KPI_Config!$G$11),KPI_Config!$F$11,0)))))</f>
        <v/>
      </c>
      <c r="L185" s="21" t="str">
        <f>IF($A185="","",MIN(Policy_Decisions!$B$10,IF(Policy_Decisions!$B$6="Additive",SUM(E185:K185),SUM(E185:J185)-G185+MAX(G185,K185))))</f>
        <v/>
      </c>
      <c r="M185" s="21" t="str">
        <f>IF($A185="","",Raw_Data!K185)</f>
        <v/>
      </c>
      <c r="N185" s="21" t="str">
        <f>IF($A185="","",IFERROR(VLOOKUP(M185,KPI_Config!$I$5:$J$10,2,FALSE()),0))</f>
        <v/>
      </c>
      <c r="O185" s="21" t="str">
        <f>IF($A185="","",IF(Policy_Decisions!$B$5="Percentage points",MAX(0,L185-N185),L185*(1-N185)))</f>
        <v/>
      </c>
      <c r="P185" s="13" t="str">
        <f>IF($A185="","",IF(U185="","Review proration",IF(O185=0,"No payout",IF(N185&gt;0,"Malus applied","Eligible"))))</f>
        <v/>
      </c>
      <c r="Q185" s="13" t="str">
        <f>IF($A185="","",Raw_Data!M185)</f>
        <v/>
      </c>
      <c r="R185" s="37" t="str">
        <f>IF($A185="","",Raw_Data!N185)</f>
        <v/>
      </c>
      <c r="S185" s="37" t="str">
        <f>IF($A185="","",Raw_Data!O185)</f>
        <v/>
      </c>
      <c r="T185" s="37" t="str">
        <f>IF($A185="","",IF(Raw_Data!P185&gt;0,Raw_Data!P185,Raw_Data!N185*Raw_Data!O185/IF(Policy_Decisions!$B$7="Annual",12,1)))</f>
        <v/>
      </c>
      <c r="U185" s="37" t="str">
        <f>IF($A185="","",IF(OR(Raw_Data!R185="",Raw_Data!R185&lt;=0),"",MIN(1,MAX(0,Raw_Data!Q185/Raw_Data!R185))))</f>
        <v/>
      </c>
      <c r="V185" s="37" t="str">
        <f>IF(OR($A185="",U185=""),"",T185*U185)</f>
        <v/>
      </c>
      <c r="W185" s="37" t="str">
        <f>IF(OR($A185="",V185=""),"",V185*L185)</f>
        <v/>
      </c>
      <c r="X185" s="37" t="str">
        <f>IF(OR($A185="",V185=""),"",V185*L185-V185*O185)</f>
        <v/>
      </c>
      <c r="Y185" s="37" t="str">
        <f>IF(OR($A185="",V185=""),"",ROUND(V185*O185,IF(Policy_Decisions!$B$11="Whole MAD",0,2)))</f>
        <v/>
      </c>
      <c r="Z185">
        <f>Raw_Data!T185</f>
        <v>0</v>
      </c>
      <c r="AA185">
        <f>Raw_Data!U185</f>
        <v>0</v>
      </c>
    </row>
    <row r="186" spans="1:27" ht="14.25" customHeight="1">
      <c r="A186" s="15" t="str">
        <f>IF(Raw_Data!A186="","",Raw_Data!A186)</f>
        <v/>
      </c>
      <c r="B186" s="15" t="str">
        <f>IF(Raw_Data!B186="","",Raw_Data!B186)</f>
        <v/>
      </c>
      <c r="C186" s="15" t="str">
        <f>IF(Raw_Data!C186="","",Raw_Data!C186)</f>
        <v/>
      </c>
      <c r="D186" s="15" t="str">
        <f>IF(Raw_Data!D186="","",Raw_Data!D186)</f>
        <v/>
      </c>
      <c r="E186" s="16" t="str">
        <f>IF($A186="","",IF(Raw_Data!E186="",0,IF(KPI_Config!$C$5="L",IF(Raw_Data!E186&lt;=KPI_Config!$E$5,KPI_Config!$D$5,IF(AND(KPI_Config!$F$5&gt;0,Raw_Data!E186&lt;=KPI_Config!$G$5),KPI_Config!$F$5,0)),IF(Raw_Data!E186&gt;=KPI_Config!$E$5,KPI_Config!$D$5,IF(AND(KPI_Config!$F$5&gt;0,Raw_Data!E186&gt;=KPI_Config!$G$5),KPI_Config!$F$5,0)))))</f>
        <v/>
      </c>
      <c r="F186" s="16" t="str">
        <f>IF($A186="","",IF(Raw_Data!F186="",0,IF(KPI_Config!$C$6="L",IF(Raw_Data!F186&lt;=KPI_Config!$E$6,KPI_Config!$D$6,IF(AND(KPI_Config!$F$6&gt;0,Raw_Data!F186&lt;=KPI_Config!$G$6),KPI_Config!$F$6,0)),IF(Raw_Data!F186&gt;=KPI_Config!$E$6,KPI_Config!$D$6,IF(AND(KPI_Config!$F$6&gt;0,Raw_Data!F186&gt;=KPI_Config!$G$6),KPI_Config!$F$6,0)))))</f>
        <v/>
      </c>
      <c r="G186" s="16" t="str">
        <f>IF($A186="","",IF(Raw_Data!G186="",0,IF(KPI_Config!$C$7="L",IF(Raw_Data!G186&lt;=KPI_Config!$E$7,KPI_Config!$D$7,IF(AND(KPI_Config!$F$7&gt;0,Raw_Data!G186&lt;=KPI_Config!$G$7),KPI_Config!$F$7,0)),IF(Raw_Data!G186&gt;=KPI_Config!$E$7,KPI_Config!$D$7,IF(AND(KPI_Config!$F$7&gt;0,Raw_Data!G186&gt;=KPI_Config!$G$7),KPI_Config!$F$7,0)))))</f>
        <v/>
      </c>
      <c r="H186" s="16" t="str">
        <f>IF($A186="","",IF(Raw_Data!H186="",0,IF(KPI_Config!$C$8="L",IF(Raw_Data!H186&lt;=KPI_Config!$E$8,KPI_Config!$D$8,IF(AND(KPI_Config!$F$8&gt;0,Raw_Data!H186&lt;=KPI_Config!$G$8),KPI_Config!$F$8,0)),IF(Raw_Data!H186&gt;=KPI_Config!$E$8,KPI_Config!$D$8,IF(AND(KPI_Config!$F$8&gt;0,Raw_Data!H186&gt;=KPI_Config!$G$8),KPI_Config!$F$8,0)))))</f>
        <v/>
      </c>
      <c r="I186" s="16" t="str">
        <f>IF($A186="","",IF(Raw_Data!I186="",0,IF(KPI_Config!$C$9="L",IF(Raw_Data!I186&lt;=KPI_Config!$E$9,KPI_Config!$D$9,IF(AND(KPI_Config!$F$9&gt;0,Raw_Data!I186&lt;=KPI_Config!$G$9),KPI_Config!$F$9,0)),IF(Raw_Data!I186&gt;=KPI_Config!$E$9,KPI_Config!$D$9,IF(AND(KPI_Config!$F$9&gt;0,Raw_Data!I186&gt;=KPI_Config!$G$9),KPI_Config!$F$9,0)))))</f>
        <v/>
      </c>
      <c r="J186" s="16" t="str">
        <f>IF($A186="","",IF(Raw_Data!J186="",0,IF(KPI_Config!$C$10="L",IF(Raw_Data!J186&lt;=KPI_Config!$E$10,KPI_Config!$D$10,IF(AND(KPI_Config!$F$10&gt;0,Raw_Data!J186&lt;=KPI_Config!$G$10),KPI_Config!$F$10,0)),IF(Raw_Data!J186&gt;=KPI_Config!$E$10,KPI_Config!$D$10,IF(AND(KPI_Config!$F$10&gt;0,Raw_Data!J186&gt;=KPI_Config!$G$10),KPI_Config!$F$10,0)))))</f>
        <v/>
      </c>
      <c r="K186" s="16" t="str">
        <f>IF($A186="","",IF(Raw_Data!G186="",0,IF(KPI_Config!$C$11="L",IF(Raw_Data!G186&lt;=KPI_Config!$E$11,KPI_Config!$D$11,IF(AND(KPI_Config!$F$11&gt;0,Raw_Data!G186&lt;=KPI_Config!$G$11),KPI_Config!$F$11,0)),IF(Raw_Data!G186&gt;=KPI_Config!$E$11,KPI_Config!$D$11,IF(AND(KPI_Config!$F$11&gt;0,Raw_Data!G186&gt;=KPI_Config!$G$11),KPI_Config!$F$11,0)))))</f>
        <v/>
      </c>
      <c r="L186" s="16" t="str">
        <f>IF($A186="","",MIN(Policy_Decisions!$B$10,IF(Policy_Decisions!$B$6="Additive",SUM(E186:K186),SUM(E186:J186)-G186+MAX(G186,K186))))</f>
        <v/>
      </c>
      <c r="M186" s="16" t="str">
        <f>IF($A186="","",Raw_Data!K186)</f>
        <v/>
      </c>
      <c r="N186" s="16" t="str">
        <f>IF($A186="","",IFERROR(VLOOKUP(M186,KPI_Config!$I$5:$J$10,2,FALSE()),0))</f>
        <v/>
      </c>
      <c r="O186" s="16" t="str">
        <f>IF($A186="","",IF(Policy_Decisions!$B$5="Percentage points",MAX(0,L186-N186),L186*(1-N186)))</f>
        <v/>
      </c>
      <c r="P186" s="15" t="str">
        <f>IF($A186="","",IF(U186="","Review proration",IF(O186=0,"No payout",IF(N186&gt;0,"Malus applied","Eligible"))))</f>
        <v/>
      </c>
      <c r="Q186" s="15" t="str">
        <f>IF($A186="","",Raw_Data!M186)</f>
        <v/>
      </c>
      <c r="R186" s="38" t="str">
        <f>IF($A186="","",Raw_Data!N186)</f>
        <v/>
      </c>
      <c r="S186" s="38" t="str">
        <f>IF($A186="","",Raw_Data!O186)</f>
        <v/>
      </c>
      <c r="T186" s="38" t="str">
        <f>IF($A186="","",IF(Raw_Data!P186&gt;0,Raw_Data!P186,Raw_Data!N186*Raw_Data!O186/IF(Policy_Decisions!$B$7="Annual",12,1)))</f>
        <v/>
      </c>
      <c r="U186" s="38" t="str">
        <f>IF($A186="","",IF(OR(Raw_Data!R186="",Raw_Data!R186&lt;=0),"",MIN(1,MAX(0,Raw_Data!Q186/Raw_Data!R186))))</f>
        <v/>
      </c>
      <c r="V186" s="38" t="str">
        <f>IF(OR($A186="",U186=""),"",T186*U186)</f>
        <v/>
      </c>
      <c r="W186" s="38" t="str">
        <f>IF(OR($A186="",V186=""),"",V186*L186)</f>
        <v/>
      </c>
      <c r="X186" s="38" t="str">
        <f>IF(OR($A186="",V186=""),"",V186*L186-V186*O186)</f>
        <v/>
      </c>
      <c r="Y186" s="38" t="str">
        <f>IF(OR($A186="",V186=""),"",ROUND(V186*O186,IF(Policy_Decisions!$B$11="Whole MAD",0,2)))</f>
        <v/>
      </c>
      <c r="Z186">
        <f>Raw_Data!T186</f>
        <v>0</v>
      </c>
      <c r="AA186">
        <f>Raw_Data!U186</f>
        <v>0</v>
      </c>
    </row>
    <row r="187" spans="1:27" ht="14.25" customHeight="1">
      <c r="A187" s="13" t="str">
        <f>IF(Raw_Data!A187="","",Raw_Data!A187)</f>
        <v/>
      </c>
      <c r="B187" s="13" t="str">
        <f>IF(Raw_Data!B187="","",Raw_Data!B187)</f>
        <v/>
      </c>
      <c r="C187" s="13" t="str">
        <f>IF(Raw_Data!C187="","",Raw_Data!C187)</f>
        <v/>
      </c>
      <c r="D187" s="13" t="str">
        <f>IF(Raw_Data!D187="","",Raw_Data!D187)</f>
        <v/>
      </c>
      <c r="E187" s="21" t="str">
        <f>IF($A187="","",IF(Raw_Data!E187="",0,IF(KPI_Config!$C$5="L",IF(Raw_Data!E187&lt;=KPI_Config!$E$5,KPI_Config!$D$5,IF(AND(KPI_Config!$F$5&gt;0,Raw_Data!E187&lt;=KPI_Config!$G$5),KPI_Config!$F$5,0)),IF(Raw_Data!E187&gt;=KPI_Config!$E$5,KPI_Config!$D$5,IF(AND(KPI_Config!$F$5&gt;0,Raw_Data!E187&gt;=KPI_Config!$G$5),KPI_Config!$F$5,0)))))</f>
        <v/>
      </c>
      <c r="F187" s="21" t="str">
        <f>IF($A187="","",IF(Raw_Data!F187="",0,IF(KPI_Config!$C$6="L",IF(Raw_Data!F187&lt;=KPI_Config!$E$6,KPI_Config!$D$6,IF(AND(KPI_Config!$F$6&gt;0,Raw_Data!F187&lt;=KPI_Config!$G$6),KPI_Config!$F$6,0)),IF(Raw_Data!F187&gt;=KPI_Config!$E$6,KPI_Config!$D$6,IF(AND(KPI_Config!$F$6&gt;0,Raw_Data!F187&gt;=KPI_Config!$G$6),KPI_Config!$F$6,0)))))</f>
        <v/>
      </c>
      <c r="G187" s="21" t="str">
        <f>IF($A187="","",IF(Raw_Data!G187="",0,IF(KPI_Config!$C$7="L",IF(Raw_Data!G187&lt;=KPI_Config!$E$7,KPI_Config!$D$7,IF(AND(KPI_Config!$F$7&gt;0,Raw_Data!G187&lt;=KPI_Config!$G$7),KPI_Config!$F$7,0)),IF(Raw_Data!G187&gt;=KPI_Config!$E$7,KPI_Config!$D$7,IF(AND(KPI_Config!$F$7&gt;0,Raw_Data!G187&gt;=KPI_Config!$G$7),KPI_Config!$F$7,0)))))</f>
        <v/>
      </c>
      <c r="H187" s="21" t="str">
        <f>IF($A187="","",IF(Raw_Data!H187="",0,IF(KPI_Config!$C$8="L",IF(Raw_Data!H187&lt;=KPI_Config!$E$8,KPI_Config!$D$8,IF(AND(KPI_Config!$F$8&gt;0,Raw_Data!H187&lt;=KPI_Config!$G$8),KPI_Config!$F$8,0)),IF(Raw_Data!H187&gt;=KPI_Config!$E$8,KPI_Config!$D$8,IF(AND(KPI_Config!$F$8&gt;0,Raw_Data!H187&gt;=KPI_Config!$G$8),KPI_Config!$F$8,0)))))</f>
        <v/>
      </c>
      <c r="I187" s="21" t="str">
        <f>IF($A187="","",IF(Raw_Data!I187="",0,IF(KPI_Config!$C$9="L",IF(Raw_Data!I187&lt;=KPI_Config!$E$9,KPI_Config!$D$9,IF(AND(KPI_Config!$F$9&gt;0,Raw_Data!I187&lt;=KPI_Config!$G$9),KPI_Config!$F$9,0)),IF(Raw_Data!I187&gt;=KPI_Config!$E$9,KPI_Config!$D$9,IF(AND(KPI_Config!$F$9&gt;0,Raw_Data!I187&gt;=KPI_Config!$G$9),KPI_Config!$F$9,0)))))</f>
        <v/>
      </c>
      <c r="J187" s="21" t="str">
        <f>IF($A187="","",IF(Raw_Data!J187="",0,IF(KPI_Config!$C$10="L",IF(Raw_Data!J187&lt;=KPI_Config!$E$10,KPI_Config!$D$10,IF(AND(KPI_Config!$F$10&gt;0,Raw_Data!J187&lt;=KPI_Config!$G$10),KPI_Config!$F$10,0)),IF(Raw_Data!J187&gt;=KPI_Config!$E$10,KPI_Config!$D$10,IF(AND(KPI_Config!$F$10&gt;0,Raw_Data!J187&gt;=KPI_Config!$G$10),KPI_Config!$F$10,0)))))</f>
        <v/>
      </c>
      <c r="K187" s="21" t="str">
        <f>IF($A187="","",IF(Raw_Data!G187="",0,IF(KPI_Config!$C$11="L",IF(Raw_Data!G187&lt;=KPI_Config!$E$11,KPI_Config!$D$11,IF(AND(KPI_Config!$F$11&gt;0,Raw_Data!G187&lt;=KPI_Config!$G$11),KPI_Config!$F$11,0)),IF(Raw_Data!G187&gt;=KPI_Config!$E$11,KPI_Config!$D$11,IF(AND(KPI_Config!$F$11&gt;0,Raw_Data!G187&gt;=KPI_Config!$G$11),KPI_Config!$F$11,0)))))</f>
        <v/>
      </c>
      <c r="L187" s="21" t="str">
        <f>IF($A187="","",MIN(Policy_Decisions!$B$10,IF(Policy_Decisions!$B$6="Additive",SUM(E187:K187),SUM(E187:J187)-G187+MAX(G187,K187))))</f>
        <v/>
      </c>
      <c r="M187" s="21" t="str">
        <f>IF($A187="","",Raw_Data!K187)</f>
        <v/>
      </c>
      <c r="N187" s="21" t="str">
        <f>IF($A187="","",IFERROR(VLOOKUP(M187,KPI_Config!$I$5:$J$10,2,FALSE()),0))</f>
        <v/>
      </c>
      <c r="O187" s="21" t="str">
        <f>IF($A187="","",IF(Policy_Decisions!$B$5="Percentage points",MAX(0,L187-N187),L187*(1-N187)))</f>
        <v/>
      </c>
      <c r="P187" s="13" t="str">
        <f>IF($A187="","",IF(U187="","Review proration",IF(O187=0,"No payout",IF(N187&gt;0,"Malus applied","Eligible"))))</f>
        <v/>
      </c>
      <c r="Q187" s="13" t="str">
        <f>IF($A187="","",Raw_Data!M187)</f>
        <v/>
      </c>
      <c r="R187" s="37" t="str">
        <f>IF($A187="","",Raw_Data!N187)</f>
        <v/>
      </c>
      <c r="S187" s="37" t="str">
        <f>IF($A187="","",Raw_Data!O187)</f>
        <v/>
      </c>
      <c r="T187" s="37" t="str">
        <f>IF($A187="","",IF(Raw_Data!P187&gt;0,Raw_Data!P187,Raw_Data!N187*Raw_Data!O187/IF(Policy_Decisions!$B$7="Annual",12,1)))</f>
        <v/>
      </c>
      <c r="U187" s="37" t="str">
        <f>IF($A187="","",IF(OR(Raw_Data!R187="",Raw_Data!R187&lt;=0),"",MIN(1,MAX(0,Raw_Data!Q187/Raw_Data!R187))))</f>
        <v/>
      </c>
      <c r="V187" s="37" t="str">
        <f>IF(OR($A187="",U187=""),"",T187*U187)</f>
        <v/>
      </c>
      <c r="W187" s="37" t="str">
        <f>IF(OR($A187="",V187=""),"",V187*L187)</f>
        <v/>
      </c>
      <c r="X187" s="37" t="str">
        <f>IF(OR($A187="",V187=""),"",V187*L187-V187*O187)</f>
        <v/>
      </c>
      <c r="Y187" s="37" t="str">
        <f>IF(OR($A187="",V187=""),"",ROUND(V187*O187,IF(Policy_Decisions!$B$11="Whole MAD",0,2)))</f>
        <v/>
      </c>
      <c r="Z187">
        <f>Raw_Data!T187</f>
        <v>0</v>
      </c>
      <c r="AA187">
        <f>Raw_Data!U187</f>
        <v>0</v>
      </c>
    </row>
    <row r="188" spans="1:27" ht="14.25" customHeight="1">
      <c r="A188" s="15" t="str">
        <f>IF(Raw_Data!A188="","",Raw_Data!A188)</f>
        <v/>
      </c>
      <c r="B188" s="15" t="str">
        <f>IF(Raw_Data!B188="","",Raw_Data!B188)</f>
        <v/>
      </c>
      <c r="C188" s="15" t="str">
        <f>IF(Raw_Data!C188="","",Raw_Data!C188)</f>
        <v/>
      </c>
      <c r="D188" s="15" t="str">
        <f>IF(Raw_Data!D188="","",Raw_Data!D188)</f>
        <v/>
      </c>
      <c r="E188" s="16" t="str">
        <f>IF($A188="","",IF(Raw_Data!E188="",0,IF(KPI_Config!$C$5="L",IF(Raw_Data!E188&lt;=KPI_Config!$E$5,KPI_Config!$D$5,IF(AND(KPI_Config!$F$5&gt;0,Raw_Data!E188&lt;=KPI_Config!$G$5),KPI_Config!$F$5,0)),IF(Raw_Data!E188&gt;=KPI_Config!$E$5,KPI_Config!$D$5,IF(AND(KPI_Config!$F$5&gt;0,Raw_Data!E188&gt;=KPI_Config!$G$5),KPI_Config!$F$5,0)))))</f>
        <v/>
      </c>
      <c r="F188" s="16" t="str">
        <f>IF($A188="","",IF(Raw_Data!F188="",0,IF(KPI_Config!$C$6="L",IF(Raw_Data!F188&lt;=KPI_Config!$E$6,KPI_Config!$D$6,IF(AND(KPI_Config!$F$6&gt;0,Raw_Data!F188&lt;=KPI_Config!$G$6),KPI_Config!$F$6,0)),IF(Raw_Data!F188&gt;=KPI_Config!$E$6,KPI_Config!$D$6,IF(AND(KPI_Config!$F$6&gt;0,Raw_Data!F188&gt;=KPI_Config!$G$6),KPI_Config!$F$6,0)))))</f>
        <v/>
      </c>
      <c r="G188" s="16" t="str">
        <f>IF($A188="","",IF(Raw_Data!G188="",0,IF(KPI_Config!$C$7="L",IF(Raw_Data!G188&lt;=KPI_Config!$E$7,KPI_Config!$D$7,IF(AND(KPI_Config!$F$7&gt;0,Raw_Data!G188&lt;=KPI_Config!$G$7),KPI_Config!$F$7,0)),IF(Raw_Data!G188&gt;=KPI_Config!$E$7,KPI_Config!$D$7,IF(AND(KPI_Config!$F$7&gt;0,Raw_Data!G188&gt;=KPI_Config!$G$7),KPI_Config!$F$7,0)))))</f>
        <v/>
      </c>
      <c r="H188" s="16" t="str">
        <f>IF($A188="","",IF(Raw_Data!H188="",0,IF(KPI_Config!$C$8="L",IF(Raw_Data!H188&lt;=KPI_Config!$E$8,KPI_Config!$D$8,IF(AND(KPI_Config!$F$8&gt;0,Raw_Data!H188&lt;=KPI_Config!$G$8),KPI_Config!$F$8,0)),IF(Raw_Data!H188&gt;=KPI_Config!$E$8,KPI_Config!$D$8,IF(AND(KPI_Config!$F$8&gt;0,Raw_Data!H188&gt;=KPI_Config!$G$8),KPI_Config!$F$8,0)))))</f>
        <v/>
      </c>
      <c r="I188" s="16" t="str">
        <f>IF($A188="","",IF(Raw_Data!I188="",0,IF(KPI_Config!$C$9="L",IF(Raw_Data!I188&lt;=KPI_Config!$E$9,KPI_Config!$D$9,IF(AND(KPI_Config!$F$9&gt;0,Raw_Data!I188&lt;=KPI_Config!$G$9),KPI_Config!$F$9,0)),IF(Raw_Data!I188&gt;=KPI_Config!$E$9,KPI_Config!$D$9,IF(AND(KPI_Config!$F$9&gt;0,Raw_Data!I188&gt;=KPI_Config!$G$9),KPI_Config!$F$9,0)))))</f>
        <v/>
      </c>
      <c r="J188" s="16" t="str">
        <f>IF($A188="","",IF(Raw_Data!J188="",0,IF(KPI_Config!$C$10="L",IF(Raw_Data!J188&lt;=KPI_Config!$E$10,KPI_Config!$D$10,IF(AND(KPI_Config!$F$10&gt;0,Raw_Data!J188&lt;=KPI_Config!$G$10),KPI_Config!$F$10,0)),IF(Raw_Data!J188&gt;=KPI_Config!$E$10,KPI_Config!$D$10,IF(AND(KPI_Config!$F$10&gt;0,Raw_Data!J188&gt;=KPI_Config!$G$10),KPI_Config!$F$10,0)))))</f>
        <v/>
      </c>
      <c r="K188" s="16" t="str">
        <f>IF($A188="","",IF(Raw_Data!G188="",0,IF(KPI_Config!$C$11="L",IF(Raw_Data!G188&lt;=KPI_Config!$E$11,KPI_Config!$D$11,IF(AND(KPI_Config!$F$11&gt;0,Raw_Data!G188&lt;=KPI_Config!$G$11),KPI_Config!$F$11,0)),IF(Raw_Data!G188&gt;=KPI_Config!$E$11,KPI_Config!$D$11,IF(AND(KPI_Config!$F$11&gt;0,Raw_Data!G188&gt;=KPI_Config!$G$11),KPI_Config!$F$11,0)))))</f>
        <v/>
      </c>
      <c r="L188" s="16" t="str">
        <f>IF($A188="","",MIN(Policy_Decisions!$B$10,IF(Policy_Decisions!$B$6="Additive",SUM(E188:K188),SUM(E188:J188)-G188+MAX(G188,K188))))</f>
        <v/>
      </c>
      <c r="M188" s="16" t="str">
        <f>IF($A188="","",Raw_Data!K188)</f>
        <v/>
      </c>
      <c r="N188" s="16" t="str">
        <f>IF($A188="","",IFERROR(VLOOKUP(M188,KPI_Config!$I$5:$J$10,2,FALSE()),0))</f>
        <v/>
      </c>
      <c r="O188" s="16" t="str">
        <f>IF($A188="","",IF(Policy_Decisions!$B$5="Percentage points",MAX(0,L188-N188),L188*(1-N188)))</f>
        <v/>
      </c>
      <c r="P188" s="15" t="str">
        <f>IF($A188="","",IF(U188="","Review proration",IF(O188=0,"No payout",IF(N188&gt;0,"Malus applied","Eligible"))))</f>
        <v/>
      </c>
      <c r="Q188" s="15" t="str">
        <f>IF($A188="","",Raw_Data!M188)</f>
        <v/>
      </c>
      <c r="R188" s="38" t="str">
        <f>IF($A188="","",Raw_Data!N188)</f>
        <v/>
      </c>
      <c r="S188" s="38" t="str">
        <f>IF($A188="","",Raw_Data!O188)</f>
        <v/>
      </c>
      <c r="T188" s="38" t="str">
        <f>IF($A188="","",IF(Raw_Data!P188&gt;0,Raw_Data!P188,Raw_Data!N188*Raw_Data!O188/IF(Policy_Decisions!$B$7="Annual",12,1)))</f>
        <v/>
      </c>
      <c r="U188" s="38" t="str">
        <f>IF($A188="","",IF(OR(Raw_Data!R188="",Raw_Data!R188&lt;=0),"",MIN(1,MAX(0,Raw_Data!Q188/Raw_Data!R188))))</f>
        <v/>
      </c>
      <c r="V188" s="38" t="str">
        <f>IF(OR($A188="",U188=""),"",T188*U188)</f>
        <v/>
      </c>
      <c r="W188" s="38" t="str">
        <f>IF(OR($A188="",V188=""),"",V188*L188)</f>
        <v/>
      </c>
      <c r="X188" s="38" t="str">
        <f>IF(OR($A188="",V188=""),"",V188*L188-V188*O188)</f>
        <v/>
      </c>
      <c r="Y188" s="38" t="str">
        <f>IF(OR($A188="",V188=""),"",ROUND(V188*O188,IF(Policy_Decisions!$B$11="Whole MAD",0,2)))</f>
        <v/>
      </c>
      <c r="Z188">
        <f>Raw_Data!T188</f>
        <v>0</v>
      </c>
      <c r="AA188">
        <f>Raw_Data!U188</f>
        <v>0</v>
      </c>
    </row>
    <row r="189" spans="1:27" ht="14.25" customHeight="1">
      <c r="A189" s="13" t="str">
        <f>IF(Raw_Data!A189="","",Raw_Data!A189)</f>
        <v/>
      </c>
      <c r="B189" s="13" t="str">
        <f>IF(Raw_Data!B189="","",Raw_Data!B189)</f>
        <v/>
      </c>
      <c r="C189" s="13" t="str">
        <f>IF(Raw_Data!C189="","",Raw_Data!C189)</f>
        <v/>
      </c>
      <c r="D189" s="13" t="str">
        <f>IF(Raw_Data!D189="","",Raw_Data!D189)</f>
        <v/>
      </c>
      <c r="E189" s="21" t="str">
        <f>IF($A189="","",IF(Raw_Data!E189="",0,IF(KPI_Config!$C$5="L",IF(Raw_Data!E189&lt;=KPI_Config!$E$5,KPI_Config!$D$5,IF(AND(KPI_Config!$F$5&gt;0,Raw_Data!E189&lt;=KPI_Config!$G$5),KPI_Config!$F$5,0)),IF(Raw_Data!E189&gt;=KPI_Config!$E$5,KPI_Config!$D$5,IF(AND(KPI_Config!$F$5&gt;0,Raw_Data!E189&gt;=KPI_Config!$G$5),KPI_Config!$F$5,0)))))</f>
        <v/>
      </c>
      <c r="F189" s="21" t="str">
        <f>IF($A189="","",IF(Raw_Data!F189="",0,IF(KPI_Config!$C$6="L",IF(Raw_Data!F189&lt;=KPI_Config!$E$6,KPI_Config!$D$6,IF(AND(KPI_Config!$F$6&gt;0,Raw_Data!F189&lt;=KPI_Config!$G$6),KPI_Config!$F$6,0)),IF(Raw_Data!F189&gt;=KPI_Config!$E$6,KPI_Config!$D$6,IF(AND(KPI_Config!$F$6&gt;0,Raw_Data!F189&gt;=KPI_Config!$G$6),KPI_Config!$F$6,0)))))</f>
        <v/>
      </c>
      <c r="G189" s="21" t="str">
        <f>IF($A189="","",IF(Raw_Data!G189="",0,IF(KPI_Config!$C$7="L",IF(Raw_Data!G189&lt;=KPI_Config!$E$7,KPI_Config!$D$7,IF(AND(KPI_Config!$F$7&gt;0,Raw_Data!G189&lt;=KPI_Config!$G$7),KPI_Config!$F$7,0)),IF(Raw_Data!G189&gt;=KPI_Config!$E$7,KPI_Config!$D$7,IF(AND(KPI_Config!$F$7&gt;0,Raw_Data!G189&gt;=KPI_Config!$G$7),KPI_Config!$F$7,0)))))</f>
        <v/>
      </c>
      <c r="H189" s="21" t="str">
        <f>IF($A189="","",IF(Raw_Data!H189="",0,IF(KPI_Config!$C$8="L",IF(Raw_Data!H189&lt;=KPI_Config!$E$8,KPI_Config!$D$8,IF(AND(KPI_Config!$F$8&gt;0,Raw_Data!H189&lt;=KPI_Config!$G$8),KPI_Config!$F$8,0)),IF(Raw_Data!H189&gt;=KPI_Config!$E$8,KPI_Config!$D$8,IF(AND(KPI_Config!$F$8&gt;0,Raw_Data!H189&gt;=KPI_Config!$G$8),KPI_Config!$F$8,0)))))</f>
        <v/>
      </c>
      <c r="I189" s="21" t="str">
        <f>IF($A189="","",IF(Raw_Data!I189="",0,IF(KPI_Config!$C$9="L",IF(Raw_Data!I189&lt;=KPI_Config!$E$9,KPI_Config!$D$9,IF(AND(KPI_Config!$F$9&gt;0,Raw_Data!I189&lt;=KPI_Config!$G$9),KPI_Config!$F$9,0)),IF(Raw_Data!I189&gt;=KPI_Config!$E$9,KPI_Config!$D$9,IF(AND(KPI_Config!$F$9&gt;0,Raw_Data!I189&gt;=KPI_Config!$G$9),KPI_Config!$F$9,0)))))</f>
        <v/>
      </c>
      <c r="J189" s="21" t="str">
        <f>IF($A189="","",IF(Raw_Data!J189="",0,IF(KPI_Config!$C$10="L",IF(Raw_Data!J189&lt;=KPI_Config!$E$10,KPI_Config!$D$10,IF(AND(KPI_Config!$F$10&gt;0,Raw_Data!J189&lt;=KPI_Config!$G$10),KPI_Config!$F$10,0)),IF(Raw_Data!J189&gt;=KPI_Config!$E$10,KPI_Config!$D$10,IF(AND(KPI_Config!$F$10&gt;0,Raw_Data!J189&gt;=KPI_Config!$G$10),KPI_Config!$F$10,0)))))</f>
        <v/>
      </c>
      <c r="K189" s="21" t="str">
        <f>IF($A189="","",IF(Raw_Data!G189="",0,IF(KPI_Config!$C$11="L",IF(Raw_Data!G189&lt;=KPI_Config!$E$11,KPI_Config!$D$11,IF(AND(KPI_Config!$F$11&gt;0,Raw_Data!G189&lt;=KPI_Config!$G$11),KPI_Config!$F$11,0)),IF(Raw_Data!G189&gt;=KPI_Config!$E$11,KPI_Config!$D$11,IF(AND(KPI_Config!$F$11&gt;0,Raw_Data!G189&gt;=KPI_Config!$G$11),KPI_Config!$F$11,0)))))</f>
        <v/>
      </c>
      <c r="L189" s="21" t="str">
        <f>IF($A189="","",MIN(Policy_Decisions!$B$10,IF(Policy_Decisions!$B$6="Additive",SUM(E189:K189),SUM(E189:J189)-G189+MAX(G189,K189))))</f>
        <v/>
      </c>
      <c r="M189" s="21" t="str">
        <f>IF($A189="","",Raw_Data!K189)</f>
        <v/>
      </c>
      <c r="N189" s="21" t="str">
        <f>IF($A189="","",IFERROR(VLOOKUP(M189,KPI_Config!$I$5:$J$10,2,FALSE()),0))</f>
        <v/>
      </c>
      <c r="O189" s="21" t="str">
        <f>IF($A189="","",IF(Policy_Decisions!$B$5="Percentage points",MAX(0,L189-N189),L189*(1-N189)))</f>
        <v/>
      </c>
      <c r="P189" s="13" t="str">
        <f>IF($A189="","",IF(U189="","Review proration",IF(O189=0,"No payout",IF(N189&gt;0,"Malus applied","Eligible"))))</f>
        <v/>
      </c>
      <c r="Q189" s="13" t="str">
        <f>IF($A189="","",Raw_Data!M189)</f>
        <v/>
      </c>
      <c r="R189" s="37" t="str">
        <f>IF($A189="","",Raw_Data!N189)</f>
        <v/>
      </c>
      <c r="S189" s="37" t="str">
        <f>IF($A189="","",Raw_Data!O189)</f>
        <v/>
      </c>
      <c r="T189" s="37" t="str">
        <f>IF($A189="","",IF(Raw_Data!P189&gt;0,Raw_Data!P189,Raw_Data!N189*Raw_Data!O189/IF(Policy_Decisions!$B$7="Annual",12,1)))</f>
        <v/>
      </c>
      <c r="U189" s="37" t="str">
        <f>IF($A189="","",IF(OR(Raw_Data!R189="",Raw_Data!R189&lt;=0),"",MIN(1,MAX(0,Raw_Data!Q189/Raw_Data!R189))))</f>
        <v/>
      </c>
      <c r="V189" s="37" t="str">
        <f>IF(OR($A189="",U189=""),"",T189*U189)</f>
        <v/>
      </c>
      <c r="W189" s="37" t="str">
        <f>IF(OR($A189="",V189=""),"",V189*L189)</f>
        <v/>
      </c>
      <c r="X189" s="37" t="str">
        <f>IF(OR($A189="",V189=""),"",V189*L189-V189*O189)</f>
        <v/>
      </c>
      <c r="Y189" s="37" t="str">
        <f>IF(OR($A189="",V189=""),"",ROUND(V189*O189,IF(Policy_Decisions!$B$11="Whole MAD",0,2)))</f>
        <v/>
      </c>
      <c r="Z189">
        <f>Raw_Data!T189</f>
        <v>0</v>
      </c>
      <c r="AA189">
        <f>Raw_Data!U189</f>
        <v>0</v>
      </c>
    </row>
    <row r="190" spans="1:27" ht="14.25" customHeight="1">
      <c r="A190" s="15" t="str">
        <f>IF(Raw_Data!A190="","",Raw_Data!A190)</f>
        <v/>
      </c>
      <c r="B190" s="15" t="str">
        <f>IF(Raw_Data!B190="","",Raw_Data!B190)</f>
        <v/>
      </c>
      <c r="C190" s="15" t="str">
        <f>IF(Raw_Data!C190="","",Raw_Data!C190)</f>
        <v/>
      </c>
      <c r="D190" s="15" t="str">
        <f>IF(Raw_Data!D190="","",Raw_Data!D190)</f>
        <v/>
      </c>
      <c r="E190" s="16" t="str">
        <f>IF($A190="","",IF(Raw_Data!E190="",0,IF(KPI_Config!$C$5="L",IF(Raw_Data!E190&lt;=KPI_Config!$E$5,KPI_Config!$D$5,IF(AND(KPI_Config!$F$5&gt;0,Raw_Data!E190&lt;=KPI_Config!$G$5),KPI_Config!$F$5,0)),IF(Raw_Data!E190&gt;=KPI_Config!$E$5,KPI_Config!$D$5,IF(AND(KPI_Config!$F$5&gt;0,Raw_Data!E190&gt;=KPI_Config!$G$5),KPI_Config!$F$5,0)))))</f>
        <v/>
      </c>
      <c r="F190" s="16" t="str">
        <f>IF($A190="","",IF(Raw_Data!F190="",0,IF(KPI_Config!$C$6="L",IF(Raw_Data!F190&lt;=KPI_Config!$E$6,KPI_Config!$D$6,IF(AND(KPI_Config!$F$6&gt;0,Raw_Data!F190&lt;=KPI_Config!$G$6),KPI_Config!$F$6,0)),IF(Raw_Data!F190&gt;=KPI_Config!$E$6,KPI_Config!$D$6,IF(AND(KPI_Config!$F$6&gt;0,Raw_Data!F190&gt;=KPI_Config!$G$6),KPI_Config!$F$6,0)))))</f>
        <v/>
      </c>
      <c r="G190" s="16" t="str">
        <f>IF($A190="","",IF(Raw_Data!G190="",0,IF(KPI_Config!$C$7="L",IF(Raw_Data!G190&lt;=KPI_Config!$E$7,KPI_Config!$D$7,IF(AND(KPI_Config!$F$7&gt;0,Raw_Data!G190&lt;=KPI_Config!$G$7),KPI_Config!$F$7,0)),IF(Raw_Data!G190&gt;=KPI_Config!$E$7,KPI_Config!$D$7,IF(AND(KPI_Config!$F$7&gt;0,Raw_Data!G190&gt;=KPI_Config!$G$7),KPI_Config!$F$7,0)))))</f>
        <v/>
      </c>
      <c r="H190" s="16" t="str">
        <f>IF($A190="","",IF(Raw_Data!H190="",0,IF(KPI_Config!$C$8="L",IF(Raw_Data!H190&lt;=KPI_Config!$E$8,KPI_Config!$D$8,IF(AND(KPI_Config!$F$8&gt;0,Raw_Data!H190&lt;=KPI_Config!$G$8),KPI_Config!$F$8,0)),IF(Raw_Data!H190&gt;=KPI_Config!$E$8,KPI_Config!$D$8,IF(AND(KPI_Config!$F$8&gt;0,Raw_Data!H190&gt;=KPI_Config!$G$8),KPI_Config!$F$8,0)))))</f>
        <v/>
      </c>
      <c r="I190" s="16" t="str">
        <f>IF($A190="","",IF(Raw_Data!I190="",0,IF(KPI_Config!$C$9="L",IF(Raw_Data!I190&lt;=KPI_Config!$E$9,KPI_Config!$D$9,IF(AND(KPI_Config!$F$9&gt;0,Raw_Data!I190&lt;=KPI_Config!$G$9),KPI_Config!$F$9,0)),IF(Raw_Data!I190&gt;=KPI_Config!$E$9,KPI_Config!$D$9,IF(AND(KPI_Config!$F$9&gt;0,Raw_Data!I190&gt;=KPI_Config!$G$9),KPI_Config!$F$9,0)))))</f>
        <v/>
      </c>
      <c r="J190" s="16" t="str">
        <f>IF($A190="","",IF(Raw_Data!J190="",0,IF(KPI_Config!$C$10="L",IF(Raw_Data!J190&lt;=KPI_Config!$E$10,KPI_Config!$D$10,IF(AND(KPI_Config!$F$10&gt;0,Raw_Data!J190&lt;=KPI_Config!$G$10),KPI_Config!$F$10,0)),IF(Raw_Data!J190&gt;=KPI_Config!$E$10,KPI_Config!$D$10,IF(AND(KPI_Config!$F$10&gt;0,Raw_Data!J190&gt;=KPI_Config!$G$10),KPI_Config!$F$10,0)))))</f>
        <v/>
      </c>
      <c r="K190" s="16" t="str">
        <f>IF($A190="","",IF(Raw_Data!G190="",0,IF(KPI_Config!$C$11="L",IF(Raw_Data!G190&lt;=KPI_Config!$E$11,KPI_Config!$D$11,IF(AND(KPI_Config!$F$11&gt;0,Raw_Data!G190&lt;=KPI_Config!$G$11),KPI_Config!$F$11,0)),IF(Raw_Data!G190&gt;=KPI_Config!$E$11,KPI_Config!$D$11,IF(AND(KPI_Config!$F$11&gt;0,Raw_Data!G190&gt;=KPI_Config!$G$11),KPI_Config!$F$11,0)))))</f>
        <v/>
      </c>
      <c r="L190" s="16" t="str">
        <f>IF($A190="","",MIN(Policy_Decisions!$B$10,IF(Policy_Decisions!$B$6="Additive",SUM(E190:K190),SUM(E190:J190)-G190+MAX(G190,K190))))</f>
        <v/>
      </c>
      <c r="M190" s="16" t="str">
        <f>IF($A190="","",Raw_Data!K190)</f>
        <v/>
      </c>
      <c r="N190" s="16" t="str">
        <f>IF($A190="","",IFERROR(VLOOKUP(M190,KPI_Config!$I$5:$J$10,2,FALSE()),0))</f>
        <v/>
      </c>
      <c r="O190" s="16" t="str">
        <f>IF($A190="","",IF(Policy_Decisions!$B$5="Percentage points",MAX(0,L190-N190),L190*(1-N190)))</f>
        <v/>
      </c>
      <c r="P190" s="15" t="str">
        <f>IF($A190="","",IF(U190="","Review proration",IF(O190=0,"No payout",IF(N190&gt;0,"Malus applied","Eligible"))))</f>
        <v/>
      </c>
      <c r="Q190" s="15" t="str">
        <f>IF($A190="","",Raw_Data!M190)</f>
        <v/>
      </c>
      <c r="R190" s="38" t="str">
        <f>IF($A190="","",Raw_Data!N190)</f>
        <v/>
      </c>
      <c r="S190" s="38" t="str">
        <f>IF($A190="","",Raw_Data!O190)</f>
        <v/>
      </c>
      <c r="T190" s="38" t="str">
        <f>IF($A190="","",IF(Raw_Data!P190&gt;0,Raw_Data!P190,Raw_Data!N190*Raw_Data!O190/IF(Policy_Decisions!$B$7="Annual",12,1)))</f>
        <v/>
      </c>
      <c r="U190" s="38" t="str">
        <f>IF($A190="","",IF(OR(Raw_Data!R190="",Raw_Data!R190&lt;=0),"",MIN(1,MAX(0,Raw_Data!Q190/Raw_Data!R190))))</f>
        <v/>
      </c>
      <c r="V190" s="38" t="str">
        <f>IF(OR($A190="",U190=""),"",T190*U190)</f>
        <v/>
      </c>
      <c r="W190" s="38" t="str">
        <f>IF(OR($A190="",V190=""),"",V190*L190)</f>
        <v/>
      </c>
      <c r="X190" s="38" t="str">
        <f>IF(OR($A190="",V190=""),"",V190*L190-V190*O190)</f>
        <v/>
      </c>
      <c r="Y190" s="38" t="str">
        <f>IF(OR($A190="",V190=""),"",ROUND(V190*O190,IF(Policy_Decisions!$B$11="Whole MAD",0,2)))</f>
        <v/>
      </c>
      <c r="Z190">
        <f>Raw_Data!T190</f>
        <v>0</v>
      </c>
      <c r="AA190">
        <f>Raw_Data!U190</f>
        <v>0</v>
      </c>
    </row>
    <row r="191" spans="1:27" ht="14.25" customHeight="1">
      <c r="A191" s="13" t="str">
        <f>IF(Raw_Data!A191="","",Raw_Data!A191)</f>
        <v/>
      </c>
      <c r="B191" s="13" t="str">
        <f>IF(Raw_Data!B191="","",Raw_Data!B191)</f>
        <v/>
      </c>
      <c r="C191" s="13" t="str">
        <f>IF(Raw_Data!C191="","",Raw_Data!C191)</f>
        <v/>
      </c>
      <c r="D191" s="13" t="str">
        <f>IF(Raw_Data!D191="","",Raw_Data!D191)</f>
        <v/>
      </c>
      <c r="E191" s="21" t="str">
        <f>IF($A191="","",IF(Raw_Data!E191="",0,IF(KPI_Config!$C$5="L",IF(Raw_Data!E191&lt;=KPI_Config!$E$5,KPI_Config!$D$5,IF(AND(KPI_Config!$F$5&gt;0,Raw_Data!E191&lt;=KPI_Config!$G$5),KPI_Config!$F$5,0)),IF(Raw_Data!E191&gt;=KPI_Config!$E$5,KPI_Config!$D$5,IF(AND(KPI_Config!$F$5&gt;0,Raw_Data!E191&gt;=KPI_Config!$G$5),KPI_Config!$F$5,0)))))</f>
        <v/>
      </c>
      <c r="F191" s="21" t="str">
        <f>IF($A191="","",IF(Raw_Data!F191="",0,IF(KPI_Config!$C$6="L",IF(Raw_Data!F191&lt;=KPI_Config!$E$6,KPI_Config!$D$6,IF(AND(KPI_Config!$F$6&gt;0,Raw_Data!F191&lt;=KPI_Config!$G$6),KPI_Config!$F$6,0)),IF(Raw_Data!F191&gt;=KPI_Config!$E$6,KPI_Config!$D$6,IF(AND(KPI_Config!$F$6&gt;0,Raw_Data!F191&gt;=KPI_Config!$G$6),KPI_Config!$F$6,0)))))</f>
        <v/>
      </c>
      <c r="G191" s="21" t="str">
        <f>IF($A191="","",IF(Raw_Data!G191="",0,IF(KPI_Config!$C$7="L",IF(Raw_Data!G191&lt;=KPI_Config!$E$7,KPI_Config!$D$7,IF(AND(KPI_Config!$F$7&gt;0,Raw_Data!G191&lt;=KPI_Config!$G$7),KPI_Config!$F$7,0)),IF(Raw_Data!G191&gt;=KPI_Config!$E$7,KPI_Config!$D$7,IF(AND(KPI_Config!$F$7&gt;0,Raw_Data!G191&gt;=KPI_Config!$G$7),KPI_Config!$F$7,0)))))</f>
        <v/>
      </c>
      <c r="H191" s="21" t="str">
        <f>IF($A191="","",IF(Raw_Data!H191="",0,IF(KPI_Config!$C$8="L",IF(Raw_Data!H191&lt;=KPI_Config!$E$8,KPI_Config!$D$8,IF(AND(KPI_Config!$F$8&gt;0,Raw_Data!H191&lt;=KPI_Config!$G$8),KPI_Config!$F$8,0)),IF(Raw_Data!H191&gt;=KPI_Config!$E$8,KPI_Config!$D$8,IF(AND(KPI_Config!$F$8&gt;0,Raw_Data!H191&gt;=KPI_Config!$G$8),KPI_Config!$F$8,0)))))</f>
        <v/>
      </c>
      <c r="I191" s="21" t="str">
        <f>IF($A191="","",IF(Raw_Data!I191="",0,IF(KPI_Config!$C$9="L",IF(Raw_Data!I191&lt;=KPI_Config!$E$9,KPI_Config!$D$9,IF(AND(KPI_Config!$F$9&gt;0,Raw_Data!I191&lt;=KPI_Config!$G$9),KPI_Config!$F$9,0)),IF(Raw_Data!I191&gt;=KPI_Config!$E$9,KPI_Config!$D$9,IF(AND(KPI_Config!$F$9&gt;0,Raw_Data!I191&gt;=KPI_Config!$G$9),KPI_Config!$F$9,0)))))</f>
        <v/>
      </c>
      <c r="J191" s="21" t="str">
        <f>IF($A191="","",IF(Raw_Data!J191="",0,IF(KPI_Config!$C$10="L",IF(Raw_Data!J191&lt;=KPI_Config!$E$10,KPI_Config!$D$10,IF(AND(KPI_Config!$F$10&gt;0,Raw_Data!J191&lt;=KPI_Config!$G$10),KPI_Config!$F$10,0)),IF(Raw_Data!J191&gt;=KPI_Config!$E$10,KPI_Config!$D$10,IF(AND(KPI_Config!$F$10&gt;0,Raw_Data!J191&gt;=KPI_Config!$G$10),KPI_Config!$F$10,0)))))</f>
        <v/>
      </c>
      <c r="K191" s="21" t="str">
        <f>IF($A191="","",IF(Raw_Data!G191="",0,IF(KPI_Config!$C$11="L",IF(Raw_Data!G191&lt;=KPI_Config!$E$11,KPI_Config!$D$11,IF(AND(KPI_Config!$F$11&gt;0,Raw_Data!G191&lt;=KPI_Config!$G$11),KPI_Config!$F$11,0)),IF(Raw_Data!G191&gt;=KPI_Config!$E$11,KPI_Config!$D$11,IF(AND(KPI_Config!$F$11&gt;0,Raw_Data!G191&gt;=KPI_Config!$G$11),KPI_Config!$F$11,0)))))</f>
        <v/>
      </c>
      <c r="L191" s="21" t="str">
        <f>IF($A191="","",MIN(Policy_Decisions!$B$10,IF(Policy_Decisions!$B$6="Additive",SUM(E191:K191),SUM(E191:J191)-G191+MAX(G191,K191))))</f>
        <v/>
      </c>
      <c r="M191" s="21" t="str">
        <f>IF($A191="","",Raw_Data!K191)</f>
        <v/>
      </c>
      <c r="N191" s="21" t="str">
        <f>IF($A191="","",IFERROR(VLOOKUP(M191,KPI_Config!$I$5:$J$10,2,FALSE()),0))</f>
        <v/>
      </c>
      <c r="O191" s="21" t="str">
        <f>IF($A191="","",IF(Policy_Decisions!$B$5="Percentage points",MAX(0,L191-N191),L191*(1-N191)))</f>
        <v/>
      </c>
      <c r="P191" s="13" t="str">
        <f>IF($A191="","",IF(U191="","Review proration",IF(O191=0,"No payout",IF(N191&gt;0,"Malus applied","Eligible"))))</f>
        <v/>
      </c>
      <c r="Q191" s="13" t="str">
        <f>IF($A191="","",Raw_Data!M191)</f>
        <v/>
      </c>
      <c r="R191" s="37" t="str">
        <f>IF($A191="","",Raw_Data!N191)</f>
        <v/>
      </c>
      <c r="S191" s="37" t="str">
        <f>IF($A191="","",Raw_Data!O191)</f>
        <v/>
      </c>
      <c r="T191" s="37" t="str">
        <f>IF($A191="","",IF(Raw_Data!P191&gt;0,Raw_Data!P191,Raw_Data!N191*Raw_Data!O191/IF(Policy_Decisions!$B$7="Annual",12,1)))</f>
        <v/>
      </c>
      <c r="U191" s="37" t="str">
        <f>IF($A191="","",IF(OR(Raw_Data!R191="",Raw_Data!R191&lt;=0),"",MIN(1,MAX(0,Raw_Data!Q191/Raw_Data!R191))))</f>
        <v/>
      </c>
      <c r="V191" s="37" t="str">
        <f>IF(OR($A191="",U191=""),"",T191*U191)</f>
        <v/>
      </c>
      <c r="W191" s="37" t="str">
        <f>IF(OR($A191="",V191=""),"",V191*L191)</f>
        <v/>
      </c>
      <c r="X191" s="37" t="str">
        <f>IF(OR($A191="",V191=""),"",V191*L191-V191*O191)</f>
        <v/>
      </c>
      <c r="Y191" s="37" t="str">
        <f>IF(OR($A191="",V191=""),"",ROUND(V191*O191,IF(Policy_Decisions!$B$11="Whole MAD",0,2)))</f>
        <v/>
      </c>
      <c r="Z191">
        <f>Raw_Data!T191</f>
        <v>0</v>
      </c>
      <c r="AA191">
        <f>Raw_Data!U191</f>
        <v>0</v>
      </c>
    </row>
    <row r="192" spans="1:27" ht="14.25" customHeight="1">
      <c r="A192" s="15" t="str">
        <f>IF(Raw_Data!A192="","",Raw_Data!A192)</f>
        <v/>
      </c>
      <c r="B192" s="15" t="str">
        <f>IF(Raw_Data!B192="","",Raw_Data!B192)</f>
        <v/>
      </c>
      <c r="C192" s="15" t="str">
        <f>IF(Raw_Data!C192="","",Raw_Data!C192)</f>
        <v/>
      </c>
      <c r="D192" s="15" t="str">
        <f>IF(Raw_Data!D192="","",Raw_Data!D192)</f>
        <v/>
      </c>
      <c r="E192" s="16" t="str">
        <f>IF($A192="","",IF(Raw_Data!E192="",0,IF(KPI_Config!$C$5="L",IF(Raw_Data!E192&lt;=KPI_Config!$E$5,KPI_Config!$D$5,IF(AND(KPI_Config!$F$5&gt;0,Raw_Data!E192&lt;=KPI_Config!$G$5),KPI_Config!$F$5,0)),IF(Raw_Data!E192&gt;=KPI_Config!$E$5,KPI_Config!$D$5,IF(AND(KPI_Config!$F$5&gt;0,Raw_Data!E192&gt;=KPI_Config!$G$5),KPI_Config!$F$5,0)))))</f>
        <v/>
      </c>
      <c r="F192" s="16" t="str">
        <f>IF($A192="","",IF(Raw_Data!F192="",0,IF(KPI_Config!$C$6="L",IF(Raw_Data!F192&lt;=KPI_Config!$E$6,KPI_Config!$D$6,IF(AND(KPI_Config!$F$6&gt;0,Raw_Data!F192&lt;=KPI_Config!$G$6),KPI_Config!$F$6,0)),IF(Raw_Data!F192&gt;=KPI_Config!$E$6,KPI_Config!$D$6,IF(AND(KPI_Config!$F$6&gt;0,Raw_Data!F192&gt;=KPI_Config!$G$6),KPI_Config!$F$6,0)))))</f>
        <v/>
      </c>
      <c r="G192" s="16" t="str">
        <f>IF($A192="","",IF(Raw_Data!G192="",0,IF(KPI_Config!$C$7="L",IF(Raw_Data!G192&lt;=KPI_Config!$E$7,KPI_Config!$D$7,IF(AND(KPI_Config!$F$7&gt;0,Raw_Data!G192&lt;=KPI_Config!$G$7),KPI_Config!$F$7,0)),IF(Raw_Data!G192&gt;=KPI_Config!$E$7,KPI_Config!$D$7,IF(AND(KPI_Config!$F$7&gt;0,Raw_Data!G192&gt;=KPI_Config!$G$7),KPI_Config!$F$7,0)))))</f>
        <v/>
      </c>
      <c r="H192" s="16" t="str">
        <f>IF($A192="","",IF(Raw_Data!H192="",0,IF(KPI_Config!$C$8="L",IF(Raw_Data!H192&lt;=KPI_Config!$E$8,KPI_Config!$D$8,IF(AND(KPI_Config!$F$8&gt;0,Raw_Data!H192&lt;=KPI_Config!$G$8),KPI_Config!$F$8,0)),IF(Raw_Data!H192&gt;=KPI_Config!$E$8,KPI_Config!$D$8,IF(AND(KPI_Config!$F$8&gt;0,Raw_Data!H192&gt;=KPI_Config!$G$8),KPI_Config!$F$8,0)))))</f>
        <v/>
      </c>
      <c r="I192" s="16" t="str">
        <f>IF($A192="","",IF(Raw_Data!I192="",0,IF(KPI_Config!$C$9="L",IF(Raw_Data!I192&lt;=KPI_Config!$E$9,KPI_Config!$D$9,IF(AND(KPI_Config!$F$9&gt;0,Raw_Data!I192&lt;=KPI_Config!$G$9),KPI_Config!$F$9,0)),IF(Raw_Data!I192&gt;=KPI_Config!$E$9,KPI_Config!$D$9,IF(AND(KPI_Config!$F$9&gt;0,Raw_Data!I192&gt;=KPI_Config!$G$9),KPI_Config!$F$9,0)))))</f>
        <v/>
      </c>
      <c r="J192" s="16" t="str">
        <f>IF($A192="","",IF(Raw_Data!J192="",0,IF(KPI_Config!$C$10="L",IF(Raw_Data!J192&lt;=KPI_Config!$E$10,KPI_Config!$D$10,IF(AND(KPI_Config!$F$10&gt;0,Raw_Data!J192&lt;=KPI_Config!$G$10),KPI_Config!$F$10,0)),IF(Raw_Data!J192&gt;=KPI_Config!$E$10,KPI_Config!$D$10,IF(AND(KPI_Config!$F$10&gt;0,Raw_Data!J192&gt;=KPI_Config!$G$10),KPI_Config!$F$10,0)))))</f>
        <v/>
      </c>
      <c r="K192" s="16" t="str">
        <f>IF($A192="","",IF(Raw_Data!G192="",0,IF(KPI_Config!$C$11="L",IF(Raw_Data!G192&lt;=KPI_Config!$E$11,KPI_Config!$D$11,IF(AND(KPI_Config!$F$11&gt;0,Raw_Data!G192&lt;=KPI_Config!$G$11),KPI_Config!$F$11,0)),IF(Raw_Data!G192&gt;=KPI_Config!$E$11,KPI_Config!$D$11,IF(AND(KPI_Config!$F$11&gt;0,Raw_Data!G192&gt;=KPI_Config!$G$11),KPI_Config!$F$11,0)))))</f>
        <v/>
      </c>
      <c r="L192" s="16" t="str">
        <f>IF($A192="","",MIN(Policy_Decisions!$B$10,IF(Policy_Decisions!$B$6="Additive",SUM(E192:K192),SUM(E192:J192)-G192+MAX(G192,K192))))</f>
        <v/>
      </c>
      <c r="M192" s="16" t="str">
        <f>IF($A192="","",Raw_Data!K192)</f>
        <v/>
      </c>
      <c r="N192" s="16" t="str">
        <f>IF($A192="","",IFERROR(VLOOKUP(M192,KPI_Config!$I$5:$J$10,2,FALSE()),0))</f>
        <v/>
      </c>
      <c r="O192" s="16" t="str">
        <f>IF($A192="","",IF(Policy_Decisions!$B$5="Percentage points",MAX(0,L192-N192),L192*(1-N192)))</f>
        <v/>
      </c>
      <c r="P192" s="15" t="str">
        <f>IF($A192="","",IF(U192="","Review proration",IF(O192=0,"No payout",IF(N192&gt;0,"Malus applied","Eligible"))))</f>
        <v/>
      </c>
      <c r="Q192" s="15" t="str">
        <f>IF($A192="","",Raw_Data!M192)</f>
        <v/>
      </c>
      <c r="R192" s="38" t="str">
        <f>IF($A192="","",Raw_Data!N192)</f>
        <v/>
      </c>
      <c r="S192" s="38" t="str">
        <f>IF($A192="","",Raw_Data!O192)</f>
        <v/>
      </c>
      <c r="T192" s="38" t="str">
        <f>IF($A192="","",IF(Raw_Data!P192&gt;0,Raw_Data!P192,Raw_Data!N192*Raw_Data!O192/IF(Policy_Decisions!$B$7="Annual",12,1)))</f>
        <v/>
      </c>
      <c r="U192" s="38" t="str">
        <f>IF($A192="","",IF(OR(Raw_Data!R192="",Raw_Data!R192&lt;=0),"",MIN(1,MAX(0,Raw_Data!Q192/Raw_Data!R192))))</f>
        <v/>
      </c>
      <c r="V192" s="38" t="str">
        <f>IF(OR($A192="",U192=""),"",T192*U192)</f>
        <v/>
      </c>
      <c r="W192" s="38" t="str">
        <f>IF(OR($A192="",V192=""),"",V192*L192)</f>
        <v/>
      </c>
      <c r="X192" s="38" t="str">
        <f>IF(OR($A192="",V192=""),"",V192*L192-V192*O192)</f>
        <v/>
      </c>
      <c r="Y192" s="38" t="str">
        <f>IF(OR($A192="",V192=""),"",ROUND(V192*O192,IF(Policy_Decisions!$B$11="Whole MAD",0,2)))</f>
        <v/>
      </c>
      <c r="Z192">
        <f>Raw_Data!T192</f>
        <v>0</v>
      </c>
      <c r="AA192">
        <f>Raw_Data!U192</f>
        <v>0</v>
      </c>
    </row>
    <row r="193" spans="1:27" ht="14.25" customHeight="1">
      <c r="A193" s="13" t="str">
        <f>IF(Raw_Data!A193="","",Raw_Data!A193)</f>
        <v/>
      </c>
      <c r="B193" s="13" t="str">
        <f>IF(Raw_Data!B193="","",Raw_Data!B193)</f>
        <v/>
      </c>
      <c r="C193" s="13" t="str">
        <f>IF(Raw_Data!C193="","",Raw_Data!C193)</f>
        <v/>
      </c>
      <c r="D193" s="13" t="str">
        <f>IF(Raw_Data!D193="","",Raw_Data!D193)</f>
        <v/>
      </c>
      <c r="E193" s="21" t="str">
        <f>IF($A193="","",IF(Raw_Data!E193="",0,IF(KPI_Config!$C$5="L",IF(Raw_Data!E193&lt;=KPI_Config!$E$5,KPI_Config!$D$5,IF(AND(KPI_Config!$F$5&gt;0,Raw_Data!E193&lt;=KPI_Config!$G$5),KPI_Config!$F$5,0)),IF(Raw_Data!E193&gt;=KPI_Config!$E$5,KPI_Config!$D$5,IF(AND(KPI_Config!$F$5&gt;0,Raw_Data!E193&gt;=KPI_Config!$G$5),KPI_Config!$F$5,0)))))</f>
        <v/>
      </c>
      <c r="F193" s="21" t="str">
        <f>IF($A193="","",IF(Raw_Data!F193="",0,IF(KPI_Config!$C$6="L",IF(Raw_Data!F193&lt;=KPI_Config!$E$6,KPI_Config!$D$6,IF(AND(KPI_Config!$F$6&gt;0,Raw_Data!F193&lt;=KPI_Config!$G$6),KPI_Config!$F$6,0)),IF(Raw_Data!F193&gt;=KPI_Config!$E$6,KPI_Config!$D$6,IF(AND(KPI_Config!$F$6&gt;0,Raw_Data!F193&gt;=KPI_Config!$G$6),KPI_Config!$F$6,0)))))</f>
        <v/>
      </c>
      <c r="G193" s="21" t="str">
        <f>IF($A193="","",IF(Raw_Data!G193="",0,IF(KPI_Config!$C$7="L",IF(Raw_Data!G193&lt;=KPI_Config!$E$7,KPI_Config!$D$7,IF(AND(KPI_Config!$F$7&gt;0,Raw_Data!G193&lt;=KPI_Config!$G$7),KPI_Config!$F$7,0)),IF(Raw_Data!G193&gt;=KPI_Config!$E$7,KPI_Config!$D$7,IF(AND(KPI_Config!$F$7&gt;0,Raw_Data!G193&gt;=KPI_Config!$G$7),KPI_Config!$F$7,0)))))</f>
        <v/>
      </c>
      <c r="H193" s="21" t="str">
        <f>IF($A193="","",IF(Raw_Data!H193="",0,IF(KPI_Config!$C$8="L",IF(Raw_Data!H193&lt;=KPI_Config!$E$8,KPI_Config!$D$8,IF(AND(KPI_Config!$F$8&gt;0,Raw_Data!H193&lt;=KPI_Config!$G$8),KPI_Config!$F$8,0)),IF(Raw_Data!H193&gt;=KPI_Config!$E$8,KPI_Config!$D$8,IF(AND(KPI_Config!$F$8&gt;0,Raw_Data!H193&gt;=KPI_Config!$G$8),KPI_Config!$F$8,0)))))</f>
        <v/>
      </c>
      <c r="I193" s="21" t="str">
        <f>IF($A193="","",IF(Raw_Data!I193="",0,IF(KPI_Config!$C$9="L",IF(Raw_Data!I193&lt;=KPI_Config!$E$9,KPI_Config!$D$9,IF(AND(KPI_Config!$F$9&gt;0,Raw_Data!I193&lt;=KPI_Config!$G$9),KPI_Config!$F$9,0)),IF(Raw_Data!I193&gt;=KPI_Config!$E$9,KPI_Config!$D$9,IF(AND(KPI_Config!$F$9&gt;0,Raw_Data!I193&gt;=KPI_Config!$G$9),KPI_Config!$F$9,0)))))</f>
        <v/>
      </c>
      <c r="J193" s="21" t="str">
        <f>IF($A193="","",IF(Raw_Data!J193="",0,IF(KPI_Config!$C$10="L",IF(Raw_Data!J193&lt;=KPI_Config!$E$10,KPI_Config!$D$10,IF(AND(KPI_Config!$F$10&gt;0,Raw_Data!J193&lt;=KPI_Config!$G$10),KPI_Config!$F$10,0)),IF(Raw_Data!J193&gt;=KPI_Config!$E$10,KPI_Config!$D$10,IF(AND(KPI_Config!$F$10&gt;0,Raw_Data!J193&gt;=KPI_Config!$G$10),KPI_Config!$F$10,0)))))</f>
        <v/>
      </c>
      <c r="K193" s="21" t="str">
        <f>IF($A193="","",IF(Raw_Data!G193="",0,IF(KPI_Config!$C$11="L",IF(Raw_Data!G193&lt;=KPI_Config!$E$11,KPI_Config!$D$11,IF(AND(KPI_Config!$F$11&gt;0,Raw_Data!G193&lt;=KPI_Config!$G$11),KPI_Config!$F$11,0)),IF(Raw_Data!G193&gt;=KPI_Config!$E$11,KPI_Config!$D$11,IF(AND(KPI_Config!$F$11&gt;0,Raw_Data!G193&gt;=KPI_Config!$G$11),KPI_Config!$F$11,0)))))</f>
        <v/>
      </c>
      <c r="L193" s="21" t="str">
        <f>IF($A193="","",MIN(Policy_Decisions!$B$10,IF(Policy_Decisions!$B$6="Additive",SUM(E193:K193),SUM(E193:J193)-G193+MAX(G193,K193))))</f>
        <v/>
      </c>
      <c r="M193" s="21" t="str">
        <f>IF($A193="","",Raw_Data!K193)</f>
        <v/>
      </c>
      <c r="N193" s="21" t="str">
        <f>IF($A193="","",IFERROR(VLOOKUP(M193,KPI_Config!$I$5:$J$10,2,FALSE()),0))</f>
        <v/>
      </c>
      <c r="O193" s="21" t="str">
        <f>IF($A193="","",IF(Policy_Decisions!$B$5="Percentage points",MAX(0,L193-N193),L193*(1-N193)))</f>
        <v/>
      </c>
      <c r="P193" s="13" t="str">
        <f>IF($A193="","",IF(U193="","Review proration",IF(O193=0,"No payout",IF(N193&gt;0,"Malus applied","Eligible"))))</f>
        <v/>
      </c>
      <c r="Q193" s="13" t="str">
        <f>IF($A193="","",Raw_Data!M193)</f>
        <v/>
      </c>
      <c r="R193" s="37" t="str">
        <f>IF($A193="","",Raw_Data!N193)</f>
        <v/>
      </c>
      <c r="S193" s="37" t="str">
        <f>IF($A193="","",Raw_Data!O193)</f>
        <v/>
      </c>
      <c r="T193" s="37" t="str">
        <f>IF($A193="","",IF(Raw_Data!P193&gt;0,Raw_Data!P193,Raw_Data!N193*Raw_Data!O193/IF(Policy_Decisions!$B$7="Annual",12,1)))</f>
        <v/>
      </c>
      <c r="U193" s="37" t="str">
        <f>IF($A193="","",IF(OR(Raw_Data!R193="",Raw_Data!R193&lt;=0),"",MIN(1,MAX(0,Raw_Data!Q193/Raw_Data!R193))))</f>
        <v/>
      </c>
      <c r="V193" s="37" t="str">
        <f>IF(OR($A193="",U193=""),"",T193*U193)</f>
        <v/>
      </c>
      <c r="W193" s="37" t="str">
        <f>IF(OR($A193="",V193=""),"",V193*L193)</f>
        <v/>
      </c>
      <c r="X193" s="37" t="str">
        <f>IF(OR($A193="",V193=""),"",V193*L193-V193*O193)</f>
        <v/>
      </c>
      <c r="Y193" s="37" t="str">
        <f>IF(OR($A193="",V193=""),"",ROUND(V193*O193,IF(Policy_Decisions!$B$11="Whole MAD",0,2)))</f>
        <v/>
      </c>
      <c r="Z193">
        <f>Raw_Data!T193</f>
        <v>0</v>
      </c>
      <c r="AA193">
        <f>Raw_Data!U193</f>
        <v>0</v>
      </c>
    </row>
    <row r="194" spans="1:27" ht="14.25" customHeight="1">
      <c r="A194" s="15" t="str">
        <f>IF(Raw_Data!A194="","",Raw_Data!A194)</f>
        <v/>
      </c>
      <c r="B194" s="15" t="str">
        <f>IF(Raw_Data!B194="","",Raw_Data!B194)</f>
        <v/>
      </c>
      <c r="C194" s="15" t="str">
        <f>IF(Raw_Data!C194="","",Raw_Data!C194)</f>
        <v/>
      </c>
      <c r="D194" s="15" t="str">
        <f>IF(Raw_Data!D194="","",Raw_Data!D194)</f>
        <v/>
      </c>
      <c r="E194" s="16" t="str">
        <f>IF($A194="","",IF(Raw_Data!E194="",0,IF(KPI_Config!$C$5="L",IF(Raw_Data!E194&lt;=KPI_Config!$E$5,KPI_Config!$D$5,IF(AND(KPI_Config!$F$5&gt;0,Raw_Data!E194&lt;=KPI_Config!$G$5),KPI_Config!$F$5,0)),IF(Raw_Data!E194&gt;=KPI_Config!$E$5,KPI_Config!$D$5,IF(AND(KPI_Config!$F$5&gt;0,Raw_Data!E194&gt;=KPI_Config!$G$5),KPI_Config!$F$5,0)))))</f>
        <v/>
      </c>
      <c r="F194" s="16" t="str">
        <f>IF($A194="","",IF(Raw_Data!F194="",0,IF(KPI_Config!$C$6="L",IF(Raw_Data!F194&lt;=KPI_Config!$E$6,KPI_Config!$D$6,IF(AND(KPI_Config!$F$6&gt;0,Raw_Data!F194&lt;=KPI_Config!$G$6),KPI_Config!$F$6,0)),IF(Raw_Data!F194&gt;=KPI_Config!$E$6,KPI_Config!$D$6,IF(AND(KPI_Config!$F$6&gt;0,Raw_Data!F194&gt;=KPI_Config!$G$6),KPI_Config!$F$6,0)))))</f>
        <v/>
      </c>
      <c r="G194" s="16" t="str">
        <f>IF($A194="","",IF(Raw_Data!G194="",0,IF(KPI_Config!$C$7="L",IF(Raw_Data!G194&lt;=KPI_Config!$E$7,KPI_Config!$D$7,IF(AND(KPI_Config!$F$7&gt;0,Raw_Data!G194&lt;=KPI_Config!$G$7),KPI_Config!$F$7,0)),IF(Raw_Data!G194&gt;=KPI_Config!$E$7,KPI_Config!$D$7,IF(AND(KPI_Config!$F$7&gt;0,Raw_Data!G194&gt;=KPI_Config!$G$7),KPI_Config!$F$7,0)))))</f>
        <v/>
      </c>
      <c r="H194" s="16" t="str">
        <f>IF($A194="","",IF(Raw_Data!H194="",0,IF(KPI_Config!$C$8="L",IF(Raw_Data!H194&lt;=KPI_Config!$E$8,KPI_Config!$D$8,IF(AND(KPI_Config!$F$8&gt;0,Raw_Data!H194&lt;=KPI_Config!$G$8),KPI_Config!$F$8,0)),IF(Raw_Data!H194&gt;=KPI_Config!$E$8,KPI_Config!$D$8,IF(AND(KPI_Config!$F$8&gt;0,Raw_Data!H194&gt;=KPI_Config!$G$8),KPI_Config!$F$8,0)))))</f>
        <v/>
      </c>
      <c r="I194" s="16" t="str">
        <f>IF($A194="","",IF(Raw_Data!I194="",0,IF(KPI_Config!$C$9="L",IF(Raw_Data!I194&lt;=KPI_Config!$E$9,KPI_Config!$D$9,IF(AND(KPI_Config!$F$9&gt;0,Raw_Data!I194&lt;=KPI_Config!$G$9),KPI_Config!$F$9,0)),IF(Raw_Data!I194&gt;=KPI_Config!$E$9,KPI_Config!$D$9,IF(AND(KPI_Config!$F$9&gt;0,Raw_Data!I194&gt;=KPI_Config!$G$9),KPI_Config!$F$9,0)))))</f>
        <v/>
      </c>
      <c r="J194" s="16" t="str">
        <f>IF($A194="","",IF(Raw_Data!J194="",0,IF(KPI_Config!$C$10="L",IF(Raw_Data!J194&lt;=KPI_Config!$E$10,KPI_Config!$D$10,IF(AND(KPI_Config!$F$10&gt;0,Raw_Data!J194&lt;=KPI_Config!$G$10),KPI_Config!$F$10,0)),IF(Raw_Data!J194&gt;=KPI_Config!$E$10,KPI_Config!$D$10,IF(AND(KPI_Config!$F$10&gt;0,Raw_Data!J194&gt;=KPI_Config!$G$10),KPI_Config!$F$10,0)))))</f>
        <v/>
      </c>
      <c r="K194" s="16" t="str">
        <f>IF($A194="","",IF(Raw_Data!G194="",0,IF(KPI_Config!$C$11="L",IF(Raw_Data!G194&lt;=KPI_Config!$E$11,KPI_Config!$D$11,IF(AND(KPI_Config!$F$11&gt;0,Raw_Data!G194&lt;=KPI_Config!$G$11),KPI_Config!$F$11,0)),IF(Raw_Data!G194&gt;=KPI_Config!$E$11,KPI_Config!$D$11,IF(AND(KPI_Config!$F$11&gt;0,Raw_Data!G194&gt;=KPI_Config!$G$11),KPI_Config!$F$11,0)))))</f>
        <v/>
      </c>
      <c r="L194" s="16" t="str">
        <f>IF($A194="","",MIN(Policy_Decisions!$B$10,IF(Policy_Decisions!$B$6="Additive",SUM(E194:K194),SUM(E194:J194)-G194+MAX(G194,K194))))</f>
        <v/>
      </c>
      <c r="M194" s="16" t="str">
        <f>IF($A194="","",Raw_Data!K194)</f>
        <v/>
      </c>
      <c r="N194" s="16" t="str">
        <f>IF($A194="","",IFERROR(VLOOKUP(M194,KPI_Config!$I$5:$J$10,2,FALSE()),0))</f>
        <v/>
      </c>
      <c r="O194" s="16" t="str">
        <f>IF($A194="","",IF(Policy_Decisions!$B$5="Percentage points",MAX(0,L194-N194),L194*(1-N194)))</f>
        <v/>
      </c>
      <c r="P194" s="15" t="str">
        <f>IF($A194="","",IF(U194="","Review proration",IF(O194=0,"No payout",IF(N194&gt;0,"Malus applied","Eligible"))))</f>
        <v/>
      </c>
      <c r="Q194" s="15" t="str">
        <f>IF($A194="","",Raw_Data!M194)</f>
        <v/>
      </c>
      <c r="R194" s="38" t="str">
        <f>IF($A194="","",Raw_Data!N194)</f>
        <v/>
      </c>
      <c r="S194" s="38" t="str">
        <f>IF($A194="","",Raw_Data!O194)</f>
        <v/>
      </c>
      <c r="T194" s="38" t="str">
        <f>IF($A194="","",IF(Raw_Data!P194&gt;0,Raw_Data!P194,Raw_Data!N194*Raw_Data!O194/IF(Policy_Decisions!$B$7="Annual",12,1)))</f>
        <v/>
      </c>
      <c r="U194" s="38" t="str">
        <f>IF($A194="","",IF(OR(Raw_Data!R194="",Raw_Data!R194&lt;=0),"",MIN(1,MAX(0,Raw_Data!Q194/Raw_Data!R194))))</f>
        <v/>
      </c>
      <c r="V194" s="38" t="str">
        <f>IF(OR($A194="",U194=""),"",T194*U194)</f>
        <v/>
      </c>
      <c r="W194" s="38" t="str">
        <f>IF(OR($A194="",V194=""),"",V194*L194)</f>
        <v/>
      </c>
      <c r="X194" s="38" t="str">
        <f>IF(OR($A194="",V194=""),"",V194*L194-V194*O194)</f>
        <v/>
      </c>
      <c r="Y194" s="38" t="str">
        <f>IF(OR($A194="",V194=""),"",ROUND(V194*O194,IF(Policy_Decisions!$B$11="Whole MAD",0,2)))</f>
        <v/>
      </c>
      <c r="Z194">
        <f>Raw_Data!T194</f>
        <v>0</v>
      </c>
      <c r="AA194">
        <f>Raw_Data!U194</f>
        <v>0</v>
      </c>
    </row>
    <row r="195" spans="1:27" ht="14.25" customHeight="1">
      <c r="A195" s="13" t="str">
        <f>IF(Raw_Data!A195="","",Raw_Data!A195)</f>
        <v/>
      </c>
      <c r="B195" s="13" t="str">
        <f>IF(Raw_Data!B195="","",Raw_Data!B195)</f>
        <v/>
      </c>
      <c r="C195" s="13" t="str">
        <f>IF(Raw_Data!C195="","",Raw_Data!C195)</f>
        <v/>
      </c>
      <c r="D195" s="13" t="str">
        <f>IF(Raw_Data!D195="","",Raw_Data!D195)</f>
        <v/>
      </c>
      <c r="E195" s="21" t="str">
        <f>IF($A195="","",IF(Raw_Data!E195="",0,IF(KPI_Config!$C$5="L",IF(Raw_Data!E195&lt;=KPI_Config!$E$5,KPI_Config!$D$5,IF(AND(KPI_Config!$F$5&gt;0,Raw_Data!E195&lt;=KPI_Config!$G$5),KPI_Config!$F$5,0)),IF(Raw_Data!E195&gt;=KPI_Config!$E$5,KPI_Config!$D$5,IF(AND(KPI_Config!$F$5&gt;0,Raw_Data!E195&gt;=KPI_Config!$G$5),KPI_Config!$F$5,0)))))</f>
        <v/>
      </c>
      <c r="F195" s="21" t="str">
        <f>IF($A195="","",IF(Raw_Data!F195="",0,IF(KPI_Config!$C$6="L",IF(Raw_Data!F195&lt;=KPI_Config!$E$6,KPI_Config!$D$6,IF(AND(KPI_Config!$F$6&gt;0,Raw_Data!F195&lt;=KPI_Config!$G$6),KPI_Config!$F$6,0)),IF(Raw_Data!F195&gt;=KPI_Config!$E$6,KPI_Config!$D$6,IF(AND(KPI_Config!$F$6&gt;0,Raw_Data!F195&gt;=KPI_Config!$G$6),KPI_Config!$F$6,0)))))</f>
        <v/>
      </c>
      <c r="G195" s="21" t="str">
        <f>IF($A195="","",IF(Raw_Data!G195="",0,IF(KPI_Config!$C$7="L",IF(Raw_Data!G195&lt;=KPI_Config!$E$7,KPI_Config!$D$7,IF(AND(KPI_Config!$F$7&gt;0,Raw_Data!G195&lt;=KPI_Config!$G$7),KPI_Config!$F$7,0)),IF(Raw_Data!G195&gt;=KPI_Config!$E$7,KPI_Config!$D$7,IF(AND(KPI_Config!$F$7&gt;0,Raw_Data!G195&gt;=KPI_Config!$G$7),KPI_Config!$F$7,0)))))</f>
        <v/>
      </c>
      <c r="H195" s="21" t="str">
        <f>IF($A195="","",IF(Raw_Data!H195="",0,IF(KPI_Config!$C$8="L",IF(Raw_Data!H195&lt;=KPI_Config!$E$8,KPI_Config!$D$8,IF(AND(KPI_Config!$F$8&gt;0,Raw_Data!H195&lt;=KPI_Config!$G$8),KPI_Config!$F$8,0)),IF(Raw_Data!H195&gt;=KPI_Config!$E$8,KPI_Config!$D$8,IF(AND(KPI_Config!$F$8&gt;0,Raw_Data!H195&gt;=KPI_Config!$G$8),KPI_Config!$F$8,0)))))</f>
        <v/>
      </c>
      <c r="I195" s="21" t="str">
        <f>IF($A195="","",IF(Raw_Data!I195="",0,IF(KPI_Config!$C$9="L",IF(Raw_Data!I195&lt;=KPI_Config!$E$9,KPI_Config!$D$9,IF(AND(KPI_Config!$F$9&gt;0,Raw_Data!I195&lt;=KPI_Config!$G$9),KPI_Config!$F$9,0)),IF(Raw_Data!I195&gt;=KPI_Config!$E$9,KPI_Config!$D$9,IF(AND(KPI_Config!$F$9&gt;0,Raw_Data!I195&gt;=KPI_Config!$G$9),KPI_Config!$F$9,0)))))</f>
        <v/>
      </c>
      <c r="J195" s="21" t="str">
        <f>IF($A195="","",IF(Raw_Data!J195="",0,IF(KPI_Config!$C$10="L",IF(Raw_Data!J195&lt;=KPI_Config!$E$10,KPI_Config!$D$10,IF(AND(KPI_Config!$F$10&gt;0,Raw_Data!J195&lt;=KPI_Config!$G$10),KPI_Config!$F$10,0)),IF(Raw_Data!J195&gt;=KPI_Config!$E$10,KPI_Config!$D$10,IF(AND(KPI_Config!$F$10&gt;0,Raw_Data!J195&gt;=KPI_Config!$G$10),KPI_Config!$F$10,0)))))</f>
        <v/>
      </c>
      <c r="K195" s="21" t="str">
        <f>IF($A195="","",IF(Raw_Data!G195="",0,IF(KPI_Config!$C$11="L",IF(Raw_Data!G195&lt;=KPI_Config!$E$11,KPI_Config!$D$11,IF(AND(KPI_Config!$F$11&gt;0,Raw_Data!G195&lt;=KPI_Config!$G$11),KPI_Config!$F$11,0)),IF(Raw_Data!G195&gt;=KPI_Config!$E$11,KPI_Config!$D$11,IF(AND(KPI_Config!$F$11&gt;0,Raw_Data!G195&gt;=KPI_Config!$G$11),KPI_Config!$F$11,0)))))</f>
        <v/>
      </c>
      <c r="L195" s="21" t="str">
        <f>IF($A195="","",MIN(Policy_Decisions!$B$10,IF(Policy_Decisions!$B$6="Additive",SUM(E195:K195),SUM(E195:J195)-G195+MAX(G195,K195))))</f>
        <v/>
      </c>
      <c r="M195" s="21" t="str">
        <f>IF($A195="","",Raw_Data!K195)</f>
        <v/>
      </c>
      <c r="N195" s="21" t="str">
        <f>IF($A195="","",IFERROR(VLOOKUP(M195,KPI_Config!$I$5:$J$10,2,FALSE()),0))</f>
        <v/>
      </c>
      <c r="O195" s="21" t="str">
        <f>IF($A195="","",IF(Policy_Decisions!$B$5="Percentage points",MAX(0,L195-N195),L195*(1-N195)))</f>
        <v/>
      </c>
      <c r="P195" s="13" t="str">
        <f>IF($A195="","",IF(U195="","Review proration",IF(O195=0,"No payout",IF(N195&gt;0,"Malus applied","Eligible"))))</f>
        <v/>
      </c>
      <c r="Q195" s="13" t="str">
        <f>IF($A195="","",Raw_Data!M195)</f>
        <v/>
      </c>
      <c r="R195" s="37" t="str">
        <f>IF($A195="","",Raw_Data!N195)</f>
        <v/>
      </c>
      <c r="S195" s="37" t="str">
        <f>IF($A195="","",Raw_Data!O195)</f>
        <v/>
      </c>
      <c r="T195" s="37" t="str">
        <f>IF($A195="","",IF(Raw_Data!P195&gt;0,Raw_Data!P195,Raw_Data!N195*Raw_Data!O195/IF(Policy_Decisions!$B$7="Annual",12,1)))</f>
        <v/>
      </c>
      <c r="U195" s="37" t="str">
        <f>IF($A195="","",IF(OR(Raw_Data!R195="",Raw_Data!R195&lt;=0),"",MIN(1,MAX(0,Raw_Data!Q195/Raw_Data!R195))))</f>
        <v/>
      </c>
      <c r="V195" s="37" t="str">
        <f>IF(OR($A195="",U195=""),"",T195*U195)</f>
        <v/>
      </c>
      <c r="W195" s="37" t="str">
        <f>IF(OR($A195="",V195=""),"",V195*L195)</f>
        <v/>
      </c>
      <c r="X195" s="37" t="str">
        <f>IF(OR($A195="",V195=""),"",V195*L195-V195*O195)</f>
        <v/>
      </c>
      <c r="Y195" s="37" t="str">
        <f>IF(OR($A195="",V195=""),"",ROUND(V195*O195,IF(Policy_Decisions!$B$11="Whole MAD",0,2)))</f>
        <v/>
      </c>
      <c r="Z195">
        <f>Raw_Data!T195</f>
        <v>0</v>
      </c>
      <c r="AA195">
        <f>Raw_Data!U195</f>
        <v>0</v>
      </c>
    </row>
    <row r="196" spans="1:27" ht="14.25" customHeight="1">
      <c r="A196" s="15" t="str">
        <f>IF(Raw_Data!A196="","",Raw_Data!A196)</f>
        <v/>
      </c>
      <c r="B196" s="15" t="str">
        <f>IF(Raw_Data!B196="","",Raw_Data!B196)</f>
        <v/>
      </c>
      <c r="C196" s="15" t="str">
        <f>IF(Raw_Data!C196="","",Raw_Data!C196)</f>
        <v/>
      </c>
      <c r="D196" s="15" t="str">
        <f>IF(Raw_Data!D196="","",Raw_Data!D196)</f>
        <v/>
      </c>
      <c r="E196" s="16" t="str">
        <f>IF($A196="","",IF(Raw_Data!E196="",0,IF(KPI_Config!$C$5="L",IF(Raw_Data!E196&lt;=KPI_Config!$E$5,KPI_Config!$D$5,IF(AND(KPI_Config!$F$5&gt;0,Raw_Data!E196&lt;=KPI_Config!$G$5),KPI_Config!$F$5,0)),IF(Raw_Data!E196&gt;=KPI_Config!$E$5,KPI_Config!$D$5,IF(AND(KPI_Config!$F$5&gt;0,Raw_Data!E196&gt;=KPI_Config!$G$5),KPI_Config!$F$5,0)))))</f>
        <v/>
      </c>
      <c r="F196" s="16" t="str">
        <f>IF($A196="","",IF(Raw_Data!F196="",0,IF(KPI_Config!$C$6="L",IF(Raw_Data!F196&lt;=KPI_Config!$E$6,KPI_Config!$D$6,IF(AND(KPI_Config!$F$6&gt;0,Raw_Data!F196&lt;=KPI_Config!$G$6),KPI_Config!$F$6,0)),IF(Raw_Data!F196&gt;=KPI_Config!$E$6,KPI_Config!$D$6,IF(AND(KPI_Config!$F$6&gt;0,Raw_Data!F196&gt;=KPI_Config!$G$6),KPI_Config!$F$6,0)))))</f>
        <v/>
      </c>
      <c r="G196" s="16" t="str">
        <f>IF($A196="","",IF(Raw_Data!G196="",0,IF(KPI_Config!$C$7="L",IF(Raw_Data!G196&lt;=KPI_Config!$E$7,KPI_Config!$D$7,IF(AND(KPI_Config!$F$7&gt;0,Raw_Data!G196&lt;=KPI_Config!$G$7),KPI_Config!$F$7,0)),IF(Raw_Data!G196&gt;=KPI_Config!$E$7,KPI_Config!$D$7,IF(AND(KPI_Config!$F$7&gt;0,Raw_Data!G196&gt;=KPI_Config!$G$7),KPI_Config!$F$7,0)))))</f>
        <v/>
      </c>
      <c r="H196" s="16" t="str">
        <f>IF($A196="","",IF(Raw_Data!H196="",0,IF(KPI_Config!$C$8="L",IF(Raw_Data!H196&lt;=KPI_Config!$E$8,KPI_Config!$D$8,IF(AND(KPI_Config!$F$8&gt;0,Raw_Data!H196&lt;=KPI_Config!$G$8),KPI_Config!$F$8,0)),IF(Raw_Data!H196&gt;=KPI_Config!$E$8,KPI_Config!$D$8,IF(AND(KPI_Config!$F$8&gt;0,Raw_Data!H196&gt;=KPI_Config!$G$8),KPI_Config!$F$8,0)))))</f>
        <v/>
      </c>
      <c r="I196" s="16" t="str">
        <f>IF($A196="","",IF(Raw_Data!I196="",0,IF(KPI_Config!$C$9="L",IF(Raw_Data!I196&lt;=KPI_Config!$E$9,KPI_Config!$D$9,IF(AND(KPI_Config!$F$9&gt;0,Raw_Data!I196&lt;=KPI_Config!$G$9),KPI_Config!$F$9,0)),IF(Raw_Data!I196&gt;=KPI_Config!$E$9,KPI_Config!$D$9,IF(AND(KPI_Config!$F$9&gt;0,Raw_Data!I196&gt;=KPI_Config!$G$9),KPI_Config!$F$9,0)))))</f>
        <v/>
      </c>
      <c r="J196" s="16" t="str">
        <f>IF($A196="","",IF(Raw_Data!J196="",0,IF(KPI_Config!$C$10="L",IF(Raw_Data!J196&lt;=KPI_Config!$E$10,KPI_Config!$D$10,IF(AND(KPI_Config!$F$10&gt;0,Raw_Data!J196&lt;=KPI_Config!$G$10),KPI_Config!$F$10,0)),IF(Raw_Data!J196&gt;=KPI_Config!$E$10,KPI_Config!$D$10,IF(AND(KPI_Config!$F$10&gt;0,Raw_Data!J196&gt;=KPI_Config!$G$10),KPI_Config!$F$10,0)))))</f>
        <v/>
      </c>
      <c r="K196" s="16" t="str">
        <f>IF($A196="","",IF(Raw_Data!G196="",0,IF(KPI_Config!$C$11="L",IF(Raw_Data!G196&lt;=KPI_Config!$E$11,KPI_Config!$D$11,IF(AND(KPI_Config!$F$11&gt;0,Raw_Data!G196&lt;=KPI_Config!$G$11),KPI_Config!$F$11,0)),IF(Raw_Data!G196&gt;=KPI_Config!$E$11,KPI_Config!$D$11,IF(AND(KPI_Config!$F$11&gt;0,Raw_Data!G196&gt;=KPI_Config!$G$11),KPI_Config!$F$11,0)))))</f>
        <v/>
      </c>
      <c r="L196" s="16" t="str">
        <f>IF($A196="","",MIN(Policy_Decisions!$B$10,IF(Policy_Decisions!$B$6="Additive",SUM(E196:K196),SUM(E196:J196)-G196+MAX(G196,K196))))</f>
        <v/>
      </c>
      <c r="M196" s="16" t="str">
        <f>IF($A196="","",Raw_Data!K196)</f>
        <v/>
      </c>
      <c r="N196" s="16" t="str">
        <f>IF($A196="","",IFERROR(VLOOKUP(M196,KPI_Config!$I$5:$J$10,2,FALSE()),0))</f>
        <v/>
      </c>
      <c r="O196" s="16" t="str">
        <f>IF($A196="","",IF(Policy_Decisions!$B$5="Percentage points",MAX(0,L196-N196),L196*(1-N196)))</f>
        <v/>
      </c>
      <c r="P196" s="15" t="str">
        <f>IF($A196="","",IF(U196="","Review proration",IF(O196=0,"No payout",IF(N196&gt;0,"Malus applied","Eligible"))))</f>
        <v/>
      </c>
      <c r="Q196" s="15" t="str">
        <f>IF($A196="","",Raw_Data!M196)</f>
        <v/>
      </c>
      <c r="R196" s="38" t="str">
        <f>IF($A196="","",Raw_Data!N196)</f>
        <v/>
      </c>
      <c r="S196" s="38" t="str">
        <f>IF($A196="","",Raw_Data!O196)</f>
        <v/>
      </c>
      <c r="T196" s="38" t="str">
        <f>IF($A196="","",IF(Raw_Data!P196&gt;0,Raw_Data!P196,Raw_Data!N196*Raw_Data!O196/IF(Policy_Decisions!$B$7="Annual",12,1)))</f>
        <v/>
      </c>
      <c r="U196" s="38" t="str">
        <f>IF($A196="","",IF(OR(Raw_Data!R196="",Raw_Data!R196&lt;=0),"",MIN(1,MAX(0,Raw_Data!Q196/Raw_Data!R196))))</f>
        <v/>
      </c>
      <c r="V196" s="38" t="str">
        <f>IF(OR($A196="",U196=""),"",T196*U196)</f>
        <v/>
      </c>
      <c r="W196" s="38" t="str">
        <f>IF(OR($A196="",V196=""),"",V196*L196)</f>
        <v/>
      </c>
      <c r="X196" s="38" t="str">
        <f>IF(OR($A196="",V196=""),"",V196*L196-V196*O196)</f>
        <v/>
      </c>
      <c r="Y196" s="38" t="str">
        <f>IF(OR($A196="",V196=""),"",ROUND(V196*O196,IF(Policy_Decisions!$B$11="Whole MAD",0,2)))</f>
        <v/>
      </c>
      <c r="Z196">
        <f>Raw_Data!T196</f>
        <v>0</v>
      </c>
      <c r="AA196">
        <f>Raw_Data!U196</f>
        <v>0</v>
      </c>
    </row>
    <row r="197" spans="1:27" ht="14.25" customHeight="1">
      <c r="A197" s="13" t="str">
        <f>IF(Raw_Data!A197="","",Raw_Data!A197)</f>
        <v/>
      </c>
      <c r="B197" s="13" t="str">
        <f>IF(Raw_Data!B197="","",Raw_Data!B197)</f>
        <v/>
      </c>
      <c r="C197" s="13" t="str">
        <f>IF(Raw_Data!C197="","",Raw_Data!C197)</f>
        <v/>
      </c>
      <c r="D197" s="13" t="str">
        <f>IF(Raw_Data!D197="","",Raw_Data!D197)</f>
        <v/>
      </c>
      <c r="E197" s="21" t="str">
        <f>IF($A197="","",IF(Raw_Data!E197="",0,IF(KPI_Config!$C$5="L",IF(Raw_Data!E197&lt;=KPI_Config!$E$5,KPI_Config!$D$5,IF(AND(KPI_Config!$F$5&gt;0,Raw_Data!E197&lt;=KPI_Config!$G$5),KPI_Config!$F$5,0)),IF(Raw_Data!E197&gt;=KPI_Config!$E$5,KPI_Config!$D$5,IF(AND(KPI_Config!$F$5&gt;0,Raw_Data!E197&gt;=KPI_Config!$G$5),KPI_Config!$F$5,0)))))</f>
        <v/>
      </c>
      <c r="F197" s="21" t="str">
        <f>IF($A197="","",IF(Raw_Data!F197="",0,IF(KPI_Config!$C$6="L",IF(Raw_Data!F197&lt;=KPI_Config!$E$6,KPI_Config!$D$6,IF(AND(KPI_Config!$F$6&gt;0,Raw_Data!F197&lt;=KPI_Config!$G$6),KPI_Config!$F$6,0)),IF(Raw_Data!F197&gt;=KPI_Config!$E$6,KPI_Config!$D$6,IF(AND(KPI_Config!$F$6&gt;0,Raw_Data!F197&gt;=KPI_Config!$G$6),KPI_Config!$F$6,0)))))</f>
        <v/>
      </c>
      <c r="G197" s="21" t="str">
        <f>IF($A197="","",IF(Raw_Data!G197="",0,IF(KPI_Config!$C$7="L",IF(Raw_Data!G197&lt;=KPI_Config!$E$7,KPI_Config!$D$7,IF(AND(KPI_Config!$F$7&gt;0,Raw_Data!G197&lt;=KPI_Config!$G$7),KPI_Config!$F$7,0)),IF(Raw_Data!G197&gt;=KPI_Config!$E$7,KPI_Config!$D$7,IF(AND(KPI_Config!$F$7&gt;0,Raw_Data!G197&gt;=KPI_Config!$G$7),KPI_Config!$F$7,0)))))</f>
        <v/>
      </c>
      <c r="H197" s="21" t="str">
        <f>IF($A197="","",IF(Raw_Data!H197="",0,IF(KPI_Config!$C$8="L",IF(Raw_Data!H197&lt;=KPI_Config!$E$8,KPI_Config!$D$8,IF(AND(KPI_Config!$F$8&gt;0,Raw_Data!H197&lt;=KPI_Config!$G$8),KPI_Config!$F$8,0)),IF(Raw_Data!H197&gt;=KPI_Config!$E$8,KPI_Config!$D$8,IF(AND(KPI_Config!$F$8&gt;0,Raw_Data!H197&gt;=KPI_Config!$G$8),KPI_Config!$F$8,0)))))</f>
        <v/>
      </c>
      <c r="I197" s="21" t="str">
        <f>IF($A197="","",IF(Raw_Data!I197="",0,IF(KPI_Config!$C$9="L",IF(Raw_Data!I197&lt;=KPI_Config!$E$9,KPI_Config!$D$9,IF(AND(KPI_Config!$F$9&gt;0,Raw_Data!I197&lt;=KPI_Config!$G$9),KPI_Config!$F$9,0)),IF(Raw_Data!I197&gt;=KPI_Config!$E$9,KPI_Config!$D$9,IF(AND(KPI_Config!$F$9&gt;0,Raw_Data!I197&gt;=KPI_Config!$G$9),KPI_Config!$F$9,0)))))</f>
        <v/>
      </c>
      <c r="J197" s="21" t="str">
        <f>IF($A197="","",IF(Raw_Data!J197="",0,IF(KPI_Config!$C$10="L",IF(Raw_Data!J197&lt;=KPI_Config!$E$10,KPI_Config!$D$10,IF(AND(KPI_Config!$F$10&gt;0,Raw_Data!J197&lt;=KPI_Config!$G$10),KPI_Config!$F$10,0)),IF(Raw_Data!J197&gt;=KPI_Config!$E$10,KPI_Config!$D$10,IF(AND(KPI_Config!$F$10&gt;0,Raw_Data!J197&gt;=KPI_Config!$G$10),KPI_Config!$F$10,0)))))</f>
        <v/>
      </c>
      <c r="K197" s="21" t="str">
        <f>IF($A197="","",IF(Raw_Data!G197="",0,IF(KPI_Config!$C$11="L",IF(Raw_Data!G197&lt;=KPI_Config!$E$11,KPI_Config!$D$11,IF(AND(KPI_Config!$F$11&gt;0,Raw_Data!G197&lt;=KPI_Config!$G$11),KPI_Config!$F$11,0)),IF(Raw_Data!G197&gt;=KPI_Config!$E$11,KPI_Config!$D$11,IF(AND(KPI_Config!$F$11&gt;0,Raw_Data!G197&gt;=KPI_Config!$G$11),KPI_Config!$F$11,0)))))</f>
        <v/>
      </c>
      <c r="L197" s="21" t="str">
        <f>IF($A197="","",MIN(Policy_Decisions!$B$10,IF(Policy_Decisions!$B$6="Additive",SUM(E197:K197),SUM(E197:J197)-G197+MAX(G197,K197))))</f>
        <v/>
      </c>
      <c r="M197" s="21" t="str">
        <f>IF($A197="","",Raw_Data!K197)</f>
        <v/>
      </c>
      <c r="N197" s="21" t="str">
        <f>IF($A197="","",IFERROR(VLOOKUP(M197,KPI_Config!$I$5:$J$10,2,FALSE()),0))</f>
        <v/>
      </c>
      <c r="O197" s="21" t="str">
        <f>IF($A197="","",IF(Policy_Decisions!$B$5="Percentage points",MAX(0,L197-N197),L197*(1-N197)))</f>
        <v/>
      </c>
      <c r="P197" s="13" t="str">
        <f>IF($A197="","",IF(U197="","Review proration",IF(O197=0,"No payout",IF(N197&gt;0,"Malus applied","Eligible"))))</f>
        <v/>
      </c>
      <c r="Q197" s="13" t="str">
        <f>IF($A197="","",Raw_Data!M197)</f>
        <v/>
      </c>
      <c r="R197" s="37" t="str">
        <f>IF($A197="","",Raw_Data!N197)</f>
        <v/>
      </c>
      <c r="S197" s="37" t="str">
        <f>IF($A197="","",Raw_Data!O197)</f>
        <v/>
      </c>
      <c r="T197" s="37" t="str">
        <f>IF($A197="","",IF(Raw_Data!P197&gt;0,Raw_Data!P197,Raw_Data!N197*Raw_Data!O197/IF(Policy_Decisions!$B$7="Annual",12,1)))</f>
        <v/>
      </c>
      <c r="U197" s="37" t="str">
        <f>IF($A197="","",IF(OR(Raw_Data!R197="",Raw_Data!R197&lt;=0),"",MIN(1,MAX(0,Raw_Data!Q197/Raw_Data!R197))))</f>
        <v/>
      </c>
      <c r="V197" s="37" t="str">
        <f>IF(OR($A197="",U197=""),"",T197*U197)</f>
        <v/>
      </c>
      <c r="W197" s="37" t="str">
        <f>IF(OR($A197="",V197=""),"",V197*L197)</f>
        <v/>
      </c>
      <c r="X197" s="37" t="str">
        <f>IF(OR($A197="",V197=""),"",V197*L197-V197*O197)</f>
        <v/>
      </c>
      <c r="Y197" s="37" t="str">
        <f>IF(OR($A197="",V197=""),"",ROUND(V197*O197,IF(Policy_Decisions!$B$11="Whole MAD",0,2)))</f>
        <v/>
      </c>
      <c r="Z197">
        <f>Raw_Data!T197</f>
        <v>0</v>
      </c>
      <c r="AA197">
        <f>Raw_Data!U197</f>
        <v>0</v>
      </c>
    </row>
    <row r="198" spans="1:27" ht="14.25" customHeight="1">
      <c r="A198" s="15" t="str">
        <f>IF(Raw_Data!A198="","",Raw_Data!A198)</f>
        <v/>
      </c>
      <c r="B198" s="15" t="str">
        <f>IF(Raw_Data!B198="","",Raw_Data!B198)</f>
        <v/>
      </c>
      <c r="C198" s="15" t="str">
        <f>IF(Raw_Data!C198="","",Raw_Data!C198)</f>
        <v/>
      </c>
      <c r="D198" s="15" t="str">
        <f>IF(Raw_Data!D198="","",Raw_Data!D198)</f>
        <v/>
      </c>
      <c r="E198" s="16" t="str">
        <f>IF($A198="","",IF(Raw_Data!E198="",0,IF(KPI_Config!$C$5="L",IF(Raw_Data!E198&lt;=KPI_Config!$E$5,KPI_Config!$D$5,IF(AND(KPI_Config!$F$5&gt;0,Raw_Data!E198&lt;=KPI_Config!$G$5),KPI_Config!$F$5,0)),IF(Raw_Data!E198&gt;=KPI_Config!$E$5,KPI_Config!$D$5,IF(AND(KPI_Config!$F$5&gt;0,Raw_Data!E198&gt;=KPI_Config!$G$5),KPI_Config!$F$5,0)))))</f>
        <v/>
      </c>
      <c r="F198" s="16" t="str">
        <f>IF($A198="","",IF(Raw_Data!F198="",0,IF(KPI_Config!$C$6="L",IF(Raw_Data!F198&lt;=KPI_Config!$E$6,KPI_Config!$D$6,IF(AND(KPI_Config!$F$6&gt;0,Raw_Data!F198&lt;=KPI_Config!$G$6),KPI_Config!$F$6,0)),IF(Raw_Data!F198&gt;=KPI_Config!$E$6,KPI_Config!$D$6,IF(AND(KPI_Config!$F$6&gt;0,Raw_Data!F198&gt;=KPI_Config!$G$6),KPI_Config!$F$6,0)))))</f>
        <v/>
      </c>
      <c r="G198" s="16" t="str">
        <f>IF($A198="","",IF(Raw_Data!G198="",0,IF(KPI_Config!$C$7="L",IF(Raw_Data!G198&lt;=KPI_Config!$E$7,KPI_Config!$D$7,IF(AND(KPI_Config!$F$7&gt;0,Raw_Data!G198&lt;=KPI_Config!$G$7),KPI_Config!$F$7,0)),IF(Raw_Data!G198&gt;=KPI_Config!$E$7,KPI_Config!$D$7,IF(AND(KPI_Config!$F$7&gt;0,Raw_Data!G198&gt;=KPI_Config!$G$7),KPI_Config!$F$7,0)))))</f>
        <v/>
      </c>
      <c r="H198" s="16" t="str">
        <f>IF($A198="","",IF(Raw_Data!H198="",0,IF(KPI_Config!$C$8="L",IF(Raw_Data!H198&lt;=KPI_Config!$E$8,KPI_Config!$D$8,IF(AND(KPI_Config!$F$8&gt;0,Raw_Data!H198&lt;=KPI_Config!$G$8),KPI_Config!$F$8,0)),IF(Raw_Data!H198&gt;=KPI_Config!$E$8,KPI_Config!$D$8,IF(AND(KPI_Config!$F$8&gt;0,Raw_Data!H198&gt;=KPI_Config!$G$8),KPI_Config!$F$8,0)))))</f>
        <v/>
      </c>
      <c r="I198" s="16" t="str">
        <f>IF($A198="","",IF(Raw_Data!I198="",0,IF(KPI_Config!$C$9="L",IF(Raw_Data!I198&lt;=KPI_Config!$E$9,KPI_Config!$D$9,IF(AND(KPI_Config!$F$9&gt;0,Raw_Data!I198&lt;=KPI_Config!$G$9),KPI_Config!$F$9,0)),IF(Raw_Data!I198&gt;=KPI_Config!$E$9,KPI_Config!$D$9,IF(AND(KPI_Config!$F$9&gt;0,Raw_Data!I198&gt;=KPI_Config!$G$9),KPI_Config!$F$9,0)))))</f>
        <v/>
      </c>
      <c r="J198" s="16" t="str">
        <f>IF($A198="","",IF(Raw_Data!J198="",0,IF(KPI_Config!$C$10="L",IF(Raw_Data!J198&lt;=KPI_Config!$E$10,KPI_Config!$D$10,IF(AND(KPI_Config!$F$10&gt;0,Raw_Data!J198&lt;=KPI_Config!$G$10),KPI_Config!$F$10,0)),IF(Raw_Data!J198&gt;=KPI_Config!$E$10,KPI_Config!$D$10,IF(AND(KPI_Config!$F$10&gt;0,Raw_Data!J198&gt;=KPI_Config!$G$10),KPI_Config!$F$10,0)))))</f>
        <v/>
      </c>
      <c r="K198" s="16" t="str">
        <f>IF($A198="","",IF(Raw_Data!G198="",0,IF(KPI_Config!$C$11="L",IF(Raw_Data!G198&lt;=KPI_Config!$E$11,KPI_Config!$D$11,IF(AND(KPI_Config!$F$11&gt;0,Raw_Data!G198&lt;=KPI_Config!$G$11),KPI_Config!$F$11,0)),IF(Raw_Data!G198&gt;=KPI_Config!$E$11,KPI_Config!$D$11,IF(AND(KPI_Config!$F$11&gt;0,Raw_Data!G198&gt;=KPI_Config!$G$11),KPI_Config!$F$11,0)))))</f>
        <v/>
      </c>
      <c r="L198" s="16" t="str">
        <f>IF($A198="","",MIN(Policy_Decisions!$B$10,IF(Policy_Decisions!$B$6="Additive",SUM(E198:K198),SUM(E198:J198)-G198+MAX(G198,K198))))</f>
        <v/>
      </c>
      <c r="M198" s="16" t="str">
        <f>IF($A198="","",Raw_Data!K198)</f>
        <v/>
      </c>
      <c r="N198" s="16" t="str">
        <f>IF($A198="","",IFERROR(VLOOKUP(M198,KPI_Config!$I$5:$J$10,2,FALSE()),0))</f>
        <v/>
      </c>
      <c r="O198" s="16" t="str">
        <f>IF($A198="","",IF(Policy_Decisions!$B$5="Percentage points",MAX(0,L198-N198),L198*(1-N198)))</f>
        <v/>
      </c>
      <c r="P198" s="15" t="str">
        <f>IF($A198="","",IF(U198="","Review proration",IF(O198=0,"No payout",IF(N198&gt;0,"Malus applied","Eligible"))))</f>
        <v/>
      </c>
      <c r="Q198" s="15" t="str">
        <f>IF($A198="","",Raw_Data!M198)</f>
        <v/>
      </c>
      <c r="R198" s="38" t="str">
        <f>IF($A198="","",Raw_Data!N198)</f>
        <v/>
      </c>
      <c r="S198" s="38" t="str">
        <f>IF($A198="","",Raw_Data!O198)</f>
        <v/>
      </c>
      <c r="T198" s="38" t="str">
        <f>IF($A198="","",IF(Raw_Data!P198&gt;0,Raw_Data!P198,Raw_Data!N198*Raw_Data!O198/IF(Policy_Decisions!$B$7="Annual",12,1)))</f>
        <v/>
      </c>
      <c r="U198" s="38" t="str">
        <f>IF($A198="","",IF(OR(Raw_Data!R198="",Raw_Data!R198&lt;=0),"",MIN(1,MAX(0,Raw_Data!Q198/Raw_Data!R198))))</f>
        <v/>
      </c>
      <c r="V198" s="38" t="str">
        <f>IF(OR($A198="",U198=""),"",T198*U198)</f>
        <v/>
      </c>
      <c r="W198" s="38" t="str">
        <f>IF(OR($A198="",V198=""),"",V198*L198)</f>
        <v/>
      </c>
      <c r="X198" s="38" t="str">
        <f>IF(OR($A198="",V198=""),"",V198*L198-V198*O198)</f>
        <v/>
      </c>
      <c r="Y198" s="38" t="str">
        <f>IF(OR($A198="",V198=""),"",ROUND(V198*O198,IF(Policy_Decisions!$B$11="Whole MAD",0,2)))</f>
        <v/>
      </c>
      <c r="Z198">
        <f>Raw_Data!T198</f>
        <v>0</v>
      </c>
      <c r="AA198">
        <f>Raw_Data!U198</f>
        <v>0</v>
      </c>
    </row>
    <row r="199" spans="1:27" ht="14.25" customHeight="1">
      <c r="A199" s="13" t="str">
        <f>IF(Raw_Data!A199="","",Raw_Data!A199)</f>
        <v/>
      </c>
      <c r="B199" s="13" t="str">
        <f>IF(Raw_Data!B199="","",Raw_Data!B199)</f>
        <v/>
      </c>
      <c r="C199" s="13" t="str">
        <f>IF(Raw_Data!C199="","",Raw_Data!C199)</f>
        <v/>
      </c>
      <c r="D199" s="13" t="str">
        <f>IF(Raw_Data!D199="","",Raw_Data!D199)</f>
        <v/>
      </c>
      <c r="E199" s="21" t="str">
        <f>IF($A199="","",IF(Raw_Data!E199="",0,IF(KPI_Config!$C$5="L",IF(Raw_Data!E199&lt;=KPI_Config!$E$5,KPI_Config!$D$5,IF(AND(KPI_Config!$F$5&gt;0,Raw_Data!E199&lt;=KPI_Config!$G$5),KPI_Config!$F$5,0)),IF(Raw_Data!E199&gt;=KPI_Config!$E$5,KPI_Config!$D$5,IF(AND(KPI_Config!$F$5&gt;0,Raw_Data!E199&gt;=KPI_Config!$G$5),KPI_Config!$F$5,0)))))</f>
        <v/>
      </c>
      <c r="F199" s="21" t="str">
        <f>IF($A199="","",IF(Raw_Data!F199="",0,IF(KPI_Config!$C$6="L",IF(Raw_Data!F199&lt;=KPI_Config!$E$6,KPI_Config!$D$6,IF(AND(KPI_Config!$F$6&gt;0,Raw_Data!F199&lt;=KPI_Config!$G$6),KPI_Config!$F$6,0)),IF(Raw_Data!F199&gt;=KPI_Config!$E$6,KPI_Config!$D$6,IF(AND(KPI_Config!$F$6&gt;0,Raw_Data!F199&gt;=KPI_Config!$G$6),KPI_Config!$F$6,0)))))</f>
        <v/>
      </c>
      <c r="G199" s="21" t="str">
        <f>IF($A199="","",IF(Raw_Data!G199="",0,IF(KPI_Config!$C$7="L",IF(Raw_Data!G199&lt;=KPI_Config!$E$7,KPI_Config!$D$7,IF(AND(KPI_Config!$F$7&gt;0,Raw_Data!G199&lt;=KPI_Config!$G$7),KPI_Config!$F$7,0)),IF(Raw_Data!G199&gt;=KPI_Config!$E$7,KPI_Config!$D$7,IF(AND(KPI_Config!$F$7&gt;0,Raw_Data!G199&gt;=KPI_Config!$G$7),KPI_Config!$F$7,0)))))</f>
        <v/>
      </c>
      <c r="H199" s="21" t="str">
        <f>IF($A199="","",IF(Raw_Data!H199="",0,IF(KPI_Config!$C$8="L",IF(Raw_Data!H199&lt;=KPI_Config!$E$8,KPI_Config!$D$8,IF(AND(KPI_Config!$F$8&gt;0,Raw_Data!H199&lt;=KPI_Config!$G$8),KPI_Config!$F$8,0)),IF(Raw_Data!H199&gt;=KPI_Config!$E$8,KPI_Config!$D$8,IF(AND(KPI_Config!$F$8&gt;0,Raw_Data!H199&gt;=KPI_Config!$G$8),KPI_Config!$F$8,0)))))</f>
        <v/>
      </c>
      <c r="I199" s="21" t="str">
        <f>IF($A199="","",IF(Raw_Data!I199="",0,IF(KPI_Config!$C$9="L",IF(Raw_Data!I199&lt;=KPI_Config!$E$9,KPI_Config!$D$9,IF(AND(KPI_Config!$F$9&gt;0,Raw_Data!I199&lt;=KPI_Config!$G$9),KPI_Config!$F$9,0)),IF(Raw_Data!I199&gt;=KPI_Config!$E$9,KPI_Config!$D$9,IF(AND(KPI_Config!$F$9&gt;0,Raw_Data!I199&gt;=KPI_Config!$G$9),KPI_Config!$F$9,0)))))</f>
        <v/>
      </c>
      <c r="J199" s="21" t="str">
        <f>IF($A199="","",IF(Raw_Data!J199="",0,IF(KPI_Config!$C$10="L",IF(Raw_Data!J199&lt;=KPI_Config!$E$10,KPI_Config!$D$10,IF(AND(KPI_Config!$F$10&gt;0,Raw_Data!J199&lt;=KPI_Config!$G$10),KPI_Config!$F$10,0)),IF(Raw_Data!J199&gt;=KPI_Config!$E$10,KPI_Config!$D$10,IF(AND(KPI_Config!$F$10&gt;0,Raw_Data!J199&gt;=KPI_Config!$G$10),KPI_Config!$F$10,0)))))</f>
        <v/>
      </c>
      <c r="K199" s="21" t="str">
        <f>IF($A199="","",IF(Raw_Data!G199="",0,IF(KPI_Config!$C$11="L",IF(Raw_Data!G199&lt;=KPI_Config!$E$11,KPI_Config!$D$11,IF(AND(KPI_Config!$F$11&gt;0,Raw_Data!G199&lt;=KPI_Config!$G$11),KPI_Config!$F$11,0)),IF(Raw_Data!G199&gt;=KPI_Config!$E$11,KPI_Config!$D$11,IF(AND(KPI_Config!$F$11&gt;0,Raw_Data!G199&gt;=KPI_Config!$G$11),KPI_Config!$F$11,0)))))</f>
        <v/>
      </c>
      <c r="L199" s="21" t="str">
        <f>IF($A199="","",MIN(Policy_Decisions!$B$10,IF(Policy_Decisions!$B$6="Additive",SUM(E199:K199),SUM(E199:J199)-G199+MAX(G199,K199))))</f>
        <v/>
      </c>
      <c r="M199" s="21" t="str">
        <f>IF($A199="","",Raw_Data!K199)</f>
        <v/>
      </c>
      <c r="N199" s="21" t="str">
        <f>IF($A199="","",IFERROR(VLOOKUP(M199,KPI_Config!$I$5:$J$10,2,FALSE()),0))</f>
        <v/>
      </c>
      <c r="O199" s="21" t="str">
        <f>IF($A199="","",IF(Policy_Decisions!$B$5="Percentage points",MAX(0,L199-N199),L199*(1-N199)))</f>
        <v/>
      </c>
      <c r="P199" s="13" t="str">
        <f>IF($A199="","",IF(U199="","Review proration",IF(O199=0,"No payout",IF(N199&gt;0,"Malus applied","Eligible"))))</f>
        <v/>
      </c>
      <c r="Q199" s="13" t="str">
        <f>IF($A199="","",Raw_Data!M199)</f>
        <v/>
      </c>
      <c r="R199" s="37" t="str">
        <f>IF($A199="","",Raw_Data!N199)</f>
        <v/>
      </c>
      <c r="S199" s="37" t="str">
        <f>IF($A199="","",Raw_Data!O199)</f>
        <v/>
      </c>
      <c r="T199" s="37" t="str">
        <f>IF($A199="","",IF(Raw_Data!P199&gt;0,Raw_Data!P199,Raw_Data!N199*Raw_Data!O199/IF(Policy_Decisions!$B$7="Annual",12,1)))</f>
        <v/>
      </c>
      <c r="U199" s="37" t="str">
        <f>IF($A199="","",IF(OR(Raw_Data!R199="",Raw_Data!R199&lt;=0),"",MIN(1,MAX(0,Raw_Data!Q199/Raw_Data!R199))))</f>
        <v/>
      </c>
      <c r="V199" s="37" t="str">
        <f>IF(OR($A199="",U199=""),"",T199*U199)</f>
        <v/>
      </c>
      <c r="W199" s="37" t="str">
        <f>IF(OR($A199="",V199=""),"",V199*L199)</f>
        <v/>
      </c>
      <c r="X199" s="37" t="str">
        <f>IF(OR($A199="",V199=""),"",V199*L199-V199*O199)</f>
        <v/>
      </c>
      <c r="Y199" s="37" t="str">
        <f>IF(OR($A199="",V199=""),"",ROUND(V199*O199,IF(Policy_Decisions!$B$11="Whole MAD",0,2)))</f>
        <v/>
      </c>
      <c r="Z199">
        <f>Raw_Data!T199</f>
        <v>0</v>
      </c>
      <c r="AA199">
        <f>Raw_Data!U199</f>
        <v>0</v>
      </c>
    </row>
    <row r="200" spans="1:27" ht="14.25" customHeight="1">
      <c r="A200" s="15" t="str">
        <f>IF(Raw_Data!A200="","",Raw_Data!A200)</f>
        <v/>
      </c>
      <c r="B200" s="15" t="str">
        <f>IF(Raw_Data!B200="","",Raw_Data!B200)</f>
        <v/>
      </c>
      <c r="C200" s="15" t="str">
        <f>IF(Raw_Data!C200="","",Raw_Data!C200)</f>
        <v/>
      </c>
      <c r="D200" s="15" t="str">
        <f>IF(Raw_Data!D200="","",Raw_Data!D200)</f>
        <v/>
      </c>
      <c r="E200" s="16" t="str">
        <f>IF($A200="","",IF(Raw_Data!E200="",0,IF(KPI_Config!$C$5="L",IF(Raw_Data!E200&lt;=KPI_Config!$E$5,KPI_Config!$D$5,IF(AND(KPI_Config!$F$5&gt;0,Raw_Data!E200&lt;=KPI_Config!$G$5),KPI_Config!$F$5,0)),IF(Raw_Data!E200&gt;=KPI_Config!$E$5,KPI_Config!$D$5,IF(AND(KPI_Config!$F$5&gt;0,Raw_Data!E200&gt;=KPI_Config!$G$5),KPI_Config!$F$5,0)))))</f>
        <v/>
      </c>
      <c r="F200" s="16" t="str">
        <f>IF($A200="","",IF(Raw_Data!F200="",0,IF(KPI_Config!$C$6="L",IF(Raw_Data!F200&lt;=KPI_Config!$E$6,KPI_Config!$D$6,IF(AND(KPI_Config!$F$6&gt;0,Raw_Data!F200&lt;=KPI_Config!$G$6),KPI_Config!$F$6,0)),IF(Raw_Data!F200&gt;=KPI_Config!$E$6,KPI_Config!$D$6,IF(AND(KPI_Config!$F$6&gt;0,Raw_Data!F200&gt;=KPI_Config!$G$6),KPI_Config!$F$6,0)))))</f>
        <v/>
      </c>
      <c r="G200" s="16" t="str">
        <f>IF($A200="","",IF(Raw_Data!G200="",0,IF(KPI_Config!$C$7="L",IF(Raw_Data!G200&lt;=KPI_Config!$E$7,KPI_Config!$D$7,IF(AND(KPI_Config!$F$7&gt;0,Raw_Data!G200&lt;=KPI_Config!$G$7),KPI_Config!$F$7,0)),IF(Raw_Data!G200&gt;=KPI_Config!$E$7,KPI_Config!$D$7,IF(AND(KPI_Config!$F$7&gt;0,Raw_Data!G200&gt;=KPI_Config!$G$7),KPI_Config!$F$7,0)))))</f>
        <v/>
      </c>
      <c r="H200" s="16" t="str">
        <f>IF($A200="","",IF(Raw_Data!H200="",0,IF(KPI_Config!$C$8="L",IF(Raw_Data!H200&lt;=KPI_Config!$E$8,KPI_Config!$D$8,IF(AND(KPI_Config!$F$8&gt;0,Raw_Data!H200&lt;=KPI_Config!$G$8),KPI_Config!$F$8,0)),IF(Raw_Data!H200&gt;=KPI_Config!$E$8,KPI_Config!$D$8,IF(AND(KPI_Config!$F$8&gt;0,Raw_Data!H200&gt;=KPI_Config!$G$8),KPI_Config!$F$8,0)))))</f>
        <v/>
      </c>
      <c r="I200" s="16" t="str">
        <f>IF($A200="","",IF(Raw_Data!I200="",0,IF(KPI_Config!$C$9="L",IF(Raw_Data!I200&lt;=KPI_Config!$E$9,KPI_Config!$D$9,IF(AND(KPI_Config!$F$9&gt;0,Raw_Data!I200&lt;=KPI_Config!$G$9),KPI_Config!$F$9,0)),IF(Raw_Data!I200&gt;=KPI_Config!$E$9,KPI_Config!$D$9,IF(AND(KPI_Config!$F$9&gt;0,Raw_Data!I200&gt;=KPI_Config!$G$9),KPI_Config!$F$9,0)))))</f>
        <v/>
      </c>
      <c r="J200" s="16" t="str">
        <f>IF($A200="","",IF(Raw_Data!J200="",0,IF(KPI_Config!$C$10="L",IF(Raw_Data!J200&lt;=KPI_Config!$E$10,KPI_Config!$D$10,IF(AND(KPI_Config!$F$10&gt;0,Raw_Data!J200&lt;=KPI_Config!$G$10),KPI_Config!$F$10,0)),IF(Raw_Data!J200&gt;=KPI_Config!$E$10,KPI_Config!$D$10,IF(AND(KPI_Config!$F$10&gt;0,Raw_Data!J200&gt;=KPI_Config!$G$10),KPI_Config!$F$10,0)))))</f>
        <v/>
      </c>
      <c r="K200" s="16" t="str">
        <f>IF($A200="","",IF(Raw_Data!G200="",0,IF(KPI_Config!$C$11="L",IF(Raw_Data!G200&lt;=KPI_Config!$E$11,KPI_Config!$D$11,IF(AND(KPI_Config!$F$11&gt;0,Raw_Data!G200&lt;=KPI_Config!$G$11),KPI_Config!$F$11,0)),IF(Raw_Data!G200&gt;=KPI_Config!$E$11,KPI_Config!$D$11,IF(AND(KPI_Config!$F$11&gt;0,Raw_Data!G200&gt;=KPI_Config!$G$11),KPI_Config!$F$11,0)))))</f>
        <v/>
      </c>
      <c r="L200" s="16" t="str">
        <f>IF($A200="","",MIN(Policy_Decisions!$B$10,IF(Policy_Decisions!$B$6="Additive",SUM(E200:K200),SUM(E200:J200)-G200+MAX(G200,K200))))</f>
        <v/>
      </c>
      <c r="M200" s="16" t="str">
        <f>IF($A200="","",Raw_Data!K200)</f>
        <v/>
      </c>
      <c r="N200" s="16" t="str">
        <f>IF($A200="","",IFERROR(VLOOKUP(M200,KPI_Config!$I$5:$J$10,2,FALSE()),0))</f>
        <v/>
      </c>
      <c r="O200" s="16" t="str">
        <f>IF($A200="","",IF(Policy_Decisions!$B$5="Percentage points",MAX(0,L200-N200),L200*(1-N200)))</f>
        <v/>
      </c>
      <c r="P200" s="15" t="str">
        <f>IF($A200="","",IF(U200="","Review proration",IF(O200=0,"No payout",IF(N200&gt;0,"Malus applied","Eligible"))))</f>
        <v/>
      </c>
      <c r="Q200" s="15" t="str">
        <f>IF($A200="","",Raw_Data!M200)</f>
        <v/>
      </c>
      <c r="R200" s="38" t="str">
        <f>IF($A200="","",Raw_Data!N200)</f>
        <v/>
      </c>
      <c r="S200" s="38" t="str">
        <f>IF($A200="","",Raw_Data!O200)</f>
        <v/>
      </c>
      <c r="T200" s="38" t="str">
        <f>IF($A200="","",IF(Raw_Data!P200&gt;0,Raw_Data!P200,Raw_Data!N200*Raw_Data!O200/IF(Policy_Decisions!$B$7="Annual",12,1)))</f>
        <v/>
      </c>
      <c r="U200" s="38" t="str">
        <f>IF($A200="","",IF(OR(Raw_Data!R200="",Raw_Data!R200&lt;=0),"",MIN(1,MAX(0,Raw_Data!Q200/Raw_Data!R200))))</f>
        <v/>
      </c>
      <c r="V200" s="38" t="str">
        <f>IF(OR($A200="",U200=""),"",T200*U200)</f>
        <v/>
      </c>
      <c r="W200" s="38" t="str">
        <f>IF(OR($A200="",V200=""),"",V200*L200)</f>
        <v/>
      </c>
      <c r="X200" s="38" t="str">
        <f>IF(OR($A200="",V200=""),"",V200*L200-V200*O200)</f>
        <v/>
      </c>
      <c r="Y200" s="38" t="str">
        <f>IF(OR($A200="",V200=""),"",ROUND(V200*O200,IF(Policy_Decisions!$B$11="Whole MAD",0,2)))</f>
        <v/>
      </c>
      <c r="Z200">
        <f>Raw_Data!T200</f>
        <v>0</v>
      </c>
      <c r="AA200">
        <f>Raw_Data!U200</f>
        <v>0</v>
      </c>
    </row>
    <row r="201" spans="1:27" ht="14.25" customHeight="1">
      <c r="A201" s="13" t="str">
        <f>IF(Raw_Data!A201="","",Raw_Data!A201)</f>
        <v/>
      </c>
      <c r="B201" s="13" t="str">
        <f>IF(Raw_Data!B201="","",Raw_Data!B201)</f>
        <v/>
      </c>
      <c r="C201" s="13" t="str">
        <f>IF(Raw_Data!C201="","",Raw_Data!C201)</f>
        <v/>
      </c>
      <c r="D201" s="13" t="str">
        <f>IF(Raw_Data!D201="","",Raw_Data!D201)</f>
        <v/>
      </c>
      <c r="E201" s="21" t="str">
        <f>IF($A201="","",IF(Raw_Data!E201="",0,IF(KPI_Config!$C$5="L",IF(Raw_Data!E201&lt;=KPI_Config!$E$5,KPI_Config!$D$5,IF(AND(KPI_Config!$F$5&gt;0,Raw_Data!E201&lt;=KPI_Config!$G$5),KPI_Config!$F$5,0)),IF(Raw_Data!E201&gt;=KPI_Config!$E$5,KPI_Config!$D$5,IF(AND(KPI_Config!$F$5&gt;0,Raw_Data!E201&gt;=KPI_Config!$G$5),KPI_Config!$F$5,0)))))</f>
        <v/>
      </c>
      <c r="F201" s="21" t="str">
        <f>IF($A201="","",IF(Raw_Data!F201="",0,IF(KPI_Config!$C$6="L",IF(Raw_Data!F201&lt;=KPI_Config!$E$6,KPI_Config!$D$6,IF(AND(KPI_Config!$F$6&gt;0,Raw_Data!F201&lt;=KPI_Config!$G$6),KPI_Config!$F$6,0)),IF(Raw_Data!F201&gt;=KPI_Config!$E$6,KPI_Config!$D$6,IF(AND(KPI_Config!$F$6&gt;0,Raw_Data!F201&gt;=KPI_Config!$G$6),KPI_Config!$F$6,0)))))</f>
        <v/>
      </c>
      <c r="G201" s="21" t="str">
        <f>IF($A201="","",IF(Raw_Data!G201="",0,IF(KPI_Config!$C$7="L",IF(Raw_Data!G201&lt;=KPI_Config!$E$7,KPI_Config!$D$7,IF(AND(KPI_Config!$F$7&gt;0,Raw_Data!G201&lt;=KPI_Config!$G$7),KPI_Config!$F$7,0)),IF(Raw_Data!G201&gt;=KPI_Config!$E$7,KPI_Config!$D$7,IF(AND(KPI_Config!$F$7&gt;0,Raw_Data!G201&gt;=KPI_Config!$G$7),KPI_Config!$F$7,0)))))</f>
        <v/>
      </c>
      <c r="H201" s="21" t="str">
        <f>IF($A201="","",IF(Raw_Data!H201="",0,IF(KPI_Config!$C$8="L",IF(Raw_Data!H201&lt;=KPI_Config!$E$8,KPI_Config!$D$8,IF(AND(KPI_Config!$F$8&gt;0,Raw_Data!H201&lt;=KPI_Config!$G$8),KPI_Config!$F$8,0)),IF(Raw_Data!H201&gt;=KPI_Config!$E$8,KPI_Config!$D$8,IF(AND(KPI_Config!$F$8&gt;0,Raw_Data!H201&gt;=KPI_Config!$G$8),KPI_Config!$F$8,0)))))</f>
        <v/>
      </c>
      <c r="I201" s="21" t="str">
        <f>IF($A201="","",IF(Raw_Data!I201="",0,IF(KPI_Config!$C$9="L",IF(Raw_Data!I201&lt;=KPI_Config!$E$9,KPI_Config!$D$9,IF(AND(KPI_Config!$F$9&gt;0,Raw_Data!I201&lt;=KPI_Config!$G$9),KPI_Config!$F$9,0)),IF(Raw_Data!I201&gt;=KPI_Config!$E$9,KPI_Config!$D$9,IF(AND(KPI_Config!$F$9&gt;0,Raw_Data!I201&gt;=KPI_Config!$G$9),KPI_Config!$F$9,0)))))</f>
        <v/>
      </c>
      <c r="J201" s="21" t="str">
        <f>IF($A201="","",IF(Raw_Data!J201="",0,IF(KPI_Config!$C$10="L",IF(Raw_Data!J201&lt;=KPI_Config!$E$10,KPI_Config!$D$10,IF(AND(KPI_Config!$F$10&gt;0,Raw_Data!J201&lt;=KPI_Config!$G$10),KPI_Config!$F$10,0)),IF(Raw_Data!J201&gt;=KPI_Config!$E$10,KPI_Config!$D$10,IF(AND(KPI_Config!$F$10&gt;0,Raw_Data!J201&gt;=KPI_Config!$G$10),KPI_Config!$F$10,0)))))</f>
        <v/>
      </c>
      <c r="K201" s="21" t="str">
        <f>IF($A201="","",IF(Raw_Data!G201="",0,IF(KPI_Config!$C$11="L",IF(Raw_Data!G201&lt;=KPI_Config!$E$11,KPI_Config!$D$11,IF(AND(KPI_Config!$F$11&gt;0,Raw_Data!G201&lt;=KPI_Config!$G$11),KPI_Config!$F$11,0)),IF(Raw_Data!G201&gt;=KPI_Config!$E$11,KPI_Config!$D$11,IF(AND(KPI_Config!$F$11&gt;0,Raw_Data!G201&gt;=KPI_Config!$G$11),KPI_Config!$F$11,0)))))</f>
        <v/>
      </c>
      <c r="L201" s="21" t="str">
        <f>IF($A201="","",MIN(Policy_Decisions!$B$10,IF(Policy_Decisions!$B$6="Additive",SUM(E201:K201),SUM(E201:J201)-G201+MAX(G201,K201))))</f>
        <v/>
      </c>
      <c r="M201" s="21" t="str">
        <f>IF($A201="","",Raw_Data!K201)</f>
        <v/>
      </c>
      <c r="N201" s="21" t="str">
        <f>IF($A201="","",IFERROR(VLOOKUP(M201,KPI_Config!$I$5:$J$10,2,FALSE()),0))</f>
        <v/>
      </c>
      <c r="O201" s="21" t="str">
        <f>IF($A201="","",IF(Policy_Decisions!$B$5="Percentage points",MAX(0,L201-N201),L201*(1-N201)))</f>
        <v/>
      </c>
      <c r="P201" s="13" t="str">
        <f>IF($A201="","",IF(U201="","Review proration",IF(O201=0,"No payout",IF(N201&gt;0,"Malus applied","Eligible"))))</f>
        <v/>
      </c>
      <c r="Q201" s="13" t="str">
        <f>IF($A201="","",Raw_Data!M201)</f>
        <v/>
      </c>
      <c r="R201" s="37" t="str">
        <f>IF($A201="","",Raw_Data!N201)</f>
        <v/>
      </c>
      <c r="S201" s="37" t="str">
        <f>IF($A201="","",Raw_Data!O201)</f>
        <v/>
      </c>
      <c r="T201" s="37" t="str">
        <f>IF($A201="","",IF(Raw_Data!P201&gt;0,Raw_Data!P201,Raw_Data!N201*Raw_Data!O201/IF(Policy_Decisions!$B$7="Annual",12,1)))</f>
        <v/>
      </c>
      <c r="U201" s="37" t="str">
        <f>IF($A201="","",IF(OR(Raw_Data!R201="",Raw_Data!R201&lt;=0),"",MIN(1,MAX(0,Raw_Data!Q201/Raw_Data!R201))))</f>
        <v/>
      </c>
      <c r="V201" s="37" t="str">
        <f>IF(OR($A201="",U201=""),"",T201*U201)</f>
        <v/>
      </c>
      <c r="W201" s="37" t="str">
        <f>IF(OR($A201="",V201=""),"",V201*L201)</f>
        <v/>
      </c>
      <c r="X201" s="37" t="str">
        <f>IF(OR($A201="",V201=""),"",V201*L201-V201*O201)</f>
        <v/>
      </c>
      <c r="Y201" s="37" t="str">
        <f>IF(OR($A201="",V201=""),"",ROUND(V201*O201,IF(Policy_Decisions!$B$11="Whole MAD",0,2)))</f>
        <v/>
      </c>
      <c r="Z201">
        <f>Raw_Data!T201</f>
        <v>0</v>
      </c>
      <c r="AA201">
        <f>Raw_Data!U201</f>
        <v>0</v>
      </c>
    </row>
    <row r="202" spans="1:27" ht="14.25" customHeight="1">
      <c r="A202" s="15" t="str">
        <f>IF(Raw_Data!A202="","",Raw_Data!A202)</f>
        <v/>
      </c>
      <c r="B202" s="15" t="str">
        <f>IF(Raw_Data!B202="","",Raw_Data!B202)</f>
        <v/>
      </c>
      <c r="C202" s="15" t="str">
        <f>IF(Raw_Data!C202="","",Raw_Data!C202)</f>
        <v/>
      </c>
      <c r="D202" s="15" t="str">
        <f>IF(Raw_Data!D202="","",Raw_Data!D202)</f>
        <v/>
      </c>
      <c r="E202" s="16" t="str">
        <f>IF($A202="","",IF(Raw_Data!E202="",0,IF(KPI_Config!$C$5="L",IF(Raw_Data!E202&lt;=KPI_Config!$E$5,KPI_Config!$D$5,IF(AND(KPI_Config!$F$5&gt;0,Raw_Data!E202&lt;=KPI_Config!$G$5),KPI_Config!$F$5,0)),IF(Raw_Data!E202&gt;=KPI_Config!$E$5,KPI_Config!$D$5,IF(AND(KPI_Config!$F$5&gt;0,Raw_Data!E202&gt;=KPI_Config!$G$5),KPI_Config!$F$5,0)))))</f>
        <v/>
      </c>
      <c r="F202" s="16" t="str">
        <f>IF($A202="","",IF(Raw_Data!F202="",0,IF(KPI_Config!$C$6="L",IF(Raw_Data!F202&lt;=KPI_Config!$E$6,KPI_Config!$D$6,IF(AND(KPI_Config!$F$6&gt;0,Raw_Data!F202&lt;=KPI_Config!$G$6),KPI_Config!$F$6,0)),IF(Raw_Data!F202&gt;=KPI_Config!$E$6,KPI_Config!$D$6,IF(AND(KPI_Config!$F$6&gt;0,Raw_Data!F202&gt;=KPI_Config!$G$6),KPI_Config!$F$6,0)))))</f>
        <v/>
      </c>
      <c r="G202" s="16" t="str">
        <f>IF($A202="","",IF(Raw_Data!G202="",0,IF(KPI_Config!$C$7="L",IF(Raw_Data!G202&lt;=KPI_Config!$E$7,KPI_Config!$D$7,IF(AND(KPI_Config!$F$7&gt;0,Raw_Data!G202&lt;=KPI_Config!$G$7),KPI_Config!$F$7,0)),IF(Raw_Data!G202&gt;=KPI_Config!$E$7,KPI_Config!$D$7,IF(AND(KPI_Config!$F$7&gt;0,Raw_Data!G202&gt;=KPI_Config!$G$7),KPI_Config!$F$7,0)))))</f>
        <v/>
      </c>
      <c r="H202" s="16" t="str">
        <f>IF($A202="","",IF(Raw_Data!H202="",0,IF(KPI_Config!$C$8="L",IF(Raw_Data!H202&lt;=KPI_Config!$E$8,KPI_Config!$D$8,IF(AND(KPI_Config!$F$8&gt;0,Raw_Data!H202&lt;=KPI_Config!$G$8),KPI_Config!$F$8,0)),IF(Raw_Data!H202&gt;=KPI_Config!$E$8,KPI_Config!$D$8,IF(AND(KPI_Config!$F$8&gt;0,Raw_Data!H202&gt;=KPI_Config!$G$8),KPI_Config!$F$8,0)))))</f>
        <v/>
      </c>
      <c r="I202" s="16" t="str">
        <f>IF($A202="","",IF(Raw_Data!I202="",0,IF(KPI_Config!$C$9="L",IF(Raw_Data!I202&lt;=KPI_Config!$E$9,KPI_Config!$D$9,IF(AND(KPI_Config!$F$9&gt;0,Raw_Data!I202&lt;=KPI_Config!$G$9),KPI_Config!$F$9,0)),IF(Raw_Data!I202&gt;=KPI_Config!$E$9,KPI_Config!$D$9,IF(AND(KPI_Config!$F$9&gt;0,Raw_Data!I202&gt;=KPI_Config!$G$9),KPI_Config!$F$9,0)))))</f>
        <v/>
      </c>
      <c r="J202" s="16" t="str">
        <f>IF($A202="","",IF(Raw_Data!J202="",0,IF(KPI_Config!$C$10="L",IF(Raw_Data!J202&lt;=KPI_Config!$E$10,KPI_Config!$D$10,IF(AND(KPI_Config!$F$10&gt;0,Raw_Data!J202&lt;=KPI_Config!$G$10),KPI_Config!$F$10,0)),IF(Raw_Data!J202&gt;=KPI_Config!$E$10,KPI_Config!$D$10,IF(AND(KPI_Config!$F$10&gt;0,Raw_Data!J202&gt;=KPI_Config!$G$10),KPI_Config!$F$10,0)))))</f>
        <v/>
      </c>
      <c r="K202" s="16" t="str">
        <f>IF($A202="","",IF(Raw_Data!G202="",0,IF(KPI_Config!$C$11="L",IF(Raw_Data!G202&lt;=KPI_Config!$E$11,KPI_Config!$D$11,IF(AND(KPI_Config!$F$11&gt;0,Raw_Data!G202&lt;=KPI_Config!$G$11),KPI_Config!$F$11,0)),IF(Raw_Data!G202&gt;=KPI_Config!$E$11,KPI_Config!$D$11,IF(AND(KPI_Config!$F$11&gt;0,Raw_Data!G202&gt;=KPI_Config!$G$11),KPI_Config!$F$11,0)))))</f>
        <v/>
      </c>
      <c r="L202" s="16" t="str">
        <f>IF($A202="","",MIN(Policy_Decisions!$B$10,IF(Policy_Decisions!$B$6="Additive",SUM(E202:K202),SUM(E202:J202)-G202+MAX(G202,K202))))</f>
        <v/>
      </c>
      <c r="M202" s="16" t="str">
        <f>IF($A202="","",Raw_Data!K202)</f>
        <v/>
      </c>
      <c r="N202" s="16" t="str">
        <f>IF($A202="","",IFERROR(VLOOKUP(M202,KPI_Config!$I$5:$J$10,2,FALSE()),0))</f>
        <v/>
      </c>
      <c r="O202" s="16" t="str">
        <f>IF($A202="","",IF(Policy_Decisions!$B$5="Percentage points",MAX(0,L202-N202),L202*(1-N202)))</f>
        <v/>
      </c>
      <c r="P202" s="15" t="str">
        <f>IF($A202="","",IF(U202="","Review proration",IF(O202=0,"No payout",IF(N202&gt;0,"Malus applied","Eligible"))))</f>
        <v/>
      </c>
      <c r="Q202" s="15" t="str">
        <f>IF($A202="","",Raw_Data!M202)</f>
        <v/>
      </c>
      <c r="R202" s="38" t="str">
        <f>IF($A202="","",Raw_Data!N202)</f>
        <v/>
      </c>
      <c r="S202" s="38" t="str">
        <f>IF($A202="","",Raw_Data!O202)</f>
        <v/>
      </c>
      <c r="T202" s="38" t="str">
        <f>IF($A202="","",IF(Raw_Data!P202&gt;0,Raw_Data!P202,Raw_Data!N202*Raw_Data!O202/IF(Policy_Decisions!$B$7="Annual",12,1)))</f>
        <v/>
      </c>
      <c r="U202" s="38" t="str">
        <f>IF($A202="","",IF(OR(Raw_Data!R202="",Raw_Data!R202&lt;=0),"",MIN(1,MAX(0,Raw_Data!Q202/Raw_Data!R202))))</f>
        <v/>
      </c>
      <c r="V202" s="38" t="str">
        <f>IF(OR($A202="",U202=""),"",T202*U202)</f>
        <v/>
      </c>
      <c r="W202" s="38" t="str">
        <f>IF(OR($A202="",V202=""),"",V202*L202)</f>
        <v/>
      </c>
      <c r="X202" s="38" t="str">
        <f>IF(OR($A202="",V202=""),"",V202*L202-V202*O202)</f>
        <v/>
      </c>
      <c r="Y202" s="38" t="str">
        <f>IF(OR($A202="",V202=""),"",ROUND(V202*O202,IF(Policy_Decisions!$B$11="Whole MAD",0,2)))</f>
        <v/>
      </c>
      <c r="Z202">
        <f>Raw_Data!T202</f>
        <v>0</v>
      </c>
      <c r="AA202">
        <f>Raw_Data!U202</f>
        <v>0</v>
      </c>
    </row>
    <row r="203" spans="1:27" ht="14.25" customHeight="1">
      <c r="A203" s="13" t="str">
        <f>IF(Raw_Data!A203="","",Raw_Data!A203)</f>
        <v/>
      </c>
      <c r="B203" s="13" t="str">
        <f>IF(Raw_Data!B203="","",Raw_Data!B203)</f>
        <v/>
      </c>
      <c r="C203" s="13" t="str">
        <f>IF(Raw_Data!C203="","",Raw_Data!C203)</f>
        <v/>
      </c>
      <c r="D203" s="13" t="str">
        <f>IF(Raw_Data!D203="","",Raw_Data!D203)</f>
        <v/>
      </c>
      <c r="E203" s="21" t="str">
        <f>IF($A203="","",IF(Raw_Data!E203="",0,IF(KPI_Config!$C$5="L",IF(Raw_Data!E203&lt;=KPI_Config!$E$5,KPI_Config!$D$5,IF(AND(KPI_Config!$F$5&gt;0,Raw_Data!E203&lt;=KPI_Config!$G$5),KPI_Config!$F$5,0)),IF(Raw_Data!E203&gt;=KPI_Config!$E$5,KPI_Config!$D$5,IF(AND(KPI_Config!$F$5&gt;0,Raw_Data!E203&gt;=KPI_Config!$G$5),KPI_Config!$F$5,0)))))</f>
        <v/>
      </c>
      <c r="F203" s="21" t="str">
        <f>IF($A203="","",IF(Raw_Data!F203="",0,IF(KPI_Config!$C$6="L",IF(Raw_Data!F203&lt;=KPI_Config!$E$6,KPI_Config!$D$6,IF(AND(KPI_Config!$F$6&gt;0,Raw_Data!F203&lt;=KPI_Config!$G$6),KPI_Config!$F$6,0)),IF(Raw_Data!F203&gt;=KPI_Config!$E$6,KPI_Config!$D$6,IF(AND(KPI_Config!$F$6&gt;0,Raw_Data!F203&gt;=KPI_Config!$G$6),KPI_Config!$F$6,0)))))</f>
        <v/>
      </c>
      <c r="G203" s="21" t="str">
        <f>IF($A203="","",IF(Raw_Data!G203="",0,IF(KPI_Config!$C$7="L",IF(Raw_Data!G203&lt;=KPI_Config!$E$7,KPI_Config!$D$7,IF(AND(KPI_Config!$F$7&gt;0,Raw_Data!G203&lt;=KPI_Config!$G$7),KPI_Config!$F$7,0)),IF(Raw_Data!G203&gt;=KPI_Config!$E$7,KPI_Config!$D$7,IF(AND(KPI_Config!$F$7&gt;0,Raw_Data!G203&gt;=KPI_Config!$G$7),KPI_Config!$F$7,0)))))</f>
        <v/>
      </c>
      <c r="H203" s="21" t="str">
        <f>IF($A203="","",IF(Raw_Data!H203="",0,IF(KPI_Config!$C$8="L",IF(Raw_Data!H203&lt;=KPI_Config!$E$8,KPI_Config!$D$8,IF(AND(KPI_Config!$F$8&gt;0,Raw_Data!H203&lt;=KPI_Config!$G$8),KPI_Config!$F$8,0)),IF(Raw_Data!H203&gt;=KPI_Config!$E$8,KPI_Config!$D$8,IF(AND(KPI_Config!$F$8&gt;0,Raw_Data!H203&gt;=KPI_Config!$G$8),KPI_Config!$F$8,0)))))</f>
        <v/>
      </c>
      <c r="I203" s="21" t="str">
        <f>IF($A203="","",IF(Raw_Data!I203="",0,IF(KPI_Config!$C$9="L",IF(Raw_Data!I203&lt;=KPI_Config!$E$9,KPI_Config!$D$9,IF(AND(KPI_Config!$F$9&gt;0,Raw_Data!I203&lt;=KPI_Config!$G$9),KPI_Config!$F$9,0)),IF(Raw_Data!I203&gt;=KPI_Config!$E$9,KPI_Config!$D$9,IF(AND(KPI_Config!$F$9&gt;0,Raw_Data!I203&gt;=KPI_Config!$G$9),KPI_Config!$F$9,0)))))</f>
        <v/>
      </c>
      <c r="J203" s="21" t="str">
        <f>IF($A203="","",IF(Raw_Data!J203="",0,IF(KPI_Config!$C$10="L",IF(Raw_Data!J203&lt;=KPI_Config!$E$10,KPI_Config!$D$10,IF(AND(KPI_Config!$F$10&gt;0,Raw_Data!J203&lt;=KPI_Config!$G$10),KPI_Config!$F$10,0)),IF(Raw_Data!J203&gt;=KPI_Config!$E$10,KPI_Config!$D$10,IF(AND(KPI_Config!$F$10&gt;0,Raw_Data!J203&gt;=KPI_Config!$G$10),KPI_Config!$F$10,0)))))</f>
        <v/>
      </c>
      <c r="K203" s="21" t="str">
        <f>IF($A203="","",IF(Raw_Data!G203="",0,IF(KPI_Config!$C$11="L",IF(Raw_Data!G203&lt;=KPI_Config!$E$11,KPI_Config!$D$11,IF(AND(KPI_Config!$F$11&gt;0,Raw_Data!G203&lt;=KPI_Config!$G$11),KPI_Config!$F$11,0)),IF(Raw_Data!G203&gt;=KPI_Config!$E$11,KPI_Config!$D$11,IF(AND(KPI_Config!$F$11&gt;0,Raw_Data!G203&gt;=KPI_Config!$G$11),KPI_Config!$F$11,0)))))</f>
        <v/>
      </c>
      <c r="L203" s="21" t="str">
        <f>IF($A203="","",MIN(Policy_Decisions!$B$10,IF(Policy_Decisions!$B$6="Additive",SUM(E203:K203),SUM(E203:J203)-G203+MAX(G203,K203))))</f>
        <v/>
      </c>
      <c r="M203" s="21" t="str">
        <f>IF($A203="","",Raw_Data!K203)</f>
        <v/>
      </c>
      <c r="N203" s="21" t="str">
        <f>IF($A203="","",IFERROR(VLOOKUP(M203,KPI_Config!$I$5:$J$10,2,FALSE()),0))</f>
        <v/>
      </c>
      <c r="O203" s="21" t="str">
        <f>IF($A203="","",IF(Policy_Decisions!$B$5="Percentage points",MAX(0,L203-N203),L203*(1-N203)))</f>
        <v/>
      </c>
      <c r="P203" s="13" t="str">
        <f>IF($A203="","",IF(U203="","Review proration",IF(O203=0,"No payout",IF(N203&gt;0,"Malus applied","Eligible"))))</f>
        <v/>
      </c>
      <c r="Q203" s="13" t="str">
        <f>IF($A203="","",Raw_Data!M203)</f>
        <v/>
      </c>
      <c r="R203" s="37" t="str">
        <f>IF($A203="","",Raw_Data!N203)</f>
        <v/>
      </c>
      <c r="S203" s="37" t="str">
        <f>IF($A203="","",Raw_Data!O203)</f>
        <v/>
      </c>
      <c r="T203" s="37" t="str">
        <f>IF($A203="","",IF(Raw_Data!P203&gt;0,Raw_Data!P203,Raw_Data!N203*Raw_Data!O203/IF(Policy_Decisions!$B$7="Annual",12,1)))</f>
        <v/>
      </c>
      <c r="U203" s="37" t="str">
        <f>IF($A203="","",IF(OR(Raw_Data!R203="",Raw_Data!R203&lt;=0),"",MIN(1,MAX(0,Raw_Data!Q203/Raw_Data!R203))))</f>
        <v/>
      </c>
      <c r="V203" s="37" t="str">
        <f>IF(OR($A203="",U203=""),"",T203*U203)</f>
        <v/>
      </c>
      <c r="W203" s="37" t="str">
        <f>IF(OR($A203="",V203=""),"",V203*L203)</f>
        <v/>
      </c>
      <c r="X203" s="37" t="str">
        <f>IF(OR($A203="",V203=""),"",V203*L203-V203*O203)</f>
        <v/>
      </c>
      <c r="Y203" s="37" t="str">
        <f>IF(OR($A203="",V203=""),"",ROUND(V203*O203,IF(Policy_Decisions!$B$11="Whole MAD",0,2)))</f>
        <v/>
      </c>
      <c r="Z203">
        <f>Raw_Data!T203</f>
        <v>0</v>
      </c>
      <c r="AA203">
        <f>Raw_Data!U203</f>
        <v>0</v>
      </c>
    </row>
    <row r="204" spans="1:27" ht="14.25" customHeight="1">
      <c r="A204" s="15" t="str">
        <f>IF(Raw_Data!A204="","",Raw_Data!A204)</f>
        <v/>
      </c>
      <c r="B204" s="15" t="str">
        <f>IF(Raw_Data!B204="","",Raw_Data!B204)</f>
        <v/>
      </c>
      <c r="C204" s="15" t="str">
        <f>IF(Raw_Data!C204="","",Raw_Data!C204)</f>
        <v/>
      </c>
      <c r="D204" s="15" t="str">
        <f>IF(Raw_Data!D204="","",Raw_Data!D204)</f>
        <v/>
      </c>
      <c r="E204" s="16" t="str">
        <f>IF($A204="","",IF(Raw_Data!E204="",0,IF(KPI_Config!$C$5="L",IF(Raw_Data!E204&lt;=KPI_Config!$E$5,KPI_Config!$D$5,IF(AND(KPI_Config!$F$5&gt;0,Raw_Data!E204&lt;=KPI_Config!$G$5),KPI_Config!$F$5,0)),IF(Raw_Data!E204&gt;=KPI_Config!$E$5,KPI_Config!$D$5,IF(AND(KPI_Config!$F$5&gt;0,Raw_Data!E204&gt;=KPI_Config!$G$5),KPI_Config!$F$5,0)))))</f>
        <v/>
      </c>
      <c r="F204" s="16" t="str">
        <f>IF($A204="","",IF(Raw_Data!F204="",0,IF(KPI_Config!$C$6="L",IF(Raw_Data!F204&lt;=KPI_Config!$E$6,KPI_Config!$D$6,IF(AND(KPI_Config!$F$6&gt;0,Raw_Data!F204&lt;=KPI_Config!$G$6),KPI_Config!$F$6,0)),IF(Raw_Data!F204&gt;=KPI_Config!$E$6,KPI_Config!$D$6,IF(AND(KPI_Config!$F$6&gt;0,Raw_Data!F204&gt;=KPI_Config!$G$6),KPI_Config!$F$6,0)))))</f>
        <v/>
      </c>
      <c r="G204" s="16" t="str">
        <f>IF($A204="","",IF(Raw_Data!G204="",0,IF(KPI_Config!$C$7="L",IF(Raw_Data!G204&lt;=KPI_Config!$E$7,KPI_Config!$D$7,IF(AND(KPI_Config!$F$7&gt;0,Raw_Data!G204&lt;=KPI_Config!$G$7),KPI_Config!$F$7,0)),IF(Raw_Data!G204&gt;=KPI_Config!$E$7,KPI_Config!$D$7,IF(AND(KPI_Config!$F$7&gt;0,Raw_Data!G204&gt;=KPI_Config!$G$7),KPI_Config!$F$7,0)))))</f>
        <v/>
      </c>
      <c r="H204" s="16" t="str">
        <f>IF($A204="","",IF(Raw_Data!H204="",0,IF(KPI_Config!$C$8="L",IF(Raw_Data!H204&lt;=KPI_Config!$E$8,KPI_Config!$D$8,IF(AND(KPI_Config!$F$8&gt;0,Raw_Data!H204&lt;=KPI_Config!$G$8),KPI_Config!$F$8,0)),IF(Raw_Data!H204&gt;=KPI_Config!$E$8,KPI_Config!$D$8,IF(AND(KPI_Config!$F$8&gt;0,Raw_Data!H204&gt;=KPI_Config!$G$8),KPI_Config!$F$8,0)))))</f>
        <v/>
      </c>
      <c r="I204" s="16" t="str">
        <f>IF($A204="","",IF(Raw_Data!I204="",0,IF(KPI_Config!$C$9="L",IF(Raw_Data!I204&lt;=KPI_Config!$E$9,KPI_Config!$D$9,IF(AND(KPI_Config!$F$9&gt;0,Raw_Data!I204&lt;=KPI_Config!$G$9),KPI_Config!$F$9,0)),IF(Raw_Data!I204&gt;=KPI_Config!$E$9,KPI_Config!$D$9,IF(AND(KPI_Config!$F$9&gt;0,Raw_Data!I204&gt;=KPI_Config!$G$9),KPI_Config!$F$9,0)))))</f>
        <v/>
      </c>
      <c r="J204" s="16" t="str">
        <f>IF($A204="","",IF(Raw_Data!J204="",0,IF(KPI_Config!$C$10="L",IF(Raw_Data!J204&lt;=KPI_Config!$E$10,KPI_Config!$D$10,IF(AND(KPI_Config!$F$10&gt;0,Raw_Data!J204&lt;=KPI_Config!$G$10),KPI_Config!$F$10,0)),IF(Raw_Data!J204&gt;=KPI_Config!$E$10,KPI_Config!$D$10,IF(AND(KPI_Config!$F$10&gt;0,Raw_Data!J204&gt;=KPI_Config!$G$10),KPI_Config!$F$10,0)))))</f>
        <v/>
      </c>
      <c r="K204" s="16" t="str">
        <f>IF($A204="","",IF(Raw_Data!G204="",0,IF(KPI_Config!$C$11="L",IF(Raw_Data!G204&lt;=KPI_Config!$E$11,KPI_Config!$D$11,IF(AND(KPI_Config!$F$11&gt;0,Raw_Data!G204&lt;=KPI_Config!$G$11),KPI_Config!$F$11,0)),IF(Raw_Data!G204&gt;=KPI_Config!$E$11,KPI_Config!$D$11,IF(AND(KPI_Config!$F$11&gt;0,Raw_Data!G204&gt;=KPI_Config!$G$11),KPI_Config!$F$11,0)))))</f>
        <v/>
      </c>
      <c r="L204" s="16" t="str">
        <f>IF($A204="","",MIN(Policy_Decisions!$B$10,IF(Policy_Decisions!$B$6="Additive",SUM(E204:K204),SUM(E204:J204)-G204+MAX(G204,K204))))</f>
        <v/>
      </c>
      <c r="M204" s="16" t="str">
        <f>IF($A204="","",Raw_Data!K204)</f>
        <v/>
      </c>
      <c r="N204" s="16" t="str">
        <f>IF($A204="","",IFERROR(VLOOKUP(M204,KPI_Config!$I$5:$J$10,2,FALSE()),0))</f>
        <v/>
      </c>
      <c r="O204" s="16" t="str">
        <f>IF($A204="","",IF(Policy_Decisions!$B$5="Percentage points",MAX(0,L204-N204),L204*(1-N204)))</f>
        <v/>
      </c>
      <c r="P204" s="15" t="str">
        <f>IF($A204="","",IF(U204="","Review proration",IF(O204=0,"No payout",IF(N204&gt;0,"Malus applied","Eligible"))))</f>
        <v/>
      </c>
      <c r="Q204" s="15" t="str">
        <f>IF($A204="","",Raw_Data!M204)</f>
        <v/>
      </c>
      <c r="R204" s="38" t="str">
        <f>IF($A204="","",Raw_Data!N204)</f>
        <v/>
      </c>
      <c r="S204" s="38" t="str">
        <f>IF($A204="","",Raw_Data!O204)</f>
        <v/>
      </c>
      <c r="T204" s="38" t="str">
        <f>IF($A204="","",IF(Raw_Data!P204&gt;0,Raw_Data!P204,Raw_Data!N204*Raw_Data!O204/IF(Policy_Decisions!$B$7="Annual",12,1)))</f>
        <v/>
      </c>
      <c r="U204" s="38" t="str">
        <f>IF($A204="","",IF(OR(Raw_Data!R204="",Raw_Data!R204&lt;=0),"",MIN(1,MAX(0,Raw_Data!Q204/Raw_Data!R204))))</f>
        <v/>
      </c>
      <c r="V204" s="38" t="str">
        <f>IF(OR($A204="",U204=""),"",T204*U204)</f>
        <v/>
      </c>
      <c r="W204" s="38" t="str">
        <f>IF(OR($A204="",V204=""),"",V204*L204)</f>
        <v/>
      </c>
      <c r="X204" s="38" t="str">
        <f>IF(OR($A204="",V204=""),"",V204*L204-V204*O204)</f>
        <v/>
      </c>
      <c r="Y204" s="38" t="str">
        <f>IF(OR($A204="",V204=""),"",ROUND(V204*O204,IF(Policy_Decisions!$B$11="Whole MAD",0,2)))</f>
        <v/>
      </c>
      <c r="Z204">
        <f>Raw_Data!T204</f>
        <v>0</v>
      </c>
      <c r="AA204">
        <f>Raw_Data!U204</f>
        <v>0</v>
      </c>
    </row>
    <row r="205" spans="1:27" ht="14.25" customHeight="1">
      <c r="A205" s="13" t="str">
        <f>IF(Raw_Data!A205="","",Raw_Data!A205)</f>
        <v/>
      </c>
      <c r="B205" s="13" t="str">
        <f>IF(Raw_Data!B205="","",Raw_Data!B205)</f>
        <v/>
      </c>
      <c r="C205" s="13" t="str">
        <f>IF(Raw_Data!C205="","",Raw_Data!C205)</f>
        <v/>
      </c>
      <c r="D205" s="13" t="str">
        <f>IF(Raw_Data!D205="","",Raw_Data!D205)</f>
        <v/>
      </c>
      <c r="E205" s="21" t="str">
        <f>IF($A205="","",IF(Raw_Data!E205="",0,IF(KPI_Config!$C$5="L",IF(Raw_Data!E205&lt;=KPI_Config!$E$5,KPI_Config!$D$5,IF(AND(KPI_Config!$F$5&gt;0,Raw_Data!E205&lt;=KPI_Config!$G$5),KPI_Config!$F$5,0)),IF(Raw_Data!E205&gt;=KPI_Config!$E$5,KPI_Config!$D$5,IF(AND(KPI_Config!$F$5&gt;0,Raw_Data!E205&gt;=KPI_Config!$G$5),KPI_Config!$F$5,0)))))</f>
        <v/>
      </c>
      <c r="F205" s="21" t="str">
        <f>IF($A205="","",IF(Raw_Data!F205="",0,IF(KPI_Config!$C$6="L",IF(Raw_Data!F205&lt;=KPI_Config!$E$6,KPI_Config!$D$6,IF(AND(KPI_Config!$F$6&gt;0,Raw_Data!F205&lt;=KPI_Config!$G$6),KPI_Config!$F$6,0)),IF(Raw_Data!F205&gt;=KPI_Config!$E$6,KPI_Config!$D$6,IF(AND(KPI_Config!$F$6&gt;0,Raw_Data!F205&gt;=KPI_Config!$G$6),KPI_Config!$F$6,0)))))</f>
        <v/>
      </c>
      <c r="G205" s="21" t="str">
        <f>IF($A205="","",IF(Raw_Data!G205="",0,IF(KPI_Config!$C$7="L",IF(Raw_Data!G205&lt;=KPI_Config!$E$7,KPI_Config!$D$7,IF(AND(KPI_Config!$F$7&gt;0,Raw_Data!G205&lt;=KPI_Config!$G$7),KPI_Config!$F$7,0)),IF(Raw_Data!G205&gt;=KPI_Config!$E$7,KPI_Config!$D$7,IF(AND(KPI_Config!$F$7&gt;0,Raw_Data!G205&gt;=KPI_Config!$G$7),KPI_Config!$F$7,0)))))</f>
        <v/>
      </c>
      <c r="H205" s="21" t="str">
        <f>IF($A205="","",IF(Raw_Data!H205="",0,IF(KPI_Config!$C$8="L",IF(Raw_Data!H205&lt;=KPI_Config!$E$8,KPI_Config!$D$8,IF(AND(KPI_Config!$F$8&gt;0,Raw_Data!H205&lt;=KPI_Config!$G$8),KPI_Config!$F$8,0)),IF(Raw_Data!H205&gt;=KPI_Config!$E$8,KPI_Config!$D$8,IF(AND(KPI_Config!$F$8&gt;0,Raw_Data!H205&gt;=KPI_Config!$G$8),KPI_Config!$F$8,0)))))</f>
        <v/>
      </c>
      <c r="I205" s="21" t="str">
        <f>IF($A205="","",IF(Raw_Data!I205="",0,IF(KPI_Config!$C$9="L",IF(Raw_Data!I205&lt;=KPI_Config!$E$9,KPI_Config!$D$9,IF(AND(KPI_Config!$F$9&gt;0,Raw_Data!I205&lt;=KPI_Config!$G$9),KPI_Config!$F$9,0)),IF(Raw_Data!I205&gt;=KPI_Config!$E$9,KPI_Config!$D$9,IF(AND(KPI_Config!$F$9&gt;0,Raw_Data!I205&gt;=KPI_Config!$G$9),KPI_Config!$F$9,0)))))</f>
        <v/>
      </c>
      <c r="J205" s="21" t="str">
        <f>IF($A205="","",IF(Raw_Data!J205="",0,IF(KPI_Config!$C$10="L",IF(Raw_Data!J205&lt;=KPI_Config!$E$10,KPI_Config!$D$10,IF(AND(KPI_Config!$F$10&gt;0,Raw_Data!J205&lt;=KPI_Config!$G$10),KPI_Config!$F$10,0)),IF(Raw_Data!J205&gt;=KPI_Config!$E$10,KPI_Config!$D$10,IF(AND(KPI_Config!$F$10&gt;0,Raw_Data!J205&gt;=KPI_Config!$G$10),KPI_Config!$F$10,0)))))</f>
        <v/>
      </c>
      <c r="K205" s="21" t="str">
        <f>IF($A205="","",IF(Raw_Data!G205="",0,IF(KPI_Config!$C$11="L",IF(Raw_Data!G205&lt;=KPI_Config!$E$11,KPI_Config!$D$11,IF(AND(KPI_Config!$F$11&gt;0,Raw_Data!G205&lt;=KPI_Config!$G$11),KPI_Config!$F$11,0)),IF(Raw_Data!G205&gt;=KPI_Config!$E$11,KPI_Config!$D$11,IF(AND(KPI_Config!$F$11&gt;0,Raw_Data!G205&gt;=KPI_Config!$G$11),KPI_Config!$F$11,0)))))</f>
        <v/>
      </c>
      <c r="L205" s="21" t="str">
        <f>IF($A205="","",MIN(Policy_Decisions!$B$10,IF(Policy_Decisions!$B$6="Additive",SUM(E205:K205),SUM(E205:J205)-G205+MAX(G205,K205))))</f>
        <v/>
      </c>
      <c r="M205" s="21" t="str">
        <f>IF($A205="","",Raw_Data!K205)</f>
        <v/>
      </c>
      <c r="N205" s="21" t="str">
        <f>IF($A205="","",IFERROR(VLOOKUP(M205,KPI_Config!$I$5:$J$10,2,FALSE()),0))</f>
        <v/>
      </c>
      <c r="O205" s="21" t="str">
        <f>IF($A205="","",IF(Policy_Decisions!$B$5="Percentage points",MAX(0,L205-N205),L205*(1-N205)))</f>
        <v/>
      </c>
      <c r="P205" s="13" t="str">
        <f>IF($A205="","",IF(U205="","Review proration",IF(O205=0,"No payout",IF(N205&gt;0,"Malus applied","Eligible"))))</f>
        <v/>
      </c>
      <c r="Q205" s="13" t="str">
        <f>IF($A205="","",Raw_Data!M205)</f>
        <v/>
      </c>
      <c r="R205" s="37" t="str">
        <f>IF($A205="","",Raw_Data!N205)</f>
        <v/>
      </c>
      <c r="S205" s="37" t="str">
        <f>IF($A205="","",Raw_Data!O205)</f>
        <v/>
      </c>
      <c r="T205" s="37" t="str">
        <f>IF($A205="","",IF(Raw_Data!P205&gt;0,Raw_Data!P205,Raw_Data!N205*Raw_Data!O205/IF(Policy_Decisions!$B$7="Annual",12,1)))</f>
        <v/>
      </c>
      <c r="U205" s="37" t="str">
        <f>IF($A205="","",IF(OR(Raw_Data!R205="",Raw_Data!R205&lt;=0),"",MIN(1,MAX(0,Raw_Data!Q205/Raw_Data!R205))))</f>
        <v/>
      </c>
      <c r="V205" s="37" t="str">
        <f>IF(OR($A205="",U205=""),"",T205*U205)</f>
        <v/>
      </c>
      <c r="W205" s="37" t="str">
        <f>IF(OR($A205="",V205=""),"",V205*L205)</f>
        <v/>
      </c>
      <c r="X205" s="37" t="str">
        <f>IF(OR($A205="",V205=""),"",V205*L205-V205*O205)</f>
        <v/>
      </c>
      <c r="Y205" s="37" t="str">
        <f>IF(OR($A205="",V205=""),"",ROUND(V205*O205,IF(Policy_Decisions!$B$11="Whole MAD",0,2)))</f>
        <v/>
      </c>
      <c r="Z205">
        <f>Raw_Data!T205</f>
        <v>0</v>
      </c>
      <c r="AA205">
        <f>Raw_Data!U205</f>
        <v>0</v>
      </c>
    </row>
    <row r="206" spans="1:27" ht="14.25" customHeight="1">
      <c r="A206" s="15" t="str">
        <f>IF(Raw_Data!A206="","",Raw_Data!A206)</f>
        <v/>
      </c>
      <c r="B206" s="15" t="str">
        <f>IF(Raw_Data!B206="","",Raw_Data!B206)</f>
        <v/>
      </c>
      <c r="C206" s="15" t="str">
        <f>IF(Raw_Data!C206="","",Raw_Data!C206)</f>
        <v/>
      </c>
      <c r="D206" s="15" t="str">
        <f>IF(Raw_Data!D206="","",Raw_Data!D206)</f>
        <v/>
      </c>
      <c r="E206" s="16" t="str">
        <f>IF($A206="","",IF(Raw_Data!E206="",0,IF(KPI_Config!$C$5="L",IF(Raw_Data!E206&lt;=KPI_Config!$E$5,KPI_Config!$D$5,IF(AND(KPI_Config!$F$5&gt;0,Raw_Data!E206&lt;=KPI_Config!$G$5),KPI_Config!$F$5,0)),IF(Raw_Data!E206&gt;=KPI_Config!$E$5,KPI_Config!$D$5,IF(AND(KPI_Config!$F$5&gt;0,Raw_Data!E206&gt;=KPI_Config!$G$5),KPI_Config!$F$5,0)))))</f>
        <v/>
      </c>
      <c r="F206" s="16" t="str">
        <f>IF($A206="","",IF(Raw_Data!F206="",0,IF(KPI_Config!$C$6="L",IF(Raw_Data!F206&lt;=KPI_Config!$E$6,KPI_Config!$D$6,IF(AND(KPI_Config!$F$6&gt;0,Raw_Data!F206&lt;=KPI_Config!$G$6),KPI_Config!$F$6,0)),IF(Raw_Data!F206&gt;=KPI_Config!$E$6,KPI_Config!$D$6,IF(AND(KPI_Config!$F$6&gt;0,Raw_Data!F206&gt;=KPI_Config!$G$6),KPI_Config!$F$6,0)))))</f>
        <v/>
      </c>
      <c r="G206" s="16" t="str">
        <f>IF($A206="","",IF(Raw_Data!G206="",0,IF(KPI_Config!$C$7="L",IF(Raw_Data!G206&lt;=KPI_Config!$E$7,KPI_Config!$D$7,IF(AND(KPI_Config!$F$7&gt;0,Raw_Data!G206&lt;=KPI_Config!$G$7),KPI_Config!$F$7,0)),IF(Raw_Data!G206&gt;=KPI_Config!$E$7,KPI_Config!$D$7,IF(AND(KPI_Config!$F$7&gt;0,Raw_Data!G206&gt;=KPI_Config!$G$7),KPI_Config!$F$7,0)))))</f>
        <v/>
      </c>
      <c r="H206" s="16" t="str">
        <f>IF($A206="","",IF(Raw_Data!H206="",0,IF(KPI_Config!$C$8="L",IF(Raw_Data!H206&lt;=KPI_Config!$E$8,KPI_Config!$D$8,IF(AND(KPI_Config!$F$8&gt;0,Raw_Data!H206&lt;=KPI_Config!$G$8),KPI_Config!$F$8,0)),IF(Raw_Data!H206&gt;=KPI_Config!$E$8,KPI_Config!$D$8,IF(AND(KPI_Config!$F$8&gt;0,Raw_Data!H206&gt;=KPI_Config!$G$8),KPI_Config!$F$8,0)))))</f>
        <v/>
      </c>
      <c r="I206" s="16" t="str">
        <f>IF($A206="","",IF(Raw_Data!I206="",0,IF(KPI_Config!$C$9="L",IF(Raw_Data!I206&lt;=KPI_Config!$E$9,KPI_Config!$D$9,IF(AND(KPI_Config!$F$9&gt;0,Raw_Data!I206&lt;=KPI_Config!$G$9),KPI_Config!$F$9,0)),IF(Raw_Data!I206&gt;=KPI_Config!$E$9,KPI_Config!$D$9,IF(AND(KPI_Config!$F$9&gt;0,Raw_Data!I206&gt;=KPI_Config!$G$9),KPI_Config!$F$9,0)))))</f>
        <v/>
      </c>
      <c r="J206" s="16" t="str">
        <f>IF($A206="","",IF(Raw_Data!J206="",0,IF(KPI_Config!$C$10="L",IF(Raw_Data!J206&lt;=KPI_Config!$E$10,KPI_Config!$D$10,IF(AND(KPI_Config!$F$10&gt;0,Raw_Data!J206&lt;=KPI_Config!$G$10),KPI_Config!$F$10,0)),IF(Raw_Data!J206&gt;=KPI_Config!$E$10,KPI_Config!$D$10,IF(AND(KPI_Config!$F$10&gt;0,Raw_Data!J206&gt;=KPI_Config!$G$10),KPI_Config!$F$10,0)))))</f>
        <v/>
      </c>
      <c r="K206" s="16" t="str">
        <f>IF($A206="","",IF(Raw_Data!G206="",0,IF(KPI_Config!$C$11="L",IF(Raw_Data!G206&lt;=KPI_Config!$E$11,KPI_Config!$D$11,IF(AND(KPI_Config!$F$11&gt;0,Raw_Data!G206&lt;=KPI_Config!$G$11),KPI_Config!$F$11,0)),IF(Raw_Data!G206&gt;=KPI_Config!$E$11,KPI_Config!$D$11,IF(AND(KPI_Config!$F$11&gt;0,Raw_Data!G206&gt;=KPI_Config!$G$11),KPI_Config!$F$11,0)))))</f>
        <v/>
      </c>
      <c r="L206" s="16" t="str">
        <f>IF($A206="","",MIN(Policy_Decisions!$B$10,IF(Policy_Decisions!$B$6="Additive",SUM(E206:K206),SUM(E206:J206)-G206+MAX(G206,K206))))</f>
        <v/>
      </c>
      <c r="M206" s="16" t="str">
        <f>IF($A206="","",Raw_Data!K206)</f>
        <v/>
      </c>
      <c r="N206" s="16" t="str">
        <f>IF($A206="","",IFERROR(VLOOKUP(M206,KPI_Config!$I$5:$J$10,2,FALSE()),0))</f>
        <v/>
      </c>
      <c r="O206" s="16" t="str">
        <f>IF($A206="","",IF(Policy_Decisions!$B$5="Percentage points",MAX(0,L206-N206),L206*(1-N206)))</f>
        <v/>
      </c>
      <c r="P206" s="15" t="str">
        <f>IF($A206="","",IF(U206="","Review proration",IF(O206=0,"No payout",IF(N206&gt;0,"Malus applied","Eligible"))))</f>
        <v/>
      </c>
      <c r="Q206" s="15" t="str">
        <f>IF($A206="","",Raw_Data!M206)</f>
        <v/>
      </c>
      <c r="R206" s="38" t="str">
        <f>IF($A206="","",Raw_Data!N206)</f>
        <v/>
      </c>
      <c r="S206" s="38" t="str">
        <f>IF($A206="","",Raw_Data!O206)</f>
        <v/>
      </c>
      <c r="T206" s="38" t="str">
        <f>IF($A206="","",IF(Raw_Data!P206&gt;0,Raw_Data!P206,Raw_Data!N206*Raw_Data!O206/IF(Policy_Decisions!$B$7="Annual",12,1)))</f>
        <v/>
      </c>
      <c r="U206" s="38" t="str">
        <f>IF($A206="","",IF(OR(Raw_Data!R206="",Raw_Data!R206&lt;=0),"",MIN(1,MAX(0,Raw_Data!Q206/Raw_Data!R206))))</f>
        <v/>
      </c>
      <c r="V206" s="38" t="str">
        <f>IF(OR($A206="",U206=""),"",T206*U206)</f>
        <v/>
      </c>
      <c r="W206" s="38" t="str">
        <f>IF(OR($A206="",V206=""),"",V206*L206)</f>
        <v/>
      </c>
      <c r="X206" s="38" t="str">
        <f>IF(OR($A206="",V206=""),"",V206*L206-V206*O206)</f>
        <v/>
      </c>
      <c r="Y206" s="38" t="str">
        <f>IF(OR($A206="",V206=""),"",ROUND(V206*O206,IF(Policy_Decisions!$B$11="Whole MAD",0,2)))</f>
        <v/>
      </c>
      <c r="Z206">
        <f>Raw_Data!T206</f>
        <v>0</v>
      </c>
      <c r="AA206">
        <f>Raw_Data!U206</f>
        <v>0</v>
      </c>
    </row>
  </sheetData>
  <autoFilter ref="A4:Y206" xr:uid="{00000000-0009-0000-0000-000004000000}"/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showGridLines="0" zoomScaleNormal="100" workbookViewId="0">
      <pane ySplit="4" topLeftCell="A5" activePane="bottomLeft" state="frozen"/>
      <selection pane="bottomLeft" activeCell="F21" sqref="F21"/>
    </sheetView>
  </sheetViews>
  <sheetFormatPr defaultColWidth="8.7109375" defaultRowHeight="14.25"/>
  <cols>
    <col min="1" max="1" width="22" customWidth="1"/>
    <col min="2" max="3" width="17" customWidth="1"/>
    <col min="4" max="4" width="16" customWidth="1"/>
    <col min="5" max="6" width="22" customWidth="1"/>
    <col min="7" max="7" width="3" customWidth="1"/>
    <col min="8" max="8" width="20" customWidth="1"/>
    <col min="9" max="14" width="14" customWidth="1"/>
  </cols>
  <sheetData>
    <row r="1" spans="1:14" ht="24" customHeight="1">
      <c r="A1" s="71" t="s">
        <v>315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5" customHeigh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5" spans="1:14" ht="15" customHeight="1">
      <c r="A5" s="39" t="s">
        <v>77</v>
      </c>
      <c r="B5" s="39" t="s">
        <v>316</v>
      </c>
      <c r="C5" s="39" t="s">
        <v>317</v>
      </c>
      <c r="D5" s="39" t="s">
        <v>318</v>
      </c>
      <c r="E5" s="39" t="s">
        <v>319</v>
      </c>
      <c r="F5" s="39" t="s">
        <v>320</v>
      </c>
      <c r="H5" s="8" t="s">
        <v>321</v>
      </c>
      <c r="I5" s="8"/>
      <c r="J5" s="8"/>
      <c r="K5" s="8"/>
      <c r="L5" s="8"/>
      <c r="M5" s="8"/>
      <c r="N5" s="8"/>
    </row>
    <row r="6" spans="1:14" ht="15" customHeight="1">
      <c r="A6" s="40" t="s">
        <v>86</v>
      </c>
      <c r="B6" s="18">
        <f>COUNT(Raw_Data!E5:E206)</f>
        <v>133</v>
      </c>
      <c r="C6" s="18">
        <f>COUNTIF(Results!E5:E206,"&gt;0")</f>
        <v>74</v>
      </c>
      <c r="D6" s="41">
        <f>IFERROR(C6/B6,0)</f>
        <v>0.55639097744360899</v>
      </c>
      <c r="E6" s="41">
        <f>AVERAGE(Results!E5:E206)</f>
        <v>6.6467065868263564E-2</v>
      </c>
      <c r="F6" s="42">
        <f>SUM(Results!E5:E206)</f>
        <v>11.100000000000016</v>
      </c>
      <c r="I6" s="39" t="s">
        <v>85</v>
      </c>
      <c r="J6" s="39" t="s">
        <v>95</v>
      </c>
      <c r="K6" s="39" t="s">
        <v>96</v>
      </c>
      <c r="L6" s="39" t="s">
        <v>97</v>
      </c>
      <c r="M6" s="39" t="s">
        <v>98</v>
      </c>
      <c r="N6" s="39" t="s">
        <v>99</v>
      </c>
    </row>
    <row r="7" spans="1:14" ht="15" customHeight="1">
      <c r="A7" s="43" t="s">
        <v>88</v>
      </c>
      <c r="B7" s="44">
        <f>COUNT(Raw_Data!F5:F206)</f>
        <v>133</v>
      </c>
      <c r="C7" s="44">
        <f>COUNTIF(Results!F5:F206,"&gt;0")</f>
        <v>83</v>
      </c>
      <c r="D7" s="45">
        <f>IFERROR(C7/B7,0)</f>
        <v>0.62406015037593987</v>
      </c>
      <c r="E7" s="45">
        <f>AVERAGE(Results!F5:F206)</f>
        <v>7.4550898203592925E-2</v>
      </c>
      <c r="F7" s="46">
        <f>SUM(Results!F5:F206)</f>
        <v>12.450000000000019</v>
      </c>
      <c r="H7" s="47" t="s">
        <v>86</v>
      </c>
      <c r="I7" s="48">
        <f>IFERROR(COUNTIFS(Results!$C$5:$C$206,I$6,Results!$E$5:$E$206,"&gt;0")/COUNTIF(Results!$C$5:$C$206,I$6),0)</f>
        <v>0</v>
      </c>
      <c r="J7" s="48">
        <f>IFERROR(COUNTIFS(Results!$C$5:$C$206,J$6,Results!$E$5:$E$206,"&gt;0")/COUNTIF(Results!$C$5:$C$206,J$6),0)</f>
        <v>0.5</v>
      </c>
      <c r="K7" s="48">
        <f>IFERROR(COUNTIFS(Results!$C$5:$C$206,K$6,Results!$E$5:$E$206,"&gt;0")/COUNTIF(Results!$C$5:$C$206,K$6),0)</f>
        <v>0.22033898305084745</v>
      </c>
      <c r="L7" s="48">
        <f>IFERROR(COUNTIFS(Results!$C$5:$C$206,L$6,Results!$E$5:$E$206,"&gt;0")/COUNTIF(Results!$C$5:$C$206,L$6),0)</f>
        <v>0.55555555555555558</v>
      </c>
      <c r="M7" s="48">
        <f>IFERROR(COUNTIFS(Results!$C$5:$C$206,M$6,Results!$E$5:$E$206,"&gt;0")/COUNTIF(Results!$C$5:$C$206,M$6),0)</f>
        <v>0.66666666666666663</v>
      </c>
      <c r="N7" s="48">
        <f>IFERROR(COUNTIFS(Results!$C$5:$C$206,N$6,Results!$E$5:$E$206,"&gt;0")/COUNTIF(Results!$C$5:$C$206,N$6),0)</f>
        <v>0.6428571428571429</v>
      </c>
    </row>
    <row r="8" spans="1:14" ht="15" customHeight="1">
      <c r="A8" s="40" t="s">
        <v>90</v>
      </c>
      <c r="B8" s="18">
        <f>COUNT(Raw_Data!G5:G206)</f>
        <v>137</v>
      </c>
      <c r="C8" s="18">
        <f>COUNTIF(Results!G5:G206,"&gt;0")</f>
        <v>71</v>
      </c>
      <c r="D8" s="41">
        <f>IFERROR(C8/B8,0)</f>
        <v>0.51824817518248179</v>
      </c>
      <c r="E8" s="41">
        <f>AVERAGE(Results!G5:G206)</f>
        <v>7.934131736526942E-2</v>
      </c>
      <c r="F8" s="42">
        <f>SUM(Results!G5:G206)</f>
        <v>13.249999999999993</v>
      </c>
      <c r="H8" s="47" t="s">
        <v>88</v>
      </c>
      <c r="I8" s="48">
        <f>IFERROR(COUNTIFS(Results!$C$5:$C$206,I$6,Results!$F$5:$F$206,"&gt;0")/COUNTIF(Results!$C$5:$C$206,I$6),0)</f>
        <v>0.2857142857142857</v>
      </c>
      <c r="J8" s="48">
        <f>IFERROR(COUNTIFS(Results!$C$5:$C$206,J$6,Results!$F$5:$F$206,"&gt;0")/COUNTIF(Results!$C$5:$C$206,J$6),0)</f>
        <v>0.625</v>
      </c>
      <c r="K8" s="48">
        <f>IFERROR(COUNTIFS(Results!$C$5:$C$206,K$6,Results!$F$5:$F$206,"&gt;0")/COUNTIF(Results!$C$5:$C$206,K$6),0)</f>
        <v>0.30508474576271188</v>
      </c>
      <c r="L8" s="48">
        <f>IFERROR(COUNTIFS(Results!$C$5:$C$206,L$6,Results!$F$5:$F$206,"&gt;0")/COUNTIF(Results!$C$5:$C$206,L$6),0)</f>
        <v>0.55555555555555558</v>
      </c>
      <c r="M8" s="48">
        <f>IFERROR(COUNTIFS(Results!$C$5:$C$206,M$6,Results!$F$5:$F$206,"&gt;0")/COUNTIF(Results!$C$5:$C$206,M$6),0)</f>
        <v>0.64444444444444449</v>
      </c>
      <c r="N8" s="48">
        <f>IFERROR(COUNTIFS(Results!$C$5:$C$206,N$6,Results!$F$5:$F$206,"&gt;0")/COUNTIF(Results!$C$5:$C$206,N$6),0)</f>
        <v>0.6428571428571429</v>
      </c>
    </row>
    <row r="9" spans="1:14" ht="15" customHeight="1">
      <c r="A9" s="43" t="s">
        <v>322</v>
      </c>
      <c r="B9" s="44">
        <f>COUNT(Raw_Data!H5:H206)</f>
        <v>137</v>
      </c>
      <c r="C9" s="44">
        <f>COUNTIF(Results!H5:H206,"&gt;0")</f>
        <v>3</v>
      </c>
      <c r="D9" s="45">
        <f>IFERROR(C9/B9,0)</f>
        <v>2.1897810218978103E-2</v>
      </c>
      <c r="E9" s="45">
        <f>AVERAGE(Results!H5:H206)</f>
        <v>1.7964071856287427E-3</v>
      </c>
      <c r="F9" s="46">
        <f>SUM(Results!H5:H206)</f>
        <v>0.30000000000000004</v>
      </c>
      <c r="H9" s="47" t="s">
        <v>90</v>
      </c>
      <c r="I9" s="48">
        <f>IFERROR(COUNTIFS(Results!$C$5:$C$206,I$6,Results!$G$5:$G$206,"&gt;0")/COUNTIF(Results!$C$5:$C$206,I$6),0)</f>
        <v>0.42857142857142855</v>
      </c>
      <c r="J9" s="48">
        <f>IFERROR(COUNTIFS(Results!$C$5:$C$206,J$6,Results!$G$5:$G$206,"&gt;0")/COUNTIF(Results!$C$5:$C$206,J$6),0)</f>
        <v>0.58333333333333337</v>
      </c>
      <c r="K9" s="48">
        <f>IFERROR(COUNTIFS(Results!$C$5:$C$206,K$6,Results!$G$5:$G$206,"&gt;0")/COUNTIF(Results!$C$5:$C$206,K$6),0)</f>
        <v>0.64406779661016944</v>
      </c>
      <c r="L9" s="48">
        <f>IFERROR(COUNTIFS(Results!$C$5:$C$206,L$6,Results!$G$5:$G$206,"&gt;0")/COUNTIF(Results!$C$5:$C$206,L$6),0)</f>
        <v>0.1111111111111111</v>
      </c>
      <c r="M9" s="48">
        <f>IFERROR(COUNTIFS(Results!$C$5:$C$206,M$6,Results!$G$5:$G$206,"&gt;0")/COUNTIF(Results!$C$5:$C$206,M$6),0)</f>
        <v>0.22222222222222221</v>
      </c>
      <c r="N9" s="48">
        <f>IFERROR(COUNTIFS(Results!$C$5:$C$206,N$6,Results!$G$5:$G$206,"&gt;0")/COUNTIF(Results!$C$5:$C$206,N$6),0)</f>
        <v>0.2857142857142857</v>
      </c>
    </row>
    <row r="10" spans="1:14" ht="15" customHeight="1">
      <c r="A10" s="40" t="s">
        <v>92</v>
      </c>
      <c r="B10" s="18">
        <f>COUNT(Raw_Data!I5:I206)</f>
        <v>124</v>
      </c>
      <c r="C10" s="18">
        <f>COUNTIF(Results!I5:I206,"&gt;0")</f>
        <v>24</v>
      </c>
      <c r="D10" s="41">
        <f>IFERROR(C10/B10,0)</f>
        <v>0.19354838709677419</v>
      </c>
      <c r="E10" s="41">
        <f>AVERAGE(Results!I5:I206)</f>
        <v>2.3952095808383232E-2</v>
      </c>
      <c r="F10" s="42">
        <f>SUM(Results!I5:I206)</f>
        <v>3.9999999999999996</v>
      </c>
      <c r="H10" s="47" t="s">
        <v>322</v>
      </c>
      <c r="I10" s="48">
        <f>IFERROR(COUNTIFS(Results!$C$5:$C$206,I$6,Results!$H$5:$H$206,"&gt;0")/COUNTIF(Results!$C$5:$C$206,I$6),0)</f>
        <v>0</v>
      </c>
      <c r="J10" s="48">
        <f>IFERROR(COUNTIFS(Results!$C$5:$C$206,J$6,Results!$H$5:$H$206,"&gt;0")/COUNTIF(Results!$C$5:$C$206,J$6),0)</f>
        <v>4.1666666666666664E-2</v>
      </c>
      <c r="K10" s="48">
        <f>IFERROR(COUNTIFS(Results!$C$5:$C$206,K$6,Results!$H$5:$H$206,"&gt;0")/COUNTIF(Results!$C$5:$C$206,K$6),0)</f>
        <v>3.3898305084745763E-2</v>
      </c>
      <c r="L10" s="48">
        <f>IFERROR(COUNTIFS(Results!$C$5:$C$206,L$6,Results!$H$5:$H$206,"&gt;0")/COUNTIF(Results!$C$5:$C$206,L$6),0)</f>
        <v>0</v>
      </c>
      <c r="M10" s="48">
        <f>IFERROR(COUNTIFS(Results!$C$5:$C$206,M$6,Results!$H$5:$H$206,"&gt;0")/COUNTIF(Results!$C$5:$C$206,M$6),0)</f>
        <v>0</v>
      </c>
      <c r="N10" s="48">
        <f>IFERROR(COUNTIFS(Results!$C$5:$C$206,N$6,Results!$H$5:$H$206,"&gt;0")/COUNTIF(Results!$C$5:$C$206,N$6),0)</f>
        <v>0</v>
      </c>
    </row>
    <row r="11" spans="1:14" ht="15" customHeight="1">
      <c r="A11" s="43" t="s">
        <v>323</v>
      </c>
      <c r="B11" s="44">
        <f>COUNT(Raw_Data!J5:J206)</f>
        <v>142</v>
      </c>
      <c r="C11" s="44">
        <f>COUNTIF(Results!J5:J206,"&gt;0")</f>
        <v>108</v>
      </c>
      <c r="D11" s="45">
        <f>IFERROR(C11/B11,0)</f>
        <v>0.76056338028169013</v>
      </c>
      <c r="E11" s="45">
        <f>AVERAGE(Results!J5:J206)</f>
        <v>9.7005988023952244E-2</v>
      </c>
      <c r="F11" s="46">
        <f>SUM(Results!J5:J206)</f>
        <v>16.200000000000024</v>
      </c>
      <c r="H11" s="47" t="s">
        <v>92</v>
      </c>
      <c r="I11" s="48">
        <f>IFERROR(COUNTIFS(Results!$C$5:$C$206,I$6,Results!$I$5:$I$206,"&gt;0")/COUNTIF(Results!$C$5:$C$206,I$6),0)</f>
        <v>0</v>
      </c>
      <c r="J11" s="48">
        <f>IFERROR(COUNTIFS(Results!$C$5:$C$206,J$6,Results!$I$5:$I$206,"&gt;0")/COUNTIF(Results!$C$5:$C$206,J$6),0)</f>
        <v>0</v>
      </c>
      <c r="K11" s="48">
        <f>IFERROR(COUNTIFS(Results!$C$5:$C$206,K$6,Results!$I$5:$I$206,"&gt;0")/COUNTIF(Results!$C$5:$C$206,K$6),0)</f>
        <v>0.10169491525423729</v>
      </c>
      <c r="L11" s="48">
        <f>IFERROR(COUNTIFS(Results!$C$5:$C$206,L$6,Results!$I$5:$I$206,"&gt;0")/COUNTIF(Results!$C$5:$C$206,L$6),0)</f>
        <v>0.44444444444444442</v>
      </c>
      <c r="M11" s="48">
        <f>IFERROR(COUNTIFS(Results!$C$5:$C$206,M$6,Results!$I$5:$I$206,"&gt;0")/COUNTIF(Results!$C$5:$C$206,M$6),0)</f>
        <v>0.13333333333333333</v>
      </c>
      <c r="N11" s="48">
        <f>IFERROR(COUNTIFS(Results!$C$5:$C$206,N$6,Results!$I$5:$I$206,"&gt;0")/COUNTIF(Results!$C$5:$C$206,N$6),0)</f>
        <v>0.2857142857142857</v>
      </c>
    </row>
    <row r="12" spans="1:14" ht="15" customHeight="1">
      <c r="A12" s="40" t="s">
        <v>324</v>
      </c>
      <c r="B12" s="18">
        <f>COUNT(Raw_Data!G5:G206)</f>
        <v>137</v>
      </c>
      <c r="C12" s="18">
        <f>COUNTIF(Results!K5:K206,"&gt;0")</f>
        <v>52</v>
      </c>
      <c r="D12" s="41">
        <f>IFERROR(C12/B12,0)</f>
        <v>0.37956204379562042</v>
      </c>
      <c r="E12" s="41">
        <f>AVERAGE(Results!K5:K206)</f>
        <v>8.6826347305389281E-2</v>
      </c>
      <c r="F12" s="42">
        <f>SUM(Results!K5:K206)</f>
        <v>14.500000000000009</v>
      </c>
      <c r="H12" s="47" t="s">
        <v>323</v>
      </c>
      <c r="I12" s="48">
        <f>IFERROR(COUNTIFS(Results!$C$5:$C$206,I$6,Results!$J$5:$J$206,"&gt;0")/COUNTIF(Results!$C$5:$C$206,I$6),0)</f>
        <v>0</v>
      </c>
      <c r="J12" s="48">
        <f>IFERROR(COUNTIFS(Results!$C$5:$C$206,J$6,Results!$J$5:$J$206,"&gt;0")/COUNTIF(Results!$C$5:$C$206,J$6),0)</f>
        <v>0.58333333333333337</v>
      </c>
      <c r="K12" s="48">
        <f>IFERROR(COUNTIFS(Results!$C$5:$C$206,K$6,Results!$J$5:$J$206,"&gt;0")/COUNTIF(Results!$C$5:$C$206,K$6),0)</f>
        <v>0.89830508474576276</v>
      </c>
      <c r="L12" s="48">
        <f>IFERROR(COUNTIFS(Results!$C$5:$C$206,L$6,Results!$J$5:$J$206,"&gt;0")/COUNTIF(Results!$C$5:$C$206,L$6),0)</f>
        <v>0.77777777777777779</v>
      </c>
      <c r="M12" s="48">
        <f>IFERROR(COUNTIFS(Results!$C$5:$C$206,M$6,Results!$J$5:$J$206,"&gt;0")/COUNTIF(Results!$C$5:$C$206,M$6),0)</f>
        <v>0.42222222222222222</v>
      </c>
      <c r="N12" s="48">
        <f>IFERROR(COUNTIFS(Results!$C$5:$C$206,N$6,Results!$J$5:$J$206,"&gt;0")/COUNTIF(Results!$C$5:$C$206,N$6),0)</f>
        <v>0.5714285714285714</v>
      </c>
    </row>
    <row r="13" spans="1:14" ht="15" customHeight="1">
      <c r="H13" s="47" t="s">
        <v>324</v>
      </c>
      <c r="I13" s="48">
        <f>IFERROR(COUNTIFS(Results!$C$5:$C$206,I$6,Results!$K$5:$K$206,"&gt;0")/COUNTIF(Results!$C$5:$C$206,I$6),0)</f>
        <v>0.2857142857142857</v>
      </c>
      <c r="J13" s="48">
        <f>IFERROR(COUNTIFS(Results!$C$5:$C$206,J$6,Results!$K$5:$K$206,"&gt;0")/COUNTIF(Results!$C$5:$C$206,J$6),0)</f>
        <v>0.33333333333333331</v>
      </c>
      <c r="K13" s="48">
        <f>IFERROR(COUNTIFS(Results!$C$5:$C$206,K$6,Results!$K$5:$K$206,"&gt;0")/COUNTIF(Results!$C$5:$C$206,K$6),0)</f>
        <v>0.59322033898305082</v>
      </c>
      <c r="L13" s="48">
        <f>IFERROR(COUNTIFS(Results!$C$5:$C$206,L$6,Results!$K$5:$K$206,"&gt;0")/COUNTIF(Results!$C$5:$C$206,L$6),0)</f>
        <v>5.5555555555555552E-2</v>
      </c>
      <c r="M13" s="48">
        <f>IFERROR(COUNTIFS(Results!$C$5:$C$206,M$6,Results!$K$5:$K$206,"&gt;0")/COUNTIF(Results!$C$5:$C$206,M$6),0)</f>
        <v>8.8888888888888892E-2</v>
      </c>
      <c r="N13" s="48">
        <f>IFERROR(COUNTIFS(Results!$C$5:$C$206,N$6,Results!$K$5:$K$206,"&gt;0")/COUNTIF(Results!$C$5:$C$206,N$6),0)</f>
        <v>0.14285714285714285</v>
      </c>
    </row>
  </sheetData>
  <mergeCells count="3">
    <mergeCell ref="A1:N1"/>
    <mergeCell ref="A2:N2"/>
    <mergeCell ref="H5:N5"/>
  </mergeCells>
  <conditionalFormatting sqref="I7:N13">
    <cfRule type="colorScale" priority="2">
      <colorScale>
        <cfvo type="min"/>
        <cfvo type="percentile" val="50"/>
        <cfvo type="max"/>
        <color rgb="FFFCE8E6"/>
        <color rgb="FFFFF2CC"/>
        <color rgb="FFD9EAD3"/>
      </colorScale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showGridLines="0" tabSelected="1" zoomScaleNormal="100" workbookViewId="0">
      <pane ySplit="5" topLeftCell="A13" activePane="bottomLeft" state="frozen"/>
      <selection pane="bottomLeft" activeCell="A20" sqref="A20:E20"/>
    </sheetView>
  </sheetViews>
  <sheetFormatPr defaultColWidth="8.7109375" defaultRowHeight="15"/>
  <cols>
    <col min="1" max="1" width="27" customWidth="1"/>
    <col min="2" max="2" width="12" customWidth="1"/>
    <col min="3" max="4" width="13" customWidth="1"/>
    <col min="5" max="5" width="19" customWidth="1"/>
    <col min="6" max="6" width="15" customWidth="1"/>
    <col min="7" max="7" width="19" customWidth="1"/>
    <col min="8" max="8" width="13" customWidth="1"/>
    <col min="9" max="9" width="11" customWidth="1"/>
    <col min="10" max="10" width="3" customWidth="1"/>
    <col min="11" max="15" width="14" customWidth="1"/>
  </cols>
  <sheetData>
    <row r="1" spans="1:15" ht="24" customHeight="1">
      <c r="A1" s="73" t="s">
        <v>325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1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5" spans="1:15" ht="15" customHeight="1">
      <c r="A5" s="27" t="s">
        <v>113</v>
      </c>
      <c r="B5" s="27" t="s">
        <v>326</v>
      </c>
      <c r="C5" s="27" t="s">
        <v>327</v>
      </c>
      <c r="D5" s="27" t="s">
        <v>328</v>
      </c>
      <c r="E5" s="27" t="s">
        <v>329</v>
      </c>
      <c r="F5" s="27" t="s">
        <v>330</v>
      </c>
      <c r="G5" s="27" t="s">
        <v>331</v>
      </c>
      <c r="H5" s="27" t="s">
        <v>332</v>
      </c>
      <c r="I5" s="27" t="s">
        <v>333</v>
      </c>
    </row>
    <row r="6" spans="1:15" ht="15" customHeight="1">
      <c r="A6" s="49" t="s">
        <v>152</v>
      </c>
      <c r="B6" s="50">
        <f>COUNTIF(Results!$Z$5:$Z$206,A6)</f>
        <v>16</v>
      </c>
      <c r="C6" s="50">
        <f>COUNTIFS(Results!$Z$5:$Z$206,A6,Results!$Y$5:$Y$206,"&gt;0")</f>
        <v>16</v>
      </c>
      <c r="D6" s="51">
        <f>IFERROR(C6/B6,0)</f>
        <v>1</v>
      </c>
      <c r="E6" s="52">
        <f>SUMIF(Results!$Z$5:$Z$206,A6,Results!$Y$5:$Y$206)</f>
        <v>16500</v>
      </c>
      <c r="F6" s="51">
        <f>IFERROR(E6/SUM($E$6:$E$17),0)</f>
        <v>0.1149025069637883</v>
      </c>
      <c r="G6" s="52">
        <f>IFERROR(E6/C6,0)</f>
        <v>1031.25</v>
      </c>
      <c r="H6" s="50">
        <f>COUNTIFS(Results!$Z$5:$Z$206,A6,Results!$Y$5:$Y$206,0)</f>
        <v>0</v>
      </c>
      <c r="I6" s="50">
        <f>COUNTIFS(Results!$Z$5:$Z$206,A6,Results!$P$5:$P$206,"Review proration")</f>
        <v>0</v>
      </c>
    </row>
    <row r="7" spans="1:15" ht="15" customHeight="1">
      <c r="A7" s="53" t="s">
        <v>130</v>
      </c>
      <c r="B7" s="54">
        <f>COUNTIF(Results!$Z$5:$Z$206,A7)</f>
        <v>14</v>
      </c>
      <c r="C7" s="54">
        <f>COUNTIFS(Results!$Z$5:$Z$206,A7,Results!$Y$5:$Y$206,"&gt;0")</f>
        <v>13</v>
      </c>
      <c r="D7" s="55">
        <f>IFERROR(C7/B7,0)</f>
        <v>0.9285714285714286</v>
      </c>
      <c r="E7" s="56">
        <f>SUMIF(Results!$Z$5:$Z$206,A7,Results!$Y$5:$Y$206)</f>
        <v>12200</v>
      </c>
      <c r="F7" s="55">
        <f>IFERROR(E7/SUM($E$6:$E$17),0)</f>
        <v>8.495821727019498E-2</v>
      </c>
      <c r="G7" s="56">
        <f>IFERROR(E7/C7,0)</f>
        <v>938.46153846153845</v>
      </c>
      <c r="H7" s="54">
        <f>COUNTIFS(Results!$Z$5:$Z$206,A7,Results!$Y$5:$Y$206,0)</f>
        <v>1</v>
      </c>
      <c r="I7" s="54">
        <f>COUNTIFS(Results!$Z$5:$Z$206,A7,Results!$P$5:$P$206,"Review proration")</f>
        <v>0</v>
      </c>
    </row>
    <row r="8" spans="1:15" ht="15" customHeight="1">
      <c r="A8" s="49" t="s">
        <v>138</v>
      </c>
      <c r="B8" s="50">
        <f>COUNTIF(Results!$Z$5:$Z$206,A8)</f>
        <v>14</v>
      </c>
      <c r="C8" s="50">
        <f>COUNTIFS(Results!$Z$5:$Z$206,A8,Results!$Y$5:$Y$206,"&gt;0")</f>
        <v>13</v>
      </c>
      <c r="D8" s="51">
        <f>IFERROR(C8/B8,0)</f>
        <v>0.9285714285714286</v>
      </c>
      <c r="E8" s="52">
        <f>SUMIF(Results!$Z$5:$Z$206,A8,Results!$Y$5:$Y$206)</f>
        <v>12400</v>
      </c>
      <c r="F8" s="51">
        <f>IFERROR(E8/SUM($E$6:$E$17),0)</f>
        <v>8.6350974930362118E-2</v>
      </c>
      <c r="G8" s="52">
        <f>IFERROR(E8/C8,0)</f>
        <v>953.84615384615381</v>
      </c>
      <c r="H8" s="50">
        <f>COUNTIFS(Results!$Z$5:$Z$206,A8,Results!$Y$5:$Y$206,0)</f>
        <v>1</v>
      </c>
      <c r="I8" s="50">
        <f>COUNTIFS(Results!$Z$5:$Z$206,A8,Results!$P$5:$P$206,"Review proration")</f>
        <v>0</v>
      </c>
    </row>
    <row r="9" spans="1:15" ht="15" customHeight="1">
      <c r="A9" s="53" t="s">
        <v>128</v>
      </c>
      <c r="B9" s="54">
        <f>COUNTIF(Results!$Z$5:$Z$206,A9)</f>
        <v>13</v>
      </c>
      <c r="C9" s="54">
        <f>COUNTIFS(Results!$Z$5:$Z$206,A9,Results!$Y$5:$Y$206,"&gt;0")</f>
        <v>13</v>
      </c>
      <c r="D9" s="55">
        <f>IFERROR(C9/B9,0)</f>
        <v>1</v>
      </c>
      <c r="E9" s="56">
        <f>SUMIF(Results!$Z$5:$Z$206,A9,Results!$Y$5:$Y$206)</f>
        <v>11100</v>
      </c>
      <c r="F9" s="55">
        <f>IFERROR(E9/SUM($E$6:$E$17),0)</f>
        <v>7.7298050139275765E-2</v>
      </c>
      <c r="G9" s="56">
        <f>IFERROR(E9/C9,0)</f>
        <v>853.84615384615381</v>
      </c>
      <c r="H9" s="54">
        <f>COUNTIFS(Results!$Z$5:$Z$206,A9,Results!$Y$5:$Y$206,0)</f>
        <v>0</v>
      </c>
      <c r="I9" s="54">
        <f>COUNTIFS(Results!$Z$5:$Z$206,A9,Results!$P$5:$P$206,"Review proration")</f>
        <v>0</v>
      </c>
    </row>
    <row r="10" spans="1:15" ht="15" customHeight="1">
      <c r="A10" s="49" t="s">
        <v>148</v>
      </c>
      <c r="B10" s="50">
        <f>COUNTIF(Results!$Z$5:$Z$206,A10)</f>
        <v>14</v>
      </c>
      <c r="C10" s="50">
        <f>COUNTIFS(Results!$Z$5:$Z$206,A10,Results!$Y$5:$Y$206,"&gt;0")</f>
        <v>11</v>
      </c>
      <c r="D10" s="51">
        <f>IFERROR(C10/B10,0)</f>
        <v>0.7857142857142857</v>
      </c>
      <c r="E10" s="52">
        <f>SUMIF(Results!$Z$5:$Z$206,A10,Results!$Y$5:$Y$206)</f>
        <v>11700</v>
      </c>
      <c r="F10" s="51">
        <f>IFERROR(E10/SUM($E$6:$E$17),0)</f>
        <v>8.1476323119777164E-2</v>
      </c>
      <c r="G10" s="52">
        <f>IFERROR(E10/C10,0)</f>
        <v>1063.6363636363637</v>
      </c>
      <c r="H10" s="50">
        <f>COUNTIFS(Results!$Z$5:$Z$206,A10,Results!$Y$5:$Y$206,0)</f>
        <v>3</v>
      </c>
      <c r="I10" s="50">
        <f>COUNTIFS(Results!$Z$5:$Z$206,A10,Results!$P$5:$P$206,"Review proration")</f>
        <v>0</v>
      </c>
    </row>
    <row r="11" spans="1:15" ht="15" customHeight="1">
      <c r="A11" s="53" t="s">
        <v>119</v>
      </c>
      <c r="B11" s="54">
        <f>COUNTIF(Results!$Z$5:$Z$206,A11)</f>
        <v>7</v>
      </c>
      <c r="C11" s="54">
        <f>COUNTIFS(Results!$Z$5:$Z$206,A11,Results!$Y$5:$Y$206,"&gt;0")</f>
        <v>4</v>
      </c>
      <c r="D11" s="55">
        <f>IFERROR(C11/B11,0)</f>
        <v>0.5714285714285714</v>
      </c>
      <c r="E11" s="56">
        <f>SUMIF(Results!$Z$5:$Z$206,A11,Results!$Y$5:$Y$206)</f>
        <v>2900</v>
      </c>
      <c r="F11" s="55">
        <f>IFERROR(E11/SUM($E$6:$E$17),0)</f>
        <v>2.0194986072423399E-2</v>
      </c>
      <c r="G11" s="56">
        <f>IFERROR(E11/C11,0)</f>
        <v>725</v>
      </c>
      <c r="H11" s="54">
        <f>COUNTIFS(Results!$Z$5:$Z$206,A11,Results!$Y$5:$Y$206,0)</f>
        <v>3</v>
      </c>
      <c r="I11" s="54">
        <f>COUNTIFS(Results!$Z$5:$Z$206,A11,Results!$P$5:$P$206,"Review proration")</f>
        <v>0</v>
      </c>
    </row>
    <row r="12" spans="1:15" ht="15" customHeight="1">
      <c r="A12" s="49" t="s">
        <v>159</v>
      </c>
      <c r="B12" s="50">
        <f>COUNTIF(Results!$Z$5:$Z$206,A12)</f>
        <v>14</v>
      </c>
      <c r="C12" s="50">
        <f>COUNTIFS(Results!$Z$5:$Z$206,A12,Results!$Y$5:$Y$206,"&gt;0")</f>
        <v>13</v>
      </c>
      <c r="D12" s="51">
        <f>IFERROR(C12/B12,0)</f>
        <v>0.9285714285714286</v>
      </c>
      <c r="E12" s="52">
        <f>SUMIF(Results!$Z$5:$Z$206,A12,Results!$Y$5:$Y$206)</f>
        <v>11000</v>
      </c>
      <c r="F12" s="51">
        <f>IFERROR(E12/SUM($E$6:$E$17),0)</f>
        <v>7.6601671309192196E-2</v>
      </c>
      <c r="G12" s="52">
        <f>IFERROR(E12/C12,0)</f>
        <v>846.15384615384619</v>
      </c>
      <c r="H12" s="50">
        <f>COUNTIFS(Results!$Z$5:$Z$206,A12,Results!$Y$5:$Y$206,0)</f>
        <v>1</v>
      </c>
      <c r="I12" s="50">
        <f>COUNTIFS(Results!$Z$5:$Z$206,A12,Results!$P$5:$P$206,"Review proration")</f>
        <v>0</v>
      </c>
    </row>
    <row r="13" spans="1:15" ht="15" customHeight="1">
      <c r="A13" s="53" t="s">
        <v>136</v>
      </c>
      <c r="B13" s="54">
        <f>COUNTIF(Results!$Z$5:$Z$206,A13)</f>
        <v>11</v>
      </c>
      <c r="C13" s="54">
        <f>COUNTIFS(Results!$Z$5:$Z$206,A13,Results!$Y$5:$Y$206,"&gt;0")</f>
        <v>0</v>
      </c>
      <c r="D13" s="55">
        <f>IFERROR(C13/B13,0)</f>
        <v>0</v>
      </c>
      <c r="E13" s="56">
        <f>SUMIF(Results!$Z$5:$Z$206,A13,Results!$Y$5:$Y$206)</f>
        <v>0</v>
      </c>
      <c r="F13" s="55">
        <f>IFERROR(E13/SUM($E$6:$E$17),0)</f>
        <v>0</v>
      </c>
      <c r="G13" s="56">
        <f>IFERROR(E13/C13,0)</f>
        <v>0</v>
      </c>
      <c r="H13" s="54">
        <f>COUNTIFS(Results!$Z$5:$Z$206,A13,Results!$Y$5:$Y$206,0)</f>
        <v>11</v>
      </c>
      <c r="I13" s="54">
        <f>COUNTIFS(Results!$Z$5:$Z$206,A13,Results!$P$5:$P$206,"Review proration")</f>
        <v>0</v>
      </c>
    </row>
    <row r="14" spans="1:15" ht="15" customHeight="1">
      <c r="A14" s="49" t="s">
        <v>134</v>
      </c>
      <c r="B14" s="50">
        <f>COUNTIF(Results!$Z$5:$Z$206,A14)</f>
        <v>19</v>
      </c>
      <c r="C14" s="50">
        <f>COUNTIFS(Results!$Z$5:$Z$206,A14,Results!$Y$5:$Y$206,"&gt;0")</f>
        <v>18</v>
      </c>
      <c r="D14" s="51">
        <f>IFERROR(C14/B14,0)</f>
        <v>0.94736842105263153</v>
      </c>
      <c r="E14" s="52">
        <f>SUMIF(Results!$Z$5:$Z$206,A14,Results!$Y$5:$Y$206)</f>
        <v>16600</v>
      </c>
      <c r="F14" s="51">
        <f>IFERROR(E14/SUM($E$6:$E$17),0)</f>
        <v>0.11559888579387187</v>
      </c>
      <c r="G14" s="52">
        <f>IFERROR(E14/C14,0)</f>
        <v>922.22222222222217</v>
      </c>
      <c r="H14" s="50">
        <f>COUNTIFS(Results!$Z$5:$Z$206,A14,Results!$Y$5:$Y$206,0)</f>
        <v>1</v>
      </c>
      <c r="I14" s="50">
        <f>COUNTIFS(Results!$Z$5:$Z$206,A14,Results!$P$5:$P$206,"Review proration")</f>
        <v>0</v>
      </c>
    </row>
    <row r="15" spans="1:15" ht="15" customHeight="1">
      <c r="A15" s="53" t="s">
        <v>141</v>
      </c>
      <c r="B15" s="54">
        <f>COUNTIF(Results!$Z$5:$Z$206,A15)</f>
        <v>18</v>
      </c>
      <c r="C15" s="54">
        <f>COUNTIFS(Results!$Z$5:$Z$206,A15,Results!$Y$5:$Y$206,"&gt;0")</f>
        <v>18</v>
      </c>
      <c r="D15" s="55">
        <f>IFERROR(C15/B15,0)</f>
        <v>1</v>
      </c>
      <c r="E15" s="56">
        <f>SUMIF(Results!$Z$5:$Z$206,A15,Results!$Y$5:$Y$206)</f>
        <v>19800</v>
      </c>
      <c r="F15" s="55">
        <f>IFERROR(E15/SUM($E$6:$E$17),0)</f>
        <v>0.13788300835654596</v>
      </c>
      <c r="G15" s="56">
        <f>IFERROR(E15/C15,0)</f>
        <v>1100</v>
      </c>
      <c r="H15" s="54">
        <f>COUNTIFS(Results!$Z$5:$Z$206,A15,Results!$Y$5:$Y$206,0)</f>
        <v>0</v>
      </c>
      <c r="I15" s="54">
        <f>COUNTIFS(Results!$Z$5:$Z$206,A15,Results!$P$5:$P$206,"Review proration")</f>
        <v>0</v>
      </c>
    </row>
    <row r="16" spans="1:15" ht="15" customHeight="1">
      <c r="A16" s="49" t="s">
        <v>163</v>
      </c>
      <c r="B16" s="50">
        <f>COUNTIF(Results!$Z$5:$Z$206,A16)</f>
        <v>13</v>
      </c>
      <c r="C16" s="50">
        <f>COUNTIFS(Results!$Z$5:$Z$206,A16,Results!$Y$5:$Y$206,"&gt;0")</f>
        <v>13</v>
      </c>
      <c r="D16" s="51">
        <f>IFERROR(C16/B16,0)</f>
        <v>1</v>
      </c>
      <c r="E16" s="52">
        <f>SUMIF(Results!$Z$5:$Z$206,A16,Results!$Y$5:$Y$206)</f>
        <v>12800</v>
      </c>
      <c r="F16" s="51">
        <f>IFERROR(E16/SUM($E$6:$E$17),0)</f>
        <v>8.9136490250696379E-2</v>
      </c>
      <c r="G16" s="52">
        <f>IFERROR(E16/C16,0)</f>
        <v>984.61538461538464</v>
      </c>
      <c r="H16" s="50">
        <f>COUNTIFS(Results!$Z$5:$Z$206,A16,Results!$Y$5:$Y$206,0)</f>
        <v>0</v>
      </c>
      <c r="I16" s="50">
        <f>COUNTIFS(Results!$Z$5:$Z$206,A16,Results!$P$5:$P$206,"Review proration")</f>
        <v>0</v>
      </c>
    </row>
    <row r="17" spans="1:9" ht="15" customHeight="1">
      <c r="A17" s="53" t="s">
        <v>132</v>
      </c>
      <c r="B17" s="54">
        <f>COUNTIF(Results!$Z$5:$Z$206,A17)</f>
        <v>14</v>
      </c>
      <c r="C17" s="54">
        <f>COUNTIFS(Results!$Z$5:$Z$206,A17,Results!$Y$5:$Y$206,"&gt;0")</f>
        <v>12</v>
      </c>
      <c r="D17" s="55">
        <f>IFERROR(C17/B17,0)</f>
        <v>0.8571428571428571</v>
      </c>
      <c r="E17" s="56">
        <f>SUMIF(Results!$Z$5:$Z$206,A17,Results!$Y$5:$Y$206)</f>
        <v>16600</v>
      </c>
      <c r="F17" s="55">
        <f>IFERROR(E17/SUM($E$6:$E$17),0)</f>
        <v>0.11559888579387187</v>
      </c>
      <c r="G17" s="56">
        <f>IFERROR(E17/C17,0)</f>
        <v>1383.3333333333333</v>
      </c>
      <c r="H17" s="54">
        <f>COUNTIFS(Results!$Z$5:$Z$206,A17,Results!$Y$5:$Y$206,0)</f>
        <v>2</v>
      </c>
      <c r="I17" s="54">
        <f>COUNTIFS(Results!$Z$5:$Z$206,A17,Results!$P$5:$P$206,"Review proration")</f>
        <v>0</v>
      </c>
    </row>
    <row r="18" spans="1:9" ht="15" customHeight="1">
      <c r="A18" s="57" t="s">
        <v>334</v>
      </c>
      <c r="B18" s="57">
        <f>COUNT(Results!$A$5:$A$206)</f>
        <v>167</v>
      </c>
      <c r="C18" s="57">
        <f>COUNTIF(Results!$Y$5:$Y$206,"&gt;0")</f>
        <v>144</v>
      </c>
      <c r="D18" s="58">
        <f>IFERROR(C18/B18,0)</f>
        <v>0.86227544910179643</v>
      </c>
      <c r="E18" s="59">
        <f>SUM(E6:E17)</f>
        <v>143600</v>
      </c>
      <c r="F18" s="58">
        <f>SUM(F6:F17)</f>
        <v>1</v>
      </c>
      <c r="G18" s="59">
        <f>IFERROR(E18/C18,0)</f>
        <v>997.22222222222217</v>
      </c>
      <c r="H18" s="57">
        <f>SUM(H6:H17)</f>
        <v>23</v>
      </c>
      <c r="I18" s="57">
        <f>SUM(I6:I17)</f>
        <v>0</v>
      </c>
    </row>
    <row r="20" spans="1:9">
      <c r="A20" s="75" t="s">
        <v>335</v>
      </c>
      <c r="B20" s="75"/>
      <c r="C20" s="75"/>
      <c r="D20" s="75"/>
      <c r="E20" s="75"/>
    </row>
    <row r="21" spans="1:9" ht="15" customHeight="1">
      <c r="A21" s="27" t="s">
        <v>113</v>
      </c>
      <c r="B21" s="27" t="s">
        <v>86</v>
      </c>
      <c r="C21" s="27" t="s">
        <v>88</v>
      </c>
      <c r="D21" s="27" t="s">
        <v>90</v>
      </c>
      <c r="E21" s="27" t="s">
        <v>336</v>
      </c>
      <c r="F21" s="27" t="s">
        <v>92</v>
      </c>
      <c r="G21" s="27" t="s">
        <v>323</v>
      </c>
      <c r="H21" s="27" t="s">
        <v>324</v>
      </c>
    </row>
    <row r="22" spans="1:9" ht="15" customHeight="1">
      <c r="A22" s="60" t="s">
        <v>152</v>
      </c>
      <c r="B22" s="48">
        <f>IFERROR(COUNTIFS(Results!$Z$5:$Z$206,$A22,Results!$E$5:$E$206,"&gt;0")/COUNTIF(Results!$Z$5:$Z$206,$A22),0)</f>
        <v>0.9375</v>
      </c>
      <c r="C22" s="48">
        <f>IFERROR(COUNTIFS(Results!$Z$5:$Z$206,$A22,Results!$F$5:$F$206,"&gt;0")/COUNTIF(Results!$Z$5:$Z$206,$A22),0)</f>
        <v>0.9375</v>
      </c>
      <c r="D22" s="48">
        <f>IFERROR(COUNTIFS(Results!$Z$5:$Z$206,$A22,Results!$G$5:$G$206,"&gt;0")/COUNTIF(Results!$Z$5:$Z$206,$A22),0)</f>
        <v>0.375</v>
      </c>
      <c r="E22" s="48">
        <f>IFERROR(COUNTIFS(Results!$Z$5:$Z$206,$A22,Results!$H$5:$H$206,"&gt;0")/COUNTIF(Results!$Z$5:$Z$206,$A22),0)</f>
        <v>0</v>
      </c>
      <c r="F22" s="48">
        <f>IFERROR(COUNTIFS(Results!$Z$5:$Z$206,$A22,Results!$I$5:$I$206,"&gt;0")/COUNTIF(Results!$Z$5:$Z$206,$A22),0)</f>
        <v>0.1875</v>
      </c>
      <c r="G22" s="48">
        <f>IFERROR(COUNTIFS(Results!$Z$5:$Z$206,$A22,Results!$J$5:$J$206,"&gt;0")/COUNTIF(Results!$Z$5:$Z$206,$A22),0)</f>
        <v>0.75</v>
      </c>
      <c r="H22" s="48">
        <f>IFERROR(COUNTIFS(Results!$Z$5:$Z$206,$A22,Results!$K$5:$K$206,"&gt;0")/COUNTIF(Results!$Z$5:$Z$206,$A22),0)</f>
        <v>0.125</v>
      </c>
    </row>
    <row r="23" spans="1:9" ht="15" customHeight="1">
      <c r="A23" s="60" t="s">
        <v>130</v>
      </c>
      <c r="B23" s="48">
        <f>IFERROR(COUNTIFS(Results!$Z$5:$Z$206,$A23,Results!$E$5:$E$206,"&gt;0")/COUNTIF(Results!$Z$5:$Z$206,$A23),0)</f>
        <v>0.42857142857142855</v>
      </c>
      <c r="C23" s="48">
        <f>IFERROR(COUNTIFS(Results!$Z$5:$Z$206,$A23,Results!$F$5:$F$206,"&gt;0")/COUNTIF(Results!$Z$5:$Z$206,$A23),0)</f>
        <v>0.5714285714285714</v>
      </c>
      <c r="D23" s="48">
        <f>IFERROR(COUNTIFS(Results!$Z$5:$Z$206,$A23,Results!$G$5:$G$206,"&gt;0")/COUNTIF(Results!$Z$5:$Z$206,$A23),0)</f>
        <v>0.5714285714285714</v>
      </c>
      <c r="E23" s="48">
        <f>IFERROR(COUNTIFS(Results!$Z$5:$Z$206,$A23,Results!$H$5:$H$206,"&gt;0")/COUNTIF(Results!$Z$5:$Z$206,$A23),0)</f>
        <v>0</v>
      </c>
      <c r="F23" s="48">
        <f>IFERROR(COUNTIFS(Results!$Z$5:$Z$206,$A23,Results!$I$5:$I$206,"&gt;0")/COUNTIF(Results!$Z$5:$Z$206,$A23),0)</f>
        <v>0</v>
      </c>
      <c r="G23" s="48">
        <f>IFERROR(COUNTIFS(Results!$Z$5:$Z$206,$A23,Results!$J$5:$J$206,"&gt;0")/COUNTIF(Results!$Z$5:$Z$206,$A23),0)</f>
        <v>0.7142857142857143</v>
      </c>
      <c r="H23" s="48">
        <f>IFERROR(COUNTIFS(Results!$Z$5:$Z$206,$A23,Results!$K$5:$K$206,"&gt;0")/COUNTIF(Results!$Z$5:$Z$206,$A23),0)</f>
        <v>0.2857142857142857</v>
      </c>
    </row>
    <row r="24" spans="1:9" ht="15" customHeight="1">
      <c r="A24" s="60" t="s">
        <v>138</v>
      </c>
      <c r="B24" s="48">
        <f>IFERROR(COUNTIFS(Results!$Z$5:$Z$206,$A24,Results!$E$5:$E$206,"&gt;0")/COUNTIF(Results!$Z$5:$Z$206,$A24),0)</f>
        <v>0.5714285714285714</v>
      </c>
      <c r="C24" s="48">
        <f>IFERROR(COUNTIFS(Results!$Z$5:$Z$206,$A24,Results!$F$5:$F$206,"&gt;0")/COUNTIF(Results!$Z$5:$Z$206,$A24),0)</f>
        <v>0.6428571428571429</v>
      </c>
      <c r="D24" s="48">
        <f>IFERROR(COUNTIFS(Results!$Z$5:$Z$206,$A24,Results!$G$5:$G$206,"&gt;0")/COUNTIF(Results!$Z$5:$Z$206,$A24),0)</f>
        <v>0.5714285714285714</v>
      </c>
      <c r="E24" s="48">
        <f>IFERROR(COUNTIFS(Results!$Z$5:$Z$206,$A24,Results!$H$5:$H$206,"&gt;0")/COUNTIF(Results!$Z$5:$Z$206,$A24),0)</f>
        <v>7.1428571428571425E-2</v>
      </c>
      <c r="F24" s="48">
        <f>IFERROR(COUNTIFS(Results!$Z$5:$Z$206,$A24,Results!$I$5:$I$206,"&gt;0")/COUNTIF(Results!$Z$5:$Z$206,$A24),0)</f>
        <v>7.1428571428571425E-2</v>
      </c>
      <c r="G24" s="48">
        <f>IFERROR(COUNTIFS(Results!$Z$5:$Z$206,$A24,Results!$J$5:$J$206,"&gt;0")/COUNTIF(Results!$Z$5:$Z$206,$A24),0)</f>
        <v>0.35714285714285715</v>
      </c>
      <c r="H24" s="48">
        <f>IFERROR(COUNTIFS(Results!$Z$5:$Z$206,$A24,Results!$K$5:$K$206,"&gt;0")/COUNTIF(Results!$Z$5:$Z$206,$A24),0)</f>
        <v>0.35714285714285715</v>
      </c>
    </row>
    <row r="25" spans="1:9" ht="15" customHeight="1">
      <c r="A25" s="60" t="s">
        <v>128</v>
      </c>
      <c r="B25" s="48">
        <f>IFERROR(COUNTIFS(Results!$Z$5:$Z$206,$A25,Results!$E$5:$E$206,"&gt;0")/COUNTIF(Results!$Z$5:$Z$206,$A25),0)</f>
        <v>0.15384615384615385</v>
      </c>
      <c r="C25" s="48">
        <f>IFERROR(COUNTIFS(Results!$Z$5:$Z$206,$A25,Results!$F$5:$F$206,"&gt;0")/COUNTIF(Results!$Z$5:$Z$206,$A25),0)</f>
        <v>0.23076923076923078</v>
      </c>
      <c r="D25" s="48">
        <f>IFERROR(COUNTIFS(Results!$Z$5:$Z$206,$A25,Results!$G$5:$G$206,"&gt;0")/COUNTIF(Results!$Z$5:$Z$206,$A25),0)</f>
        <v>0.53846153846153844</v>
      </c>
      <c r="E25" s="48">
        <f>IFERROR(COUNTIFS(Results!$Z$5:$Z$206,$A25,Results!$H$5:$H$206,"&gt;0")/COUNTIF(Results!$Z$5:$Z$206,$A25),0)</f>
        <v>0</v>
      </c>
      <c r="F25" s="48">
        <f>IFERROR(COUNTIFS(Results!$Z$5:$Z$206,$A25,Results!$I$5:$I$206,"&gt;0")/COUNTIF(Results!$Z$5:$Z$206,$A25),0)</f>
        <v>7.6923076923076927E-2</v>
      </c>
      <c r="G25" s="48">
        <f>IFERROR(COUNTIFS(Results!$Z$5:$Z$206,$A25,Results!$J$5:$J$206,"&gt;0")/COUNTIF(Results!$Z$5:$Z$206,$A25),0)</f>
        <v>0.92307692307692313</v>
      </c>
      <c r="H25" s="48">
        <f>IFERROR(COUNTIFS(Results!$Z$5:$Z$206,$A25,Results!$K$5:$K$206,"&gt;0")/COUNTIF(Results!$Z$5:$Z$206,$A25),0)</f>
        <v>0.38461538461538464</v>
      </c>
    </row>
    <row r="26" spans="1:9" ht="15" customHeight="1">
      <c r="A26" s="60" t="s">
        <v>148</v>
      </c>
      <c r="B26" s="48">
        <f>IFERROR(COUNTIFS(Results!$Z$5:$Z$206,$A26,Results!$E$5:$E$206,"&gt;0")/COUNTIF(Results!$Z$5:$Z$206,$A26),0)</f>
        <v>0.6428571428571429</v>
      </c>
      <c r="C26" s="48">
        <f>IFERROR(COUNTIFS(Results!$Z$5:$Z$206,$A26,Results!$F$5:$F$206,"&gt;0")/COUNTIF(Results!$Z$5:$Z$206,$A26),0)</f>
        <v>0.6428571428571429</v>
      </c>
      <c r="D26" s="48">
        <f>IFERROR(COUNTIFS(Results!$Z$5:$Z$206,$A26,Results!$G$5:$G$206,"&gt;0")/COUNTIF(Results!$Z$5:$Z$206,$A26),0)</f>
        <v>0.2857142857142857</v>
      </c>
      <c r="E26" s="48">
        <f>IFERROR(COUNTIFS(Results!$Z$5:$Z$206,$A26,Results!$H$5:$H$206,"&gt;0")/COUNTIF(Results!$Z$5:$Z$206,$A26),0)</f>
        <v>0</v>
      </c>
      <c r="F26" s="48">
        <f>IFERROR(COUNTIFS(Results!$Z$5:$Z$206,$A26,Results!$I$5:$I$206,"&gt;0")/COUNTIF(Results!$Z$5:$Z$206,$A26),0)</f>
        <v>0.2857142857142857</v>
      </c>
      <c r="G26" s="48">
        <f>IFERROR(COUNTIFS(Results!$Z$5:$Z$206,$A26,Results!$J$5:$J$206,"&gt;0")/COUNTIF(Results!$Z$5:$Z$206,$A26),0)</f>
        <v>0.5714285714285714</v>
      </c>
      <c r="H26" s="48">
        <f>IFERROR(COUNTIFS(Results!$Z$5:$Z$206,$A26,Results!$K$5:$K$206,"&gt;0")/COUNTIF(Results!$Z$5:$Z$206,$A26),0)</f>
        <v>0.14285714285714285</v>
      </c>
    </row>
    <row r="27" spans="1:9" ht="15" customHeight="1">
      <c r="A27" s="60" t="s">
        <v>119</v>
      </c>
      <c r="B27" s="48">
        <f>IFERROR(COUNTIFS(Results!$Z$5:$Z$206,$A27,Results!$E$5:$E$206,"&gt;0")/COUNTIF(Results!$Z$5:$Z$206,$A27),0)</f>
        <v>0</v>
      </c>
      <c r="C27" s="48">
        <f>IFERROR(COUNTIFS(Results!$Z$5:$Z$206,$A27,Results!$F$5:$F$206,"&gt;0")/COUNTIF(Results!$Z$5:$Z$206,$A27),0)</f>
        <v>0.2857142857142857</v>
      </c>
      <c r="D27" s="48">
        <f>IFERROR(COUNTIFS(Results!$Z$5:$Z$206,$A27,Results!$G$5:$G$206,"&gt;0")/COUNTIF(Results!$Z$5:$Z$206,$A27),0)</f>
        <v>0.42857142857142855</v>
      </c>
      <c r="E27" s="48">
        <f>IFERROR(COUNTIFS(Results!$Z$5:$Z$206,$A27,Results!$H$5:$H$206,"&gt;0")/COUNTIF(Results!$Z$5:$Z$206,$A27),0)</f>
        <v>0</v>
      </c>
      <c r="F27" s="48">
        <f>IFERROR(COUNTIFS(Results!$Z$5:$Z$206,$A27,Results!$I$5:$I$206,"&gt;0")/COUNTIF(Results!$Z$5:$Z$206,$A27),0)</f>
        <v>0</v>
      </c>
      <c r="G27" s="48">
        <f>IFERROR(COUNTIFS(Results!$Z$5:$Z$206,$A27,Results!$J$5:$J$206,"&gt;0")/COUNTIF(Results!$Z$5:$Z$206,$A27),0)</f>
        <v>0</v>
      </c>
      <c r="H27" s="48">
        <f>IFERROR(COUNTIFS(Results!$Z$5:$Z$206,$A27,Results!$K$5:$K$206,"&gt;0")/COUNTIF(Results!$Z$5:$Z$206,$A27),0)</f>
        <v>0.2857142857142857</v>
      </c>
    </row>
    <row r="28" spans="1:9" ht="15" customHeight="1">
      <c r="A28" s="60" t="s">
        <v>159</v>
      </c>
      <c r="B28" s="48">
        <f>IFERROR(COUNTIFS(Results!$Z$5:$Z$206,$A28,Results!$E$5:$E$206,"&gt;0")/COUNTIF(Results!$Z$5:$Z$206,$A28),0)</f>
        <v>0.9285714285714286</v>
      </c>
      <c r="C28" s="48">
        <f>IFERROR(COUNTIFS(Results!$Z$5:$Z$206,$A28,Results!$F$5:$F$206,"&gt;0")/COUNTIF(Results!$Z$5:$Z$206,$A28),0)</f>
        <v>0.8571428571428571</v>
      </c>
      <c r="D28" s="48">
        <f>IFERROR(COUNTIFS(Results!$Z$5:$Z$206,$A28,Results!$G$5:$G$206,"&gt;0")/COUNTIF(Results!$Z$5:$Z$206,$A28),0)</f>
        <v>0.14285714285714285</v>
      </c>
      <c r="E28" s="48">
        <f>IFERROR(COUNTIFS(Results!$Z$5:$Z$206,$A28,Results!$H$5:$H$206,"&gt;0")/COUNTIF(Results!$Z$5:$Z$206,$A28),0)</f>
        <v>0</v>
      </c>
      <c r="F28" s="48">
        <f>IFERROR(COUNTIFS(Results!$Z$5:$Z$206,$A28,Results!$I$5:$I$206,"&gt;0")/COUNTIF(Results!$Z$5:$Z$206,$A28),0)</f>
        <v>0.14285714285714285</v>
      </c>
      <c r="G28" s="48">
        <f>IFERROR(COUNTIFS(Results!$Z$5:$Z$206,$A28,Results!$J$5:$J$206,"&gt;0")/COUNTIF(Results!$Z$5:$Z$206,$A28),0)</f>
        <v>0.42857142857142855</v>
      </c>
      <c r="H28" s="48">
        <f>IFERROR(COUNTIFS(Results!$Z$5:$Z$206,$A28,Results!$K$5:$K$206,"&gt;0")/COUNTIF(Results!$Z$5:$Z$206,$A28),0)</f>
        <v>7.1428571428571425E-2</v>
      </c>
    </row>
    <row r="29" spans="1:9" ht="15" customHeight="1">
      <c r="A29" s="60" t="s">
        <v>136</v>
      </c>
      <c r="B29" s="48">
        <f>IFERROR(COUNTIFS(Results!$Z$5:$Z$206,$A29,Results!$E$5:$E$206,"&gt;0")/COUNTIF(Results!$Z$5:$Z$206,$A29),0)</f>
        <v>0</v>
      </c>
      <c r="C29" s="48">
        <f>IFERROR(COUNTIFS(Results!$Z$5:$Z$206,$A29,Results!$F$5:$F$206,"&gt;0")/COUNTIF(Results!$Z$5:$Z$206,$A29),0)</f>
        <v>0</v>
      </c>
      <c r="D29" s="48">
        <f>IFERROR(COUNTIFS(Results!$Z$5:$Z$206,$A29,Results!$G$5:$G$206,"&gt;0")/COUNTIF(Results!$Z$5:$Z$206,$A29),0)</f>
        <v>0</v>
      </c>
      <c r="E29" s="48">
        <f>IFERROR(COUNTIFS(Results!$Z$5:$Z$206,$A29,Results!$H$5:$H$206,"&gt;0")/COUNTIF(Results!$Z$5:$Z$206,$A29),0)</f>
        <v>0</v>
      </c>
      <c r="F29" s="48">
        <f>IFERROR(COUNTIFS(Results!$Z$5:$Z$206,$A29,Results!$I$5:$I$206,"&gt;0")/COUNTIF(Results!$Z$5:$Z$206,$A29),0)</f>
        <v>0</v>
      </c>
      <c r="G29" s="48">
        <f>IFERROR(COUNTIFS(Results!$Z$5:$Z$206,$A29,Results!$J$5:$J$206,"&gt;0")/COUNTIF(Results!$Z$5:$Z$206,$A29),0)</f>
        <v>0</v>
      </c>
      <c r="H29" s="48">
        <f>IFERROR(COUNTIFS(Results!$Z$5:$Z$206,$A29,Results!$K$5:$K$206,"&gt;0")/COUNTIF(Results!$Z$5:$Z$206,$A29),0)</f>
        <v>0</v>
      </c>
    </row>
    <row r="30" spans="1:9" ht="15" customHeight="1">
      <c r="A30" s="60" t="s">
        <v>134</v>
      </c>
      <c r="B30" s="48">
        <f>IFERROR(COUNTIFS(Results!$Z$5:$Z$206,$A30,Results!$E$5:$E$206,"&gt;0")/COUNTIF(Results!$Z$5:$Z$206,$A30),0)</f>
        <v>0.31578947368421051</v>
      </c>
      <c r="C30" s="48">
        <f>IFERROR(COUNTIFS(Results!$Z$5:$Z$206,$A30,Results!$F$5:$F$206,"&gt;0")/COUNTIF(Results!$Z$5:$Z$206,$A30),0)</f>
        <v>0.31578947368421051</v>
      </c>
      <c r="D30" s="48">
        <f>IFERROR(COUNTIFS(Results!$Z$5:$Z$206,$A30,Results!$G$5:$G$206,"&gt;0")/COUNTIF(Results!$Z$5:$Z$206,$A30),0)</f>
        <v>0.42105263157894735</v>
      </c>
      <c r="E30" s="48">
        <f>IFERROR(COUNTIFS(Results!$Z$5:$Z$206,$A30,Results!$H$5:$H$206,"&gt;0")/COUNTIF(Results!$Z$5:$Z$206,$A30),0)</f>
        <v>0</v>
      </c>
      <c r="F30" s="48">
        <f>IFERROR(COUNTIFS(Results!$Z$5:$Z$206,$A30,Results!$I$5:$I$206,"&gt;0")/COUNTIF(Results!$Z$5:$Z$206,$A30),0)</f>
        <v>0.10526315789473684</v>
      </c>
      <c r="G30" s="48">
        <f>IFERROR(COUNTIFS(Results!$Z$5:$Z$206,$A30,Results!$J$5:$J$206,"&gt;0")/COUNTIF(Results!$Z$5:$Z$206,$A30),0)</f>
        <v>0.89473684210526316</v>
      </c>
      <c r="H30" s="48">
        <f>IFERROR(COUNTIFS(Results!$Z$5:$Z$206,$A30,Results!$K$5:$K$206,"&gt;0")/COUNTIF(Results!$Z$5:$Z$206,$A30),0)</f>
        <v>0.36842105263157893</v>
      </c>
    </row>
    <row r="31" spans="1:9" ht="15" customHeight="1">
      <c r="A31" s="60" t="s">
        <v>141</v>
      </c>
      <c r="B31" s="48">
        <f>IFERROR(COUNTIFS(Results!$Z$5:$Z$206,$A31,Results!$E$5:$E$206,"&gt;0")/COUNTIF(Results!$Z$5:$Z$206,$A31),0)</f>
        <v>0.16666666666666666</v>
      </c>
      <c r="C31" s="48">
        <f>IFERROR(COUNTIFS(Results!$Z$5:$Z$206,$A31,Results!$F$5:$F$206,"&gt;0")/COUNTIF(Results!$Z$5:$Z$206,$A31),0)</f>
        <v>0.33333333333333331</v>
      </c>
      <c r="D31" s="48">
        <f>IFERROR(COUNTIFS(Results!$Z$5:$Z$206,$A31,Results!$G$5:$G$206,"&gt;0")/COUNTIF(Results!$Z$5:$Z$206,$A31),0)</f>
        <v>0.61111111111111116</v>
      </c>
      <c r="E31" s="48">
        <f>IFERROR(COUNTIFS(Results!$Z$5:$Z$206,$A31,Results!$H$5:$H$206,"&gt;0")/COUNTIF(Results!$Z$5:$Z$206,$A31),0)</f>
        <v>0</v>
      </c>
      <c r="F31" s="48">
        <f>IFERROR(COUNTIFS(Results!$Z$5:$Z$206,$A31,Results!$I$5:$I$206,"&gt;0")/COUNTIF(Results!$Z$5:$Z$206,$A31),0)</f>
        <v>0.16666666666666666</v>
      </c>
      <c r="G31" s="48">
        <f>IFERROR(COUNTIFS(Results!$Z$5:$Z$206,$A31,Results!$J$5:$J$206,"&gt;0")/COUNTIF(Results!$Z$5:$Z$206,$A31),0)</f>
        <v>1</v>
      </c>
      <c r="H31" s="48">
        <f>IFERROR(COUNTIFS(Results!$Z$5:$Z$206,$A31,Results!$K$5:$K$206,"&gt;0")/COUNTIF(Results!$Z$5:$Z$206,$A31),0)</f>
        <v>0.61111111111111116</v>
      </c>
    </row>
    <row r="32" spans="1:9" ht="15" customHeight="1">
      <c r="A32" s="60" t="s">
        <v>163</v>
      </c>
      <c r="B32" s="48">
        <f>IFERROR(COUNTIFS(Results!$Z$5:$Z$206,$A32,Results!$E$5:$E$206,"&gt;0")/COUNTIF(Results!$Z$5:$Z$206,$A32),0)</f>
        <v>0.76923076923076927</v>
      </c>
      <c r="C32" s="48">
        <f>IFERROR(COUNTIFS(Results!$Z$5:$Z$206,$A32,Results!$F$5:$F$206,"&gt;0")/COUNTIF(Results!$Z$5:$Z$206,$A32),0)</f>
        <v>0.76923076923076927</v>
      </c>
      <c r="D32" s="48">
        <f>IFERROR(COUNTIFS(Results!$Z$5:$Z$206,$A32,Results!$G$5:$G$206,"&gt;0")/COUNTIF(Results!$Z$5:$Z$206,$A32),0)</f>
        <v>0.15384615384615385</v>
      </c>
      <c r="E32" s="48">
        <f>IFERROR(COUNTIFS(Results!$Z$5:$Z$206,$A32,Results!$H$5:$H$206,"&gt;0")/COUNTIF(Results!$Z$5:$Z$206,$A32),0)</f>
        <v>0</v>
      </c>
      <c r="F32" s="48">
        <f>IFERROR(COUNTIFS(Results!$Z$5:$Z$206,$A32,Results!$I$5:$I$206,"&gt;0")/COUNTIF(Results!$Z$5:$Z$206,$A32),0)</f>
        <v>0.61538461538461542</v>
      </c>
      <c r="G32" s="48">
        <f>IFERROR(COUNTIFS(Results!$Z$5:$Z$206,$A32,Results!$J$5:$J$206,"&gt;0")/COUNTIF(Results!$Z$5:$Z$206,$A32),0)</f>
        <v>0.69230769230769229</v>
      </c>
      <c r="H32" s="48">
        <f>IFERROR(COUNTIFS(Results!$Z$5:$Z$206,$A32,Results!$K$5:$K$206,"&gt;0")/COUNTIF(Results!$Z$5:$Z$206,$A32),0)</f>
        <v>7.6923076923076927E-2</v>
      </c>
    </row>
    <row r="33" spans="1:8" ht="15" customHeight="1">
      <c r="A33" s="60" t="s">
        <v>132</v>
      </c>
      <c r="B33" s="48">
        <f>IFERROR(COUNTIFS(Results!$Z$5:$Z$206,$A33,Results!$E$5:$E$206,"&gt;0")/COUNTIF(Results!$Z$5:$Z$206,$A33),0)</f>
        <v>0.14285714285714285</v>
      </c>
      <c r="C33" s="48">
        <f>IFERROR(COUNTIFS(Results!$Z$5:$Z$206,$A33,Results!$F$5:$F$206,"&gt;0")/COUNTIF(Results!$Z$5:$Z$206,$A33),0)</f>
        <v>0.21428571428571427</v>
      </c>
      <c r="D33" s="48">
        <f>IFERROR(COUNTIFS(Results!$Z$5:$Z$206,$A33,Results!$G$5:$G$206,"&gt;0")/COUNTIF(Results!$Z$5:$Z$206,$A33),0)</f>
        <v>0.8571428571428571</v>
      </c>
      <c r="E33" s="48">
        <f>IFERROR(COUNTIFS(Results!$Z$5:$Z$206,$A33,Results!$H$5:$H$206,"&gt;0")/COUNTIF(Results!$Z$5:$Z$206,$A33),0)</f>
        <v>0.14285714285714285</v>
      </c>
      <c r="F33" s="48">
        <f>IFERROR(COUNTIFS(Results!$Z$5:$Z$206,$A33,Results!$I$5:$I$206,"&gt;0")/COUNTIF(Results!$Z$5:$Z$206,$A33),0)</f>
        <v>0</v>
      </c>
      <c r="G33" s="48">
        <f>IFERROR(COUNTIFS(Results!$Z$5:$Z$206,$A33,Results!$J$5:$J$206,"&gt;0")/COUNTIF(Results!$Z$5:$Z$206,$A33),0)</f>
        <v>0.7857142857142857</v>
      </c>
      <c r="H33" s="48">
        <f>IFERROR(COUNTIFS(Results!$Z$5:$Z$206,$A33,Results!$K$5:$K$206,"&gt;0")/COUNTIF(Results!$Z$5:$Z$206,$A33),0)</f>
        <v>0.8571428571428571</v>
      </c>
    </row>
  </sheetData>
  <mergeCells count="3">
    <mergeCell ref="A1:O1"/>
    <mergeCell ref="A2:O2"/>
    <mergeCell ref="A20:E20"/>
  </mergeCells>
  <conditionalFormatting sqref="B22:H33">
    <cfRule type="colorScale" priority="2">
      <colorScale>
        <cfvo type="min"/>
        <cfvo type="percentile" val="50"/>
        <cfvo type="max"/>
        <color rgb="FFFCE8E6"/>
        <color rgb="FFFFF2CC"/>
        <color rgb="FFD9EAD3"/>
      </colorScale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7"/>
  <sheetViews>
    <sheetView showGridLines="0" topLeftCell="A7" zoomScaleNormal="100" workbookViewId="0">
      <selection activeCell="B5" sqref="B5"/>
    </sheetView>
  </sheetViews>
  <sheetFormatPr defaultColWidth="8.7109375" defaultRowHeight="14.25"/>
  <cols>
    <col min="1" max="1" width="3" customWidth="1"/>
    <col min="2" max="2" width="16" customWidth="1"/>
    <col min="3" max="4" width="12" customWidth="1"/>
    <col min="5" max="5" width="14" customWidth="1"/>
    <col min="6" max="6" width="11.7109375" customWidth="1"/>
    <col min="7" max="7" width="16" customWidth="1"/>
    <col min="8" max="9" width="12" customWidth="1"/>
    <col min="10" max="10" width="14" customWidth="1"/>
    <col min="11" max="11" width="3" customWidth="1"/>
    <col min="12" max="12" width="16" customWidth="1"/>
    <col min="13" max="14" width="12" customWidth="1"/>
    <col min="15" max="15" width="14" customWidth="1"/>
    <col min="16" max="16" width="3" customWidth="1"/>
  </cols>
  <sheetData>
    <row r="1" spans="1:16" ht="19.5" customHeight="1">
      <c r="A1" s="10"/>
      <c r="B1" s="71" t="s">
        <v>337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10"/>
    </row>
    <row r="2" spans="1:16" ht="19.5" customHeight="1">
      <c r="A2" s="10"/>
      <c r="B2" s="76"/>
      <c r="C2" s="76"/>
      <c r="D2" s="76"/>
      <c r="E2" s="76"/>
      <c r="F2" s="76"/>
      <c r="G2" s="76"/>
      <c r="H2" s="76"/>
      <c r="I2" s="76"/>
      <c r="J2" s="76"/>
      <c r="K2" s="76"/>
      <c r="L2" s="7" t="s">
        <v>338</v>
      </c>
      <c r="M2" s="7"/>
      <c r="N2" s="7"/>
      <c r="O2" s="7"/>
      <c r="P2" s="10"/>
    </row>
    <row r="3" spans="1:16" ht="19.5" customHeight="1"/>
    <row r="4" spans="1:16" ht="19.5" customHeight="1">
      <c r="B4" s="6" t="s">
        <v>339</v>
      </c>
      <c r="C4" s="6"/>
      <c r="D4" s="6"/>
      <c r="G4" s="5" t="s">
        <v>340</v>
      </c>
      <c r="H4" s="5"/>
      <c r="I4" s="5"/>
      <c r="L4" s="4" t="s">
        <v>341</v>
      </c>
      <c r="M4" s="4"/>
      <c r="N4" s="4"/>
    </row>
    <row r="5" spans="1:16" ht="19.5" customHeight="1">
      <c r="B5" s="3">
        <f>SUM(Results!Y5:Y206)</f>
        <v>143600</v>
      </c>
      <c r="C5" s="3"/>
      <c r="D5" s="3"/>
      <c r="G5" s="2">
        <f>COUNTIF(Results!Y5:Y206,"&gt;0")</f>
        <v>144</v>
      </c>
      <c r="H5" s="2"/>
      <c r="I5" s="2"/>
      <c r="L5" s="3">
        <f>IFERROR(AVERAGEIF(Results!Y5:Y206,"&gt;0"),0)</f>
        <v>997.22222222222217</v>
      </c>
      <c r="M5" s="3"/>
      <c r="N5" s="3"/>
    </row>
    <row r="6" spans="1:16" ht="19.5" customHeight="1">
      <c r="B6" s="3"/>
      <c r="C6" s="3"/>
      <c r="D6" s="3"/>
      <c r="G6" s="2"/>
      <c r="H6" s="2"/>
      <c r="I6" s="2"/>
      <c r="L6" s="3"/>
      <c r="M6" s="3"/>
      <c r="N6" s="3"/>
    </row>
    <row r="7" spans="1:16" ht="19.5" customHeight="1">
      <c r="B7" s="3"/>
      <c r="C7" s="3"/>
      <c r="D7" s="3"/>
      <c r="G7" s="2"/>
      <c r="H7" s="2"/>
      <c r="I7" s="2"/>
      <c r="L7" s="3"/>
      <c r="M7" s="3"/>
      <c r="N7" s="3"/>
    </row>
    <row r="8" spans="1:16" ht="19.5" customHeight="1">
      <c r="B8" s="1" t="s">
        <v>342</v>
      </c>
      <c r="C8" s="1"/>
      <c r="D8" s="1"/>
      <c r="G8" s="1" t="s">
        <v>343</v>
      </c>
      <c r="H8" s="1"/>
      <c r="I8" s="1"/>
      <c r="L8" s="1" t="s">
        <v>344</v>
      </c>
      <c r="M8" s="1"/>
      <c r="N8" s="1"/>
    </row>
    <row r="9" spans="1:16" ht="19.5" customHeight="1">
      <c r="B9" s="68">
        <f>IFERROR(COUNTIF(Results!Y5:Y206,"&gt;0")/COUNT(Results!A5:A206),0)</f>
        <v>0.86227544910179643</v>
      </c>
      <c r="C9" s="68"/>
      <c r="D9" s="68"/>
      <c r="G9" s="69">
        <f>MAX(Results!Y5:Y206)</f>
        <v>2200</v>
      </c>
      <c r="H9" s="69"/>
      <c r="I9" s="69"/>
      <c r="L9" s="70">
        <f>COUNTIF(Control_Checks!E5:E16,"REVIEW")</f>
        <v>1</v>
      </c>
      <c r="M9" s="70"/>
      <c r="N9" s="70"/>
    </row>
    <row r="10" spans="1:16" ht="19.5" customHeight="1"/>
    <row r="11" spans="1:16" ht="19.5" customHeight="1">
      <c r="B11" s="77" t="s">
        <v>345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</row>
    <row r="12" spans="1:16" ht="19.5" customHeight="1"/>
    <row r="13" spans="1:16" ht="19.5" customHeight="1">
      <c r="B13" s="39" t="s">
        <v>299</v>
      </c>
      <c r="C13" s="39" t="s">
        <v>326</v>
      </c>
      <c r="D13" s="39" t="s">
        <v>346</v>
      </c>
      <c r="E13" s="39" t="s">
        <v>328</v>
      </c>
      <c r="F13" s="39" t="s">
        <v>314</v>
      </c>
      <c r="G13" s="39" t="s">
        <v>330</v>
      </c>
      <c r="H13" s="39" t="s">
        <v>331</v>
      </c>
      <c r="I13" s="39" t="s">
        <v>332</v>
      </c>
      <c r="J13" s="39" t="s">
        <v>333</v>
      </c>
    </row>
    <row r="14" spans="1:16" ht="19.5" customHeight="1">
      <c r="B14" s="40" t="s">
        <v>85</v>
      </c>
      <c r="C14" s="18">
        <f>COUNTIF(Results!C5:C206,B14)</f>
        <v>7</v>
      </c>
      <c r="D14" s="18">
        <f>COUNTIFS(Results!C5:C206,B14,Results!Y5:Y206,"&gt;0")</f>
        <v>4</v>
      </c>
      <c r="E14" s="41">
        <f>IFERROR(D14/C14,0)</f>
        <v>0.5714285714285714</v>
      </c>
      <c r="F14" s="61">
        <f>SUMIF(Results!C5:C206,B14,Results!Y5:Y206)</f>
        <v>2900</v>
      </c>
      <c r="G14" s="41">
        <f>IFERROR(F14/SUM($F$14:$F$19),0)</f>
        <v>2.0194986072423399E-2</v>
      </c>
      <c r="H14" s="61">
        <f>IFERROR(F14/D14,0)</f>
        <v>725</v>
      </c>
      <c r="I14" s="18">
        <f>COUNTIFS(Results!C5:C206,B14,Results!Y5:Y206,0)</f>
        <v>3</v>
      </c>
      <c r="J14" s="18">
        <f>COUNTIFS(Results!C5:C206,B14,Results!P5:P206,"Review proration")</f>
        <v>0</v>
      </c>
    </row>
    <row r="15" spans="1:16" ht="19.5" customHeight="1">
      <c r="B15" s="43" t="s">
        <v>95</v>
      </c>
      <c r="C15" s="44">
        <f>COUNTIF(Results!C5:C206,B15)</f>
        <v>24</v>
      </c>
      <c r="D15" s="44">
        <f>COUNTIFS(Results!C5:C206,B15,Results!Y5:Y206,"&gt;0")</f>
        <v>23</v>
      </c>
      <c r="E15" s="45">
        <f>IFERROR(D15/C15,0)</f>
        <v>0.95833333333333337</v>
      </c>
      <c r="F15" s="62">
        <f>SUMIF(Results!C5:C206,B15,Results!Y5:Y206)</f>
        <v>21700</v>
      </c>
      <c r="G15" s="45">
        <f>IFERROR(F15/SUM($F$14:$F$19),0)</f>
        <v>0.1511142061281337</v>
      </c>
      <c r="H15" s="62">
        <f>IFERROR(F15/D15,0)</f>
        <v>943.47826086956525</v>
      </c>
      <c r="I15" s="44">
        <f>COUNTIFS(Results!C5:C206,B15,Results!Y5:Y206,0)</f>
        <v>1</v>
      </c>
      <c r="J15" s="44">
        <f>COUNTIFS(Results!C5:C206,B15,Results!P5:P206,"Review proration")</f>
        <v>0</v>
      </c>
    </row>
    <row r="16" spans="1:16" ht="19.5" customHeight="1">
      <c r="B16" s="40" t="s">
        <v>96</v>
      </c>
      <c r="C16" s="18">
        <f>COUNTIF(Results!C5:C206,B16)</f>
        <v>59</v>
      </c>
      <c r="D16" s="18">
        <f>COUNTIFS(Results!C5:C206,B16,Results!Y5:Y206,"&gt;0")</f>
        <v>56</v>
      </c>
      <c r="E16" s="41">
        <f>IFERROR(D16/C16,0)</f>
        <v>0.94915254237288138</v>
      </c>
      <c r="F16" s="61">
        <f>SUMIF(Results!C5:C206,B16,Results!Y5:Y206)</f>
        <v>62600</v>
      </c>
      <c r="G16" s="41">
        <f>IFERROR(F16/SUM($F$14:$F$19),0)</f>
        <v>0.435933147632312</v>
      </c>
      <c r="H16" s="61">
        <f>IFERROR(F16/D16,0)</f>
        <v>1117.8571428571429</v>
      </c>
      <c r="I16" s="18">
        <f>COUNTIFS(Results!C5:C206,B16,Results!Y5:Y206,0)</f>
        <v>3</v>
      </c>
      <c r="J16" s="18">
        <f>COUNTIFS(Results!C5:C206,B16,Results!P5:P206,"Review proration")</f>
        <v>0</v>
      </c>
    </row>
    <row r="17" spans="2:15" ht="19.5" customHeight="1">
      <c r="B17" s="43" t="s">
        <v>97</v>
      </c>
      <c r="C17" s="44">
        <f>COUNTIF(Results!C5:C206,B17)</f>
        <v>18</v>
      </c>
      <c r="D17" s="44">
        <f>COUNTIFS(Results!C5:C206,B17,Results!Y5:Y206,"&gt;0")</f>
        <v>18</v>
      </c>
      <c r="E17" s="45">
        <f>IFERROR(D17/C17,0)</f>
        <v>1</v>
      </c>
      <c r="F17" s="62">
        <f>SUMIF(Results!C5:C206,B17,Results!Y5:Y206)</f>
        <v>14300</v>
      </c>
      <c r="G17" s="45">
        <f>IFERROR(F17/SUM($F$14:$F$19),0)</f>
        <v>9.9582172701949856E-2</v>
      </c>
      <c r="H17" s="62">
        <f>IFERROR(F17/D17,0)</f>
        <v>794.44444444444446</v>
      </c>
      <c r="I17" s="44">
        <f>COUNTIFS(Results!C5:C206,B17,Results!Y5:Y206,0)</f>
        <v>0</v>
      </c>
      <c r="J17" s="44">
        <f>COUNTIFS(Results!C5:C206,B17,Results!P5:P206,"Review proration")</f>
        <v>0</v>
      </c>
    </row>
    <row r="18" spans="2:15" ht="19.5" customHeight="1">
      <c r="B18" s="40" t="s">
        <v>98</v>
      </c>
      <c r="C18" s="18">
        <f>COUNTIF(Results!C5:C206,B18)</f>
        <v>45</v>
      </c>
      <c r="D18" s="18">
        <f>COUNTIFS(Results!C5:C206,B18,Results!Y5:Y206,"&gt;0")</f>
        <v>32</v>
      </c>
      <c r="E18" s="41">
        <f>IFERROR(D18/C18,0)</f>
        <v>0.71111111111111114</v>
      </c>
      <c r="F18" s="61">
        <f>SUMIF(Results!C5:C206,B18,Results!Y5:Y206)</f>
        <v>30400</v>
      </c>
      <c r="G18" s="41">
        <f>IFERROR(F18/SUM($F$14:$F$19),0)</f>
        <v>0.2116991643454039</v>
      </c>
      <c r="H18" s="61">
        <f>IFERROR(F18/D18,0)</f>
        <v>950</v>
      </c>
      <c r="I18" s="18">
        <f>COUNTIFS(Results!C5:C206,B18,Results!Y5:Y206,0)</f>
        <v>13</v>
      </c>
      <c r="J18" s="18">
        <f>COUNTIFS(Results!C5:C206,B18,Results!P5:P206,"Review proration")</f>
        <v>0</v>
      </c>
    </row>
    <row r="19" spans="2:15" ht="19.5" customHeight="1">
      <c r="B19" s="43" t="s">
        <v>99</v>
      </c>
      <c r="C19" s="44">
        <f>COUNTIF(Results!C5:C206,B19)</f>
        <v>14</v>
      </c>
      <c r="D19" s="44">
        <f>COUNTIFS(Results!C5:C206,B19,Results!Y5:Y206,"&gt;0")</f>
        <v>11</v>
      </c>
      <c r="E19" s="45">
        <f>IFERROR(D19/C19,0)</f>
        <v>0.7857142857142857</v>
      </c>
      <c r="F19" s="62">
        <f>SUMIF(Results!C5:C206,B19,Results!Y5:Y206)</f>
        <v>11700</v>
      </c>
      <c r="G19" s="45">
        <f>IFERROR(F19/SUM($F$14:$F$19),0)</f>
        <v>8.1476323119777164E-2</v>
      </c>
      <c r="H19" s="62">
        <f>IFERROR(F19/D19,0)</f>
        <v>1063.6363636363637</v>
      </c>
      <c r="I19" s="44">
        <f>COUNTIFS(Results!C5:C206,B19,Results!Y5:Y206,0)</f>
        <v>3</v>
      </c>
      <c r="J19" s="44">
        <f>COUNTIFS(Results!C5:C206,B19,Results!P5:P206,"Review proration")</f>
        <v>0</v>
      </c>
    </row>
    <row r="20" spans="2:15" ht="19.5" customHeight="1">
      <c r="B20" s="63" t="s">
        <v>334</v>
      </c>
      <c r="C20" s="63">
        <f>COUNT(Results!$A$5:$A$206)</f>
        <v>167</v>
      </c>
      <c r="D20" s="63">
        <f>COUNTIF(Results!Y5:Y206,"&gt;0")</f>
        <v>144</v>
      </c>
      <c r="E20" s="64">
        <f>IFERROR(D20/C20,0)</f>
        <v>0.86227544910179643</v>
      </c>
      <c r="F20" s="65">
        <f>SUM(F14:F19)</f>
        <v>143600</v>
      </c>
      <c r="G20" s="64">
        <f>SUM(G14:G19)</f>
        <v>1</v>
      </c>
      <c r="H20" s="65">
        <f>IFERROR(F20/D20,0)</f>
        <v>997.22222222222217</v>
      </c>
      <c r="I20" s="63">
        <f>SUM(I14:I19)</f>
        <v>23</v>
      </c>
      <c r="J20" s="63">
        <f>SUM(J14:J19)</f>
        <v>0</v>
      </c>
    </row>
    <row r="21" spans="2:15" ht="19.5" customHeight="1"/>
    <row r="22" spans="2:15" ht="19.5" customHeight="1">
      <c r="B22" s="77" t="s">
        <v>347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</row>
    <row r="23" spans="2:15" ht="19.5" customHeight="1"/>
    <row r="24" spans="2:15" ht="19.5" customHeight="1"/>
    <row r="25" spans="2:15" ht="19.5" customHeight="1"/>
    <row r="26" spans="2:15" ht="19.5" customHeight="1"/>
    <row r="27" spans="2:15" ht="19.5" customHeight="1"/>
    <row r="28" spans="2:15" ht="19.5" customHeight="1"/>
    <row r="29" spans="2:15" ht="19.5" customHeight="1"/>
    <row r="30" spans="2:15" ht="19.5" customHeight="1"/>
    <row r="31" spans="2:15" ht="19.5" customHeight="1"/>
    <row r="32" spans="2:15" ht="19.5" customHeight="1"/>
    <row r="33" spans="2:15" ht="19.5" customHeight="1"/>
    <row r="34" spans="2:15" ht="19.5" customHeight="1"/>
    <row r="35" spans="2:15" ht="19.5" customHeight="1"/>
    <row r="36" spans="2:15" ht="19.5" customHeight="1"/>
    <row r="37" spans="2:15" ht="19.5" customHeight="1"/>
    <row r="38" spans="2:15" ht="19.5" customHeight="1"/>
    <row r="39" spans="2:15" ht="19.5" customHeight="1"/>
    <row r="40" spans="2:15" ht="19.5" customHeight="1">
      <c r="B40" s="77" t="s">
        <v>348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</row>
    <row r="41" spans="2:15" ht="19.5" customHeight="1"/>
    <row r="42" spans="2:15" ht="19.5" customHeight="1">
      <c r="B42" s="66" t="s">
        <v>349</v>
      </c>
      <c r="C42" s="66" t="s">
        <v>326</v>
      </c>
      <c r="D42" s="66" t="s">
        <v>350</v>
      </c>
    </row>
    <row r="43" spans="2:15" ht="19.5" customHeight="1">
      <c r="B43" t="s">
        <v>351</v>
      </c>
      <c r="C43">
        <f>COUNTIF(Results!Y5:Y206,0)</f>
        <v>23</v>
      </c>
      <c r="D43" s="25">
        <f>IFERROR(C43/SUM($C$43:$C$47),0)</f>
        <v>0.1377245508982036</v>
      </c>
    </row>
    <row r="44" spans="2:15" ht="19.5" customHeight="1">
      <c r="B44" t="s">
        <v>352</v>
      </c>
      <c r="C44">
        <f>COUNTIFS(Results!Y5:Y206,"&gt;0",Results!Y5:Y206,"&lt;500")</f>
        <v>26</v>
      </c>
      <c r="D44" s="25">
        <f>IFERROR(C44/SUM($C$43:$C$47),0)</f>
        <v>0.15568862275449102</v>
      </c>
    </row>
    <row r="45" spans="2:15" ht="19.5" customHeight="1">
      <c r="B45" t="s">
        <v>353</v>
      </c>
      <c r="C45">
        <f>COUNTIFS(Results!Y5:Y206,"&gt;=500",Results!Y5:Y206,"&lt;1000")</f>
        <v>51</v>
      </c>
      <c r="D45" s="25">
        <f>IFERROR(C45/SUM($C$43:$C$47),0)</f>
        <v>0.30538922155688625</v>
      </c>
    </row>
    <row r="46" spans="2:15" ht="19.5" customHeight="1">
      <c r="B46" t="s">
        <v>354</v>
      </c>
      <c r="C46">
        <f>COUNTIFS(Results!Y5:Y206,"&gt;=1000",Results!Y5:Y206,"&lt;1500")</f>
        <v>42</v>
      </c>
      <c r="D46" s="25">
        <f>IFERROR(C46/SUM($C$43:$C$47),0)</f>
        <v>0.25149700598802394</v>
      </c>
    </row>
    <row r="47" spans="2:15" ht="19.5" customHeight="1">
      <c r="B47" t="s">
        <v>355</v>
      </c>
      <c r="C47">
        <f>COUNTIF(Results!Y5:Y206,"&gt;=1500")</f>
        <v>25</v>
      </c>
      <c r="D47" s="25">
        <f>IFERROR(C47/SUM($C$43:$C$47),0)</f>
        <v>0.1497005988023952</v>
      </c>
    </row>
    <row r="48" spans="2:15" ht="19.5" customHeight="1"/>
    <row r="49" spans="12:12" ht="19.5" customHeight="1">
      <c r="L49" s="67" t="s">
        <v>356</v>
      </c>
    </row>
    <row r="50" spans="12:12" ht="19.5" customHeight="1"/>
    <row r="51" spans="12:12" ht="19.5" customHeight="1"/>
    <row r="52" spans="12:12" ht="19.5" customHeight="1"/>
    <row r="53" spans="12:12" ht="19.5" customHeight="1"/>
    <row r="54" spans="12:12" ht="19.5" customHeight="1"/>
    <row r="55" spans="12:12" ht="19.5" customHeight="1"/>
    <row r="56" spans="12:12" ht="19.5" customHeight="1"/>
    <row r="57" spans="12:12" ht="19.5" customHeight="1"/>
  </sheetData>
  <mergeCells count="18">
    <mergeCell ref="B40:O40"/>
    <mergeCell ref="B9:D9"/>
    <mergeCell ref="G9:I9"/>
    <mergeCell ref="L9:N9"/>
    <mergeCell ref="B11:O11"/>
    <mergeCell ref="B22:O22"/>
    <mergeCell ref="B5:D7"/>
    <mergeCell ref="G5:I7"/>
    <mergeCell ref="L5:N7"/>
    <mergeCell ref="B8:D8"/>
    <mergeCell ref="G8:I8"/>
    <mergeCell ref="L8:N8"/>
    <mergeCell ref="B1:O1"/>
    <mergeCell ref="B2:K2"/>
    <mergeCell ref="L2:O2"/>
    <mergeCell ref="B4:D4"/>
    <mergeCell ref="G4:I4"/>
    <mergeCell ref="L4:N4"/>
  </mergeCells>
  <hyperlinks>
    <hyperlink ref="L49" r:id="rId1" location="'Team_Lead_Analysis'!A1" xr:uid="{00000000-0004-0000-0700-000000000000}"/>
  </hyperlinks>
  <pageMargins left="0.75" right="0.75" top="1" bottom="1" header="0.511811023622047" footer="0.511811023622047"/>
  <pageSetup orientation="landscape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ASSRI, Anass (Allianz Services)</dc:creator>
  <cp:keywords/>
  <dc:description/>
  <cp:lastModifiedBy/>
  <cp:revision>0</cp:revision>
  <dcterms:created xsi:type="dcterms:W3CDTF">2026-09-01T16:43:17Z</dcterms:created>
  <dcterms:modified xsi:type="dcterms:W3CDTF">2026-09-01T16:49:58Z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ActionId">
    <vt:lpwstr>8aebd733-6b52-46a1-bf3d-9f6f97264bd3</vt:lpwstr>
  </property>
  <property fmtid="{D5CDD505-2E9C-101B-9397-08002B2CF9AE}" pid="3" name="MSIP_Label_863bc15e-e7bf-41c1-bdb3-03882d8a2e2c_ContentBits">
    <vt:lpwstr>0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Method">
    <vt:lpwstr>Standard</vt:lpwstr>
  </property>
  <property fmtid="{D5CDD505-2E9C-101B-9397-08002B2CF9AE}" pid="6" name="MSIP_Label_863bc15e-e7bf-41c1-bdb3-03882d8a2e2c_Name">
    <vt:lpwstr>863bc15e-e7bf-41c1-bdb3-03882d8a2e2c</vt:lpwstr>
  </property>
  <property fmtid="{D5CDD505-2E9C-101B-9397-08002B2CF9AE}" pid="7" name="MSIP_Label_863bc15e-e7bf-41c1-bdb3-03882d8a2e2c_SetDate">
    <vt:lpwstr>2026-08-17T16:12:03Z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_AdHocReviewCycleID">
    <vt:i4>-1796277940</vt:i4>
  </property>
  <property fmtid="{D5CDD505-2E9C-101B-9397-08002B2CF9AE}" pid="13" name="_NewReviewCycle">
    <vt:lpwstr/>
  </property>
</Properties>
</file>