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  <sheet name="STAFFING" sheetId="5" r:id="rId5"/>
    <sheet name="REALISATIONS" sheetId="6" r:id="rId6"/>
    <sheet name="ABSENCE" sheetId="7" r:id="rId7"/>
    <sheet name="BONUS" sheetId="8" r:id="rId8"/>
  </sheets>
  <calcPr calcId="124519" fullCalcOnLoad="1"/>
</workbook>
</file>

<file path=xl/comments1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2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3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4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5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6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7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sharedStrings.xml><?xml version="1.0" encoding="utf-8"?>
<sst xmlns="http://schemas.openxmlformats.org/spreadsheetml/2006/main" count="305" uniqueCount="186">
  <si>
    <t>WFMHUB REPORT SYSTEM</t>
  </si>
  <si>
    <t>UPDATED</t>
  </si>
  <si>
    <t>WFMHUB-DESIGN 3.2.0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</si>
  <si>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</si>
  <si>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</si>
  <si>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</si>
  <si>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</si>
  <si>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</si>
  <si>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</si>
  <si>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</si>
  <si>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</si>
  <si>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</si>
  <si>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</si>
  <si>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</si>
  <si>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</si>
  <si>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</si>
  <si>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</si>
  <si>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</si>
  <si>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</si>
  <si>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</si>
  <si>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</si>
  <si>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</si>
  <si>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</si>
  <si>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</si>
  <si>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</si>
  <si>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</si>
  <si>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</si>
  <si>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</si>
  <si>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</si>
  <si>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</si>
  <si>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REFERENCE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</si>
  <si>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</si>
  <si>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</si>
  <si>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</si>
  <si>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</si>
  <si>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</si>
  <si>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</si>
  <si>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</si>
  <si>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</si>
  <si>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</si>
  <si>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</si>
  <si>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Category</t>
  </si>
  <si>
    <t>RSA NL</t>
  </si>
  <si>
    <t>RSA BE</t>
  </si>
  <si>
    <t>FORD NL</t>
  </si>
  <si>
    <t>OEM</t>
  </si>
  <si>
    <t>Current</t>
  </si>
  <si>
    <t>Prior</t>
  </si>
  <si>
    <t>01</t>
  </si>
  <si>
    <t>02</t>
  </si>
  <si>
    <t>03</t>
  </si>
  <si>
    <t>04</t>
  </si>
  <si>
    <t>05</t>
  </si>
  <si>
    <t>TEAM PERFORMANCE &amp; ACTIONS</t>
  </si>
  <si>
    <t>PCS AGENTS</t>
  </si>
  <si>
    <t>COACHING DUE</t>
  </si>
  <si>
    <t>Sophie Martin</t>
  </si>
  <si>
    <t>Karim Belkacem</t>
  </si>
  <si>
    <t>RTM DAILY CONTROL</t>
  </si>
  <si>
    <t>DATE</t>
  </si>
  <si>
    <t>08 Sep 2026</t>
  </si>
  <si>
    <t>SNAPSHOT</t>
  </si>
  <si>
    <t>Through 17:59</t>
  </si>
  <si>
    <t>All 4</t>
  </si>
  <si>
    <t>ATTENDANCE</t>
  </si>
  <si>
    <t>17:55</t>
  </si>
  <si>
    <t>LOBS ON TARGET</t>
  </si>
  <si>
    <t>4 / 4</t>
  </si>
  <si>
    <t>DEMAND VARIANCE</t>
  </si>
  <si>
    <t>NO SHOW HC</t>
  </si>
  <si>
    <t>CALL NOW</t>
  </si>
  <si>
    <t>TSL</t>
  </si>
  <si>
    <t>Target</t>
  </si>
  <si>
    <t>Actual</t>
  </si>
  <si>
    <t>Forecast</t>
  </si>
  <si>
    <t>LOB SERVICE &amp; ATTENDANCE ACTIONS</t>
  </si>
  <si>
    <t>VAR CALLS</t>
  </si>
  <si>
    <t>NO SHOW</t>
  </si>
  <si>
    <t>LATE</t>
  </si>
  <si>
    <t>EARLY LEAVE</t>
  </si>
  <si>
    <t>ATTENDANCE REVIEW</t>
  </si>
  <si>
    <t>01–07 Sep 2026</t>
  </si>
  <si>
    <t>COMPLETED</t>
  </si>
  <si>
    <t>Through 07 Sep</t>
  </si>
  <si>
    <t>EVIDENCE</t>
  </si>
  <si>
    <t>Status + LILO</t>
  </si>
  <si>
    <t>DECISION</t>
  </si>
  <si>
    <t>Review board</t>
  </si>
  <si>
    <t>REVIEW GAPS</t>
  </si>
  <si>
    <t>GAP HOURS</t>
  </si>
  <si>
    <t>OPEN DECISIONS</t>
  </si>
  <si>
    <t>MISSING EVIDENCE</t>
  </si>
  <si>
    <t>Gap hours</t>
  </si>
  <si>
    <t>Open</t>
  </si>
  <si>
    <t>Approved</t>
  </si>
  <si>
    <t>Dismissed</t>
  </si>
  <si>
    <t>Missing</t>
  </si>
  <si>
    <t>Cases</t>
  </si>
  <si>
    <t>BY-LOB REVIEW ACTIONS</t>
  </si>
  <si>
    <t>EXACT GAPS</t>
  </si>
  <si>
    <t>AGENTS</t>
  </si>
  <si>
    <t>OPEN</t>
  </si>
  <si>
    <t>APPROVED</t>
  </si>
  <si>
    <t>DISMISSED</t>
  </si>
  <si>
    <t>STAFFING &amp; COVERAGE</t>
  </si>
  <si>
    <t>Current + 4 weeks</t>
  </si>
  <si>
    <t>MODE</t>
  </si>
  <si>
    <t>Future plan</t>
  </si>
  <si>
    <t>LANGUAGE</t>
  </si>
  <si>
    <t>PEAK GAP FTE</t>
  </si>
  <si>
    <t>FUTURE GAP HOURS</t>
  </si>
  <si>
    <t>FORECAST COVERAGE</t>
  </si>
  <si>
    <t>PTO / AWAY IMPACT</t>
  </si>
  <si>
    <t>Required</t>
  </si>
  <si>
    <t>Net scheduled</t>
  </si>
  <si>
    <t>Mon</t>
  </si>
  <si>
    <t>Tue</t>
  </si>
  <si>
    <t>Wed</t>
  </si>
  <si>
    <t>Thu</t>
  </si>
  <si>
    <t>Fri</t>
  </si>
  <si>
    <t>Gap FTE</t>
  </si>
  <si>
    <t>PRIORITIZED CAPACITY ACTIONS</t>
  </si>
  <si>
    <t>INTERVAL</t>
  </si>
  <si>
    <t>LOB / LANGUAGE</t>
  </si>
  <si>
    <t>REQUIRED FTE</t>
  </si>
  <si>
    <t>NET / OBSERVED</t>
  </si>
  <si>
    <t>GAP FTE</t>
  </si>
  <si>
    <t>STATE</t>
  </si>
  <si>
    <t>09 Sep 10:00</t>
  </si>
  <si>
    <t>RSA BE / FR-NL</t>
  </si>
  <si>
    <t>Future</t>
  </si>
  <si>
    <t>FUTURE GAP</t>
  </si>
  <si>
    <t>REALISATIONS</t>
  </si>
  <si>
    <t>All mapped</t>
  </si>
  <si>
    <t>GRAIN</t>
  </si>
  <si>
    <t>Daily</t>
  </si>
  <si>
    <t>DATA STATE</t>
  </si>
  <si>
    <t>Reviewed</t>
  </si>
  <si>
    <t>ACTUAL VOLUME</t>
  </si>
  <si>
    <t>FORECAST ATTAINMENT</t>
  </si>
  <si>
    <t>ROUTED RATE</t>
  </si>
  <si>
    <t>WEIGHTED AHT</t>
  </si>
  <si>
    <t>Service level</t>
  </si>
  <si>
    <t>LOB REALISATION SUMMARY</t>
  </si>
  <si>
    <t>ACTUAL</t>
  </si>
  <si>
    <t>FORECAST</t>
  </si>
  <si>
    <t>ATTAINMENT</t>
  </si>
  <si>
    <t>SERVICE LEVEL</t>
  </si>
  <si>
    <t>ABSENCE %</t>
  </si>
  <si>
    <t>READY</t>
  </si>
  <si>
    <t>ABSENTEEISM &amp; SHRINKAGE</t>
  </si>
  <si>
    <t>ABSENCE RATE</t>
  </si>
  <si>
    <t>SHRINKAGE RATE</t>
  </si>
  <si>
    <t>FINALIZED COVERAGE</t>
  </si>
  <si>
    <t>REVIEW CASES</t>
  </si>
  <si>
    <t>Absence</t>
  </si>
  <si>
    <t>Shrinkage</t>
  </si>
  <si>
    <t>PRIORITIZED ABSENCE REVIEW CASES</t>
  </si>
  <si>
    <t>RESULT STATUS</t>
  </si>
  <si>
    <t>ABSENCE H</t>
  </si>
  <si>
    <t>ACTION STATUS</t>
  </si>
  <si>
    <t>07 Sep</t>
  </si>
  <si>
    <t>Amina El Idrissi</t>
  </si>
  <si>
    <t>ABSENCE RECORDED</t>
  </si>
  <si>
    <t>Pending</t>
  </si>
  <si>
    <t>BONUS MANAGEMENT</t>
  </si>
  <si>
    <t>2026-08</t>
  </si>
  <si>
    <t>POPULATION</t>
  </si>
  <si>
    <t>TEAM LEAD</t>
  </si>
  <si>
    <t>TOTAL PAYOUT</t>
  </si>
  <si>
    <t>PAID AGENTS</t>
  </si>
  <si>
    <t>AVG PAID PAYOUT</t>
  </si>
  <si>
    <t>REVIEW ITEMS</t>
  </si>
  <si>
    <t>RSA</t>
  </si>
  <si>
    <t>FORD</t>
  </si>
  <si>
    <t>Total payout</t>
  </si>
  <si>
    <t>AHT</t>
  </si>
  <si>
    <t>Productivity</t>
  </si>
  <si>
    <t>PCS</t>
  </si>
  <si>
    <t>QM</t>
  </si>
  <si>
    <t>Abs%</t>
  </si>
  <si>
    <t>Attainment</t>
  </si>
  <si>
    <t>POPULATION PAYOUT SUMMARY</t>
  </si>
  <si>
    <t>PAYOUT RATE</t>
  </si>
  <si>
    <t>AVG ACHIEVEMENT</t>
  </si>
  <si>
    <t>REVIEW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</si>
</sst>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%"/>
    <numFmt numFmtId="166" formatCode="#,##0"/>
    <numFmt numFmtId="167" formatCode="+0.00;-0.00;0.00"/>
    <numFmt numFmtId="168" formatCode="#,##0.00"/>
  </numFmts>
  <fonts count="22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10"/>
      <color rgb="FF0B1F33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24"/>
      <color rgb="FF0B1F33"/>
      <name val="Aptos Display"/>
      <family val="2"/>
    </font>
    <font>
      <b/>
      <sz val="30"/>
      <color rgb="FF007C83"/>
      <name val="Aptos Display"/>
      <family val="2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center"/>
    </xf>
    <xf numFmtId="0" fontId="12" fillId="7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8" borderId="0" xfId="0" applyFill="1"/>
    <xf numFmtId="0" fontId="10" fillId="7" borderId="4" xfId="0" applyFont="1" applyFill="1" applyBorder="1" applyAlignment="1">
      <alignment horizontal="center" vertical="center"/>
    </xf>
    <xf numFmtId="164" fontId="13" fillId="7" borderId="5" xfId="0" applyNumberFormat="1" applyFont="1" applyFill="1" applyBorder="1" applyAlignment="1">
      <alignment horizontal="center" vertical="center"/>
    </xf>
    <xf numFmtId="165" fontId="14" fillId="7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1" fillId="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left" vertical="center" indent="1"/>
    </xf>
    <xf numFmtId="166" fontId="16" fillId="7" borderId="6" xfId="0" applyNumberFormat="1" applyFont="1" applyFill="1" applyBorder="1" applyAlignment="1">
      <alignment horizontal="center" vertical="center"/>
    </xf>
    <xf numFmtId="165" fontId="16" fillId="7" borderId="6" xfId="0" applyNumberFormat="1" applyFont="1" applyFill="1" applyBorder="1" applyAlignment="1">
      <alignment horizontal="center" vertical="center"/>
    </xf>
    <xf numFmtId="164" fontId="16" fillId="7" borderId="6" xfId="0" applyNumberFormat="1" applyFont="1" applyFill="1" applyBorder="1" applyAlignment="1">
      <alignment horizontal="center" vertical="center"/>
    </xf>
    <xf numFmtId="167" fontId="17" fillId="7" borderId="6" xfId="0" applyNumberFormat="1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167" fontId="18" fillId="7" borderId="6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166" fontId="13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16" fillId="7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PCS!$AK$2:$AK$6</c:f>
              <c:numCache>
                <c:formatCode>General</c:formatCode>
                <c:ptCount val="5"/>
                <c:pt idx="0">
                  <c:v>4.25</c:v>
                </c:pt>
                <c:pt idx="1">
                  <c:v>4.32</c:v>
                </c:pt>
                <c:pt idx="2">
                  <c:v>4.39</c:v>
                </c:pt>
                <c:pt idx="3">
                  <c:v>4.48</c:v>
                </c:pt>
                <c:pt idx="4">
                  <c:v>4.54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ln w="28575">
              <a:solidFill>
                <a:srgbClr val="536474"/>
              </a:solidFill>
            </a:ln>
          </c:spPr>
          <c:marker>
            <c:symbol val="circle"/>
            <c:size val="4"/>
            <c:spPr>
              <a:solidFill>
                <a:srgbClr val="536474"/>
              </a:solidFill>
              <a:ln>
                <a:solidFill>
                  <a:srgbClr val="536474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PCS!$AL$2:$AL$6</c:f>
              <c:numCache>
                <c:formatCode>General</c:formatCode>
                <c:ptCount val="5"/>
                <c:pt idx="0">
                  <c:v>4.18</c:v>
                </c:pt>
                <c:pt idx="1">
                  <c:v>4.27</c:v>
                </c:pt>
                <c:pt idx="2">
                  <c:v>4.31</c:v>
                </c:pt>
                <c:pt idx="3">
                  <c:v>4.38</c:v>
                </c:pt>
                <c:pt idx="4">
                  <c:v>4.42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TSL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RTM!$AE$2:$AE$5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RTM!$AF$2:$AF$5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RTM!$AK$2:$AK$5</c:f>
              <c:numCache>
                <c:formatCode>General</c:formatCode>
                <c:ptCount val="4"/>
                <c:pt idx="0">
                  <c:v>840</c:v>
                </c:pt>
                <c:pt idx="1">
                  <c:v>530</c:v>
                </c:pt>
                <c:pt idx="2">
                  <c:v>320</c:v>
                </c:pt>
                <c:pt idx="3">
                  <c:v>410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RTM!$AL$2:$AL$5</c:f>
              <c:numCache>
                <c:formatCode>General</c:formatCode>
                <c:ptCount val="4"/>
                <c:pt idx="0">
                  <c:v>810</c:v>
                </c:pt>
                <c:pt idx="1">
                  <c:v>552</c:v>
                </c:pt>
                <c:pt idx="2">
                  <c:v>300</c:v>
                </c:pt>
                <c:pt idx="3">
                  <c:v>354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GAP HOURS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Gap hours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ATTENDANCE!$AE$2:$AE$5</c:f>
              <c:numCache>
                <c:formatCode>General</c:formatCode>
                <c:ptCount val="4"/>
                <c:pt idx="0">
                  <c:v>2.8</c:v>
                </c:pt>
                <c:pt idx="1">
                  <c:v>2.1</c:v>
                </c:pt>
                <c:pt idx="2">
                  <c:v>1.6</c:v>
                </c:pt>
                <c:pt idx="3">
                  <c:v>0.9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DECISION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ATTENDANCE!$AJ$2:$AJ$5</c:f>
              <c:strCache>
                <c:ptCount val="4"/>
                <c:pt idx="0">
                  <c:v>Open</c:v>
                </c:pt>
                <c:pt idx="1">
                  <c:v>Approved</c:v>
                </c:pt>
                <c:pt idx="2">
                  <c:v>Dismissed</c:v>
                </c:pt>
                <c:pt idx="3">
                  <c:v>Missing</c:v>
                </c:pt>
              </c:strCache>
            </c:strRef>
          </c:cat>
          <c:val>
            <c:numRef>
              <c:f>ATTENDANCE!$AK$2:$AK$5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REQUIRED VS NET SCHEDULED HOURS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Required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STAFFING!$AE$2:$AE$5</c:f>
              <c:numCache>
                <c:formatCode>General</c:formatCode>
                <c:ptCount val="4"/>
                <c:pt idx="0">
                  <c:v>420</c:v>
                </c:pt>
                <c:pt idx="1">
                  <c:v>310</c:v>
                </c:pt>
                <c:pt idx="2">
                  <c:v>245</c:v>
                </c:pt>
                <c:pt idx="3">
                  <c:v>280</c:v>
                </c:pt>
              </c:numCache>
            </c:numRef>
          </c:val>
        </c:ser>
        <c:ser>
          <c:idx val="1"/>
          <c:order val="1"/>
          <c:tx>
            <c:v>Net scheduled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STAFFING!$AF$2:$AF$5</c:f>
              <c:numCache>
                <c:formatCode>General</c:formatCode>
                <c:ptCount val="4"/>
                <c:pt idx="0">
                  <c:v>401</c:v>
                </c:pt>
                <c:pt idx="1">
                  <c:v>298</c:v>
                </c:pt>
                <c:pt idx="2">
                  <c:v>251</c:v>
                </c:pt>
                <c:pt idx="3">
                  <c:v>260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PEAK GAP BY 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Gap FTE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strRef>
              <c:f>STAFFING!$AJ$2:$AJ$6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STAFFING!$AK$2:$AK$6</c:f>
              <c:numCache>
                <c:formatCode>General</c:formatCode>
                <c:ptCount val="5"/>
                <c:pt idx="0">
                  <c:v>2.1</c:v>
                </c:pt>
                <c:pt idx="1">
                  <c:v>3.4</c:v>
                </c:pt>
                <c:pt idx="2">
                  <c:v>4.5</c:v>
                </c:pt>
                <c:pt idx="3">
                  <c:v>2.8</c:v>
                </c:pt>
                <c:pt idx="4">
                  <c:v>3.9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 BY LOB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REALISATIONS!$AE$2:$AE$5</c:f>
              <c:numCache>
                <c:formatCode>General</c:formatCode>
                <c:ptCount val="4"/>
                <c:pt idx="0">
                  <c:v>18400</c:v>
                </c:pt>
                <c:pt idx="1">
                  <c:v>12150</c:v>
                </c:pt>
                <c:pt idx="2">
                  <c:v>8830</c:v>
                </c:pt>
                <c:pt idx="3">
                  <c:v>10240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REALISATIONS!$AF$2:$AF$5</c:f>
              <c:numCache>
                <c:formatCode>General</c:formatCode>
                <c:ptCount val="4"/>
                <c:pt idx="0">
                  <c:v>17950</c:v>
                </c:pt>
                <c:pt idx="1">
                  <c:v>12600</c:v>
                </c:pt>
                <c:pt idx="2">
                  <c:v>8460</c:v>
                </c:pt>
                <c:pt idx="3">
                  <c:v>9980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VS TARGET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Service level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REALISATIONS!$AK$2:$AK$5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REALISATIONS!$AL$2:$AL$5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ABSENCE &amp; SHRINKAGE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Absence</c:v>
          </c:tx>
          <c:spPr>
            <a:solidFill>
              <a:srgbClr val="B42318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ABSENCE!$AE$2:$AE$5</c:f>
              <c:numCache>
                <c:formatCode>General</c:formatCode>
                <c:ptCount val="4"/>
                <c:pt idx="0">
                  <c:v>0.041</c:v>
                </c:pt>
                <c:pt idx="1">
                  <c:v>0.052</c:v>
                </c:pt>
                <c:pt idx="2">
                  <c:v>0.033</c:v>
                </c:pt>
                <c:pt idx="3">
                  <c:v>0.046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ABSENCE!$AF$2:$AF$5</c:f>
              <c:numCache>
                <c:formatCode>General</c:formatCode>
                <c:ptCount val="4"/>
                <c:pt idx="0">
                  <c:v>0.118</c:v>
                </c:pt>
                <c:pt idx="1">
                  <c:v>0.129</c:v>
                </c:pt>
                <c:pt idx="2">
                  <c:v>0.104</c:v>
                </c:pt>
                <c:pt idx="3">
                  <c:v>0.123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ABSENCE &amp; SHRINKAGE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Absence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ABSENCE!$AK$2:$AK$6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38</c:v>
                </c:pt>
                <c:pt idx="3">
                  <c:v>42</c:v>
                </c:pt>
                <c:pt idx="4">
                  <c:v>35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ABSENCE!$AL$2:$AL$6</c:f>
              <c:numCache>
                <c:formatCode>General</c:formatCode>
                <c:ptCount val="5"/>
                <c:pt idx="0">
                  <c:v>72</c:v>
                </c:pt>
                <c:pt idx="1">
                  <c:v>68</c:v>
                </c:pt>
                <c:pt idx="2">
                  <c:v>81</c:v>
                </c:pt>
                <c:pt idx="3">
                  <c:v>77</c:v>
                </c:pt>
                <c:pt idx="4">
                  <c:v>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PAYOUT BY POPULATION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payout</c:v>
          </c:tx>
          <c:spPr>
            <a:solidFill>
              <a:srgbClr val="D6A84B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BONUS!$AD$2:$AD$4</c:f>
              <c:strCache>
                <c:ptCount val="3"/>
                <c:pt idx="0">
                  <c:v>RSA</c:v>
                </c:pt>
                <c:pt idx="1">
                  <c:v>FORD</c:v>
                </c:pt>
                <c:pt idx="2">
                  <c:v>OEM</c:v>
                </c:pt>
              </c:strCache>
            </c:strRef>
          </c:cat>
          <c:val>
            <c:numRef>
              <c:f>BONUS!$AE$2:$AE$4</c:f>
              <c:numCache>
                <c:formatCode>General</c:formatCode>
                <c:ptCount val="3"/>
                <c:pt idx="0">
                  <c:v>92100</c:v>
                </c:pt>
                <c:pt idx="1">
                  <c:v>54120</c:v>
                </c:pt>
                <c:pt idx="2">
                  <c:v>38300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KPI ATTAINMENT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BONUS!$AJ$2:$AJ$6</c:f>
              <c:strCache>
                <c:ptCount val="5"/>
                <c:pt idx="0">
                  <c:v>AHT</c:v>
                </c:pt>
                <c:pt idx="1">
                  <c:v>Productivity</c:v>
                </c:pt>
                <c:pt idx="2">
                  <c:v>PCS</c:v>
                </c:pt>
                <c:pt idx="3">
                  <c:v>QM</c:v>
                </c:pt>
                <c:pt idx="4">
                  <c:v>Abs%</c:v>
                </c:pt>
              </c:strCache>
            </c:strRef>
          </c:cat>
          <c:val>
            <c:numRef>
              <c:f>BONUS!$AK$2:$AK$6</c:f>
              <c:numCache>
                <c:formatCode>General</c:formatCode>
                <c:ptCount val="5"/>
                <c:pt idx="0">
                  <c:v>0.82</c:v>
                </c:pt>
                <c:pt idx="1">
                  <c:v>0.76</c:v>
                </c:pt>
                <c:pt idx="2">
                  <c:v>0.6899999999999999</c:v>
                </c:pt>
                <c:pt idx="3">
                  <c:v>0.88</c:v>
                </c:pt>
                <c:pt idx="4">
                  <c:v>0.73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46</v>
      </c>
      <c r="AF1" t="s">
        <v>47</v>
      </c>
      <c r="AJ1" t="s">
        <v>41</v>
      </c>
      <c r="AK1" t="s">
        <v>46</v>
      </c>
      <c r="AL1" t="s">
        <v>47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4.62</v>
      </c>
      <c r="AF2">
        <v>4.51</v>
      </c>
      <c r="AJ2" t="s">
        <v>48</v>
      </c>
      <c r="AK2">
        <v>4.25</v>
      </c>
      <c r="AL2">
        <v>4.18</v>
      </c>
    </row>
    <row r="3" spans="1:38" s="8" customFormat="1" ht="7.5" customHeight="1">
      <c r="AD3" s="8" t="s">
        <v>43</v>
      </c>
      <c r="AE3" s="8">
        <v>4.38</v>
      </c>
      <c r="AF3" s="8">
        <v>4.31</v>
      </c>
      <c r="AJ3" s="8" t="s">
        <v>49</v>
      </c>
      <c r="AK3" s="8">
        <v>4.32</v>
      </c>
      <c r="AL3" s="8">
        <v>4.27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4.71</v>
      </c>
      <c r="AF4">
        <v>4.66</v>
      </c>
      <c r="AJ4" t="s">
        <v>50</v>
      </c>
      <c r="AK4">
        <v>4.39</v>
      </c>
      <c r="AL4">
        <v>4.31</v>
      </c>
    </row>
    <row r="5" spans="1:38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45</v>
      </c>
      <c r="AE5">
        <v>4.55</v>
      </c>
      <c r="AF5">
        <v>4.48</v>
      </c>
      <c r="AJ5" t="s">
        <v>51</v>
      </c>
      <c r="AK5">
        <v>4.48</v>
      </c>
      <c r="AL5">
        <v>4.38</v>
      </c>
    </row>
    <row r="6" spans="1:38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J6" t="s">
        <v>52</v>
      </c>
      <c r="AK6">
        <v>4.54</v>
      </c>
      <c r="AL6">
        <v>4.42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53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54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55</v>
      </c>
      <c r="Z24" s="20"/>
      <c r="AA24" s="20"/>
      <c r="AB24" s="20"/>
    </row>
    <row r="25" spans="1:28" ht="19.5" customHeight="1">
      <c r="A25" s="21" t="s">
        <v>56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57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3"/>
      <c r="J27" s="23"/>
      <c r="K27" s="23"/>
      <c r="L27" s="23"/>
      <c r="M27" s="24"/>
      <c r="N27" s="24"/>
      <c r="O27" s="24"/>
      <c r="P27" s="24"/>
      <c r="Q27" s="24"/>
      <c r="R27" s="24"/>
      <c r="S27" s="24"/>
      <c r="T27" s="24"/>
      <c r="U27" s="27"/>
      <c r="V27" s="27"/>
      <c r="W27" s="27"/>
      <c r="X27" s="27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3"/>
      <c r="J28" s="23"/>
      <c r="K28" s="23"/>
      <c r="L28" s="23"/>
      <c r="M28" s="24"/>
      <c r="N28" s="24"/>
      <c r="O28" s="24"/>
      <c r="P28" s="24"/>
      <c r="Q28" s="24"/>
      <c r="R28" s="24"/>
      <c r="S28" s="24"/>
      <c r="T28" s="24"/>
      <c r="U28" s="27"/>
      <c r="V28" s="27"/>
      <c r="W28" s="27"/>
      <c r="X28" s="27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71</v>
      </c>
      <c r="AF1" t="s">
        <v>72</v>
      </c>
      <c r="AJ1" t="s">
        <v>41</v>
      </c>
      <c r="AK1" t="s">
        <v>73</v>
      </c>
      <c r="AL1" t="s">
        <v>74</v>
      </c>
    </row>
    <row r="2" spans="1:38" ht="39" customHeight="1">
      <c r="A2" s="12" t="s">
        <v>59</v>
      </c>
      <c r="B2" s="12"/>
      <c r="C2" s="13" t="s">
        <v>60</v>
      </c>
      <c r="D2" s="13"/>
      <c r="E2" s="13"/>
      <c r="F2" s="13"/>
      <c r="G2" s="13"/>
      <c r="H2" s="12" t="s">
        <v>61</v>
      </c>
      <c r="I2" s="12"/>
      <c r="J2" s="13" t="s">
        <v>62</v>
      </c>
      <c r="K2" s="13"/>
      <c r="L2" s="13"/>
      <c r="M2" s="13"/>
      <c r="N2" s="13"/>
      <c r="O2" s="12" t="s">
        <v>33</v>
      </c>
      <c r="P2" s="12"/>
      <c r="Q2" s="13" t="s">
        <v>63</v>
      </c>
      <c r="R2" s="13"/>
      <c r="S2" s="13"/>
      <c r="T2" s="13"/>
      <c r="U2" s="13"/>
      <c r="V2" s="12" t="s">
        <v>64</v>
      </c>
      <c r="W2" s="12"/>
      <c r="X2" s="13" t="s">
        <v>65</v>
      </c>
      <c r="Y2" s="13"/>
      <c r="Z2" s="13"/>
      <c r="AA2" s="13"/>
      <c r="AB2" s="13"/>
      <c r="AD2" t="s">
        <v>42</v>
      </c>
      <c r="AE2">
        <v>0.899</v>
      </c>
      <c r="AF2">
        <v>0.8</v>
      </c>
      <c r="AJ2" t="s">
        <v>42</v>
      </c>
      <c r="AK2">
        <v>840</v>
      </c>
      <c r="AL2">
        <v>810</v>
      </c>
    </row>
    <row r="3" spans="1:38" s="8" customFormat="1" ht="7.5" customHeight="1">
      <c r="AD3" s="8" t="s">
        <v>43</v>
      </c>
      <c r="AE3" s="8">
        <v>0.858</v>
      </c>
      <c r="AF3" s="8">
        <v>0.8</v>
      </c>
      <c r="AJ3" s="8" t="s">
        <v>43</v>
      </c>
      <c r="AK3" s="8">
        <v>530</v>
      </c>
      <c r="AL3" s="8">
        <v>552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0.973</v>
      </c>
      <c r="AF4">
        <v>0.8</v>
      </c>
      <c r="AJ4" t="s">
        <v>44</v>
      </c>
      <c r="AK4">
        <v>320</v>
      </c>
      <c r="AL4">
        <v>300</v>
      </c>
    </row>
    <row r="5" spans="1:38" ht="27" customHeight="1">
      <c r="A5" s="16" t="s">
        <v>66</v>
      </c>
      <c r="B5" s="16"/>
      <c r="C5" s="16"/>
      <c r="D5" s="16"/>
      <c r="E5" s="16"/>
      <c r="F5" s="16"/>
      <c r="G5" s="16"/>
      <c r="H5" s="16" t="s">
        <v>68</v>
      </c>
      <c r="I5" s="16"/>
      <c r="J5" s="16"/>
      <c r="K5" s="16"/>
      <c r="L5" s="16"/>
      <c r="M5" s="16"/>
      <c r="N5" s="16"/>
      <c r="O5" s="16" t="s">
        <v>69</v>
      </c>
      <c r="P5" s="16"/>
      <c r="Q5" s="16"/>
      <c r="R5" s="16"/>
      <c r="S5" s="16"/>
      <c r="T5" s="16"/>
      <c r="U5" s="16"/>
      <c r="V5" s="16" t="s">
        <v>70</v>
      </c>
      <c r="W5" s="16"/>
      <c r="X5" s="16"/>
      <c r="Y5" s="16"/>
      <c r="Z5" s="16"/>
      <c r="AA5" s="16"/>
      <c r="AB5" s="16"/>
      <c r="AD5" t="s">
        <v>45</v>
      </c>
      <c r="AE5">
        <v>0.949</v>
      </c>
      <c r="AF5">
        <v>0.8</v>
      </c>
      <c r="AJ5" t="s">
        <v>45</v>
      </c>
      <c r="AK5">
        <v>410</v>
      </c>
      <c r="AL5">
        <v>354</v>
      </c>
    </row>
    <row r="6" spans="1:38" ht="72" customHeight="1">
      <c r="A6" s="29" t="s">
        <v>67</v>
      </c>
      <c r="B6" s="29"/>
      <c r="C6" s="29"/>
      <c r="D6" s="29"/>
      <c r="E6" s="29"/>
      <c r="F6" s="29"/>
      <c r="G6" s="29"/>
      <c r="H6" s="30">
        <v>84</v>
      </c>
      <c r="I6" s="30"/>
      <c r="J6" s="30"/>
      <c r="K6" s="30"/>
      <c r="L6" s="30"/>
      <c r="M6" s="30"/>
      <c r="N6" s="30"/>
      <c r="O6" s="30">
        <v>6</v>
      </c>
      <c r="P6" s="30"/>
      <c r="Q6" s="30"/>
      <c r="R6" s="30"/>
      <c r="S6" s="30"/>
      <c r="T6" s="30"/>
      <c r="U6" s="30"/>
      <c r="V6" s="30">
        <v>8</v>
      </c>
      <c r="W6" s="30"/>
      <c r="X6" s="30"/>
      <c r="Y6" s="30"/>
      <c r="Z6" s="30"/>
      <c r="AA6" s="30"/>
      <c r="AB6" s="30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75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71</v>
      </c>
      <c r="F24" s="20"/>
      <c r="G24" s="20"/>
      <c r="H24" s="20"/>
      <c r="I24" s="20" t="s">
        <v>76</v>
      </c>
      <c r="J24" s="20"/>
      <c r="K24" s="20"/>
      <c r="L24" s="20"/>
      <c r="M24" s="20" t="s">
        <v>77</v>
      </c>
      <c r="N24" s="20"/>
      <c r="O24" s="20"/>
      <c r="P24" s="20"/>
      <c r="Q24" s="20" t="s">
        <v>78</v>
      </c>
      <c r="R24" s="20"/>
      <c r="S24" s="20"/>
      <c r="T24" s="20"/>
      <c r="U24" s="20" t="s">
        <v>79</v>
      </c>
      <c r="V24" s="20"/>
      <c r="W24" s="20"/>
      <c r="X24" s="20"/>
      <c r="Y24" s="20" t="s">
        <v>70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3">
        <v>0.899</v>
      </c>
      <c r="F25" s="23"/>
      <c r="G25" s="23"/>
      <c r="H25" s="23"/>
      <c r="I25" s="25">
        <v>30</v>
      </c>
      <c r="J25" s="25"/>
      <c r="K25" s="25"/>
      <c r="L25" s="25"/>
      <c r="M25" s="22">
        <v>2</v>
      </c>
      <c r="N25" s="22"/>
      <c r="O25" s="22"/>
      <c r="P25" s="22"/>
      <c r="Q25" s="22">
        <v>1</v>
      </c>
      <c r="R25" s="22"/>
      <c r="S25" s="22"/>
      <c r="T25" s="22"/>
      <c r="U25" s="22">
        <v>0</v>
      </c>
      <c r="V25" s="22"/>
      <c r="W25" s="22"/>
      <c r="X25" s="22"/>
      <c r="Y25" s="26">
        <v>2</v>
      </c>
      <c r="Z25" s="26"/>
      <c r="AA25" s="26"/>
      <c r="AB25" s="26"/>
    </row>
    <row r="26" spans="1:28" ht="19.5" customHeight="1">
      <c r="A26" s="21" t="s">
        <v>43</v>
      </c>
      <c r="B26" s="21"/>
      <c r="C26" s="21"/>
      <c r="D26" s="21"/>
      <c r="E26" s="23">
        <v>0.858</v>
      </c>
      <c r="F26" s="23"/>
      <c r="G26" s="23"/>
      <c r="H26" s="23"/>
      <c r="I26" s="27">
        <v>-22</v>
      </c>
      <c r="J26" s="27"/>
      <c r="K26" s="27"/>
      <c r="L26" s="27"/>
      <c r="M26" s="22">
        <v>1</v>
      </c>
      <c r="N26" s="22"/>
      <c r="O26" s="22"/>
      <c r="P26" s="22"/>
      <c r="Q26" s="22">
        <v>2</v>
      </c>
      <c r="R26" s="22"/>
      <c r="S26" s="22"/>
      <c r="T26" s="22"/>
      <c r="U26" s="22">
        <v>1</v>
      </c>
      <c r="V26" s="22"/>
      <c r="W26" s="22"/>
      <c r="X26" s="22"/>
      <c r="Y26" s="26">
        <v>2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3"/>
      <c r="F27" s="23"/>
      <c r="G27" s="23"/>
      <c r="H27" s="23"/>
      <c r="I27" s="27"/>
      <c r="J27" s="27"/>
      <c r="K27" s="27"/>
      <c r="L27" s="2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3"/>
      <c r="F28" s="23"/>
      <c r="G28" s="23"/>
      <c r="H28" s="23"/>
      <c r="I28" s="27"/>
      <c r="J28" s="27"/>
      <c r="K28" s="27"/>
      <c r="L28" s="2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3"/>
      <c r="F29" s="23"/>
      <c r="G29" s="23"/>
      <c r="H29" s="23"/>
      <c r="I29" s="27"/>
      <c r="J29" s="27"/>
      <c r="K29" s="27"/>
      <c r="L29" s="2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3"/>
      <c r="F30" s="23"/>
      <c r="G30" s="23"/>
      <c r="H30" s="23"/>
      <c r="I30" s="27"/>
      <c r="J30" s="27"/>
      <c r="K30" s="27"/>
      <c r="L30" s="2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3"/>
      <c r="F31" s="23"/>
      <c r="G31" s="23"/>
      <c r="H31" s="23"/>
      <c r="I31" s="27"/>
      <c r="J31" s="27"/>
      <c r="K31" s="27"/>
      <c r="L31" s="2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3"/>
      <c r="F32" s="23"/>
      <c r="G32" s="23"/>
      <c r="H32" s="23"/>
      <c r="I32" s="27"/>
      <c r="J32" s="27"/>
      <c r="K32" s="27"/>
      <c r="L32" s="2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92</v>
      </c>
      <c r="AJ1" t="s">
        <v>41</v>
      </c>
      <c r="AK1" t="s">
        <v>97</v>
      </c>
    </row>
    <row r="2" spans="1:37" ht="39" customHeight="1">
      <c r="A2" s="12" t="s">
        <v>31</v>
      </c>
      <c r="B2" s="12"/>
      <c r="C2" s="13" t="s">
        <v>81</v>
      </c>
      <c r="D2" s="13"/>
      <c r="E2" s="13"/>
      <c r="F2" s="13"/>
      <c r="G2" s="13"/>
      <c r="H2" s="12" t="s">
        <v>82</v>
      </c>
      <c r="I2" s="12"/>
      <c r="J2" s="13" t="s">
        <v>83</v>
      </c>
      <c r="K2" s="13"/>
      <c r="L2" s="13"/>
      <c r="M2" s="13"/>
      <c r="N2" s="13"/>
      <c r="O2" s="12" t="s">
        <v>84</v>
      </c>
      <c r="P2" s="12"/>
      <c r="Q2" s="13" t="s">
        <v>85</v>
      </c>
      <c r="R2" s="13"/>
      <c r="S2" s="13"/>
      <c r="T2" s="13"/>
      <c r="U2" s="13"/>
      <c r="V2" s="12" t="s">
        <v>86</v>
      </c>
      <c r="W2" s="12"/>
      <c r="X2" s="13" t="s">
        <v>87</v>
      </c>
      <c r="Y2" s="13"/>
      <c r="Z2" s="13"/>
      <c r="AA2" s="13"/>
      <c r="AB2" s="13"/>
      <c r="AD2" t="s">
        <v>42</v>
      </c>
      <c r="AE2">
        <v>2.8</v>
      </c>
      <c r="AJ2" t="s">
        <v>93</v>
      </c>
      <c r="AK2">
        <v>11</v>
      </c>
    </row>
    <row r="3" spans="1:37" s="8" customFormat="1" ht="7.5" customHeight="1">
      <c r="AD3" s="8" t="s">
        <v>43</v>
      </c>
      <c r="AE3" s="8">
        <v>2.1</v>
      </c>
      <c r="AJ3" s="8" t="s">
        <v>94</v>
      </c>
      <c r="AK3" s="8">
        <v>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1.6</v>
      </c>
      <c r="AJ4" t="s">
        <v>95</v>
      </c>
      <c r="AK4">
        <v>3</v>
      </c>
    </row>
    <row r="5" spans="1:37" ht="27" customHeight="1">
      <c r="A5" s="16" t="s">
        <v>88</v>
      </c>
      <c r="B5" s="16"/>
      <c r="C5" s="16"/>
      <c r="D5" s="16"/>
      <c r="E5" s="16"/>
      <c r="F5" s="16"/>
      <c r="G5" s="16"/>
      <c r="H5" s="16" t="s">
        <v>89</v>
      </c>
      <c r="I5" s="16"/>
      <c r="J5" s="16"/>
      <c r="K5" s="16"/>
      <c r="L5" s="16"/>
      <c r="M5" s="16"/>
      <c r="N5" s="16"/>
      <c r="O5" s="16" t="s">
        <v>90</v>
      </c>
      <c r="P5" s="16"/>
      <c r="Q5" s="16"/>
      <c r="R5" s="16"/>
      <c r="S5" s="16"/>
      <c r="T5" s="16"/>
      <c r="U5" s="16"/>
      <c r="V5" s="16" t="s">
        <v>91</v>
      </c>
      <c r="W5" s="16"/>
      <c r="X5" s="16"/>
      <c r="Y5" s="16"/>
      <c r="Z5" s="16"/>
      <c r="AA5" s="16"/>
      <c r="AB5" s="16"/>
      <c r="AD5" t="s">
        <v>45</v>
      </c>
      <c r="AE5">
        <v>0.9</v>
      </c>
      <c r="AJ5" t="s">
        <v>96</v>
      </c>
      <c r="AK5">
        <v>2</v>
      </c>
    </row>
    <row r="6" spans="1:37" ht="72" customHeight="1">
      <c r="A6" s="30">
        <v>18</v>
      </c>
      <c r="B6" s="30"/>
      <c r="C6" s="30"/>
      <c r="D6" s="30"/>
      <c r="E6" s="30"/>
      <c r="F6" s="30"/>
      <c r="G6" s="30"/>
      <c r="H6" s="17">
        <v>7.4</v>
      </c>
      <c r="I6" s="17"/>
      <c r="J6" s="17"/>
      <c r="K6" s="17"/>
      <c r="L6" s="17"/>
      <c r="M6" s="17"/>
      <c r="N6" s="17"/>
      <c r="O6" s="30">
        <v>11</v>
      </c>
      <c r="P6" s="30"/>
      <c r="Q6" s="30"/>
      <c r="R6" s="30"/>
      <c r="S6" s="30"/>
      <c r="T6" s="30"/>
      <c r="U6" s="30"/>
      <c r="V6" s="30">
        <v>2</v>
      </c>
      <c r="W6" s="30"/>
      <c r="X6" s="30"/>
      <c r="Y6" s="30"/>
      <c r="Z6" s="30"/>
      <c r="AA6" s="30"/>
      <c r="AB6" s="30"/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99</v>
      </c>
      <c r="F24" s="20"/>
      <c r="G24" s="20"/>
      <c r="H24" s="20"/>
      <c r="I24" s="20" t="s">
        <v>89</v>
      </c>
      <c r="J24" s="20"/>
      <c r="K24" s="20"/>
      <c r="L24" s="20"/>
      <c r="M24" s="20" t="s">
        <v>100</v>
      </c>
      <c r="N24" s="20"/>
      <c r="O24" s="20"/>
      <c r="P24" s="20"/>
      <c r="Q24" s="20" t="s">
        <v>101</v>
      </c>
      <c r="R24" s="20"/>
      <c r="S24" s="20"/>
      <c r="T24" s="20"/>
      <c r="U24" s="20" t="s">
        <v>102</v>
      </c>
      <c r="V24" s="20"/>
      <c r="W24" s="20"/>
      <c r="X24" s="20"/>
      <c r="Y24" s="20" t="s">
        <v>103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6</v>
      </c>
      <c r="F25" s="22"/>
      <c r="G25" s="22"/>
      <c r="H25" s="22"/>
      <c r="I25" s="24">
        <v>2.8</v>
      </c>
      <c r="J25" s="24"/>
      <c r="K25" s="24"/>
      <c r="L25" s="24"/>
      <c r="M25" s="22">
        <v>4</v>
      </c>
      <c r="N25" s="22"/>
      <c r="O25" s="22"/>
      <c r="P25" s="22"/>
      <c r="Q25" s="26">
        <v>3</v>
      </c>
      <c r="R25" s="26"/>
      <c r="S25" s="26"/>
      <c r="T25" s="26"/>
      <c r="U25" s="22">
        <v>2</v>
      </c>
      <c r="V25" s="22"/>
      <c r="W25" s="22"/>
      <c r="X25" s="22"/>
      <c r="Y25" s="22">
        <v>1</v>
      </c>
      <c r="Z25" s="22"/>
      <c r="AA25" s="22"/>
      <c r="AB25" s="22"/>
    </row>
    <row r="26" spans="1:28" ht="19.5" customHeight="1">
      <c r="A26" s="21" t="s">
        <v>43</v>
      </c>
      <c r="B26" s="21"/>
      <c r="C26" s="21"/>
      <c r="D26" s="21"/>
      <c r="E26" s="22">
        <v>5</v>
      </c>
      <c r="F26" s="22"/>
      <c r="G26" s="22"/>
      <c r="H26" s="22"/>
      <c r="I26" s="24">
        <v>2.1</v>
      </c>
      <c r="J26" s="24"/>
      <c r="K26" s="24"/>
      <c r="L26" s="24"/>
      <c r="M26" s="22">
        <v>4</v>
      </c>
      <c r="N26" s="22"/>
      <c r="O26" s="22"/>
      <c r="P26" s="22"/>
      <c r="Q26" s="26">
        <v>4</v>
      </c>
      <c r="R26" s="26"/>
      <c r="S26" s="26"/>
      <c r="T26" s="26"/>
      <c r="U26" s="22">
        <v>1</v>
      </c>
      <c r="V26" s="22"/>
      <c r="W26" s="22"/>
      <c r="X26" s="22"/>
      <c r="Y26" s="22">
        <v>0</v>
      </c>
      <c r="Z26" s="22"/>
      <c r="AA26" s="22"/>
      <c r="AB26" s="22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4"/>
      <c r="J27" s="24"/>
      <c r="K27" s="24"/>
      <c r="L27" s="24"/>
      <c r="M27" s="22"/>
      <c r="N27" s="22"/>
      <c r="O27" s="22"/>
      <c r="P27" s="22"/>
      <c r="Q27" s="28"/>
      <c r="R27" s="28"/>
      <c r="S27" s="28"/>
      <c r="T27" s="28"/>
      <c r="U27" s="22"/>
      <c r="V27" s="22"/>
      <c r="W27" s="22"/>
      <c r="X27" s="22"/>
      <c r="Y27" s="22"/>
      <c r="Z27" s="22"/>
      <c r="AA27" s="22"/>
      <c r="AB27" s="22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4"/>
      <c r="J28" s="24"/>
      <c r="K28" s="24"/>
      <c r="L28" s="24"/>
      <c r="M28" s="22"/>
      <c r="N28" s="22"/>
      <c r="O28" s="22"/>
      <c r="P28" s="22"/>
      <c r="Q28" s="28"/>
      <c r="R28" s="28"/>
      <c r="S28" s="28"/>
      <c r="T28" s="28"/>
      <c r="U28" s="22"/>
      <c r="V28" s="22"/>
      <c r="W28" s="22"/>
      <c r="X28" s="22"/>
      <c r="Y28" s="22"/>
      <c r="Z28" s="22"/>
      <c r="AA28" s="22"/>
      <c r="AB28" s="22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4"/>
      <c r="J29" s="24"/>
      <c r="K29" s="24"/>
      <c r="L29" s="24"/>
      <c r="M29" s="22"/>
      <c r="N29" s="22"/>
      <c r="O29" s="22"/>
      <c r="P29" s="22"/>
      <c r="Q29" s="28"/>
      <c r="R29" s="28"/>
      <c r="S29" s="28"/>
      <c r="T29" s="28"/>
      <c r="U29" s="22"/>
      <c r="V29" s="22"/>
      <c r="W29" s="22"/>
      <c r="X29" s="22"/>
      <c r="Y29" s="22"/>
      <c r="Z29" s="22"/>
      <c r="AA29" s="22"/>
      <c r="AB29" s="22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4"/>
      <c r="J30" s="24"/>
      <c r="K30" s="24"/>
      <c r="L30" s="24"/>
      <c r="M30" s="22"/>
      <c r="N30" s="22"/>
      <c r="O30" s="22"/>
      <c r="P30" s="22"/>
      <c r="Q30" s="28"/>
      <c r="R30" s="28"/>
      <c r="S30" s="28"/>
      <c r="T30" s="28"/>
      <c r="U30" s="22"/>
      <c r="V30" s="22"/>
      <c r="W30" s="22"/>
      <c r="X30" s="22"/>
      <c r="Y30" s="22"/>
      <c r="Z30" s="22"/>
      <c r="AA30" s="22"/>
      <c r="AB30" s="22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4"/>
      <c r="J31" s="24"/>
      <c r="K31" s="24"/>
      <c r="L31" s="24"/>
      <c r="M31" s="22"/>
      <c r="N31" s="22"/>
      <c r="O31" s="22"/>
      <c r="P31" s="22"/>
      <c r="Q31" s="28"/>
      <c r="R31" s="28"/>
      <c r="S31" s="28"/>
      <c r="T31" s="28"/>
      <c r="U31" s="22"/>
      <c r="V31" s="22"/>
      <c r="W31" s="22"/>
      <c r="X31" s="22"/>
      <c r="Y31" s="22"/>
      <c r="Z31" s="22"/>
      <c r="AA31" s="22"/>
      <c r="AB31" s="22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4"/>
      <c r="J32" s="24"/>
      <c r="K32" s="24"/>
      <c r="L32" s="24"/>
      <c r="M32" s="22"/>
      <c r="N32" s="22"/>
      <c r="O32" s="22"/>
      <c r="P32" s="22"/>
      <c r="Q32" s="28"/>
      <c r="R32" s="28"/>
      <c r="S32" s="28"/>
      <c r="T32" s="28"/>
      <c r="U32" s="22"/>
      <c r="V32" s="22"/>
      <c r="W32" s="22"/>
      <c r="X32" s="22"/>
      <c r="Y32" s="22"/>
      <c r="Z32" s="22"/>
      <c r="AA32" s="22"/>
      <c r="AB32" s="22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113</v>
      </c>
      <c r="AF1" t="s">
        <v>114</v>
      </c>
      <c r="AJ1" t="s">
        <v>41</v>
      </c>
      <c r="AK1" t="s">
        <v>120</v>
      </c>
    </row>
    <row r="2" spans="1:37" ht="39" customHeight="1">
      <c r="A2" s="12" t="s">
        <v>31</v>
      </c>
      <c r="B2" s="12"/>
      <c r="C2" s="13" t="s">
        <v>105</v>
      </c>
      <c r="D2" s="13"/>
      <c r="E2" s="13"/>
      <c r="F2" s="13"/>
      <c r="G2" s="13"/>
      <c r="H2" s="12" t="s">
        <v>106</v>
      </c>
      <c r="I2" s="12"/>
      <c r="J2" s="13" t="s">
        <v>107</v>
      </c>
      <c r="K2" s="13"/>
      <c r="L2" s="13"/>
      <c r="M2" s="13"/>
      <c r="N2" s="13"/>
      <c r="O2" s="12" t="s">
        <v>33</v>
      </c>
      <c r="P2" s="12"/>
      <c r="Q2" s="13" t="s">
        <v>34</v>
      </c>
      <c r="R2" s="13"/>
      <c r="S2" s="13"/>
      <c r="T2" s="13"/>
      <c r="U2" s="13"/>
      <c r="V2" s="12" t="s">
        <v>108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420</v>
      </c>
      <c r="AF2">
        <v>401</v>
      </c>
      <c r="AJ2" t="s">
        <v>115</v>
      </c>
      <c r="AK2">
        <v>2.1</v>
      </c>
    </row>
    <row r="3" spans="1:37" s="8" customFormat="1" ht="7.5" customHeight="1">
      <c r="AD3" s="8" t="s">
        <v>43</v>
      </c>
      <c r="AE3" s="8">
        <v>310</v>
      </c>
      <c r="AF3" s="8">
        <v>298</v>
      </c>
      <c r="AJ3" s="8" t="s">
        <v>116</v>
      </c>
      <c r="AK3" s="8">
        <v>3.4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245</v>
      </c>
      <c r="AF4">
        <v>251</v>
      </c>
      <c r="AJ4" t="s">
        <v>117</v>
      </c>
      <c r="AK4">
        <v>4.5</v>
      </c>
    </row>
    <row r="5" spans="1:37" ht="27" customHeight="1">
      <c r="A5" s="16" t="s">
        <v>109</v>
      </c>
      <c r="B5" s="16"/>
      <c r="C5" s="16"/>
      <c r="D5" s="16"/>
      <c r="E5" s="16"/>
      <c r="F5" s="16"/>
      <c r="G5" s="16"/>
      <c r="H5" s="16" t="s">
        <v>110</v>
      </c>
      <c r="I5" s="16"/>
      <c r="J5" s="16"/>
      <c r="K5" s="16"/>
      <c r="L5" s="16"/>
      <c r="M5" s="16"/>
      <c r="N5" s="16"/>
      <c r="O5" s="16" t="s">
        <v>111</v>
      </c>
      <c r="P5" s="16"/>
      <c r="Q5" s="16"/>
      <c r="R5" s="16"/>
      <c r="S5" s="16"/>
      <c r="T5" s="16"/>
      <c r="U5" s="16"/>
      <c r="V5" s="16" t="s">
        <v>112</v>
      </c>
      <c r="W5" s="16"/>
      <c r="X5" s="16"/>
      <c r="Y5" s="16"/>
      <c r="Z5" s="16"/>
      <c r="AA5" s="16"/>
      <c r="AB5" s="16"/>
      <c r="AD5" t="s">
        <v>45</v>
      </c>
      <c r="AE5">
        <v>280</v>
      </c>
      <c r="AF5">
        <v>260</v>
      </c>
      <c r="AJ5" t="s">
        <v>118</v>
      </c>
      <c r="AK5">
        <v>2.8</v>
      </c>
    </row>
    <row r="6" spans="1:37" ht="72" customHeight="1">
      <c r="A6" s="17">
        <v>4.5</v>
      </c>
      <c r="B6" s="17"/>
      <c r="C6" s="17"/>
      <c r="D6" s="17"/>
      <c r="E6" s="17"/>
      <c r="F6" s="17"/>
      <c r="G6" s="17"/>
      <c r="H6" s="17">
        <v>36.8</v>
      </c>
      <c r="I6" s="17"/>
      <c r="J6" s="17"/>
      <c r="K6" s="17"/>
      <c r="L6" s="17"/>
      <c r="M6" s="17"/>
      <c r="N6" s="17"/>
      <c r="O6" s="18">
        <v>0.9429999999999999</v>
      </c>
      <c r="P6" s="18"/>
      <c r="Q6" s="18"/>
      <c r="R6" s="18"/>
      <c r="S6" s="18"/>
      <c r="T6" s="18"/>
      <c r="U6" s="18"/>
      <c r="V6" s="17">
        <v>61</v>
      </c>
      <c r="W6" s="17"/>
      <c r="X6" s="17"/>
      <c r="Y6" s="17"/>
      <c r="Z6" s="17"/>
      <c r="AA6" s="17"/>
      <c r="AB6" s="17"/>
      <c r="AJ6" t="s">
        <v>119</v>
      </c>
      <c r="AK6">
        <v>3.9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121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122</v>
      </c>
      <c r="B24" s="20"/>
      <c r="C24" s="20"/>
      <c r="D24" s="20"/>
      <c r="E24" s="20" t="s">
        <v>123</v>
      </c>
      <c r="F24" s="20"/>
      <c r="G24" s="20"/>
      <c r="H24" s="20"/>
      <c r="I24" s="20" t="s">
        <v>106</v>
      </c>
      <c r="J24" s="20"/>
      <c r="K24" s="20"/>
      <c r="L24" s="20"/>
      <c r="M24" s="20" t="s">
        <v>124</v>
      </c>
      <c r="N24" s="20"/>
      <c r="O24" s="20"/>
      <c r="P24" s="20"/>
      <c r="Q24" s="20" t="s">
        <v>125</v>
      </c>
      <c r="R24" s="20"/>
      <c r="S24" s="20"/>
      <c r="T24" s="20"/>
      <c r="U24" s="20" t="s">
        <v>126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128</v>
      </c>
      <c r="B25" s="21"/>
      <c r="C25" s="21"/>
      <c r="D25" s="21"/>
      <c r="E25" s="21" t="s">
        <v>129</v>
      </c>
      <c r="F25" s="21"/>
      <c r="G25" s="21"/>
      <c r="H25" s="21"/>
      <c r="I25" s="21" t="s">
        <v>130</v>
      </c>
      <c r="J25" s="21"/>
      <c r="K25" s="21"/>
      <c r="L25" s="21"/>
      <c r="M25" s="24">
        <v>22.5</v>
      </c>
      <c r="N25" s="24"/>
      <c r="O25" s="24"/>
      <c r="P25" s="24"/>
      <c r="Q25" s="24">
        <v>18</v>
      </c>
      <c r="R25" s="24"/>
      <c r="S25" s="24"/>
      <c r="T25" s="24"/>
      <c r="U25" s="24">
        <v>4.5</v>
      </c>
      <c r="V25" s="24"/>
      <c r="W25" s="24"/>
      <c r="X25" s="24"/>
      <c r="Y25" s="26" t="s">
        <v>131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73</v>
      </c>
      <c r="AF1" t="s">
        <v>74</v>
      </c>
      <c r="AJ1" t="s">
        <v>41</v>
      </c>
      <c r="AK1" t="s">
        <v>142</v>
      </c>
      <c r="AL1" t="s">
        <v>72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133</v>
      </c>
      <c r="K2" s="13"/>
      <c r="L2" s="13"/>
      <c r="M2" s="13"/>
      <c r="N2" s="13"/>
      <c r="O2" s="12" t="s">
        <v>134</v>
      </c>
      <c r="P2" s="12"/>
      <c r="Q2" s="13" t="s">
        <v>135</v>
      </c>
      <c r="R2" s="13"/>
      <c r="S2" s="13"/>
      <c r="T2" s="13"/>
      <c r="U2" s="13"/>
      <c r="V2" s="12" t="s">
        <v>136</v>
      </c>
      <c r="W2" s="12"/>
      <c r="X2" s="13" t="s">
        <v>137</v>
      </c>
      <c r="Y2" s="13"/>
      <c r="Z2" s="13"/>
      <c r="AA2" s="13"/>
      <c r="AB2" s="13"/>
      <c r="AD2" t="s">
        <v>42</v>
      </c>
      <c r="AE2">
        <v>18400</v>
      </c>
      <c r="AF2">
        <v>17950</v>
      </c>
      <c r="AJ2" t="s">
        <v>42</v>
      </c>
      <c r="AK2">
        <v>0.899</v>
      </c>
      <c r="AL2">
        <v>0.8</v>
      </c>
    </row>
    <row r="3" spans="1:38" s="8" customFormat="1" ht="7.5" customHeight="1">
      <c r="AD3" s="8" t="s">
        <v>43</v>
      </c>
      <c r="AE3" s="8">
        <v>12150</v>
      </c>
      <c r="AF3" s="8">
        <v>12600</v>
      </c>
      <c r="AJ3" s="8" t="s">
        <v>43</v>
      </c>
      <c r="AK3" s="8">
        <v>0.858</v>
      </c>
      <c r="AL3" s="8">
        <v>0.8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8830</v>
      </c>
      <c r="AF4">
        <v>8460</v>
      </c>
      <c r="AJ4" t="s">
        <v>44</v>
      </c>
      <c r="AK4">
        <v>0.973</v>
      </c>
      <c r="AL4">
        <v>0.8</v>
      </c>
    </row>
    <row r="5" spans="1:38" ht="27" customHeight="1">
      <c r="A5" s="16" t="s">
        <v>138</v>
      </c>
      <c r="B5" s="16"/>
      <c r="C5" s="16"/>
      <c r="D5" s="16"/>
      <c r="E5" s="16"/>
      <c r="F5" s="16"/>
      <c r="G5" s="16"/>
      <c r="H5" s="16" t="s">
        <v>139</v>
      </c>
      <c r="I5" s="16"/>
      <c r="J5" s="16"/>
      <c r="K5" s="16"/>
      <c r="L5" s="16"/>
      <c r="M5" s="16"/>
      <c r="N5" s="16"/>
      <c r="O5" s="16" t="s">
        <v>140</v>
      </c>
      <c r="P5" s="16"/>
      <c r="Q5" s="16"/>
      <c r="R5" s="16"/>
      <c r="S5" s="16"/>
      <c r="T5" s="16"/>
      <c r="U5" s="16"/>
      <c r="V5" s="16" t="s">
        <v>141</v>
      </c>
      <c r="W5" s="16"/>
      <c r="X5" s="16"/>
      <c r="Y5" s="16"/>
      <c r="Z5" s="16"/>
      <c r="AA5" s="16"/>
      <c r="AB5" s="16"/>
      <c r="AD5" t="s">
        <v>45</v>
      </c>
      <c r="AE5">
        <v>10240</v>
      </c>
      <c r="AF5">
        <v>9980</v>
      </c>
      <c r="AJ5" t="s">
        <v>45</v>
      </c>
      <c r="AK5">
        <v>0.949</v>
      </c>
      <c r="AL5">
        <v>0.8</v>
      </c>
    </row>
    <row r="6" spans="1:38" ht="72" customHeight="1">
      <c r="A6" s="30">
        <v>49620</v>
      </c>
      <c r="B6" s="30"/>
      <c r="C6" s="30"/>
      <c r="D6" s="30"/>
      <c r="E6" s="30"/>
      <c r="F6" s="30"/>
      <c r="G6" s="30"/>
      <c r="H6" s="18">
        <v>1.012</v>
      </c>
      <c r="I6" s="18"/>
      <c r="J6" s="18"/>
      <c r="K6" s="18"/>
      <c r="L6" s="18"/>
      <c r="M6" s="18"/>
      <c r="N6" s="18"/>
      <c r="O6" s="18">
        <v>0.958</v>
      </c>
      <c r="P6" s="18"/>
      <c r="Q6" s="18"/>
      <c r="R6" s="18"/>
      <c r="S6" s="18"/>
      <c r="T6" s="18"/>
      <c r="U6" s="18"/>
      <c r="V6" s="17">
        <v>294</v>
      </c>
      <c r="W6" s="17"/>
      <c r="X6" s="17"/>
      <c r="Y6" s="17"/>
      <c r="Z6" s="17"/>
      <c r="AA6" s="17"/>
      <c r="AB6" s="17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143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144</v>
      </c>
      <c r="F24" s="20"/>
      <c r="G24" s="20"/>
      <c r="H24" s="20"/>
      <c r="I24" s="20" t="s">
        <v>145</v>
      </c>
      <c r="J24" s="20"/>
      <c r="K24" s="20"/>
      <c r="L24" s="20"/>
      <c r="M24" s="20" t="s">
        <v>146</v>
      </c>
      <c r="N24" s="20"/>
      <c r="O24" s="20"/>
      <c r="P24" s="20"/>
      <c r="Q24" s="20" t="s">
        <v>147</v>
      </c>
      <c r="R24" s="20"/>
      <c r="S24" s="20"/>
      <c r="T24" s="20"/>
      <c r="U24" s="20" t="s">
        <v>148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18400</v>
      </c>
      <c r="F25" s="22"/>
      <c r="G25" s="22"/>
      <c r="H25" s="22"/>
      <c r="I25" s="22">
        <v>17950</v>
      </c>
      <c r="J25" s="22"/>
      <c r="K25" s="22"/>
      <c r="L25" s="22"/>
      <c r="M25" s="23">
        <v>1.025</v>
      </c>
      <c r="N25" s="23"/>
      <c r="O25" s="23"/>
      <c r="P25" s="23"/>
      <c r="Q25" s="23">
        <v>0.899</v>
      </c>
      <c r="R25" s="23"/>
      <c r="S25" s="23"/>
      <c r="T25" s="23"/>
      <c r="U25" s="23">
        <v>0.041</v>
      </c>
      <c r="V25" s="23"/>
      <c r="W25" s="23"/>
      <c r="X25" s="23"/>
      <c r="Y25" s="28" t="s">
        <v>149</v>
      </c>
      <c r="Z25" s="28"/>
      <c r="AA25" s="28"/>
      <c r="AB25" s="28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155</v>
      </c>
      <c r="AF1" t="s">
        <v>156</v>
      </c>
      <c r="AJ1" t="s">
        <v>41</v>
      </c>
      <c r="AK1" t="s">
        <v>155</v>
      </c>
      <c r="AL1" t="s">
        <v>156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0.041</v>
      </c>
      <c r="AF2">
        <v>0.118</v>
      </c>
      <c r="AJ2" t="s">
        <v>48</v>
      </c>
      <c r="AK2">
        <v>31</v>
      </c>
      <c r="AL2">
        <v>72</v>
      </c>
    </row>
    <row r="3" spans="1:38" s="8" customFormat="1" ht="7.5" customHeight="1">
      <c r="AD3" s="8" t="s">
        <v>43</v>
      </c>
      <c r="AE3" s="8">
        <v>0.052</v>
      </c>
      <c r="AF3" s="8">
        <v>0.129</v>
      </c>
      <c r="AJ3" s="8" t="s">
        <v>49</v>
      </c>
      <c r="AK3" s="8">
        <v>27</v>
      </c>
      <c r="AL3" s="8">
        <v>68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0.033</v>
      </c>
      <c r="AF4">
        <v>0.104</v>
      </c>
      <c r="AJ4" t="s">
        <v>50</v>
      </c>
      <c r="AK4">
        <v>38</v>
      </c>
      <c r="AL4">
        <v>81</v>
      </c>
    </row>
    <row r="5" spans="1:38" ht="27" customHeight="1">
      <c r="A5" s="16" t="s">
        <v>151</v>
      </c>
      <c r="B5" s="16"/>
      <c r="C5" s="16"/>
      <c r="D5" s="16"/>
      <c r="E5" s="16"/>
      <c r="F5" s="16"/>
      <c r="G5" s="16"/>
      <c r="H5" s="16" t="s">
        <v>152</v>
      </c>
      <c r="I5" s="16"/>
      <c r="J5" s="16"/>
      <c r="K5" s="16"/>
      <c r="L5" s="16"/>
      <c r="M5" s="16"/>
      <c r="N5" s="16"/>
      <c r="O5" s="16" t="s">
        <v>153</v>
      </c>
      <c r="P5" s="16"/>
      <c r="Q5" s="16"/>
      <c r="R5" s="16"/>
      <c r="S5" s="16"/>
      <c r="T5" s="16"/>
      <c r="U5" s="16"/>
      <c r="V5" s="16" t="s">
        <v>154</v>
      </c>
      <c r="W5" s="16"/>
      <c r="X5" s="16"/>
      <c r="Y5" s="16"/>
      <c r="Z5" s="16"/>
      <c r="AA5" s="16"/>
      <c r="AB5" s="16"/>
      <c r="AD5" t="s">
        <v>45</v>
      </c>
      <c r="AE5">
        <v>0.046</v>
      </c>
      <c r="AF5">
        <v>0.123</v>
      </c>
      <c r="AJ5" t="s">
        <v>51</v>
      </c>
      <c r="AK5">
        <v>42</v>
      </c>
      <c r="AL5">
        <v>77</v>
      </c>
    </row>
    <row r="6" spans="1:38" ht="72" customHeight="1">
      <c r="A6" s="18">
        <v>0.043</v>
      </c>
      <c r="B6" s="18"/>
      <c r="C6" s="18"/>
      <c r="D6" s="18"/>
      <c r="E6" s="18"/>
      <c r="F6" s="18"/>
      <c r="G6" s="18"/>
      <c r="H6" s="18">
        <v>0.118</v>
      </c>
      <c r="I6" s="18"/>
      <c r="J6" s="18"/>
      <c r="K6" s="18"/>
      <c r="L6" s="18"/>
      <c r="M6" s="18"/>
      <c r="N6" s="18"/>
      <c r="O6" s="18">
        <v>0.988</v>
      </c>
      <c r="P6" s="18"/>
      <c r="Q6" s="18"/>
      <c r="R6" s="18"/>
      <c r="S6" s="18"/>
      <c r="T6" s="18"/>
      <c r="U6" s="18"/>
      <c r="V6" s="30">
        <v>7</v>
      </c>
      <c r="W6" s="30"/>
      <c r="X6" s="30"/>
      <c r="Y6" s="30"/>
      <c r="Z6" s="30"/>
      <c r="AA6" s="30"/>
      <c r="AB6" s="30"/>
      <c r="AJ6" t="s">
        <v>52</v>
      </c>
      <c r="AK6">
        <v>35</v>
      </c>
      <c r="AL6">
        <v>74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157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59</v>
      </c>
      <c r="B24" s="20"/>
      <c r="C24" s="20"/>
      <c r="D24" s="20"/>
      <c r="E24" s="20" t="s">
        <v>36</v>
      </c>
      <c r="F24" s="20"/>
      <c r="G24" s="20"/>
      <c r="H24" s="20"/>
      <c r="I24" s="20" t="s">
        <v>35</v>
      </c>
      <c r="J24" s="20"/>
      <c r="K24" s="20"/>
      <c r="L24" s="20"/>
      <c r="M24" s="20" t="s">
        <v>33</v>
      </c>
      <c r="N24" s="20"/>
      <c r="O24" s="20"/>
      <c r="P24" s="20"/>
      <c r="Q24" s="20" t="s">
        <v>158</v>
      </c>
      <c r="R24" s="20"/>
      <c r="S24" s="20"/>
      <c r="T24" s="20"/>
      <c r="U24" s="20" t="s">
        <v>159</v>
      </c>
      <c r="V24" s="20"/>
      <c r="W24" s="20"/>
      <c r="X24" s="20"/>
      <c r="Y24" s="20" t="s">
        <v>160</v>
      </c>
      <c r="Z24" s="20"/>
      <c r="AA24" s="20"/>
      <c r="AB24" s="20"/>
    </row>
    <row r="25" spans="1:28" ht="19.5" customHeight="1">
      <c r="A25" s="21" t="s">
        <v>161</v>
      </c>
      <c r="B25" s="21"/>
      <c r="C25" s="21"/>
      <c r="D25" s="21"/>
      <c r="E25" s="21" t="s">
        <v>162</v>
      </c>
      <c r="F25" s="21"/>
      <c r="G25" s="21"/>
      <c r="H25" s="21"/>
      <c r="I25" s="21" t="s">
        <v>56</v>
      </c>
      <c r="J25" s="21"/>
      <c r="K25" s="21"/>
      <c r="L25" s="21"/>
      <c r="M25" s="21" t="s">
        <v>42</v>
      </c>
      <c r="N25" s="21"/>
      <c r="O25" s="21"/>
      <c r="P25" s="21"/>
      <c r="Q25" s="21" t="s">
        <v>163</v>
      </c>
      <c r="R25" s="21"/>
      <c r="S25" s="21"/>
      <c r="T25" s="21"/>
      <c r="U25" s="24">
        <v>8</v>
      </c>
      <c r="V25" s="24"/>
      <c r="W25" s="24"/>
      <c r="X25" s="24"/>
      <c r="Y25" s="26" t="s">
        <v>164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175</v>
      </c>
      <c r="AJ1" t="s">
        <v>41</v>
      </c>
      <c r="AK1" t="s">
        <v>181</v>
      </c>
    </row>
    <row r="2" spans="1:37" ht="39" customHeight="1">
      <c r="A2" s="12" t="s">
        <v>31</v>
      </c>
      <c r="B2" s="12"/>
      <c r="C2" s="13" t="s">
        <v>166</v>
      </c>
      <c r="D2" s="13"/>
      <c r="E2" s="13"/>
      <c r="F2" s="13"/>
      <c r="G2" s="13"/>
      <c r="H2" s="12" t="s">
        <v>167</v>
      </c>
      <c r="I2" s="12"/>
      <c r="J2" s="13" t="s">
        <v>34</v>
      </c>
      <c r="K2" s="13"/>
      <c r="L2" s="13"/>
      <c r="M2" s="13"/>
      <c r="N2" s="13"/>
      <c r="O2" s="12" t="s">
        <v>168</v>
      </c>
      <c r="P2" s="12"/>
      <c r="Q2" s="13" t="s">
        <v>34</v>
      </c>
      <c r="R2" s="13"/>
      <c r="S2" s="13"/>
      <c r="T2" s="13"/>
      <c r="U2" s="13"/>
      <c r="V2" s="12" t="s">
        <v>158</v>
      </c>
      <c r="W2" s="12"/>
      <c r="X2" s="13" t="s">
        <v>34</v>
      </c>
      <c r="Y2" s="13"/>
      <c r="Z2" s="13"/>
      <c r="AA2" s="13"/>
      <c r="AB2" s="13"/>
      <c r="AD2" t="s">
        <v>173</v>
      </c>
      <c r="AE2">
        <v>92100</v>
      </c>
      <c r="AJ2" t="s">
        <v>176</v>
      </c>
      <c r="AK2">
        <v>0.82</v>
      </c>
    </row>
    <row r="3" spans="1:37" s="8" customFormat="1" ht="7.5" customHeight="1">
      <c r="AD3" s="8" t="s">
        <v>174</v>
      </c>
      <c r="AE3" s="8">
        <v>54120</v>
      </c>
      <c r="AJ3" s="8" t="s">
        <v>177</v>
      </c>
      <c r="AK3" s="8">
        <v>0.76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45</v>
      </c>
      <c r="AE4">
        <v>38300</v>
      </c>
      <c r="AJ4" t="s">
        <v>178</v>
      </c>
      <c r="AK4">
        <v>0.6899999999999999</v>
      </c>
    </row>
    <row r="5" spans="1:37" ht="27" customHeight="1">
      <c r="A5" s="16" t="s">
        <v>169</v>
      </c>
      <c r="B5" s="16"/>
      <c r="C5" s="16"/>
      <c r="D5" s="16"/>
      <c r="E5" s="16"/>
      <c r="F5" s="16"/>
      <c r="G5" s="16"/>
      <c r="H5" s="16" t="s">
        <v>170</v>
      </c>
      <c r="I5" s="16"/>
      <c r="J5" s="16"/>
      <c r="K5" s="16"/>
      <c r="L5" s="16"/>
      <c r="M5" s="16"/>
      <c r="N5" s="16"/>
      <c r="O5" s="16" t="s">
        <v>171</v>
      </c>
      <c r="P5" s="16"/>
      <c r="Q5" s="16"/>
      <c r="R5" s="16"/>
      <c r="S5" s="16"/>
      <c r="T5" s="16"/>
      <c r="U5" s="16"/>
      <c r="V5" s="16" t="s">
        <v>172</v>
      </c>
      <c r="W5" s="16"/>
      <c r="X5" s="16"/>
      <c r="Y5" s="16"/>
      <c r="Z5" s="16"/>
      <c r="AA5" s="16"/>
      <c r="AB5" s="16"/>
      <c r="AJ5" t="s">
        <v>179</v>
      </c>
      <c r="AK5">
        <v>0.88</v>
      </c>
    </row>
    <row r="6" spans="1:37" ht="72" customHeight="1">
      <c r="A6" s="31">
        <v>184520</v>
      </c>
      <c r="B6" s="31"/>
      <c r="C6" s="31"/>
      <c r="D6" s="31"/>
      <c r="E6" s="31"/>
      <c r="F6" s="31"/>
      <c r="G6" s="31"/>
      <c r="H6" s="30">
        <v>84</v>
      </c>
      <c r="I6" s="30"/>
      <c r="J6" s="30"/>
      <c r="K6" s="30"/>
      <c r="L6" s="30"/>
      <c r="M6" s="30"/>
      <c r="N6" s="30"/>
      <c r="O6" s="31">
        <v>2196.67</v>
      </c>
      <c r="P6" s="31"/>
      <c r="Q6" s="31"/>
      <c r="R6" s="31"/>
      <c r="S6" s="31"/>
      <c r="T6" s="31"/>
      <c r="U6" s="31"/>
      <c r="V6" s="30">
        <v>6</v>
      </c>
      <c r="W6" s="30"/>
      <c r="X6" s="30"/>
      <c r="Y6" s="30"/>
      <c r="Z6" s="30"/>
      <c r="AA6" s="30"/>
      <c r="AB6" s="30"/>
      <c r="AJ6" t="s">
        <v>180</v>
      </c>
      <c r="AK6">
        <v>0.73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182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167</v>
      </c>
      <c r="B24" s="20"/>
      <c r="C24" s="20"/>
      <c r="D24" s="20"/>
      <c r="E24" s="20" t="s">
        <v>100</v>
      </c>
      <c r="F24" s="20"/>
      <c r="G24" s="20"/>
      <c r="H24" s="20"/>
      <c r="I24" s="20" t="s">
        <v>170</v>
      </c>
      <c r="J24" s="20"/>
      <c r="K24" s="20"/>
      <c r="L24" s="20"/>
      <c r="M24" s="20" t="s">
        <v>183</v>
      </c>
      <c r="N24" s="20"/>
      <c r="O24" s="20"/>
      <c r="P24" s="20"/>
      <c r="Q24" s="20" t="s">
        <v>169</v>
      </c>
      <c r="R24" s="20"/>
      <c r="S24" s="20"/>
      <c r="T24" s="20"/>
      <c r="U24" s="20" t="s">
        <v>184</v>
      </c>
      <c r="V24" s="20"/>
      <c r="W24" s="20"/>
      <c r="X24" s="20"/>
      <c r="Y24" s="20" t="s">
        <v>185</v>
      </c>
      <c r="Z24" s="20"/>
      <c r="AA24" s="20"/>
      <c r="AB24" s="20"/>
    </row>
    <row r="25" spans="1:28" ht="19.5" customHeight="1">
      <c r="A25" s="21" t="s">
        <v>173</v>
      </c>
      <c r="B25" s="21"/>
      <c r="C25" s="21"/>
      <c r="D25" s="21"/>
      <c r="E25" s="22">
        <v>48</v>
      </c>
      <c r="F25" s="22"/>
      <c r="G25" s="22"/>
      <c r="H25" s="22"/>
      <c r="I25" s="22">
        <v>44</v>
      </c>
      <c r="J25" s="22"/>
      <c r="K25" s="22"/>
      <c r="L25" s="22"/>
      <c r="M25" s="23">
        <v>0.917</v>
      </c>
      <c r="N25" s="23"/>
      <c r="O25" s="23"/>
      <c r="P25" s="23"/>
      <c r="Q25" s="32">
        <v>92100</v>
      </c>
      <c r="R25" s="32"/>
      <c r="S25" s="32"/>
      <c r="T25" s="32"/>
      <c r="U25" s="23">
        <v>1.06</v>
      </c>
      <c r="V25" s="23"/>
      <c r="W25" s="23"/>
      <c r="X25" s="23"/>
      <c r="Y25" s="26">
        <v>2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32"/>
      <c r="R26" s="32"/>
      <c r="S26" s="32"/>
      <c r="T26" s="32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32"/>
      <c r="R27" s="32"/>
      <c r="S27" s="32"/>
      <c r="T27" s="32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32"/>
      <c r="R28" s="32"/>
      <c r="S28" s="32"/>
      <c r="T28" s="32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32"/>
      <c r="R29" s="32"/>
      <c r="S29" s="32"/>
      <c r="T29" s="32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32"/>
      <c r="R30" s="32"/>
      <c r="S30" s="32"/>
      <c r="T30" s="32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32"/>
      <c r="R31" s="32"/>
      <c r="S31" s="32"/>
      <c r="T31" s="32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32"/>
      <c r="R32" s="32"/>
      <c r="S32" s="32"/>
      <c r="T32" s="32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SYSTEM</vt:lpstr>
      <vt:lpstr>PCS</vt:lpstr>
      <vt:lpstr>RTM</vt:lpstr>
      <vt:lpstr>ATTENDANCE</vt:lpstr>
      <vt:lpstr>STAFFING</vt:lpstr>
      <vt:lpstr>REALISATIONS</vt:lpstr>
      <vt:lpstr>ABSENCE</vt:lpstr>
      <vt:lpstr>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3.2.0; illustrative data only</dc:description>
  <cp:lastModifiedBy>Anass ASSRI</cp:lastModifiedBy>
  <dcterms:created xsi:type="dcterms:W3CDTF">2026-09-10T07:40:37Z</dcterms:created>
  <dcterms:modified xsi:type="dcterms:W3CDTF">2026-09-10T07:40:37Z</dcterms:modified>
</cp:coreProperties>
</file>